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8_{F0AE5FAB-5346-4015-8EB2-4531720FE8BF}" xr6:coauthVersionLast="47" xr6:coauthVersionMax="47" xr10:uidLastSave="{00000000-0000-0000-0000-000000000000}"/>
  <bookViews>
    <workbookView xWindow="-108" yWindow="-108" windowWidth="23256" windowHeight="12456" activeTab="2" xr2:uid="{8D1EAB15-BACF-493C-BEAE-1B489C9DA17A}"/>
  </bookViews>
  <sheets>
    <sheet name="Google Ads Dataset(Cleaned)" sheetId="2" r:id="rId1"/>
    <sheet name="Sheet1" sheetId="1" state="hidden" r:id="rId2"/>
    <sheet name="Dashboard" sheetId="4" r:id="rId3"/>
  </sheets>
  <definedNames>
    <definedName name="_xlchart.v2.0" hidden="1">Sheet1!$B$8:$B$11</definedName>
    <definedName name="_xlchart.v2.1" hidden="1">Sheet1!$C$8:$C$11</definedName>
    <definedName name="_xlchart.v2.2" hidden="1">Sheet1!$B$8:$B$11</definedName>
    <definedName name="_xlchart.v2.3" hidden="1">Sheet1!$C$8:$C$11</definedName>
    <definedName name="CLicks">Sheet1!$C$4</definedName>
    <definedName name="Conversions">Sheet1!$C$6</definedName>
    <definedName name="ExternalData_1" localSheetId="0" hidden="1">'Google Ads Dataset(Cleaned)'!$A$1:$W$2598</definedName>
    <definedName name="Impressions">Sheet1!$C$3</definedName>
    <definedName name="Leads">Sheet1!$C$5</definedName>
    <definedName name="Slicer_Device">#N/A</definedName>
    <definedName name="Slicer_Keyword">#N/A</definedName>
    <definedName name="Slicer_Weekday">#N/A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4" l="1" a="1"/>
  <c r="J18" i="4" s="1"/>
  <c r="AQ20" i="1"/>
  <c r="AQ21" i="1"/>
  <c r="AQ22" i="1"/>
  <c r="AQ23" i="1"/>
  <c r="AQ24" i="1"/>
  <c r="AQ25" i="1" s="1"/>
  <c r="J20" i="4" a="1"/>
  <c r="J20" i="4" s="1"/>
  <c r="AT20" i="1"/>
  <c r="AT21" i="1"/>
  <c r="AT22" i="1"/>
  <c r="AT23" i="1"/>
  <c r="AT24" i="1"/>
  <c r="C6" i="1"/>
  <c r="D6" i="1" s="1"/>
  <c r="C11" i="1" s="1"/>
  <c r="C5" i="1"/>
  <c r="D4" i="1" s="1"/>
  <c r="C9" i="1" s="1"/>
  <c r="C4" i="1"/>
  <c r="D3" i="1" s="1"/>
  <c r="C8" i="1" s="1"/>
  <c r="C3" i="1"/>
  <c r="AH24" i="1"/>
  <c r="AI24" i="1"/>
  <c r="AJ24" i="1"/>
  <c r="AK24" i="1"/>
  <c r="AL24" i="1"/>
  <c r="AM24" i="1"/>
  <c r="AR24" i="1" s="1"/>
  <c r="AG24" i="1"/>
  <c r="AH23" i="1"/>
  <c r="AI23" i="1"/>
  <c r="AJ23" i="1"/>
  <c r="AK23" i="1"/>
  <c r="AL23" i="1"/>
  <c r="AM23" i="1"/>
  <c r="AG23" i="1"/>
  <c r="K9" i="4" s="1"/>
  <c r="AH22" i="1"/>
  <c r="AI22" i="1"/>
  <c r="AJ22" i="1"/>
  <c r="AK22" i="1"/>
  <c r="AL22" i="1"/>
  <c r="AM22" i="1"/>
  <c r="AR22" i="1" s="1"/>
  <c r="AG22" i="1"/>
  <c r="M9" i="4" s="1"/>
  <c r="AH21" i="1"/>
  <c r="AI21" i="1"/>
  <c r="AJ21" i="1"/>
  <c r="AK21" i="1"/>
  <c r="AL21" i="1"/>
  <c r="AM21" i="1"/>
  <c r="AG21" i="1"/>
  <c r="J9" i="4" s="1"/>
  <c r="AH20" i="1"/>
  <c r="AI20" i="1"/>
  <c r="AJ20" i="1"/>
  <c r="AK20" i="1"/>
  <c r="AL20" i="1"/>
  <c r="AM20" i="1"/>
  <c r="AG20" i="1"/>
  <c r="L9" i="4" s="1"/>
  <c r="AV2" i="1" a="1"/>
  <c r="AV2" i="1" s="1"/>
  <c r="H4" i="1"/>
  <c r="H5" i="1"/>
  <c r="H6" i="1"/>
  <c r="H3" i="1"/>
  <c r="E4" i="1"/>
  <c r="E5" i="1"/>
  <c r="E6" i="1"/>
  <c r="E3" i="1"/>
  <c r="D5" i="1" l="1"/>
  <c r="C10" i="1" s="1"/>
  <c r="AR21" i="1"/>
  <c r="AR20" i="1"/>
  <c r="L21" i="4" s="1" a="1"/>
  <c r="L21" i="4" s="1"/>
  <c r="AS20" i="1"/>
  <c r="AN21" i="1"/>
  <c r="AJ299" i="1"/>
  <c r="AJ298" i="1"/>
  <c r="AJ300" i="1"/>
  <c r="AR23" i="1"/>
  <c r="K21" i="4" s="1" a="1"/>
  <c r="K21" i="4" s="1"/>
  <c r="AJ297" i="1"/>
  <c r="J14" i="4" a="1"/>
  <c r="J14" i="4" s="1"/>
  <c r="J12" i="4" a="1"/>
  <c r="J12" i="4" s="1"/>
  <c r="J15" i="4" a="1"/>
  <c r="J15" i="4" s="1"/>
  <c r="J21" i="4" a="1"/>
  <c r="J21" i="4" s="1"/>
  <c r="J16" i="4" a="1"/>
  <c r="J16" i="4" s="1"/>
  <c r="J13" i="4" a="1"/>
  <c r="J13" i="4" s="1"/>
  <c r="L14" i="4" a="1"/>
  <c r="L14" i="4" s="1"/>
  <c r="L12" i="4" a="1"/>
  <c r="L12" i="4" s="1"/>
  <c r="L15" i="4" a="1"/>
  <c r="L15" i="4" s="1"/>
  <c r="L19" i="4" a="1"/>
  <c r="L19" i="4" s="1"/>
  <c r="L13" i="4" a="1"/>
  <c r="L13" i="4" s="1"/>
  <c r="K13" i="4" a="1"/>
  <c r="K13" i="4" s="1"/>
  <c r="K14" i="4" a="1"/>
  <c r="K14" i="4" s="1"/>
  <c r="K15" i="4" a="1"/>
  <c r="K15" i="4" s="1"/>
  <c r="K12" i="4" a="1"/>
  <c r="K12" i="4" s="1"/>
  <c r="M15" i="4" a="1"/>
  <c r="M15" i="4" s="1"/>
  <c r="M13" i="4" a="1"/>
  <c r="M13" i="4" s="1"/>
  <c r="M21" i="4" a="1"/>
  <c r="M21" i="4" s="1"/>
  <c r="M14" i="4" a="1"/>
  <c r="M14" i="4" s="1"/>
  <c r="M12" i="4" a="1"/>
  <c r="M12" i="4" s="1"/>
  <c r="AP21" i="1"/>
  <c r="AO21" i="1"/>
  <c r="J17" i="4" s="1" a="1"/>
  <c r="J17" i="4" s="1"/>
  <c r="AS21" i="1"/>
  <c r="J19" i="4" s="1" a="1"/>
  <c r="J19" i="4" s="1"/>
  <c r="AS23" i="1"/>
  <c r="K19" i="4" s="1" a="1"/>
  <c r="K19" i="4" s="1"/>
  <c r="AS24" i="1"/>
  <c r="AM300" i="1" s="1"/>
  <c r="K20" i="4" a="1"/>
  <c r="K20" i="4" s="1"/>
  <c r="AS22" i="1"/>
  <c r="M19" i="4" s="1" a="1"/>
  <c r="M19" i="4" s="1"/>
  <c r="AO22" i="1"/>
  <c r="M17" i="4" s="1" a="1"/>
  <c r="M17" i="4" s="1"/>
  <c r="AP23" i="1"/>
  <c r="K18" i="4" s="1" a="1"/>
  <c r="K18" i="4" s="1"/>
  <c r="AN22" i="1"/>
  <c r="M16" i="4" s="1" a="1"/>
  <c r="M16" i="4" s="1"/>
  <c r="L20" i="4" a="1"/>
  <c r="L20" i="4" s="1"/>
  <c r="AP20" i="1"/>
  <c r="L18" i="4" s="1" a="1"/>
  <c r="L18" i="4" s="1"/>
  <c r="AP24" i="1"/>
  <c r="AM299" i="1" s="1"/>
  <c r="AN24" i="1"/>
  <c r="AM298" i="1" s="1"/>
  <c r="M20" i="4" a="1"/>
  <c r="M20" i="4" s="1"/>
  <c r="AO20" i="1"/>
  <c r="L17" i="4" s="1" a="1"/>
  <c r="L17" i="4" s="1"/>
  <c r="AN20" i="1"/>
  <c r="L16" i="4" s="1" a="1"/>
  <c r="L16" i="4" s="1"/>
  <c r="AO24" i="1"/>
  <c r="AM297" i="1" s="1"/>
  <c r="AP22" i="1"/>
  <c r="M18" i="4" s="1" a="1"/>
  <c r="M18" i="4" s="1"/>
  <c r="AO23" i="1"/>
  <c r="K17" i="4" s="1" a="1"/>
  <c r="K17" i="4" s="1"/>
  <c r="AN23" i="1"/>
  <c r="K16" i="4" s="1" a="1"/>
  <c r="K1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99C1EE-5B22-4487-957C-6E77C6906D14}" keepAlive="1" name="Query - Google Ads Dataset(Cleaned)" description="Connection to the 'Google Ads Dataset(Cleaned)' query in the workbook." type="5" refreshedVersion="8" background="1" saveData="1">
    <dbPr connection="Provider=Microsoft.Mashup.OleDb.1;Data Source=$Workbook$;Location=&quot;Google Ads Dataset(Cleaned)&quot;;Extended Properties=&quot;&quot;" command="SELECT * FROM [Google Ads Dataset(Cleane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<sst xmlns="http://schemas.openxmlformats.org/spreadsheetml/2006/main" count="18376" uniqueCount="2674">
  <si>
    <t>Column1</t>
  </si>
  <si>
    <t>Ad_ID</t>
  </si>
  <si>
    <t>Campaign_Name</t>
  </si>
  <si>
    <t>Clicks</t>
  </si>
  <si>
    <t>Impressions</t>
  </si>
  <si>
    <t>Cost</t>
  </si>
  <si>
    <t>Leads</t>
  </si>
  <si>
    <t>Conversions</t>
  </si>
  <si>
    <t>Conversion Rate</t>
  </si>
  <si>
    <t>Revenue</t>
  </si>
  <si>
    <t>Date</t>
  </si>
  <si>
    <t>Location</t>
  </si>
  <si>
    <t>Device</t>
  </si>
  <si>
    <t>Keyword</t>
  </si>
  <si>
    <t>Month</t>
  </si>
  <si>
    <t>Weekday</t>
  </si>
  <si>
    <t>CPC</t>
  </si>
  <si>
    <t>CTR</t>
  </si>
  <si>
    <t>CPL</t>
  </si>
  <si>
    <t>CPA</t>
  </si>
  <si>
    <t>ROI</t>
  </si>
  <si>
    <t>AOV</t>
  </si>
  <si>
    <t>ROAS</t>
  </si>
  <si>
    <t>A1000</t>
  </si>
  <si>
    <t>Data Analytics Course: Basics</t>
  </si>
  <si>
    <t>Hyderabad</t>
  </si>
  <si>
    <t>Desktop</t>
  </si>
  <si>
    <t>Learn data analytics</t>
  </si>
  <si>
    <t>November</t>
  </si>
  <si>
    <t>Saturday</t>
  </si>
  <si>
    <t>A1001</t>
  </si>
  <si>
    <t>Mobile</t>
  </si>
  <si>
    <t>Data analytics course</t>
  </si>
  <si>
    <t>Wednesday</t>
  </si>
  <si>
    <t>A1002</t>
  </si>
  <si>
    <t>Data Analytics Course: Visualizations</t>
  </si>
  <si>
    <t>Data analytics online</t>
  </si>
  <si>
    <t>A1003</t>
  </si>
  <si>
    <t>Data Analytics Course: Advanced</t>
  </si>
  <si>
    <t>Tablet</t>
  </si>
  <si>
    <t>Data analytics training</t>
  </si>
  <si>
    <t>Tuesday</t>
  </si>
  <si>
    <t>A1004</t>
  </si>
  <si>
    <t>Data Analytics Course: ML</t>
  </si>
  <si>
    <t>Online data analytics</t>
  </si>
  <si>
    <t>Friday</t>
  </si>
  <si>
    <t>A1005</t>
  </si>
  <si>
    <t>A1006</t>
  </si>
  <si>
    <t>A1007</t>
  </si>
  <si>
    <t>Analytics for data</t>
  </si>
  <si>
    <t>Sunday</t>
  </si>
  <si>
    <t>A1008</t>
  </si>
  <si>
    <t>A1009</t>
  </si>
  <si>
    <t>A1010</t>
  </si>
  <si>
    <t>Thursday</t>
  </si>
  <si>
    <t>A1011</t>
  </si>
  <si>
    <t>A1012</t>
  </si>
  <si>
    <t>A1013</t>
  </si>
  <si>
    <t>A1014</t>
  </si>
  <si>
    <t>Monday</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</si>
  <si>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</si>
  <si>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</si>
  <si>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</si>
  <si>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</si>
  <si>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</si>
  <si>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</si>
  <si>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</si>
  <si>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</si>
  <si>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</si>
  <si>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</si>
  <si>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</si>
  <si>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</si>
  <si>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</si>
  <si>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</si>
  <si>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</si>
  <si>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</si>
  <si>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</si>
  <si>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</si>
  <si>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</si>
  <si>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</si>
  <si>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</si>
  <si>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</si>
  <si>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</si>
  <si>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</si>
  <si>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</si>
  <si>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</si>
  <si>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</si>
  <si>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</si>
  <si>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</si>
  <si>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</si>
  <si>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</si>
  <si>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</si>
  <si>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</si>
  <si>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</si>
  <si>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</si>
  <si>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</si>
  <si>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</si>
  <si>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</si>
  <si>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</si>
  <si>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</si>
  <si>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</si>
  <si>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</si>
  <si>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</si>
  <si>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</si>
  <si>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</si>
  <si>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</si>
  <si>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</si>
  <si>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</si>
  <si>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</si>
  <si>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</si>
  <si>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</si>
  <si>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</si>
  <si>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</si>
  <si>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</si>
  <si>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</si>
  <si>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</si>
  <si>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</si>
  <si>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</si>
  <si>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</si>
  <si>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</si>
  <si>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</si>
  <si>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</si>
  <si>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</si>
  <si>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</si>
  <si>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</si>
  <si>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</si>
  <si>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</si>
  <si>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</si>
  <si>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</si>
  <si>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</si>
  <si>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</si>
  <si>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</si>
  <si>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</si>
  <si>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</si>
  <si>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</si>
  <si>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</si>
  <si>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</si>
  <si>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</si>
  <si>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</si>
  <si>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</si>
  <si>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</si>
  <si>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</si>
  <si>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</si>
  <si>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</si>
  <si>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</si>
  <si>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</si>
  <si>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</si>
  <si>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</si>
  <si>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</si>
  <si>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</si>
  <si>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</si>
  <si>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</si>
  <si>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</si>
  <si>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</si>
  <si>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</si>
  <si>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</si>
  <si>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</si>
  <si>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</si>
  <si>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</si>
  <si>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</si>
  <si>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</si>
  <si>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</si>
  <si>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</si>
  <si>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</si>
  <si>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</si>
  <si>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</si>
  <si>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</si>
  <si>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</si>
  <si>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</si>
  <si>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</si>
  <si>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</si>
  <si>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</si>
  <si>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</si>
  <si>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</si>
  <si>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</si>
  <si>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</si>
  <si>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</si>
  <si>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</si>
  <si>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</si>
  <si>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</si>
  <si>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</si>
  <si>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</si>
  <si>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</si>
  <si>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</si>
  <si>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</si>
  <si>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</si>
  <si>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</si>
  <si>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</si>
  <si>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</si>
  <si>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</si>
  <si>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</si>
  <si>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</si>
  <si>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</si>
  <si>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</si>
  <si>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</si>
  <si>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</si>
  <si>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</si>
  <si>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</si>
  <si>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</si>
  <si>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</si>
  <si>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</si>
  <si>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</si>
  <si>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</si>
  <si>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</si>
  <si>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</si>
  <si>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</si>
  <si>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</si>
  <si>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</si>
  <si>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</si>
  <si>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</si>
  <si>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</si>
  <si>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</si>
  <si>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</si>
  <si>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</si>
  <si>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</si>
  <si>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</si>
  <si>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</si>
  <si>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</si>
  <si>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</si>
  <si>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</si>
  <si>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</si>
  <si>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</si>
  <si>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</si>
  <si>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</si>
  <si>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</si>
  <si>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</si>
  <si>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</si>
  <si>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</si>
  <si>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</si>
  <si>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</si>
  <si>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</si>
  <si>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</si>
  <si>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</si>
  <si>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</si>
  <si>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</si>
  <si>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</si>
  <si>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</si>
  <si>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</si>
  <si>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</si>
  <si>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</si>
  <si>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</si>
  <si>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</si>
  <si>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</si>
  <si>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</si>
  <si>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</si>
  <si>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</si>
  <si>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</si>
  <si>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</si>
  <si>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</si>
  <si>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</si>
  <si>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</si>
  <si>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</si>
  <si>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</si>
  <si>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</si>
  <si>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</si>
  <si>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</si>
  <si>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</si>
  <si>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</si>
  <si>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</si>
  <si>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</si>
  <si>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</si>
  <si>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</si>
  <si>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</si>
  <si>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</si>
  <si>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</si>
  <si>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</si>
  <si>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</si>
  <si>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</si>
  <si>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</si>
  <si>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</si>
  <si>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</si>
  <si>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</si>
  <si>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</si>
  <si>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</si>
  <si>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</si>
  <si>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</si>
  <si>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</si>
  <si>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</si>
  <si>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</si>
  <si>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</si>
  <si>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</si>
  <si>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</si>
  <si>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</si>
  <si>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</si>
  <si>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</si>
  <si>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</si>
  <si>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</si>
  <si>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</si>
  <si>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</si>
  <si>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</si>
  <si>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</si>
  <si>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</si>
  <si>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</si>
  <si>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</si>
  <si>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</si>
  <si>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</si>
  <si>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</si>
  <si>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</si>
  <si>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</si>
  <si>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</si>
  <si>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</si>
  <si>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</si>
  <si>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</si>
  <si>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</si>
  <si>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</si>
  <si>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</si>
  <si>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</si>
  <si>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</si>
  <si>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</si>
  <si>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</si>
  <si>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</si>
  <si>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</si>
  <si>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</si>
  <si>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</si>
  <si>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</si>
  <si>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</si>
  <si>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</si>
  <si>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</si>
  <si>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</si>
  <si>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</si>
  <si>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</si>
  <si>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</si>
  <si>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</si>
  <si>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</si>
  <si>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</si>
  <si>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</si>
  <si>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</si>
  <si>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</si>
  <si>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</si>
  <si>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</si>
  <si>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</si>
  <si>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</si>
  <si>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</si>
  <si>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</si>
  <si>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</si>
  <si>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</si>
  <si>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</si>
  <si>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</si>
  <si>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</si>
  <si>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</si>
  <si>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</si>
  <si>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</si>
  <si>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</si>
  <si>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</si>
  <si>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</si>
  <si>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</si>
  <si>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</si>
  <si>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</si>
  <si>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</si>
  <si>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</si>
  <si>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</si>
  <si>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</si>
  <si>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</si>
  <si>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</si>
  <si>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</si>
  <si>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</si>
  <si>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</si>
  <si>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</si>
  <si>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</si>
  <si>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</si>
  <si>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</si>
  <si>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</si>
  <si>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</si>
  <si>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</si>
  <si>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</si>
  <si>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</si>
  <si>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</si>
  <si>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</si>
  <si>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</si>
  <si>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</si>
  <si>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</si>
  <si>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</si>
  <si>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</si>
  <si>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</si>
  <si>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</si>
  <si>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</si>
  <si>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</si>
  <si>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</si>
  <si>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</si>
  <si>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</si>
  <si>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</si>
  <si>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</si>
  <si>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</si>
  <si>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</si>
  <si>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</si>
  <si>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</si>
  <si>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</si>
  <si>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</si>
  <si>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</si>
  <si>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</si>
  <si>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</si>
  <si>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</si>
  <si>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</si>
  <si>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</si>
  <si>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</si>
  <si>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</si>
  <si>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</si>
  <si>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</si>
  <si>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</si>
  <si>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</si>
  <si>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</si>
  <si>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</si>
  <si>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</si>
  <si>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</si>
  <si>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</si>
  <si>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</si>
  <si>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</si>
  <si>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</si>
  <si>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</si>
  <si>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</si>
  <si>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</si>
  <si>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</si>
  <si>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</si>
  <si>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</si>
  <si>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</si>
  <si>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</si>
  <si>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</si>
  <si>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</si>
  <si>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</si>
  <si>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</si>
  <si>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</si>
  <si>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</si>
  <si>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</si>
  <si>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</si>
  <si>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</si>
  <si>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</si>
  <si>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</si>
  <si>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</si>
  <si>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</si>
  <si>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</si>
  <si>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</si>
  <si>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</si>
  <si>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</si>
  <si>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</si>
  <si>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</si>
  <si>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</si>
  <si>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</si>
  <si>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</si>
  <si>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</si>
  <si>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</si>
  <si>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</si>
  <si>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</si>
  <si>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</si>
  <si>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</si>
  <si>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</si>
  <si>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</si>
  <si>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</si>
  <si>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</si>
  <si>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</si>
  <si>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</si>
  <si>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</si>
  <si>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</si>
  <si>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</si>
  <si>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</si>
  <si>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</si>
  <si>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</si>
  <si>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</si>
  <si>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</si>
  <si>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</si>
  <si>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</si>
  <si>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</si>
  <si>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</si>
  <si>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</si>
  <si>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</si>
  <si>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</si>
  <si>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</si>
  <si>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</si>
  <si>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</si>
  <si>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</si>
  <si>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</si>
  <si>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</si>
  <si>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</si>
  <si>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</si>
  <si>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</si>
  <si>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</si>
  <si>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</si>
  <si>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</si>
  <si>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</si>
  <si>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</si>
  <si>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</si>
  <si>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</si>
  <si>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</si>
  <si>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</si>
  <si>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</si>
  <si>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</si>
  <si>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</si>
  <si>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</si>
  <si>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</si>
  <si>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</si>
  <si>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</si>
  <si>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</si>
  <si>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</si>
  <si>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</si>
  <si>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</si>
  <si>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</si>
  <si>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</si>
  <si>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</si>
  <si>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</si>
  <si>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</si>
  <si>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</si>
  <si>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</si>
  <si>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</si>
  <si>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</si>
  <si>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</si>
  <si>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</si>
  <si>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</si>
  <si>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</si>
  <si>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</si>
  <si>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</si>
  <si>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</si>
  <si>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</si>
  <si>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</si>
  <si>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</si>
  <si>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</si>
  <si>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</si>
  <si>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</si>
  <si>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</si>
  <si>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</si>
  <si>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</si>
  <si>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</si>
  <si>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</si>
  <si>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</si>
  <si>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</si>
  <si>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</si>
  <si>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</si>
  <si>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</si>
  <si>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</si>
  <si>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</si>
  <si>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</si>
  <si>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</si>
  <si>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</si>
  <si>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</si>
  <si>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</si>
  <si>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</si>
  <si>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</si>
  <si>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</si>
  <si>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</si>
  <si>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</si>
  <si>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</si>
  <si>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</si>
  <si>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</si>
  <si>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</si>
  <si>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</si>
  <si>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</si>
  <si>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</si>
  <si>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</si>
  <si>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</si>
  <si>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</si>
  <si>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</si>
  <si>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</si>
  <si>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</si>
  <si>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</si>
  <si>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</si>
  <si>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</si>
  <si>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</si>
  <si>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</si>
  <si>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</si>
  <si>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</si>
  <si>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</si>
  <si>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</si>
  <si>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</si>
  <si>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</si>
  <si>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</si>
  <si>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</si>
  <si>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</si>
  <si>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</si>
  <si>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</si>
  <si>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</si>
  <si>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</si>
  <si>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</si>
  <si>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</si>
  <si>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</si>
  <si>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</si>
  <si>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</si>
  <si>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</si>
  <si>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</si>
  <si>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</si>
  <si>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</si>
  <si>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</si>
  <si>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</si>
  <si>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</si>
  <si>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</si>
  <si>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</si>
  <si>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</si>
  <si>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</si>
  <si>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</si>
  <si>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</si>
  <si>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</si>
  <si>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</si>
  <si>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</si>
  <si>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</si>
  <si>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</si>
  <si>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</si>
  <si>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</si>
  <si>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</si>
  <si>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</si>
  <si>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</si>
  <si>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</si>
  <si>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</si>
  <si>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</si>
  <si>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</si>
  <si>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</si>
  <si>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</si>
  <si>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</si>
  <si>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</si>
  <si>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</si>
  <si>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</si>
  <si>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</si>
  <si>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</si>
  <si>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</si>
  <si>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</si>
  <si>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</si>
  <si>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</si>
  <si>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</si>
  <si>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</si>
  <si>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</si>
  <si>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</si>
  <si>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</si>
  <si>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</si>
  <si>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</si>
  <si>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</si>
  <si>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</si>
  <si>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</si>
  <si>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</si>
  <si>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</si>
  <si>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</si>
  <si>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</si>
  <si>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</si>
  <si>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</si>
  <si>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</si>
  <si>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</si>
  <si>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</si>
  <si>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</si>
  <si>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</si>
  <si>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</si>
  <si>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</si>
  <si>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</si>
  <si>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</si>
  <si>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</si>
  <si>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</si>
  <si>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</si>
  <si>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</si>
  <si>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</si>
  <si>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</si>
  <si>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</si>
  <si>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</si>
  <si>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</si>
  <si>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</si>
  <si>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</si>
  <si>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</si>
  <si>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</si>
  <si>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</si>
  <si>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</si>
  <si>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</si>
  <si>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</si>
  <si>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</si>
  <si>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</si>
  <si>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</si>
  <si>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</si>
  <si>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</si>
  <si>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</si>
  <si>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</si>
  <si>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</si>
  <si>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</si>
  <si>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</si>
  <si>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</si>
  <si>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</si>
  <si>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</si>
  <si>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</si>
  <si>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</si>
  <si>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</si>
  <si>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</si>
  <si>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</si>
  <si>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</si>
  <si>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</si>
  <si>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</si>
  <si>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</si>
  <si>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</si>
  <si>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</si>
  <si>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</si>
  <si>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</si>
  <si>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</si>
  <si>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</si>
  <si>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</si>
  <si>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</si>
  <si>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</si>
  <si>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</si>
  <si>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</si>
  <si>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</si>
  <si>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</si>
  <si>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</si>
  <si>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</si>
  <si>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</si>
  <si>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</si>
  <si>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</si>
  <si>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</si>
  <si>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</si>
  <si>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</si>
  <si>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</si>
  <si>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</si>
  <si>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</si>
  <si>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</si>
  <si>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</si>
  <si>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</si>
  <si>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</si>
  <si>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</si>
  <si>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</si>
  <si>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</si>
  <si>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</si>
  <si>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</si>
  <si>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</si>
  <si>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</si>
  <si>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</si>
  <si>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</si>
  <si>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</si>
  <si>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</si>
  <si>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</si>
  <si>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</si>
  <si>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</si>
  <si>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</si>
  <si>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</si>
  <si>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</si>
  <si>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</si>
  <si>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</si>
  <si>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</si>
  <si>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</si>
  <si>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</si>
  <si>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</si>
  <si>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</si>
  <si>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</si>
  <si>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</si>
  <si>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</si>
  <si>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</si>
  <si>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</si>
  <si>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</si>
  <si>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</si>
  <si>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</si>
  <si>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</si>
  <si>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</si>
  <si>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</si>
  <si>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</si>
  <si>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</si>
  <si>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</si>
  <si>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</si>
  <si>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</si>
  <si>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</si>
  <si>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</si>
  <si>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</si>
  <si>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</si>
  <si>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</si>
  <si>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</si>
  <si>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</si>
  <si>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</si>
  <si>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</si>
  <si>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</si>
  <si>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</si>
  <si>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</si>
  <si>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</si>
  <si>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</si>
  <si>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</si>
  <si>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</si>
  <si>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</si>
  <si>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</si>
  <si>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</si>
  <si>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</si>
  <si>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</si>
  <si>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</si>
  <si>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</si>
  <si>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</si>
  <si>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</si>
  <si>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</si>
  <si>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</si>
  <si>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</si>
  <si>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</si>
  <si>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</si>
  <si>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</si>
  <si>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</si>
  <si>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</si>
  <si>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</si>
  <si>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</si>
  <si>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</si>
  <si>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</si>
  <si>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</si>
  <si>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</si>
  <si>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</si>
  <si>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</si>
  <si>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</si>
  <si>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</si>
  <si>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</si>
  <si>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</si>
  <si>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</si>
  <si>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</si>
  <si>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</si>
  <si>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</si>
  <si>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</si>
  <si>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</si>
  <si>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</si>
  <si>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</si>
  <si>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</si>
  <si>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</si>
  <si>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</si>
  <si>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</si>
  <si>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</si>
  <si>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</si>
  <si>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</si>
  <si>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</si>
  <si>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</si>
  <si>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</si>
  <si>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</si>
  <si>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</si>
  <si>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</si>
  <si>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</si>
  <si>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</si>
  <si>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</si>
  <si>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</si>
  <si>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</si>
  <si>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</si>
  <si>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</si>
  <si>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</si>
  <si>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</si>
  <si>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</si>
  <si>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</si>
  <si>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</si>
  <si>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</si>
  <si>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</si>
  <si>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</si>
  <si>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</si>
  <si>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</si>
  <si>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</si>
  <si>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</si>
  <si>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</si>
  <si>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</si>
  <si>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</si>
  <si>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</si>
  <si>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</si>
  <si>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</si>
  <si>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</si>
  <si>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</si>
  <si>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</si>
  <si>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</si>
  <si>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</si>
  <si>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</si>
  <si>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</si>
  <si>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</si>
  <si>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</si>
  <si>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</si>
  <si>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</si>
  <si>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</si>
  <si>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</si>
  <si>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</si>
  <si>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</si>
  <si>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</si>
  <si>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</si>
  <si>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</si>
  <si>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</si>
  <si>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</si>
  <si>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</si>
  <si>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</si>
  <si>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</si>
  <si>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</si>
  <si>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</si>
  <si>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</si>
  <si>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</si>
  <si>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</si>
  <si>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</si>
  <si>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</si>
  <si>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</si>
  <si>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</si>
  <si>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</si>
  <si>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</si>
  <si>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</si>
  <si>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</si>
  <si>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</si>
  <si>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</si>
  <si>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</si>
  <si>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</si>
  <si>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</si>
  <si>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</si>
  <si>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</si>
  <si>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</si>
  <si>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</si>
  <si>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</si>
  <si>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</si>
  <si>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</si>
  <si>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</si>
  <si>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</si>
  <si>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</si>
  <si>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</si>
  <si>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</si>
  <si>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</si>
  <si>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</si>
  <si>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</si>
  <si>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</si>
  <si>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</si>
  <si>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</si>
  <si>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</si>
  <si>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</si>
  <si>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</si>
  <si>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</si>
  <si>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</si>
  <si>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</si>
  <si>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</si>
  <si>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</si>
  <si>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</si>
  <si>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</si>
  <si>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</si>
  <si>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</si>
  <si>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</si>
  <si>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</si>
  <si>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</si>
  <si>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</si>
  <si>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</si>
  <si>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</si>
  <si>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</si>
  <si>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</si>
  <si>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</si>
  <si>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</si>
  <si>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</si>
  <si>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</si>
  <si>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</si>
  <si>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</si>
  <si>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</si>
  <si>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</si>
  <si>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</si>
  <si>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</si>
  <si>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</si>
  <si>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</si>
  <si>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</si>
  <si>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</si>
  <si>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</si>
  <si>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</si>
  <si>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</si>
  <si>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</si>
  <si>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</si>
  <si>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</si>
  <si>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</si>
  <si>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</si>
  <si>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</si>
  <si>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</si>
  <si>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</si>
  <si>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</si>
  <si>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</si>
  <si>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</si>
  <si>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</si>
  <si>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</si>
  <si>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</si>
  <si>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</si>
  <si>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</si>
  <si>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</si>
  <si>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</si>
  <si>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</si>
  <si>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</si>
  <si>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</si>
  <si>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</si>
  <si>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</si>
  <si>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</si>
  <si>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</si>
  <si>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</si>
  <si>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</si>
  <si>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</si>
  <si>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</si>
  <si>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</si>
  <si>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</si>
  <si>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</si>
  <si>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</si>
  <si>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</si>
  <si>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</si>
  <si>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</si>
  <si>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</si>
  <si>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</si>
  <si>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</si>
  <si>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</si>
  <si>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</si>
  <si>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</si>
  <si>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</si>
  <si>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</si>
  <si>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</si>
  <si>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</si>
  <si>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</si>
  <si>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</si>
  <si>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</si>
  <si>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</si>
  <si>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</si>
  <si>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</si>
  <si>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</si>
  <si>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</si>
  <si>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</si>
  <si>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</si>
  <si>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</si>
  <si>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</si>
  <si>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</si>
  <si>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</si>
  <si>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</si>
  <si>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</si>
  <si>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</si>
  <si>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</si>
  <si>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</si>
  <si>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</si>
  <si>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</si>
  <si>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</si>
  <si>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</si>
  <si>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</si>
  <si>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</si>
  <si>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</si>
  <si>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</si>
  <si>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</si>
  <si>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</si>
  <si>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</si>
  <si>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</si>
  <si>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</si>
  <si>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</si>
  <si>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</si>
  <si>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</si>
  <si>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</si>
  <si>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</si>
  <si>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</si>
  <si>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</si>
  <si>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</si>
  <si>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</si>
  <si>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</si>
  <si>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</si>
  <si>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</si>
  <si>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</si>
  <si>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</si>
  <si>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</si>
  <si>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</si>
  <si>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</si>
  <si>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</si>
  <si>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</si>
  <si>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</si>
  <si>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</si>
  <si>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</si>
  <si>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</si>
  <si>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</si>
  <si>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</si>
  <si>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</si>
  <si>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</si>
  <si>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</si>
  <si>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</si>
  <si>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</si>
  <si>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</si>
  <si>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</si>
  <si>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</si>
  <si>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</si>
  <si>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</si>
  <si>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</si>
  <si>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</si>
  <si>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</si>
  <si>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</si>
  <si>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</si>
  <si>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</si>
  <si>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</si>
  <si>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</si>
  <si>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</si>
  <si>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</si>
  <si>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</si>
  <si>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</si>
  <si>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</si>
  <si>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</si>
  <si>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</si>
  <si>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</si>
  <si>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</si>
  <si>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</si>
  <si>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</si>
  <si>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</si>
  <si>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</si>
  <si>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</si>
  <si>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</si>
  <si>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</si>
  <si>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</si>
  <si>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</si>
  <si>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</si>
  <si>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</si>
  <si>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</si>
  <si>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</si>
  <si>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</si>
  <si>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</si>
  <si>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</si>
  <si>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</si>
  <si>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</si>
  <si>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</si>
  <si>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</si>
  <si>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</si>
  <si>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</si>
  <si>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</si>
  <si>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</si>
  <si>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</si>
  <si>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</si>
  <si>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</si>
  <si>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</si>
  <si>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</si>
  <si>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</si>
  <si>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</si>
  <si>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</si>
  <si>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</si>
  <si>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</si>
  <si>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</si>
  <si>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</si>
  <si>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</si>
  <si>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</si>
  <si>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</si>
  <si>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</si>
  <si>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</si>
  <si>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</si>
  <si>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</si>
  <si>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</si>
  <si>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</si>
  <si>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</si>
  <si>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</si>
  <si>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</si>
  <si>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</si>
  <si>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</si>
  <si>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</si>
  <si>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</si>
  <si>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</si>
  <si>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</si>
  <si>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</si>
  <si>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</si>
  <si>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</si>
  <si>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</si>
  <si>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</si>
  <si>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</si>
  <si>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</si>
  <si>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</si>
  <si>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</si>
  <si>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</si>
  <si>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</si>
  <si>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</si>
  <si>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</si>
  <si>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</si>
  <si>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</si>
  <si>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</si>
  <si>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</si>
  <si>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</si>
  <si>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</si>
  <si>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</si>
  <si>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</si>
  <si>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</si>
  <si>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</si>
  <si>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</si>
  <si>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</si>
  <si>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</si>
  <si>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</si>
  <si>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</si>
  <si>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</si>
  <si>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</si>
  <si>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</si>
  <si>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</si>
  <si>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</si>
  <si>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</si>
  <si>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</si>
  <si>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</si>
  <si>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</si>
  <si>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</si>
  <si>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</si>
  <si>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</si>
  <si>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</si>
  <si>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</si>
  <si>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</si>
  <si>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</si>
  <si>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</si>
  <si>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</si>
  <si>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</si>
  <si>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</si>
  <si>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</si>
  <si>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</si>
  <si>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</si>
  <si>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</si>
  <si>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</si>
  <si>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</si>
  <si>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</si>
  <si>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</si>
  <si>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</si>
  <si>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</si>
  <si>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</si>
  <si>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</si>
  <si>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</si>
  <si>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</si>
  <si>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</si>
  <si>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</si>
  <si>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</si>
  <si>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</si>
  <si>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</si>
  <si>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</si>
  <si>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</si>
  <si>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</si>
  <si>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</si>
  <si>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</si>
  <si>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</si>
  <si>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</si>
  <si>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</si>
  <si>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</si>
  <si>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</si>
  <si>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</si>
  <si>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</si>
  <si>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</si>
  <si>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</si>
  <si>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</si>
  <si>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</si>
  <si>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</si>
  <si>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</si>
  <si>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</si>
  <si>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</si>
  <si>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</si>
  <si>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</si>
  <si>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</si>
  <si>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</si>
  <si>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</si>
  <si>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</si>
  <si>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</si>
  <si>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</si>
  <si>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</si>
  <si>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</si>
  <si>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</si>
  <si>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</si>
  <si>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</si>
  <si>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</si>
  <si>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</si>
  <si>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</si>
  <si>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</si>
  <si>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</si>
  <si>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</si>
  <si>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</si>
  <si>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</si>
  <si>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</si>
  <si>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</si>
  <si>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</si>
  <si>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</si>
  <si>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</si>
  <si>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</si>
  <si>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</si>
  <si>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</si>
  <si>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</si>
  <si>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</si>
  <si>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</si>
  <si>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</si>
  <si>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</si>
  <si>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</si>
  <si>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</si>
  <si>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</si>
  <si>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</si>
  <si>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</si>
  <si>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</si>
  <si>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</si>
  <si>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</si>
  <si>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</si>
  <si>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</si>
  <si>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</si>
  <si>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</si>
  <si>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</si>
  <si>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</si>
  <si>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</si>
  <si>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</si>
  <si>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</si>
  <si>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</si>
  <si>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</si>
  <si>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</si>
  <si>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</si>
  <si>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</si>
  <si>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</si>
  <si>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</si>
  <si>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</si>
  <si>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</si>
  <si>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</si>
  <si>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</si>
  <si>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</si>
  <si>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</si>
  <si>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</si>
  <si>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</si>
  <si>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</si>
  <si>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</si>
  <si>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</si>
  <si>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</si>
  <si>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</si>
  <si>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</si>
  <si>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</si>
  <si>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</si>
  <si>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</si>
  <si>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</si>
  <si>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</si>
  <si>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</si>
  <si>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</si>
  <si>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</si>
  <si>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</si>
  <si>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</si>
  <si>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</si>
  <si>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</si>
  <si>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</si>
  <si>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</si>
  <si>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</si>
  <si>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</si>
  <si>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</si>
  <si>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</si>
  <si>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</si>
  <si>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</si>
  <si>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</si>
  <si>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</si>
  <si>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</si>
  <si>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</si>
  <si>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</si>
  <si>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</si>
  <si>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</si>
  <si>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</si>
  <si>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</si>
  <si>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</si>
  <si>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</si>
  <si>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</si>
  <si>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</si>
  <si>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</si>
  <si>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</si>
  <si>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</si>
  <si>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</si>
  <si>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</si>
  <si>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</si>
  <si>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</si>
  <si>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</si>
  <si>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</si>
  <si>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</si>
  <si>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</si>
  <si>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</si>
  <si>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</si>
  <si>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</si>
  <si>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</si>
  <si>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</si>
  <si>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</si>
  <si>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</si>
  <si>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</si>
  <si>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</si>
  <si>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</si>
  <si>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</si>
  <si>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</si>
  <si>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</si>
  <si>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</si>
  <si>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</si>
  <si>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</si>
  <si>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</si>
  <si>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</si>
  <si>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</si>
  <si>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</si>
  <si>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</si>
  <si>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</si>
  <si>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</si>
  <si>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</si>
  <si>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</si>
  <si>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</si>
  <si>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</si>
  <si>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</si>
  <si>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</si>
  <si>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</si>
  <si>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</si>
  <si>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</si>
  <si>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</si>
  <si>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</si>
  <si>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</si>
  <si>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</si>
  <si>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</si>
  <si>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</si>
  <si>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</si>
  <si>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</si>
  <si>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</si>
  <si>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</si>
  <si>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</si>
  <si>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</si>
  <si>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</si>
  <si>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</si>
  <si>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</si>
  <si>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</si>
  <si>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</si>
  <si>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</si>
  <si>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</si>
  <si>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</si>
  <si>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</si>
  <si>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</si>
  <si>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</si>
  <si>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</si>
  <si>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</si>
  <si>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</si>
  <si>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</si>
  <si>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</si>
  <si>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</si>
  <si>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</si>
  <si>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</si>
  <si>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</si>
  <si>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</si>
  <si>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</si>
  <si>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</si>
  <si>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</si>
  <si>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</si>
  <si>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</si>
  <si>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</si>
  <si>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</si>
  <si>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</si>
  <si>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</si>
  <si>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</si>
  <si>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</si>
  <si>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</si>
  <si>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</si>
  <si>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</si>
  <si>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</si>
  <si>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</si>
  <si>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</si>
  <si>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</si>
  <si>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</si>
  <si>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</si>
  <si>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</si>
  <si>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</si>
  <si>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</si>
  <si>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</si>
  <si>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</si>
  <si>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</si>
  <si>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</si>
  <si>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</si>
  <si>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</si>
  <si>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</si>
  <si>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</si>
  <si>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</si>
  <si>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</si>
  <si>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</si>
  <si>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</si>
  <si>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</si>
  <si>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</si>
  <si>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</si>
  <si>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</si>
  <si>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</si>
  <si>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</si>
  <si>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</si>
  <si>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</si>
  <si>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</si>
  <si>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</si>
  <si>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</si>
  <si>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</si>
  <si>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</si>
  <si>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</si>
  <si>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</si>
  <si>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</si>
  <si>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</si>
  <si>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</si>
  <si>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</si>
  <si>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</si>
  <si>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</si>
  <si>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</si>
  <si>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</si>
  <si>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</si>
  <si>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</si>
  <si>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</si>
  <si>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</si>
  <si>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</si>
  <si>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</si>
  <si>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</si>
  <si>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</si>
  <si>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</si>
  <si>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</si>
  <si>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</si>
  <si>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</si>
  <si>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</si>
  <si>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</si>
  <si>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</si>
  <si>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</si>
  <si>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</si>
  <si>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</si>
  <si>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</si>
  <si>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</si>
  <si>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</si>
  <si>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</si>
  <si>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</si>
  <si>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</si>
  <si>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</si>
  <si>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</si>
  <si>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</si>
  <si>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</si>
  <si>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</si>
  <si>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</si>
  <si>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</si>
  <si>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</si>
  <si>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</si>
  <si>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</si>
  <si>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</si>
  <si>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</si>
  <si>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</si>
  <si>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</si>
  <si>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</si>
  <si>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</si>
  <si>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</si>
  <si>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</si>
  <si>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</si>
  <si>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</si>
  <si>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</si>
  <si>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</si>
  <si>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</si>
  <si>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</si>
  <si>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</si>
  <si>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</si>
  <si>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</si>
  <si>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</si>
  <si>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</si>
  <si>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</si>
  <si>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</si>
  <si>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</si>
  <si>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</si>
  <si>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</si>
  <si>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</si>
  <si>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</si>
  <si>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</si>
  <si>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</si>
  <si>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</si>
  <si>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</si>
  <si>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</si>
  <si>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</si>
  <si>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</si>
  <si>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</si>
  <si>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</si>
  <si>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</si>
  <si>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</si>
  <si>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</si>
  <si>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</si>
  <si>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</si>
  <si>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</si>
  <si>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</si>
  <si>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</si>
  <si>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</si>
  <si>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</si>
  <si>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</si>
  <si>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</si>
  <si>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</si>
  <si>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</si>
  <si>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</si>
  <si>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</si>
  <si>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</si>
  <si>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</si>
  <si>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</si>
  <si>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</si>
  <si>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</si>
  <si>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</si>
  <si>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</si>
  <si>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</si>
  <si>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</si>
  <si>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</si>
  <si>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</si>
  <si>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</si>
  <si>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</si>
  <si>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</si>
  <si>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</si>
  <si>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</si>
  <si>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</si>
  <si>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</si>
  <si>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</si>
  <si>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</si>
  <si>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</si>
  <si>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</si>
  <si>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</si>
  <si>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</si>
  <si>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</si>
  <si>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</si>
  <si>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</si>
  <si>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</si>
  <si>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</si>
  <si>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</si>
  <si>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</si>
  <si>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</si>
  <si>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</si>
  <si>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</si>
  <si>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</si>
  <si>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</si>
  <si>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</si>
  <si>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</si>
  <si>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</si>
  <si>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</si>
  <si>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</si>
  <si>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</si>
  <si>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</si>
  <si>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</si>
  <si>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</si>
  <si>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</si>
  <si>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</si>
  <si>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</si>
  <si>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</si>
  <si>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</si>
  <si>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</si>
  <si>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</si>
  <si>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</si>
  <si>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</si>
  <si>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</si>
  <si>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</si>
  <si>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</si>
  <si>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</si>
  <si>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</si>
  <si>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</si>
  <si>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</si>
  <si>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</si>
  <si>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</si>
  <si>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</si>
  <si>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</si>
  <si>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</si>
  <si>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</si>
  <si>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</si>
  <si>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</si>
  <si>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</si>
  <si>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</si>
  <si>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</si>
  <si>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</si>
  <si>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</si>
  <si>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</si>
  <si>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</si>
  <si>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</si>
  <si>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</si>
  <si>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</si>
  <si>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</si>
  <si>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</si>
  <si>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</si>
  <si>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</si>
  <si>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</si>
  <si>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</si>
  <si>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</si>
  <si>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</si>
  <si>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</si>
  <si>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</si>
  <si>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</si>
  <si>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</si>
  <si>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</si>
  <si>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</si>
  <si>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</si>
  <si>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</si>
  <si>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</si>
  <si>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</si>
  <si>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</si>
  <si>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</si>
  <si>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</si>
  <si>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</si>
  <si>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</si>
  <si>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</si>
  <si>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</si>
  <si>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</si>
  <si>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</si>
  <si>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</si>
  <si>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</si>
  <si>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</si>
  <si>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</si>
  <si>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</si>
  <si>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</si>
  <si>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</si>
  <si>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</si>
  <si>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</si>
  <si>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</si>
  <si>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</si>
  <si>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</si>
  <si>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</si>
  <si>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</si>
  <si>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</si>
  <si>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</si>
  <si>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</si>
  <si>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</si>
  <si>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</si>
  <si>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</si>
  <si>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</si>
  <si>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</si>
  <si>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</si>
  <si>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</si>
  <si>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</si>
  <si>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</si>
  <si>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</si>
  <si>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</si>
  <si>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</si>
  <si>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</si>
  <si>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</si>
  <si>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</si>
  <si>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</si>
  <si>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</si>
  <si>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</si>
  <si>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</si>
  <si>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</si>
  <si>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</si>
  <si>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</si>
  <si>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</si>
  <si>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</si>
  <si>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</si>
  <si>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</si>
  <si>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</si>
  <si>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</si>
  <si>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</si>
  <si>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</si>
  <si>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</si>
  <si>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</si>
  <si>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</si>
  <si>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</si>
  <si>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</si>
  <si>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</si>
  <si>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</si>
  <si>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</si>
  <si>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</si>
  <si>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</si>
  <si>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</si>
  <si>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</si>
  <si>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</si>
  <si>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</si>
  <si>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</si>
  <si>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</si>
  <si>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</si>
  <si>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</si>
  <si>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</si>
  <si>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</si>
  <si>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</si>
  <si>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</si>
  <si>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</si>
  <si>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</si>
  <si>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</si>
  <si>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</si>
  <si>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</si>
  <si>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</si>
  <si>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</si>
  <si>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</si>
  <si>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</si>
  <si>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</si>
  <si>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</si>
  <si>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</si>
  <si>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</si>
  <si>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</si>
  <si>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</si>
  <si>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</si>
  <si>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</si>
  <si>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</si>
  <si>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</si>
  <si>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</si>
  <si>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</si>
  <si>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</si>
  <si>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</si>
  <si>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</si>
  <si>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</si>
  <si>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</si>
  <si>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</si>
  <si>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</si>
  <si>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</si>
  <si>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</si>
  <si>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</si>
  <si>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</si>
  <si>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</si>
  <si>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</si>
  <si>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</si>
  <si>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</si>
  <si>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</si>
  <si>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</si>
  <si>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</si>
  <si>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</si>
  <si>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</si>
  <si>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</si>
  <si>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</si>
  <si>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</si>
  <si>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</si>
  <si>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</si>
  <si>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</si>
  <si>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</si>
  <si>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</si>
  <si>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</si>
  <si>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</si>
  <si>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</si>
  <si>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</si>
  <si>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</si>
  <si>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</si>
  <si>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</si>
  <si>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</si>
  <si>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</si>
  <si>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</si>
  <si>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</si>
  <si>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</si>
  <si>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</si>
  <si>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</si>
  <si>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</si>
  <si>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</si>
  <si>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</si>
  <si>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</si>
  <si>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</si>
  <si>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</si>
  <si>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</si>
  <si>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</si>
  <si>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</si>
  <si>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</si>
  <si>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</si>
  <si>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</si>
  <si>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</si>
  <si>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</si>
  <si>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</si>
  <si>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</si>
  <si>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</si>
  <si>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</si>
  <si>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</si>
  <si>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</si>
  <si>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</si>
  <si>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</si>
  <si>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</si>
  <si>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</si>
  <si>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</si>
  <si>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</si>
  <si>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</si>
  <si>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</si>
  <si>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</si>
  <si>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</si>
  <si>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</si>
  <si>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</si>
  <si>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</si>
  <si>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</si>
  <si>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</si>
  <si>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</si>
  <si>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</si>
  <si>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</si>
  <si>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</si>
  <si>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</si>
  <si>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</si>
  <si>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</si>
  <si>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</si>
  <si>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</si>
  <si>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</si>
  <si>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</si>
  <si>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</si>
  <si>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</si>
  <si>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</si>
  <si>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</si>
  <si>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</si>
  <si>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</si>
  <si>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</si>
  <si>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</si>
  <si>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</si>
  <si>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</si>
  <si>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</si>
  <si>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</si>
  <si>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</si>
  <si>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</si>
  <si>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</si>
  <si>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</si>
  <si>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</si>
  <si>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</si>
  <si>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</si>
  <si>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</si>
  <si>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</si>
  <si>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</si>
  <si>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</si>
  <si>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</si>
  <si>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</si>
  <si>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</si>
  <si>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</si>
  <si>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</si>
  <si>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</si>
  <si>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</si>
  <si>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</si>
  <si>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</si>
  <si>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</si>
  <si>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</si>
  <si>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</si>
  <si>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</si>
  <si>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</si>
  <si>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</si>
  <si>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</si>
  <si>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</si>
  <si>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</si>
  <si>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</si>
  <si>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</si>
  <si>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</si>
  <si>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</si>
  <si>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</si>
  <si>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</si>
  <si>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</si>
  <si>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</si>
  <si>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</si>
  <si>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</si>
  <si>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</si>
  <si>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</si>
  <si>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</si>
  <si>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</si>
  <si>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</si>
  <si>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</si>
  <si>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</si>
  <si>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</si>
  <si>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</si>
  <si>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</si>
  <si>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</si>
  <si>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</si>
  <si>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</si>
  <si>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</si>
  <si>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</si>
  <si>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</si>
  <si>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</si>
  <si>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</si>
  <si>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</si>
  <si>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</si>
  <si>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</si>
  <si>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</si>
  <si>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</si>
  <si>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</si>
  <si>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</si>
  <si>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</si>
  <si>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</si>
  <si>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</si>
  <si>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</si>
  <si>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</si>
  <si>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</si>
  <si>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</si>
  <si>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</si>
  <si>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</si>
  <si>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</si>
  <si>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</si>
  <si>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</si>
  <si>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</si>
  <si>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</si>
  <si>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</si>
  <si>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</si>
  <si>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</si>
  <si>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</si>
  <si>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</si>
  <si>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</si>
  <si>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</si>
  <si>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</si>
  <si>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</si>
  <si>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</si>
  <si>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</si>
  <si>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</si>
  <si>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</si>
  <si>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</si>
  <si>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</si>
  <si>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</si>
  <si>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</si>
  <si>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</si>
  <si>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</si>
  <si>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</si>
  <si>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</si>
  <si>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</si>
  <si>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</si>
  <si>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</si>
  <si>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</si>
  <si>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</si>
  <si>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</si>
  <si>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</si>
  <si>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</si>
  <si>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</si>
  <si>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</si>
  <si>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</si>
  <si>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</si>
  <si>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</si>
  <si>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</si>
  <si>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</si>
  <si>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</si>
  <si>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</si>
  <si>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</si>
  <si>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</si>
  <si>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</si>
  <si>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</si>
  <si>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</si>
  <si>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</si>
  <si>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</si>
  <si>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</si>
  <si>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</si>
  <si>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</si>
  <si>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</si>
  <si>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</si>
  <si>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</si>
  <si>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</si>
  <si>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</si>
  <si>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</si>
  <si>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</si>
  <si>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</si>
  <si>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</si>
  <si>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</si>
  <si>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</si>
  <si>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</si>
  <si>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</si>
  <si>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</si>
  <si>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</si>
  <si>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</si>
  <si>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</si>
  <si>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</si>
  <si>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</si>
  <si>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</si>
  <si>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</si>
  <si>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</si>
  <si>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</si>
  <si>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</si>
  <si>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</si>
  <si>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</si>
  <si>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</si>
  <si>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</si>
  <si>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</si>
  <si>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</si>
  <si>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</si>
  <si>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</si>
  <si>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</si>
  <si>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</si>
  <si>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</si>
  <si>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</si>
  <si>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</si>
  <si>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</si>
  <si>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</si>
  <si>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</si>
  <si>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</si>
  <si>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</si>
  <si>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</si>
  <si>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</si>
  <si>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</si>
  <si>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</si>
  <si>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</si>
  <si>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</si>
  <si>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</si>
  <si>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</si>
  <si>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</si>
  <si>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</si>
  <si>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</si>
  <si>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</si>
  <si>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</si>
  <si>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</si>
  <si>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</si>
  <si>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</si>
  <si>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</si>
  <si>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</si>
  <si>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</si>
  <si>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</si>
  <si>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</si>
  <si>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</si>
  <si>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</si>
  <si>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</si>
  <si>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</si>
  <si>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</si>
  <si>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</si>
  <si>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</si>
  <si>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</si>
  <si>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</si>
  <si>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</si>
  <si>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</si>
  <si>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</si>
  <si>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</si>
  <si>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</si>
  <si>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</si>
  <si>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</si>
  <si>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</si>
  <si>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</si>
  <si>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</si>
  <si>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</si>
  <si>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</si>
  <si>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</si>
  <si>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</si>
  <si>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</si>
  <si>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</si>
  <si>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</si>
  <si>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</si>
  <si>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</si>
  <si>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</si>
  <si>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</si>
  <si>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</si>
  <si>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</si>
  <si>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</si>
  <si>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</si>
  <si>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</si>
  <si>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</si>
  <si>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</si>
  <si>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</si>
  <si>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</si>
  <si>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</si>
  <si>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</si>
  <si>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</si>
  <si>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</si>
  <si>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</si>
  <si>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</si>
  <si>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</si>
  <si>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</si>
  <si>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</si>
  <si>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</si>
  <si>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</si>
  <si>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</si>
  <si>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</si>
  <si>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</si>
  <si>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</si>
  <si>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</si>
  <si>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</si>
  <si>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</si>
  <si>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</si>
  <si>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</si>
  <si>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</si>
  <si>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</si>
  <si>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</si>
  <si>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</si>
  <si>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</si>
  <si>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</si>
  <si>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</si>
  <si>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</si>
  <si>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</si>
  <si>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</si>
  <si>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</si>
  <si>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</si>
  <si>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</si>
  <si>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</si>
  <si>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</si>
  <si>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</si>
  <si>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</si>
  <si>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</si>
  <si>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</si>
  <si>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</si>
  <si>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</si>
  <si>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</si>
  <si>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</si>
  <si>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</si>
  <si>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</si>
  <si>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</si>
  <si>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</si>
  <si>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</si>
  <si>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</si>
  <si>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</si>
  <si>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</si>
  <si>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</si>
  <si>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</si>
  <si>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</si>
  <si>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</si>
  <si>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</si>
  <si>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</si>
  <si>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</si>
  <si>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</si>
  <si>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</si>
  <si>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</si>
  <si>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</si>
  <si>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</si>
  <si>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</si>
  <si>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</si>
  <si>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</si>
  <si>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</si>
  <si>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</si>
  <si>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</si>
  <si>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</si>
  <si>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</si>
  <si>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</si>
  <si>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</si>
  <si>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</si>
  <si>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</si>
  <si>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</si>
  <si>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</si>
  <si>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</si>
  <si>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</si>
  <si>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</si>
  <si>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</si>
  <si>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</si>
  <si>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</si>
  <si>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</si>
  <si>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</si>
  <si>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</si>
  <si>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</si>
  <si>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</si>
  <si>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</si>
  <si>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</si>
  <si>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</si>
  <si>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</si>
  <si>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</si>
  <si>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</si>
  <si>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</si>
  <si>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</si>
  <si>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</si>
  <si>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</si>
  <si>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</si>
  <si>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</si>
  <si>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</si>
  <si>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</si>
  <si>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</si>
  <si>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</si>
  <si>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</si>
  <si>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</si>
  <si>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</si>
  <si>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</si>
  <si>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</si>
  <si>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</si>
  <si>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</si>
  <si>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</si>
  <si>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</si>
  <si>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</si>
  <si>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</si>
  <si>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</si>
  <si>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</si>
  <si>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</si>
  <si>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</si>
  <si>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</si>
  <si>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</si>
  <si>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</si>
  <si>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</si>
  <si>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</si>
  <si>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</si>
  <si>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</si>
  <si>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</si>
  <si>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</si>
  <si>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</si>
  <si>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</si>
  <si>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</si>
  <si>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</si>
  <si>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</si>
  <si>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</si>
  <si>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</si>
  <si>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</si>
  <si>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</si>
  <si>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</si>
  <si>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</si>
  <si>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</si>
  <si>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</si>
  <si>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</si>
  <si>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</si>
  <si>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</si>
  <si>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</si>
  <si>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</si>
  <si>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</si>
  <si>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</si>
  <si>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</si>
  <si>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</si>
  <si>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</si>
  <si>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</si>
  <si>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</si>
  <si>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</si>
  <si>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</si>
  <si>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</si>
  <si>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</si>
  <si>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</si>
  <si>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</si>
  <si>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</si>
  <si>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</si>
  <si>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</si>
  <si>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</si>
  <si>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</si>
  <si>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</si>
  <si>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</si>
  <si>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</si>
  <si>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</si>
  <si>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</si>
  <si>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</si>
  <si>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</si>
  <si>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</si>
  <si>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</si>
  <si>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</si>
  <si>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</si>
  <si>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</si>
  <si>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</si>
  <si>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</si>
  <si>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</si>
  <si>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</si>
  <si>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</si>
  <si>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</si>
  <si>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</si>
  <si>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</si>
  <si>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</si>
  <si>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</si>
  <si>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</si>
  <si>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</si>
  <si>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</si>
  <si>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</si>
  <si>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</si>
  <si>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</si>
  <si>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</si>
  <si>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</si>
  <si>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</si>
  <si>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</si>
  <si>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</si>
  <si>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</si>
  <si>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</si>
  <si>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</si>
  <si>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</si>
  <si>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</si>
  <si>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</si>
  <si>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</si>
  <si>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</si>
  <si>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</si>
  <si>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</si>
  <si>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</si>
  <si>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</si>
  <si>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</si>
  <si>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</si>
  <si>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</si>
  <si>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</si>
  <si>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</si>
  <si>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</si>
  <si>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</si>
  <si>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</si>
  <si>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</si>
  <si>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</si>
  <si>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</si>
  <si>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</si>
  <si>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</si>
  <si>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</si>
  <si>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</si>
  <si>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</si>
  <si>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</si>
  <si>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</si>
  <si>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</si>
  <si>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</si>
  <si>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</si>
  <si>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</si>
  <si>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</si>
  <si>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</si>
  <si>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</si>
  <si>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</si>
  <si>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</si>
  <si>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</si>
  <si>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</si>
  <si>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</si>
  <si>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</si>
  <si>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</si>
  <si>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</si>
  <si>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</si>
  <si>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</si>
  <si>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</si>
  <si>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</si>
  <si>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</si>
  <si>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</si>
  <si>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</si>
  <si>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</si>
  <si>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</si>
  <si>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</si>
  <si>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</si>
  <si>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</si>
  <si>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</si>
  <si>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</si>
  <si>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</si>
  <si>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</si>
  <si>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</si>
  <si>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</si>
  <si>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</si>
  <si>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</si>
  <si>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</si>
  <si>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</si>
  <si>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</si>
  <si>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</si>
  <si>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</si>
  <si>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</si>
  <si>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</si>
  <si>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</si>
  <si>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</si>
  <si>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</si>
  <si>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</si>
  <si>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</si>
  <si>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</si>
  <si>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</si>
  <si>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</si>
  <si>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</si>
  <si>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</si>
  <si>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</si>
  <si>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</si>
  <si>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</si>
  <si>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</si>
  <si>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</si>
  <si>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</si>
  <si>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</si>
  <si>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</si>
  <si>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</si>
  <si>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</si>
  <si>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</si>
  <si>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</si>
  <si>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</si>
  <si>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</si>
  <si>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</si>
  <si>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</si>
  <si>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</si>
  <si>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</si>
  <si>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</si>
  <si>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</si>
  <si>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</si>
  <si>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</si>
  <si>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</si>
  <si>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</si>
  <si>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</si>
  <si>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</si>
  <si>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</si>
  <si>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</si>
  <si>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</si>
  <si>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</si>
  <si>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</si>
  <si>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</si>
  <si>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</si>
  <si>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</si>
  <si>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</si>
  <si>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</si>
  <si>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</si>
  <si>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</si>
  <si>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</si>
  <si>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</si>
  <si>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</si>
  <si>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</si>
  <si>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</si>
  <si>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</si>
  <si>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</si>
  <si>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</si>
  <si>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</si>
  <si>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</si>
  <si>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</si>
  <si>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</si>
  <si>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</si>
  <si>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</si>
  <si>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</si>
  <si>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</si>
  <si>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</si>
  <si>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</si>
  <si>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</si>
  <si>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</si>
  <si>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</si>
  <si>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</si>
  <si>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</si>
  <si>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</si>
  <si>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</si>
  <si>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</si>
  <si>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</si>
  <si>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</si>
  <si>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</si>
  <si>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</si>
  <si>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</si>
  <si>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</si>
  <si>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</si>
  <si>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</si>
  <si>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</si>
  <si>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</si>
  <si>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</si>
  <si>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</si>
  <si>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</si>
  <si>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</si>
  <si>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</si>
  <si>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</si>
  <si>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</si>
  <si>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</si>
  <si>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</si>
  <si>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</si>
  <si>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</si>
  <si>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</si>
  <si>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</si>
  <si>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</si>
  <si>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</si>
  <si>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</si>
  <si>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</si>
  <si>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</si>
  <si>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</si>
  <si>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</si>
  <si>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</si>
  <si>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</si>
  <si>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</si>
  <si>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</si>
  <si>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</si>
  <si>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</si>
  <si>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</si>
  <si>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</si>
  <si>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</si>
  <si>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</si>
  <si>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</si>
  <si>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</si>
  <si>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</si>
  <si>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</si>
  <si>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</si>
  <si>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</si>
  <si>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</si>
  <si>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</si>
  <si>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</si>
  <si>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</si>
  <si>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</si>
  <si>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</si>
  <si>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</si>
  <si>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</si>
  <si>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</si>
  <si>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</si>
  <si>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</si>
  <si>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</si>
  <si>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</si>
  <si>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</si>
  <si>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</si>
  <si>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</si>
  <si>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</si>
  <si>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</si>
  <si>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</si>
  <si>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</si>
  <si>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</si>
  <si>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</si>
  <si>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</si>
  <si>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</si>
  <si>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</si>
  <si>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</si>
  <si>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</si>
  <si>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</si>
  <si>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</si>
  <si>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</si>
  <si>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</si>
  <si>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</si>
  <si>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</si>
  <si>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</si>
  <si>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</si>
  <si>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</si>
  <si>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</si>
  <si>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</si>
  <si>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</si>
  <si>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</si>
  <si>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</si>
  <si>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</si>
  <si>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</si>
  <si>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</si>
  <si>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</si>
  <si>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</si>
  <si>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</si>
  <si>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</si>
  <si>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</si>
  <si>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</si>
  <si>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</si>
  <si>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</si>
  <si>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</si>
  <si>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</si>
  <si>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</si>
  <si>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</si>
  <si>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</si>
  <si>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</si>
  <si>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</si>
  <si>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</si>
  <si>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</si>
  <si>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</si>
  <si>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</si>
  <si>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</si>
  <si>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</si>
  <si>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</si>
  <si>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</si>
  <si>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</si>
  <si>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</si>
  <si>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</si>
  <si>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</si>
  <si>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</si>
  <si>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</si>
  <si>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</si>
  <si>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</si>
  <si>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</si>
  <si>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</si>
  <si>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</si>
  <si>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</si>
  <si>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</si>
  <si>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</si>
  <si>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</si>
  <si>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</si>
  <si>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</si>
  <si>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</si>
  <si>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</si>
  <si>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</si>
  <si>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</si>
  <si>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</si>
  <si>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</si>
  <si>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</si>
  <si>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</si>
  <si>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</si>
  <si>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</si>
  <si>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</si>
  <si>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</si>
  <si>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</si>
  <si>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</si>
  <si>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</si>
  <si>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</si>
  <si>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</si>
  <si>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</si>
  <si>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</si>
  <si>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</si>
  <si>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</si>
  <si>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</si>
  <si>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</si>
  <si>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</si>
  <si>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</si>
  <si>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</si>
  <si>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</si>
  <si>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</si>
  <si>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</si>
  <si>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</si>
  <si>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</si>
  <si>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</si>
  <si>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</si>
  <si>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</si>
  <si>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</si>
  <si>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</si>
  <si>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</si>
  <si>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</si>
  <si>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</si>
  <si>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</si>
  <si>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</si>
  <si>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</si>
  <si>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</si>
  <si>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</si>
  <si>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</si>
  <si>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</si>
  <si>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</si>
  <si>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</si>
  <si>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</si>
  <si>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</si>
  <si>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</si>
  <si>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</si>
  <si>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</si>
  <si>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</si>
  <si>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</si>
  <si>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</si>
  <si>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</si>
  <si>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</si>
  <si>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</si>
  <si>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</si>
  <si>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</si>
  <si>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</si>
  <si>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</si>
  <si>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</si>
  <si>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</si>
  <si>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</si>
  <si>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</si>
  <si>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</si>
  <si>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</si>
  <si>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</si>
  <si>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</si>
  <si>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</si>
  <si>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</si>
  <si>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</si>
  <si>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</si>
  <si>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</si>
  <si>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</si>
  <si>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</si>
  <si>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</si>
  <si>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</si>
  <si>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</si>
  <si>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</si>
  <si>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</si>
  <si>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</si>
  <si>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</si>
  <si>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</si>
  <si>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</si>
  <si>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</si>
  <si>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</si>
  <si>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</si>
  <si>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</si>
  <si>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</si>
  <si>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</si>
  <si>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</si>
  <si>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</si>
  <si>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</si>
  <si>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</si>
  <si>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</si>
  <si>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</si>
  <si>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</si>
  <si>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</si>
  <si>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</si>
  <si>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</si>
  <si>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</si>
  <si>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</si>
  <si>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</si>
  <si>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</si>
  <si>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</si>
  <si>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</si>
  <si>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</si>
  <si>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</si>
  <si>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</si>
  <si>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</si>
  <si>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</si>
  <si>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</si>
  <si>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</si>
  <si>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</si>
  <si>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</si>
  <si>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Row Labels</t>
  </si>
  <si>
    <t>Grand Total</t>
  </si>
  <si>
    <t>Sum of Revenue</t>
  </si>
  <si>
    <t>Sum of Conversions</t>
  </si>
  <si>
    <t>Sum of Impressions</t>
  </si>
  <si>
    <t>Sum of Clicks</t>
  </si>
  <si>
    <t>Sum of Leads</t>
  </si>
  <si>
    <t>Sum of Cost</t>
  </si>
  <si>
    <t>Revenue by Campaigns</t>
  </si>
  <si>
    <t>Cost  by Campaigns</t>
  </si>
  <si>
    <t>Average of ROI</t>
  </si>
  <si>
    <t>Average ROI</t>
  </si>
  <si>
    <t>Average CR</t>
  </si>
  <si>
    <t>Avg of Conversion Rate</t>
  </si>
  <si>
    <t>Average CPL</t>
  </si>
  <si>
    <t>Average of CPL</t>
  </si>
  <si>
    <t>Average of ROAS</t>
  </si>
  <si>
    <t>Campaign Name</t>
  </si>
  <si>
    <t>Обрати Кампанію</t>
  </si>
  <si>
    <t>Покази</t>
  </si>
  <si>
    <t>Кліки</t>
  </si>
  <si>
    <t>Ліди</t>
  </si>
  <si>
    <t>Конверсії</t>
  </si>
  <si>
    <t>→</t>
  </si>
  <si>
    <t>Всі кампанії</t>
  </si>
  <si>
    <t>CR</t>
  </si>
  <si>
    <t>Sum</t>
  </si>
  <si>
    <t>Formulas in Sum Column</t>
  </si>
  <si>
    <t>Formulas in CR column</t>
  </si>
  <si>
    <t>Lead Rate</t>
  </si>
  <si>
    <t>Sales Rate</t>
  </si>
  <si>
    <t>Overall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</si>
</sst>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 &quot;₴&quot;"/>
    <numFmt numFmtId="165" formatCode="_-[$$-409]* #,##0.00_ ;_-[$$-409]* \-#,##0.00\ ;_-[$$-409]* &quot;-&quot;??_ ;_-@_ "/>
    <numFmt numFmtId="166" formatCode="0.000"/>
    <numFmt numFmtId="167" formatCode="0.0"/>
    <numFmt numFmtId="168" formatCode="_-[$$-409]* #,##0_ ;_-[$$-409]* \-#,##0\ ;_-[$$-409]* &quot;-&quot;??_ ;_-@_ "/>
    <numFmt numFmtId="172" formatCode="0.0%"/>
  </numFmts>
  <fonts count="15" x14ac:knownFonts="1">
    <font>
      <sz val="11"/>
      <color theme="1"/>
      <name val="Aptos Narrow"/>
      <family val="2"/>
      <charset val="204"/>
      <scheme val="minor"/>
    </font>
    <font>
      <sz val="11"/>
      <color theme="1"/>
      <name val="Segoe UI Variable Text Semibold"/>
      <charset val="204"/>
    </font>
    <font>
      <shadow/>
      <sz val="12"/>
      <color rgb="FF000000"/>
      <name val="Segoe UI Variable Text Semibold"/>
      <charset val="204"/>
    </font>
    <font>
      <sz val="14"/>
      <color theme="1"/>
      <name val="Segoe UI Variable Text Semibold"/>
      <charset val="204"/>
    </font>
    <font>
      <sz val="12"/>
      <color theme="1"/>
      <name val="Aptos Narrow"/>
      <family val="2"/>
      <charset val="204"/>
      <scheme val="minor"/>
    </font>
    <font>
      <b/>
      <sz val="14"/>
      <color theme="1"/>
      <name val="Segoe UI Variable Text Semiligh"/>
      <charset val="204"/>
    </font>
    <font>
      <sz val="8"/>
      <name val="Aptos Narrow"/>
      <family val="2"/>
      <charset val="204"/>
      <scheme val="minor"/>
    </font>
    <font>
      <b/>
      <sz val="12"/>
      <color theme="1"/>
      <name val="Segoe UI Semibold"/>
      <family val="2"/>
      <charset val="204"/>
    </font>
    <font>
      <b/>
      <sz val="14"/>
      <color theme="1"/>
      <name val="Consolas"/>
      <family val="3"/>
      <charset val="204"/>
    </font>
    <font>
      <sz val="12"/>
      <color theme="9" tint="-0.499984740745262"/>
      <name val="Arial Black"/>
      <family val="2"/>
      <charset val="204"/>
    </font>
    <font>
      <b/>
      <sz val="12"/>
      <color theme="9" tint="-0.499984740745262"/>
      <name val="Arial Black"/>
      <family val="2"/>
      <charset val="204"/>
    </font>
    <font>
      <sz val="12"/>
      <color theme="1"/>
      <name val="Segoe UI Variable Text Semibold"/>
      <charset val="204"/>
    </font>
    <font>
      <sz val="11"/>
      <color theme="1"/>
      <name val="Segoe UI Variable Small Semibol"/>
      <charset val="204"/>
    </font>
    <font>
      <sz val="10"/>
      <color theme="1"/>
      <name val="Segoe UI Variable Display Semib"/>
      <charset val="204"/>
    </font>
    <font>
      <sz val="11"/>
      <color theme="1"/>
      <name val="Aptos Narrow"/>
      <family val="2"/>
      <charset val="204"/>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14" fillId="0" borderId="0" applyFont="0" applyFill="0" applyBorder="0" applyAlignment="0" applyProtection="0"/>
  </cellStyleXfs>
  <cellXfs count="36">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applyAlignment="1">
      <alignment horizontal="center" vertical="center"/>
    </xf>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167" fontId="0" fillId="0" borderId="0" xfId="0" applyNumberFormat="1"/>
    <xf numFmtId="1" fontId="0" fillId="0" borderId="0" xfId="0" applyNumberFormat="1"/>
    <xf numFmtId="168" fontId="0" fillId="0" borderId="0" xfId="0" applyNumberFormat="1"/>
    <xf numFmtId="0" fontId="0" fillId="3" borderId="0" xfId="0" applyFill="1"/>
    <xf numFmtId="17" fontId="2" fillId="3" borderId="0" xfId="0" applyNumberFormat="1" applyFont="1" applyFill="1" applyAlignment="1">
      <alignment horizontal="center" vertical="center"/>
    </xf>
    <xf numFmtId="0" fontId="3" fillId="3" borderId="0" xfId="0" applyFont="1" applyFill="1" applyAlignment="1">
      <alignment vertical="center"/>
    </xf>
    <xf numFmtId="0" fontId="1" fillId="3" borderId="0" xfId="0" applyFont="1" applyFill="1" applyAlignment="1">
      <alignment vertical="center"/>
    </xf>
    <xf numFmtId="0" fontId="0" fillId="4" borderId="0" xfId="0" applyFill="1"/>
    <xf numFmtId="0" fontId="4" fillId="4" borderId="0" xfId="0" applyFont="1" applyFill="1" applyAlignment="1">
      <alignment horizontal="left" vertical="center"/>
    </xf>
    <xf numFmtId="0" fontId="10" fillId="4" borderId="0" xfId="0" applyFont="1" applyFill="1" applyAlignment="1">
      <alignment horizontal="center"/>
    </xf>
    <xf numFmtId="0" fontId="4" fillId="4" borderId="0" xfId="0" applyFont="1" applyFill="1" applyAlignment="1">
      <alignment horizontal="left"/>
    </xf>
    <xf numFmtId="2" fontId="9" fillId="4" borderId="0" xfId="0" applyNumberFormat="1" applyFont="1" applyFill="1" applyAlignment="1">
      <alignment horizontal="center"/>
    </xf>
    <xf numFmtId="0" fontId="7" fillId="3" borderId="0" xfId="0" applyFont="1" applyFill="1" applyAlignment="1">
      <alignment vertical="center"/>
    </xf>
    <xf numFmtId="0" fontId="4" fillId="3" borderId="0" xfId="0" applyFont="1" applyFill="1"/>
    <xf numFmtId="2" fontId="4" fillId="3" borderId="0" xfId="0" applyNumberFormat="1" applyFont="1" applyFill="1"/>
    <xf numFmtId="0" fontId="12" fillId="2" borderId="0" xfId="0" applyFont="1" applyFill="1"/>
    <xf numFmtId="0" fontId="13" fillId="2" borderId="0" xfId="0" applyFont="1" applyFill="1" applyAlignment="1">
      <alignment horizontal="center" vertical="center" wrapText="1"/>
    </xf>
    <xf numFmtId="0" fontId="0" fillId="3" borderId="0" xfId="0" applyFill="1" applyAlignment="1">
      <alignment horizontal="center"/>
    </xf>
    <xf numFmtId="0" fontId="11" fillId="5" borderId="0" xfId="0" applyFont="1" applyFill="1" applyAlignment="1">
      <alignment horizontal="right" vertical="center"/>
    </xf>
    <xf numFmtId="0" fontId="8" fillId="5" borderId="0" xfId="0" applyFont="1" applyFill="1" applyAlignment="1">
      <alignment horizontal="center" vertical="center"/>
    </xf>
    <xf numFmtId="0" fontId="5" fillId="5" borderId="0" xfId="0" applyFont="1" applyFill="1" applyAlignment="1">
      <alignment horizontal="center" vertical="center"/>
    </xf>
    <xf numFmtId="0" fontId="7" fillId="5" borderId="0" xfId="0" applyFont="1" applyFill="1" applyAlignment="1">
      <alignment horizontal="center" vertical="center" wrapText="1"/>
    </xf>
    <xf numFmtId="0" fontId="0" fillId="0" borderId="0" xfId="0" applyNumberFormat="1"/>
    <xf numFmtId="172" fontId="4" fillId="3" borderId="0" xfId="1" applyNumberFormat="1" applyFont="1" applyFill="1"/>
    <xf numFmtId="10" fontId="0" fillId="0" borderId="0" xfId="1" applyNumberFormat="1" applyFont="1"/>
    <xf numFmtId="0" fontId="12" fillId="3" borderId="0" xfId="0" applyFont="1" applyFill="1"/>
    <xf numFmtId="165" fontId="4" fillId="3" borderId="0" xfId="0" applyNumberFormat="1" applyFont="1" applyFill="1"/>
  </cellXfs>
  <cellStyles count="2">
    <cellStyle name="Normal" xfId="0" builtinId="0"/>
    <cellStyle name="Percent" xfId="1" builtinId="5"/>
  </cellStyles>
  <dxfs count="59">
    <dxf>
      <numFmt numFmtId="14" formatCode="0.00%"/>
    </dxf>
    <dxf>
      <numFmt numFmtId="165" formatCode="_-[$$-409]* #,##0.00_ ;_-[$$-409]* \-#,##0.00\ ;_-[$$-409]* &quot;-&quot;??_ ;_-@_ "/>
    </dxf>
    <dxf>
      <numFmt numFmtId="164" formatCode="#,##0.00\ &quot;₴&quot;"/>
    </dxf>
    <dxf>
      <numFmt numFmtId="2" formatCode="0.00"/>
    </dxf>
    <dxf>
      <numFmt numFmtId="164" formatCode="#,##0.00\ &quot;₴&quot;"/>
    </dxf>
    <dxf>
      <numFmt numFmtId="2" formatCode="0.00"/>
    </dxf>
    <dxf>
      <numFmt numFmtId="164" formatCode="#,##0.00\ &quot;₴&quot;"/>
    </dxf>
    <dxf>
      <numFmt numFmtId="168" formatCode="_-[$$-409]* #,##0_ ;_-[$$-409]* \-#,##0\ ;_-[$$-409]* &quot;-&quot;??_ ;_-@_ "/>
    </dxf>
    <dxf>
      <numFmt numFmtId="168" formatCode="_-[$$-409]* #,##0_ ;_-[$$-409]* \-#,##0\ ;_-[$$-409]* &quot;-&quot;??_ ;_-@_ "/>
    </dxf>
    <dxf>
      <numFmt numFmtId="2" formatCode="0.00"/>
    </dxf>
    <dxf>
      <numFmt numFmtId="165" formatCode="_-[$$-409]* #,##0.00_ ;_-[$$-409]* \-#,##0.00\ ;_-[$$-409]* &quot;-&quot;??_ ;_-@_ "/>
    </dxf>
    <dxf>
      <numFmt numFmtId="164" formatCode="#,##0.00\ &quot;₴&quot;"/>
    </dxf>
    <dxf>
      <font>
        <strike val="0"/>
        <name val="Segoe UI Variable Text Semibold"/>
        <charset val="204"/>
        <scheme val="none"/>
      </font>
      <fill>
        <patternFill>
          <bgColor theme="2"/>
        </patternFill>
      </fill>
      <border diagonalUp="0" diagonalDown="0">
        <left/>
        <right/>
        <top/>
        <bottom/>
        <vertical/>
        <horizontal/>
      </border>
    </dxf>
    <dxf>
      <numFmt numFmtId="2" formatCode="0.00"/>
    </dxf>
    <dxf>
      <numFmt numFmtId="164" formatCode="#,##0.00\ &quot;₴&quot;"/>
    </dxf>
    <dxf>
      <numFmt numFmtId="2" formatCode="0.00"/>
    </dxf>
    <dxf>
      <numFmt numFmtId="164" formatCode="#,##0.00\ &quot;₴&quot;"/>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 formatCode="0"/>
    </dxf>
    <dxf>
      <numFmt numFmtId="2" formatCode="0.00"/>
    </dxf>
    <dxf>
      <numFmt numFmtId="2" formatCode="0.00"/>
    </dxf>
    <dxf>
      <numFmt numFmtId="2" formatCode="0.00"/>
    </dxf>
    <dxf>
      <numFmt numFmtId="168" formatCode="_-[$$-409]* #,##0_ ;_-[$$-409]* \-#,##0\ ;_-[$$-409]* &quot;-&quot;??_ ;_-@_ "/>
    </dxf>
    <dxf>
      <numFmt numFmtId="168" formatCode="_-[$$-409]* #,##0_ ;_-[$$-409]* \-#,##0\ ;_-[$$-409]* &quot;-&quot;??_ ;_-@_ "/>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_-[$$-409]* #,##0.00_ ;_-[$$-409]* \-#,##0.00\ ;_-[$$-409]* &quot;-&quot;??_ ;_-@_ "/>
    </dxf>
    <dxf>
      <numFmt numFmtId="166" formatCode="0.000"/>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border diagonalUp="0" diagonalDown="0">
        <left/>
        <right/>
        <top/>
        <bottom/>
        <vertical/>
        <horizontal/>
      </border>
    </dxf>
  </dxfs>
  <tableStyles count="2" defaultTableStyle="TableStyleMedium2" defaultPivotStyle="PivotStyleLight16">
    <tableStyle name="Slicer Style 1" pivot="0" table="0" count="3" xr9:uid="{CCB30C35-22E8-410F-B114-FBB64228E964}">
      <tableStyleElement type="wholeTable" dxfId="58"/>
    </tableStyle>
    <tableStyle name="Slicer Style 2" pivot="0" table="0" count="1" xr9:uid="{CDC0678C-68FA-4AFF-B71E-FDFE08C7BF41}">
      <tableStyleElement type="wholeTable" dxfId="12"/>
    </tableStyle>
  </tableStyles>
  <extLst>
    <ext xmlns:x14="http://schemas.microsoft.com/office/spreadsheetml/2009/9/main" uri="{46F421CA-312F-682f-3DD2-61675219B42D}">
      <x14:dxfs count="2">
        <dxf>
          <fill>
            <patternFill>
              <bgColor theme="3" tint="0.89996032593768116"/>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Dashboard Excel.xlsx]Sheet1!PivotTable9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Кількість</a:t>
            </a:r>
            <a:r>
              <a:rPr lang="uk-UA" baseline="0"/>
              <a:t> конверсій по днях тижня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Sheet1!$Y$21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Sheet1!$X$22:$X$29</c:f>
              <c:strCache>
                <c:ptCount val="7"/>
                <c:pt idx="0">
                  <c:v>Monday</c:v>
                </c:pt>
                <c:pt idx="1">
                  <c:v>Tuesday</c:v>
                </c:pt>
                <c:pt idx="2">
                  <c:v>Wednesday</c:v>
                </c:pt>
                <c:pt idx="3">
                  <c:v>Thursday</c:v>
                </c:pt>
                <c:pt idx="4">
                  <c:v>Friday</c:v>
                </c:pt>
                <c:pt idx="5">
                  <c:v>Saturday</c:v>
                </c:pt>
                <c:pt idx="6">
                  <c:v>Sunday</c:v>
                </c:pt>
              </c:strCache>
            </c:strRef>
          </c:cat>
          <c:val>
            <c:numRef>
              <c:f>Sheet1!$Y$22:$Y$29</c:f>
              <c:numCache>
                <c:formatCode>General</c:formatCode>
                <c:ptCount val="7"/>
                <c:pt idx="0">
                  <c:v>2274</c:v>
                </c:pt>
                <c:pt idx="1">
                  <c:v>2277</c:v>
                </c:pt>
                <c:pt idx="2">
                  <c:v>2277</c:v>
                </c:pt>
                <c:pt idx="3">
                  <c:v>2425</c:v>
                </c:pt>
                <c:pt idx="4">
                  <c:v>2845</c:v>
                </c:pt>
                <c:pt idx="5">
                  <c:v>2749</c:v>
                </c:pt>
                <c:pt idx="6">
                  <c:v>2079</c:v>
                </c:pt>
              </c:numCache>
            </c:numRef>
          </c:val>
          <c:smooth val="0"/>
          <c:extLst>
            <c:ext xmlns:c16="http://schemas.microsoft.com/office/drawing/2014/chart" uri="{C3380CC4-5D6E-409C-BE32-E72D297353CC}">
              <c16:uniqueId val="{00000000-9390-4DE6-B0B8-E696ED239F12}"/>
            </c:ext>
          </c:extLst>
        </c:ser>
        <c:dLbls>
          <c:showLegendKey val="0"/>
          <c:showVal val="0"/>
          <c:showCatName val="0"/>
          <c:showSerName val="0"/>
          <c:showPercent val="0"/>
          <c:showBubbleSize val="0"/>
        </c:dLbls>
        <c:smooth val="0"/>
        <c:axId val="798471247"/>
        <c:axId val="798467407"/>
      </c:lineChart>
      <c:catAx>
        <c:axId val="798471247"/>
        <c:scaling>
          <c:orientation val="minMax"/>
        </c:scaling>
        <c:delete val="0"/>
        <c:axPos val="b"/>
        <c:numFmt formatCode="General" sourceLinked="1"/>
        <c:majorTickMark val="none"/>
        <c:minorTickMark val="none"/>
        <c:tickLblPos val="nextTo"/>
        <c:spPr>
          <a:gradFill flip="none" rotWithShape="1">
            <a:gsLst>
              <a:gs pos="0">
                <a:schemeClr val="tx2">
                  <a:lumMod val="0"/>
                  <a:lumOff val="100000"/>
                  <a:alpha val="2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path path="circle">
              <a:fillToRect l="100000" t="100000"/>
            </a:path>
            <a:tileRect r="-100000" b="-100000"/>
          </a:gradFill>
          <a:ln w="9525" cap="flat" cmpd="sng" algn="ctr">
            <a:noFill/>
            <a:round/>
          </a:ln>
          <a:effectLst/>
        </c:spPr>
        <c:txPr>
          <a:bodyPr rot="-600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uk-UA"/>
          </a:p>
        </c:txPr>
        <c:crossAx val="798467407"/>
        <c:crosses val="autoZero"/>
        <c:auto val="1"/>
        <c:lblAlgn val="ctr"/>
        <c:lblOffset val="100"/>
        <c:noMultiLvlLbl val="0"/>
      </c:catAx>
      <c:valAx>
        <c:axId val="798467407"/>
        <c:scaling>
          <c:orientation val="minMax"/>
          <c:min val="1500"/>
        </c:scaling>
        <c:delete val="1"/>
        <c:axPos val="l"/>
        <c:numFmt formatCode="General" sourceLinked="1"/>
        <c:majorTickMark val="none"/>
        <c:minorTickMark val="none"/>
        <c:tickLblPos val="nextTo"/>
        <c:crossAx val="798471247"/>
        <c:crosses val="autoZero"/>
        <c:crossBetween val="between"/>
        <c:minorUnit val="5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Sheet1!$AW$2:$AW$2598</c:f>
              <c:numCache>
                <c:formatCode>General</c:formatCode>
                <c:ptCount val="2597"/>
                <c:pt idx="0">
                  <c:v>232</c:v>
                </c:pt>
                <c:pt idx="1">
                  <c:v>217</c:v>
                </c:pt>
                <c:pt idx="2">
                  <c:v>204</c:v>
                </c:pt>
                <c:pt idx="3">
                  <c:v>238</c:v>
                </c:pt>
                <c:pt idx="4">
                  <c:v>196</c:v>
                </c:pt>
                <c:pt idx="5">
                  <c:v>244</c:v>
                </c:pt>
                <c:pt idx="6">
                  <c:v>238</c:v>
                </c:pt>
                <c:pt idx="7">
                  <c:v>230</c:v>
                </c:pt>
                <c:pt idx="8">
                  <c:v>175</c:v>
                </c:pt>
                <c:pt idx="9">
                  <c:v>187</c:v>
                </c:pt>
                <c:pt idx="10">
                  <c:v>237</c:v>
                </c:pt>
                <c:pt idx="11">
                  <c:v>208</c:v>
                </c:pt>
                <c:pt idx="12">
                  <c:v>191</c:v>
                </c:pt>
                <c:pt idx="13">
                  <c:v>207</c:v>
                </c:pt>
                <c:pt idx="14">
                  <c:v>185</c:v>
                </c:pt>
                <c:pt idx="15">
                  <c:v>202</c:v>
                </c:pt>
                <c:pt idx="16">
                  <c:v>294</c:v>
                </c:pt>
                <c:pt idx="17">
                  <c:v>207</c:v>
                </c:pt>
                <c:pt idx="18">
                  <c:v>217</c:v>
                </c:pt>
                <c:pt idx="19">
                  <c:v>227</c:v>
                </c:pt>
                <c:pt idx="20">
                  <c:v>223</c:v>
                </c:pt>
                <c:pt idx="21">
                  <c:v>184</c:v>
                </c:pt>
                <c:pt idx="22">
                  <c:v>211</c:v>
                </c:pt>
                <c:pt idx="23">
                  <c:v>230</c:v>
                </c:pt>
                <c:pt idx="24">
                  <c:v>134</c:v>
                </c:pt>
                <c:pt idx="25">
                  <c:v>182</c:v>
                </c:pt>
                <c:pt idx="26">
                  <c:v>206</c:v>
                </c:pt>
                <c:pt idx="27">
                  <c:v>235</c:v>
                </c:pt>
                <c:pt idx="28">
                  <c:v>188</c:v>
                </c:pt>
                <c:pt idx="29">
                  <c:v>238</c:v>
                </c:pt>
                <c:pt idx="30">
                  <c:v>214</c:v>
                </c:pt>
                <c:pt idx="31">
                  <c:v>212</c:v>
                </c:pt>
                <c:pt idx="32">
                  <c:v>244</c:v>
                </c:pt>
                <c:pt idx="33">
                  <c:v>235</c:v>
                </c:pt>
                <c:pt idx="34">
                  <c:v>215</c:v>
                </c:pt>
                <c:pt idx="35">
                  <c:v>236</c:v>
                </c:pt>
                <c:pt idx="36">
                  <c:v>243</c:v>
                </c:pt>
                <c:pt idx="37">
                  <c:v>187</c:v>
                </c:pt>
                <c:pt idx="38">
                  <c:v>198</c:v>
                </c:pt>
                <c:pt idx="39">
                  <c:v>193</c:v>
                </c:pt>
                <c:pt idx="40">
                  <c:v>231</c:v>
                </c:pt>
                <c:pt idx="41">
                  <c:v>196</c:v>
                </c:pt>
                <c:pt idx="42">
                  <c:v>192</c:v>
                </c:pt>
                <c:pt idx="43">
                  <c:v>181</c:v>
                </c:pt>
                <c:pt idx="44">
                  <c:v>204</c:v>
                </c:pt>
                <c:pt idx="45">
                  <c:v>237</c:v>
                </c:pt>
                <c:pt idx="46">
                  <c:v>223</c:v>
                </c:pt>
                <c:pt idx="47">
                  <c:v>234</c:v>
                </c:pt>
                <c:pt idx="48">
                  <c:v>241</c:v>
                </c:pt>
                <c:pt idx="49">
                  <c:v>249</c:v>
                </c:pt>
                <c:pt idx="50">
                  <c:v>183</c:v>
                </c:pt>
                <c:pt idx="51">
                  <c:v>207</c:v>
                </c:pt>
                <c:pt idx="52">
                  <c:v>190</c:v>
                </c:pt>
                <c:pt idx="53">
                  <c:v>188</c:v>
                </c:pt>
                <c:pt idx="54">
                  <c:v>196</c:v>
                </c:pt>
                <c:pt idx="55">
                  <c:v>184</c:v>
                </c:pt>
                <c:pt idx="56">
                  <c:v>210</c:v>
                </c:pt>
                <c:pt idx="57">
                  <c:v>209</c:v>
                </c:pt>
                <c:pt idx="58">
                  <c:v>219</c:v>
                </c:pt>
                <c:pt idx="59">
                  <c:v>239</c:v>
                </c:pt>
                <c:pt idx="60">
                  <c:v>190</c:v>
                </c:pt>
                <c:pt idx="61">
                  <c:v>257</c:v>
                </c:pt>
                <c:pt idx="62">
                  <c:v>204</c:v>
                </c:pt>
                <c:pt idx="63">
                  <c:v>222</c:v>
                </c:pt>
                <c:pt idx="64">
                  <c:v>232</c:v>
                </c:pt>
                <c:pt idx="65">
                  <c:v>184</c:v>
                </c:pt>
                <c:pt idx="66">
                  <c:v>221</c:v>
                </c:pt>
                <c:pt idx="67">
                  <c:v>199</c:v>
                </c:pt>
                <c:pt idx="68">
                  <c:v>234</c:v>
                </c:pt>
                <c:pt idx="69">
                  <c:v>241</c:v>
                </c:pt>
                <c:pt idx="70">
                  <c:v>215</c:v>
                </c:pt>
                <c:pt idx="71">
                  <c:v>228</c:v>
                </c:pt>
                <c:pt idx="72">
                  <c:v>199</c:v>
                </c:pt>
                <c:pt idx="73">
                  <c:v>225</c:v>
                </c:pt>
                <c:pt idx="74">
                  <c:v>246</c:v>
                </c:pt>
                <c:pt idx="75">
                  <c:v>213</c:v>
                </c:pt>
                <c:pt idx="76">
                  <c:v>228</c:v>
                </c:pt>
                <c:pt idx="77">
                  <c:v>234</c:v>
                </c:pt>
                <c:pt idx="78">
                  <c:v>234</c:v>
                </c:pt>
                <c:pt idx="79">
                  <c:v>187</c:v>
                </c:pt>
                <c:pt idx="80">
                  <c:v>199</c:v>
                </c:pt>
                <c:pt idx="81">
                  <c:v>241</c:v>
                </c:pt>
                <c:pt idx="82">
                  <c:v>218</c:v>
                </c:pt>
                <c:pt idx="83">
                  <c:v>215</c:v>
                </c:pt>
                <c:pt idx="84">
                  <c:v>227</c:v>
                </c:pt>
                <c:pt idx="85">
                  <c:v>233</c:v>
                </c:pt>
                <c:pt idx="86">
                  <c:v>206</c:v>
                </c:pt>
                <c:pt idx="87">
                  <c:v>221</c:v>
                </c:pt>
                <c:pt idx="88">
                  <c:v>210</c:v>
                </c:pt>
                <c:pt idx="89">
                  <c:v>241</c:v>
                </c:pt>
                <c:pt idx="90">
                  <c:v>227</c:v>
                </c:pt>
                <c:pt idx="91">
                  <c:v>204</c:v>
                </c:pt>
                <c:pt idx="92">
                  <c:v>173</c:v>
                </c:pt>
                <c:pt idx="93">
                  <c:v>184</c:v>
                </c:pt>
                <c:pt idx="94">
                  <c:v>216</c:v>
                </c:pt>
                <c:pt idx="95">
                  <c:v>197</c:v>
                </c:pt>
                <c:pt idx="96">
                  <c:v>229</c:v>
                </c:pt>
                <c:pt idx="97">
                  <c:v>187</c:v>
                </c:pt>
                <c:pt idx="98">
                  <c:v>222</c:v>
                </c:pt>
                <c:pt idx="99">
                  <c:v>236</c:v>
                </c:pt>
                <c:pt idx="100">
                  <c:v>247</c:v>
                </c:pt>
                <c:pt idx="101">
                  <c:v>244</c:v>
                </c:pt>
                <c:pt idx="102">
                  <c:v>197</c:v>
                </c:pt>
                <c:pt idx="103">
                  <c:v>221</c:v>
                </c:pt>
                <c:pt idx="104">
                  <c:v>138</c:v>
                </c:pt>
                <c:pt idx="105">
                  <c:v>230</c:v>
                </c:pt>
                <c:pt idx="106">
                  <c:v>184</c:v>
                </c:pt>
                <c:pt idx="107">
                  <c:v>197</c:v>
                </c:pt>
                <c:pt idx="108">
                  <c:v>235</c:v>
                </c:pt>
                <c:pt idx="109">
                  <c:v>237</c:v>
                </c:pt>
                <c:pt idx="110">
                  <c:v>235</c:v>
                </c:pt>
                <c:pt idx="111">
                  <c:v>192</c:v>
                </c:pt>
                <c:pt idx="112">
                  <c:v>236</c:v>
                </c:pt>
                <c:pt idx="113">
                  <c:v>224</c:v>
                </c:pt>
                <c:pt idx="114">
                  <c:v>204</c:v>
                </c:pt>
                <c:pt idx="115">
                  <c:v>196</c:v>
                </c:pt>
                <c:pt idx="116">
                  <c:v>230</c:v>
                </c:pt>
                <c:pt idx="117">
                  <c:v>189</c:v>
                </c:pt>
                <c:pt idx="118">
                  <c:v>266</c:v>
                </c:pt>
                <c:pt idx="119">
                  <c:v>194</c:v>
                </c:pt>
                <c:pt idx="120">
                  <c:v>214</c:v>
                </c:pt>
                <c:pt idx="121">
                  <c:v>216</c:v>
                </c:pt>
                <c:pt idx="122">
                  <c:v>240</c:v>
                </c:pt>
                <c:pt idx="123">
                  <c:v>226</c:v>
                </c:pt>
                <c:pt idx="124">
                  <c:v>193</c:v>
                </c:pt>
                <c:pt idx="125">
                  <c:v>188</c:v>
                </c:pt>
                <c:pt idx="126">
                  <c:v>238</c:v>
                </c:pt>
                <c:pt idx="127">
                  <c:v>236</c:v>
                </c:pt>
                <c:pt idx="128">
                  <c:v>193</c:v>
                </c:pt>
                <c:pt idx="129">
                  <c:v>219</c:v>
                </c:pt>
                <c:pt idx="130">
                  <c:v>195</c:v>
                </c:pt>
                <c:pt idx="131">
                  <c:v>225</c:v>
                </c:pt>
                <c:pt idx="132">
                  <c:v>220</c:v>
                </c:pt>
                <c:pt idx="133">
                  <c:v>186</c:v>
                </c:pt>
                <c:pt idx="134">
                  <c:v>206</c:v>
                </c:pt>
                <c:pt idx="135">
                  <c:v>228</c:v>
                </c:pt>
                <c:pt idx="136">
                  <c:v>205</c:v>
                </c:pt>
                <c:pt idx="137">
                  <c:v>202</c:v>
                </c:pt>
                <c:pt idx="138">
                  <c:v>238</c:v>
                </c:pt>
                <c:pt idx="139">
                  <c:v>229</c:v>
                </c:pt>
                <c:pt idx="140">
                  <c:v>249</c:v>
                </c:pt>
                <c:pt idx="141">
                  <c:v>183</c:v>
                </c:pt>
                <c:pt idx="142">
                  <c:v>221</c:v>
                </c:pt>
                <c:pt idx="143">
                  <c:v>125</c:v>
                </c:pt>
                <c:pt idx="144">
                  <c:v>188</c:v>
                </c:pt>
                <c:pt idx="145">
                  <c:v>242</c:v>
                </c:pt>
                <c:pt idx="146">
                  <c:v>192</c:v>
                </c:pt>
                <c:pt idx="147">
                  <c:v>228</c:v>
                </c:pt>
                <c:pt idx="148">
                  <c:v>222</c:v>
                </c:pt>
                <c:pt idx="149">
                  <c:v>223</c:v>
                </c:pt>
                <c:pt idx="150">
                  <c:v>185</c:v>
                </c:pt>
                <c:pt idx="151">
                  <c:v>199</c:v>
                </c:pt>
                <c:pt idx="152">
                  <c:v>179</c:v>
                </c:pt>
                <c:pt idx="153">
                  <c:v>237</c:v>
                </c:pt>
                <c:pt idx="154">
                  <c:v>211</c:v>
                </c:pt>
                <c:pt idx="155">
                  <c:v>215</c:v>
                </c:pt>
                <c:pt idx="156">
                  <c:v>184</c:v>
                </c:pt>
                <c:pt idx="157">
                  <c:v>191</c:v>
                </c:pt>
                <c:pt idx="158">
                  <c:v>245</c:v>
                </c:pt>
                <c:pt idx="159">
                  <c:v>245</c:v>
                </c:pt>
                <c:pt idx="160">
                  <c:v>246</c:v>
                </c:pt>
                <c:pt idx="161">
                  <c:v>191</c:v>
                </c:pt>
                <c:pt idx="162">
                  <c:v>222</c:v>
                </c:pt>
                <c:pt idx="163">
                  <c:v>209</c:v>
                </c:pt>
                <c:pt idx="164">
                  <c:v>238</c:v>
                </c:pt>
                <c:pt idx="165">
                  <c:v>247</c:v>
                </c:pt>
                <c:pt idx="166">
                  <c:v>218</c:v>
                </c:pt>
                <c:pt idx="167">
                  <c:v>193</c:v>
                </c:pt>
                <c:pt idx="168">
                  <c:v>184</c:v>
                </c:pt>
                <c:pt idx="169">
                  <c:v>238</c:v>
                </c:pt>
                <c:pt idx="170">
                  <c:v>192</c:v>
                </c:pt>
                <c:pt idx="171">
                  <c:v>140</c:v>
                </c:pt>
                <c:pt idx="172">
                  <c:v>214</c:v>
                </c:pt>
                <c:pt idx="173">
                  <c:v>241</c:v>
                </c:pt>
                <c:pt idx="174">
                  <c:v>240</c:v>
                </c:pt>
                <c:pt idx="175">
                  <c:v>205</c:v>
                </c:pt>
                <c:pt idx="176">
                  <c:v>226</c:v>
                </c:pt>
                <c:pt idx="177">
                  <c:v>185</c:v>
                </c:pt>
                <c:pt idx="178">
                  <c:v>210</c:v>
                </c:pt>
                <c:pt idx="179">
                  <c:v>214</c:v>
                </c:pt>
                <c:pt idx="180">
                  <c:v>193</c:v>
                </c:pt>
                <c:pt idx="181">
                  <c:v>206</c:v>
                </c:pt>
                <c:pt idx="182">
                  <c:v>184</c:v>
                </c:pt>
                <c:pt idx="183">
                  <c:v>239</c:v>
                </c:pt>
                <c:pt idx="184">
                  <c:v>204</c:v>
                </c:pt>
                <c:pt idx="185">
                  <c:v>204</c:v>
                </c:pt>
                <c:pt idx="186">
                  <c:v>221</c:v>
                </c:pt>
                <c:pt idx="187">
                  <c:v>235</c:v>
                </c:pt>
                <c:pt idx="188">
                  <c:v>182</c:v>
                </c:pt>
                <c:pt idx="189">
                  <c:v>221</c:v>
                </c:pt>
                <c:pt idx="190">
                  <c:v>218</c:v>
                </c:pt>
                <c:pt idx="191">
                  <c:v>208</c:v>
                </c:pt>
                <c:pt idx="192">
                  <c:v>231</c:v>
                </c:pt>
                <c:pt idx="193">
                  <c:v>248</c:v>
                </c:pt>
                <c:pt idx="194">
                  <c:v>238</c:v>
                </c:pt>
                <c:pt idx="195">
                  <c:v>182</c:v>
                </c:pt>
                <c:pt idx="196">
                  <c:v>201</c:v>
                </c:pt>
                <c:pt idx="197">
                  <c:v>239</c:v>
                </c:pt>
                <c:pt idx="198">
                  <c:v>208</c:v>
                </c:pt>
                <c:pt idx="199">
                  <c:v>209</c:v>
                </c:pt>
                <c:pt idx="200">
                  <c:v>247</c:v>
                </c:pt>
                <c:pt idx="201">
                  <c:v>185</c:v>
                </c:pt>
                <c:pt idx="202">
                  <c:v>236</c:v>
                </c:pt>
                <c:pt idx="203">
                  <c:v>186</c:v>
                </c:pt>
                <c:pt idx="204">
                  <c:v>204</c:v>
                </c:pt>
                <c:pt idx="205">
                  <c:v>248</c:v>
                </c:pt>
                <c:pt idx="206">
                  <c:v>220</c:v>
                </c:pt>
                <c:pt idx="207">
                  <c:v>227</c:v>
                </c:pt>
                <c:pt idx="208">
                  <c:v>224</c:v>
                </c:pt>
                <c:pt idx="209">
                  <c:v>225</c:v>
                </c:pt>
                <c:pt idx="210">
                  <c:v>200</c:v>
                </c:pt>
                <c:pt idx="211">
                  <c:v>183</c:v>
                </c:pt>
                <c:pt idx="212">
                  <c:v>185</c:v>
                </c:pt>
                <c:pt idx="213">
                  <c:v>248</c:v>
                </c:pt>
                <c:pt idx="214">
                  <c:v>238</c:v>
                </c:pt>
                <c:pt idx="215">
                  <c:v>234</c:v>
                </c:pt>
                <c:pt idx="216">
                  <c:v>308</c:v>
                </c:pt>
                <c:pt idx="217">
                  <c:v>201</c:v>
                </c:pt>
                <c:pt idx="218">
                  <c:v>250</c:v>
                </c:pt>
                <c:pt idx="219">
                  <c:v>208</c:v>
                </c:pt>
                <c:pt idx="220">
                  <c:v>225</c:v>
                </c:pt>
                <c:pt idx="221">
                  <c:v>223</c:v>
                </c:pt>
                <c:pt idx="222">
                  <c:v>187</c:v>
                </c:pt>
                <c:pt idx="223">
                  <c:v>195</c:v>
                </c:pt>
                <c:pt idx="224">
                  <c:v>202</c:v>
                </c:pt>
                <c:pt idx="225">
                  <c:v>229</c:v>
                </c:pt>
                <c:pt idx="226">
                  <c:v>214</c:v>
                </c:pt>
                <c:pt idx="227">
                  <c:v>217</c:v>
                </c:pt>
                <c:pt idx="228">
                  <c:v>188</c:v>
                </c:pt>
                <c:pt idx="229">
                  <c:v>185</c:v>
                </c:pt>
                <c:pt idx="230">
                  <c:v>202</c:v>
                </c:pt>
                <c:pt idx="231">
                  <c:v>232</c:v>
                </c:pt>
                <c:pt idx="232">
                  <c:v>234</c:v>
                </c:pt>
                <c:pt idx="233">
                  <c:v>193</c:v>
                </c:pt>
                <c:pt idx="234">
                  <c:v>188</c:v>
                </c:pt>
                <c:pt idx="235">
                  <c:v>233</c:v>
                </c:pt>
                <c:pt idx="236">
                  <c:v>181</c:v>
                </c:pt>
                <c:pt idx="237">
                  <c:v>182</c:v>
                </c:pt>
                <c:pt idx="238">
                  <c:v>238</c:v>
                </c:pt>
                <c:pt idx="239">
                  <c:v>196</c:v>
                </c:pt>
                <c:pt idx="240">
                  <c:v>198</c:v>
                </c:pt>
                <c:pt idx="241">
                  <c:v>234</c:v>
                </c:pt>
                <c:pt idx="242">
                  <c:v>203</c:v>
                </c:pt>
                <c:pt idx="243">
                  <c:v>248</c:v>
                </c:pt>
                <c:pt idx="244">
                  <c:v>215</c:v>
                </c:pt>
                <c:pt idx="245">
                  <c:v>197</c:v>
                </c:pt>
                <c:pt idx="246">
                  <c:v>145</c:v>
                </c:pt>
                <c:pt idx="247">
                  <c:v>237</c:v>
                </c:pt>
                <c:pt idx="248">
                  <c:v>183</c:v>
                </c:pt>
                <c:pt idx="249">
                  <c:v>191</c:v>
                </c:pt>
                <c:pt idx="250">
                  <c:v>242</c:v>
                </c:pt>
                <c:pt idx="251">
                  <c:v>237</c:v>
                </c:pt>
                <c:pt idx="252">
                  <c:v>247</c:v>
                </c:pt>
                <c:pt idx="253">
                  <c:v>241</c:v>
                </c:pt>
                <c:pt idx="254">
                  <c:v>243</c:v>
                </c:pt>
                <c:pt idx="255">
                  <c:v>232</c:v>
                </c:pt>
                <c:pt idx="256">
                  <c:v>191</c:v>
                </c:pt>
                <c:pt idx="257">
                  <c:v>202</c:v>
                </c:pt>
                <c:pt idx="258">
                  <c:v>220</c:v>
                </c:pt>
                <c:pt idx="259">
                  <c:v>218</c:v>
                </c:pt>
                <c:pt idx="260">
                  <c:v>187</c:v>
                </c:pt>
                <c:pt idx="261">
                  <c:v>212</c:v>
                </c:pt>
                <c:pt idx="262">
                  <c:v>226</c:v>
                </c:pt>
                <c:pt idx="263">
                  <c:v>221</c:v>
                </c:pt>
                <c:pt idx="264">
                  <c:v>235</c:v>
                </c:pt>
                <c:pt idx="265">
                  <c:v>243</c:v>
                </c:pt>
                <c:pt idx="266">
                  <c:v>202</c:v>
                </c:pt>
                <c:pt idx="267">
                  <c:v>211</c:v>
                </c:pt>
                <c:pt idx="268">
                  <c:v>212</c:v>
                </c:pt>
                <c:pt idx="269">
                  <c:v>190</c:v>
                </c:pt>
                <c:pt idx="270">
                  <c:v>205</c:v>
                </c:pt>
                <c:pt idx="271">
                  <c:v>198</c:v>
                </c:pt>
                <c:pt idx="272">
                  <c:v>207</c:v>
                </c:pt>
                <c:pt idx="273">
                  <c:v>233</c:v>
                </c:pt>
                <c:pt idx="274">
                  <c:v>194</c:v>
                </c:pt>
                <c:pt idx="275">
                  <c:v>226</c:v>
                </c:pt>
                <c:pt idx="276">
                  <c:v>234</c:v>
                </c:pt>
                <c:pt idx="277">
                  <c:v>210</c:v>
                </c:pt>
                <c:pt idx="278">
                  <c:v>228</c:v>
                </c:pt>
                <c:pt idx="279">
                  <c:v>193</c:v>
                </c:pt>
                <c:pt idx="280">
                  <c:v>192</c:v>
                </c:pt>
                <c:pt idx="281">
                  <c:v>242</c:v>
                </c:pt>
                <c:pt idx="282">
                  <c:v>189</c:v>
                </c:pt>
                <c:pt idx="283">
                  <c:v>242</c:v>
                </c:pt>
                <c:pt idx="284">
                  <c:v>223</c:v>
                </c:pt>
                <c:pt idx="285">
                  <c:v>226</c:v>
                </c:pt>
                <c:pt idx="286">
                  <c:v>231</c:v>
                </c:pt>
                <c:pt idx="287">
                  <c:v>187</c:v>
                </c:pt>
                <c:pt idx="288">
                  <c:v>229</c:v>
                </c:pt>
                <c:pt idx="289">
                  <c:v>227</c:v>
                </c:pt>
                <c:pt idx="290">
                  <c:v>206</c:v>
                </c:pt>
                <c:pt idx="291">
                  <c:v>211</c:v>
                </c:pt>
                <c:pt idx="292">
                  <c:v>236</c:v>
                </c:pt>
                <c:pt idx="293">
                  <c:v>237</c:v>
                </c:pt>
                <c:pt idx="294">
                  <c:v>249</c:v>
                </c:pt>
                <c:pt idx="295">
                  <c:v>212</c:v>
                </c:pt>
                <c:pt idx="296">
                  <c:v>194</c:v>
                </c:pt>
                <c:pt idx="297">
                  <c:v>230</c:v>
                </c:pt>
                <c:pt idx="298">
                  <c:v>182</c:v>
                </c:pt>
                <c:pt idx="299">
                  <c:v>246</c:v>
                </c:pt>
                <c:pt idx="300">
                  <c:v>218</c:v>
                </c:pt>
                <c:pt idx="301">
                  <c:v>217</c:v>
                </c:pt>
                <c:pt idx="302">
                  <c:v>189</c:v>
                </c:pt>
                <c:pt idx="303">
                  <c:v>246</c:v>
                </c:pt>
                <c:pt idx="304">
                  <c:v>212</c:v>
                </c:pt>
                <c:pt idx="305">
                  <c:v>219</c:v>
                </c:pt>
                <c:pt idx="306">
                  <c:v>190</c:v>
                </c:pt>
                <c:pt idx="307">
                  <c:v>246</c:v>
                </c:pt>
                <c:pt idx="308">
                  <c:v>224</c:v>
                </c:pt>
                <c:pt idx="309">
                  <c:v>186</c:v>
                </c:pt>
                <c:pt idx="310">
                  <c:v>185</c:v>
                </c:pt>
                <c:pt idx="311">
                  <c:v>225</c:v>
                </c:pt>
                <c:pt idx="312">
                  <c:v>219</c:v>
                </c:pt>
                <c:pt idx="313">
                  <c:v>220</c:v>
                </c:pt>
                <c:pt idx="314">
                  <c:v>242</c:v>
                </c:pt>
                <c:pt idx="315">
                  <c:v>205</c:v>
                </c:pt>
                <c:pt idx="316">
                  <c:v>193</c:v>
                </c:pt>
                <c:pt idx="317">
                  <c:v>242</c:v>
                </c:pt>
                <c:pt idx="318">
                  <c:v>181</c:v>
                </c:pt>
                <c:pt idx="319">
                  <c:v>227</c:v>
                </c:pt>
                <c:pt idx="320">
                  <c:v>188</c:v>
                </c:pt>
                <c:pt idx="321">
                  <c:v>246</c:v>
                </c:pt>
                <c:pt idx="322">
                  <c:v>239</c:v>
                </c:pt>
                <c:pt idx="323">
                  <c:v>202</c:v>
                </c:pt>
                <c:pt idx="324">
                  <c:v>239</c:v>
                </c:pt>
                <c:pt idx="325">
                  <c:v>230</c:v>
                </c:pt>
                <c:pt idx="326">
                  <c:v>199</c:v>
                </c:pt>
                <c:pt idx="327">
                  <c:v>228</c:v>
                </c:pt>
                <c:pt idx="328">
                  <c:v>270</c:v>
                </c:pt>
                <c:pt idx="329">
                  <c:v>214</c:v>
                </c:pt>
                <c:pt idx="330">
                  <c:v>195</c:v>
                </c:pt>
                <c:pt idx="331">
                  <c:v>185</c:v>
                </c:pt>
                <c:pt idx="332">
                  <c:v>218</c:v>
                </c:pt>
                <c:pt idx="333">
                  <c:v>193</c:v>
                </c:pt>
                <c:pt idx="334">
                  <c:v>239</c:v>
                </c:pt>
                <c:pt idx="335">
                  <c:v>184</c:v>
                </c:pt>
                <c:pt idx="336">
                  <c:v>207</c:v>
                </c:pt>
                <c:pt idx="337">
                  <c:v>199</c:v>
                </c:pt>
                <c:pt idx="338">
                  <c:v>204</c:v>
                </c:pt>
                <c:pt idx="339">
                  <c:v>246</c:v>
                </c:pt>
                <c:pt idx="340">
                  <c:v>240</c:v>
                </c:pt>
                <c:pt idx="341">
                  <c:v>187</c:v>
                </c:pt>
                <c:pt idx="342">
                  <c:v>183</c:v>
                </c:pt>
                <c:pt idx="343">
                  <c:v>243</c:v>
                </c:pt>
                <c:pt idx="344">
                  <c:v>198</c:v>
                </c:pt>
                <c:pt idx="345">
                  <c:v>239</c:v>
                </c:pt>
                <c:pt idx="346">
                  <c:v>209</c:v>
                </c:pt>
                <c:pt idx="347">
                  <c:v>225</c:v>
                </c:pt>
                <c:pt idx="348">
                  <c:v>212</c:v>
                </c:pt>
                <c:pt idx="349">
                  <c:v>225</c:v>
                </c:pt>
                <c:pt idx="350">
                  <c:v>208</c:v>
                </c:pt>
                <c:pt idx="351">
                  <c:v>195</c:v>
                </c:pt>
                <c:pt idx="352">
                  <c:v>209</c:v>
                </c:pt>
                <c:pt idx="353">
                  <c:v>244</c:v>
                </c:pt>
                <c:pt idx="354">
                  <c:v>228</c:v>
                </c:pt>
                <c:pt idx="355">
                  <c:v>190</c:v>
                </c:pt>
                <c:pt idx="356">
                  <c:v>223</c:v>
                </c:pt>
                <c:pt idx="357">
                  <c:v>222</c:v>
                </c:pt>
                <c:pt idx="358">
                  <c:v>208</c:v>
                </c:pt>
                <c:pt idx="359">
                  <c:v>235</c:v>
                </c:pt>
                <c:pt idx="360">
                  <c:v>185</c:v>
                </c:pt>
                <c:pt idx="361">
                  <c:v>244</c:v>
                </c:pt>
                <c:pt idx="362">
                  <c:v>201</c:v>
                </c:pt>
                <c:pt idx="363">
                  <c:v>198</c:v>
                </c:pt>
                <c:pt idx="364">
                  <c:v>248</c:v>
                </c:pt>
                <c:pt idx="365">
                  <c:v>194</c:v>
                </c:pt>
                <c:pt idx="366">
                  <c:v>211</c:v>
                </c:pt>
                <c:pt idx="367">
                  <c:v>213</c:v>
                </c:pt>
                <c:pt idx="368">
                  <c:v>200</c:v>
                </c:pt>
                <c:pt idx="369">
                  <c:v>244</c:v>
                </c:pt>
                <c:pt idx="370">
                  <c:v>235</c:v>
                </c:pt>
                <c:pt idx="371">
                  <c:v>210</c:v>
                </c:pt>
                <c:pt idx="372">
                  <c:v>190</c:v>
                </c:pt>
                <c:pt idx="373">
                  <c:v>238</c:v>
                </c:pt>
                <c:pt idx="374">
                  <c:v>201</c:v>
                </c:pt>
                <c:pt idx="375">
                  <c:v>240</c:v>
                </c:pt>
                <c:pt idx="376">
                  <c:v>230</c:v>
                </c:pt>
                <c:pt idx="377">
                  <c:v>189</c:v>
                </c:pt>
                <c:pt idx="378">
                  <c:v>180</c:v>
                </c:pt>
                <c:pt idx="379">
                  <c:v>237</c:v>
                </c:pt>
                <c:pt idx="380">
                  <c:v>219</c:v>
                </c:pt>
                <c:pt idx="381">
                  <c:v>228</c:v>
                </c:pt>
                <c:pt idx="382">
                  <c:v>202</c:v>
                </c:pt>
                <c:pt idx="383">
                  <c:v>235</c:v>
                </c:pt>
                <c:pt idx="384">
                  <c:v>250</c:v>
                </c:pt>
                <c:pt idx="385">
                  <c:v>232</c:v>
                </c:pt>
                <c:pt idx="386">
                  <c:v>206</c:v>
                </c:pt>
                <c:pt idx="387">
                  <c:v>220</c:v>
                </c:pt>
                <c:pt idx="388">
                  <c:v>201</c:v>
                </c:pt>
                <c:pt idx="389">
                  <c:v>200</c:v>
                </c:pt>
                <c:pt idx="390">
                  <c:v>222</c:v>
                </c:pt>
                <c:pt idx="391">
                  <c:v>189</c:v>
                </c:pt>
                <c:pt idx="392">
                  <c:v>218</c:v>
                </c:pt>
                <c:pt idx="393">
                  <c:v>186</c:v>
                </c:pt>
                <c:pt idx="394">
                  <c:v>241</c:v>
                </c:pt>
                <c:pt idx="395">
                  <c:v>196</c:v>
                </c:pt>
                <c:pt idx="396">
                  <c:v>215</c:v>
                </c:pt>
                <c:pt idx="397">
                  <c:v>183</c:v>
                </c:pt>
                <c:pt idx="398">
                  <c:v>206</c:v>
                </c:pt>
                <c:pt idx="399">
                  <c:v>302</c:v>
                </c:pt>
                <c:pt idx="400">
                  <c:v>225</c:v>
                </c:pt>
                <c:pt idx="401">
                  <c:v>219</c:v>
                </c:pt>
                <c:pt idx="402">
                  <c:v>237</c:v>
                </c:pt>
                <c:pt idx="403">
                  <c:v>232</c:v>
                </c:pt>
                <c:pt idx="404">
                  <c:v>185</c:v>
                </c:pt>
                <c:pt idx="405">
                  <c:v>199</c:v>
                </c:pt>
                <c:pt idx="406">
                  <c:v>239</c:v>
                </c:pt>
                <c:pt idx="407">
                  <c:v>211</c:v>
                </c:pt>
                <c:pt idx="408">
                  <c:v>248</c:v>
                </c:pt>
                <c:pt idx="409">
                  <c:v>224</c:v>
                </c:pt>
                <c:pt idx="410">
                  <c:v>215</c:v>
                </c:pt>
                <c:pt idx="411">
                  <c:v>185</c:v>
                </c:pt>
                <c:pt idx="412">
                  <c:v>212</c:v>
                </c:pt>
                <c:pt idx="413">
                  <c:v>223</c:v>
                </c:pt>
                <c:pt idx="414">
                  <c:v>153</c:v>
                </c:pt>
                <c:pt idx="415">
                  <c:v>201</c:v>
                </c:pt>
                <c:pt idx="416">
                  <c:v>229</c:v>
                </c:pt>
                <c:pt idx="417">
                  <c:v>242</c:v>
                </c:pt>
                <c:pt idx="418">
                  <c:v>232</c:v>
                </c:pt>
                <c:pt idx="419">
                  <c:v>247</c:v>
                </c:pt>
                <c:pt idx="420">
                  <c:v>247</c:v>
                </c:pt>
                <c:pt idx="421">
                  <c:v>218</c:v>
                </c:pt>
                <c:pt idx="422">
                  <c:v>227</c:v>
                </c:pt>
                <c:pt idx="423">
                  <c:v>198</c:v>
                </c:pt>
                <c:pt idx="424">
                  <c:v>194</c:v>
                </c:pt>
                <c:pt idx="425">
                  <c:v>221</c:v>
                </c:pt>
                <c:pt idx="426">
                  <c:v>204</c:v>
                </c:pt>
                <c:pt idx="427">
                  <c:v>185</c:v>
                </c:pt>
                <c:pt idx="428">
                  <c:v>224</c:v>
                </c:pt>
                <c:pt idx="429">
                  <c:v>249</c:v>
                </c:pt>
                <c:pt idx="430">
                  <c:v>208</c:v>
                </c:pt>
                <c:pt idx="431">
                  <c:v>243</c:v>
                </c:pt>
                <c:pt idx="432">
                  <c:v>212</c:v>
                </c:pt>
                <c:pt idx="433">
                  <c:v>203</c:v>
                </c:pt>
                <c:pt idx="434">
                  <c:v>210</c:v>
                </c:pt>
                <c:pt idx="435">
                  <c:v>234</c:v>
                </c:pt>
                <c:pt idx="436">
                  <c:v>198</c:v>
                </c:pt>
                <c:pt idx="437">
                  <c:v>219</c:v>
                </c:pt>
                <c:pt idx="438">
                  <c:v>233</c:v>
                </c:pt>
                <c:pt idx="439">
                  <c:v>181</c:v>
                </c:pt>
                <c:pt idx="440">
                  <c:v>192</c:v>
                </c:pt>
                <c:pt idx="441">
                  <c:v>186</c:v>
                </c:pt>
                <c:pt idx="442">
                  <c:v>186</c:v>
                </c:pt>
                <c:pt idx="443">
                  <c:v>240</c:v>
                </c:pt>
                <c:pt idx="444">
                  <c:v>200</c:v>
                </c:pt>
                <c:pt idx="445">
                  <c:v>212</c:v>
                </c:pt>
                <c:pt idx="446">
                  <c:v>236</c:v>
                </c:pt>
                <c:pt idx="447">
                  <c:v>230</c:v>
                </c:pt>
                <c:pt idx="448">
                  <c:v>239</c:v>
                </c:pt>
                <c:pt idx="449">
                  <c:v>210</c:v>
                </c:pt>
                <c:pt idx="450">
                  <c:v>245</c:v>
                </c:pt>
                <c:pt idx="451">
                  <c:v>212</c:v>
                </c:pt>
                <c:pt idx="452">
                  <c:v>207</c:v>
                </c:pt>
                <c:pt idx="453">
                  <c:v>207</c:v>
                </c:pt>
                <c:pt idx="454">
                  <c:v>242</c:v>
                </c:pt>
                <c:pt idx="455">
                  <c:v>249</c:v>
                </c:pt>
                <c:pt idx="456">
                  <c:v>201</c:v>
                </c:pt>
                <c:pt idx="457">
                  <c:v>235</c:v>
                </c:pt>
                <c:pt idx="458">
                  <c:v>207</c:v>
                </c:pt>
                <c:pt idx="459">
                  <c:v>183</c:v>
                </c:pt>
                <c:pt idx="460">
                  <c:v>246</c:v>
                </c:pt>
                <c:pt idx="461">
                  <c:v>214</c:v>
                </c:pt>
                <c:pt idx="462">
                  <c:v>238</c:v>
                </c:pt>
                <c:pt idx="463">
                  <c:v>223</c:v>
                </c:pt>
                <c:pt idx="464">
                  <c:v>203</c:v>
                </c:pt>
                <c:pt idx="465">
                  <c:v>195</c:v>
                </c:pt>
                <c:pt idx="466">
                  <c:v>207</c:v>
                </c:pt>
                <c:pt idx="467">
                  <c:v>189</c:v>
                </c:pt>
                <c:pt idx="468">
                  <c:v>208</c:v>
                </c:pt>
                <c:pt idx="469">
                  <c:v>211</c:v>
                </c:pt>
                <c:pt idx="470">
                  <c:v>213</c:v>
                </c:pt>
                <c:pt idx="471">
                  <c:v>230</c:v>
                </c:pt>
                <c:pt idx="472">
                  <c:v>192</c:v>
                </c:pt>
                <c:pt idx="473">
                  <c:v>183</c:v>
                </c:pt>
                <c:pt idx="474">
                  <c:v>211</c:v>
                </c:pt>
                <c:pt idx="475">
                  <c:v>225</c:v>
                </c:pt>
                <c:pt idx="476">
                  <c:v>189</c:v>
                </c:pt>
                <c:pt idx="477">
                  <c:v>225</c:v>
                </c:pt>
                <c:pt idx="478">
                  <c:v>232</c:v>
                </c:pt>
                <c:pt idx="479">
                  <c:v>181</c:v>
                </c:pt>
                <c:pt idx="480">
                  <c:v>214</c:v>
                </c:pt>
                <c:pt idx="481">
                  <c:v>181</c:v>
                </c:pt>
                <c:pt idx="482">
                  <c:v>246</c:v>
                </c:pt>
                <c:pt idx="483">
                  <c:v>218</c:v>
                </c:pt>
                <c:pt idx="484">
                  <c:v>244</c:v>
                </c:pt>
                <c:pt idx="485">
                  <c:v>237</c:v>
                </c:pt>
                <c:pt idx="486">
                  <c:v>185</c:v>
                </c:pt>
                <c:pt idx="487">
                  <c:v>223</c:v>
                </c:pt>
                <c:pt idx="488">
                  <c:v>241</c:v>
                </c:pt>
                <c:pt idx="489">
                  <c:v>222</c:v>
                </c:pt>
                <c:pt idx="490">
                  <c:v>200</c:v>
                </c:pt>
                <c:pt idx="491">
                  <c:v>211</c:v>
                </c:pt>
                <c:pt idx="492">
                  <c:v>201</c:v>
                </c:pt>
                <c:pt idx="493">
                  <c:v>233</c:v>
                </c:pt>
                <c:pt idx="494">
                  <c:v>228</c:v>
                </c:pt>
                <c:pt idx="495">
                  <c:v>204</c:v>
                </c:pt>
                <c:pt idx="496">
                  <c:v>248</c:v>
                </c:pt>
                <c:pt idx="497">
                  <c:v>239</c:v>
                </c:pt>
                <c:pt idx="498">
                  <c:v>202</c:v>
                </c:pt>
                <c:pt idx="499">
                  <c:v>189</c:v>
                </c:pt>
                <c:pt idx="500">
                  <c:v>211</c:v>
                </c:pt>
                <c:pt idx="501">
                  <c:v>212</c:v>
                </c:pt>
                <c:pt idx="502">
                  <c:v>205</c:v>
                </c:pt>
                <c:pt idx="503">
                  <c:v>218</c:v>
                </c:pt>
                <c:pt idx="504">
                  <c:v>225</c:v>
                </c:pt>
                <c:pt idx="505">
                  <c:v>183</c:v>
                </c:pt>
                <c:pt idx="506">
                  <c:v>199</c:v>
                </c:pt>
                <c:pt idx="507">
                  <c:v>248</c:v>
                </c:pt>
                <c:pt idx="508">
                  <c:v>222</c:v>
                </c:pt>
                <c:pt idx="509">
                  <c:v>256</c:v>
                </c:pt>
                <c:pt idx="510">
                  <c:v>224</c:v>
                </c:pt>
                <c:pt idx="511">
                  <c:v>238</c:v>
                </c:pt>
                <c:pt idx="512">
                  <c:v>196</c:v>
                </c:pt>
                <c:pt idx="513">
                  <c:v>285</c:v>
                </c:pt>
                <c:pt idx="514">
                  <c:v>237</c:v>
                </c:pt>
                <c:pt idx="515">
                  <c:v>222</c:v>
                </c:pt>
                <c:pt idx="516">
                  <c:v>208</c:v>
                </c:pt>
                <c:pt idx="517">
                  <c:v>182</c:v>
                </c:pt>
                <c:pt idx="518">
                  <c:v>244</c:v>
                </c:pt>
                <c:pt idx="519">
                  <c:v>226</c:v>
                </c:pt>
                <c:pt idx="520">
                  <c:v>182</c:v>
                </c:pt>
                <c:pt idx="521">
                  <c:v>187</c:v>
                </c:pt>
                <c:pt idx="522">
                  <c:v>234</c:v>
                </c:pt>
                <c:pt idx="523">
                  <c:v>247</c:v>
                </c:pt>
                <c:pt idx="524">
                  <c:v>214</c:v>
                </c:pt>
                <c:pt idx="525">
                  <c:v>245</c:v>
                </c:pt>
                <c:pt idx="526">
                  <c:v>209</c:v>
                </c:pt>
                <c:pt idx="527">
                  <c:v>202</c:v>
                </c:pt>
                <c:pt idx="528">
                  <c:v>235</c:v>
                </c:pt>
                <c:pt idx="529">
                  <c:v>240</c:v>
                </c:pt>
                <c:pt idx="530">
                  <c:v>201</c:v>
                </c:pt>
                <c:pt idx="531">
                  <c:v>216</c:v>
                </c:pt>
                <c:pt idx="532">
                  <c:v>191</c:v>
                </c:pt>
                <c:pt idx="533">
                  <c:v>203</c:v>
                </c:pt>
                <c:pt idx="534">
                  <c:v>202</c:v>
                </c:pt>
                <c:pt idx="535">
                  <c:v>218</c:v>
                </c:pt>
                <c:pt idx="536">
                  <c:v>206</c:v>
                </c:pt>
                <c:pt idx="537">
                  <c:v>247</c:v>
                </c:pt>
                <c:pt idx="538">
                  <c:v>233</c:v>
                </c:pt>
                <c:pt idx="539">
                  <c:v>201</c:v>
                </c:pt>
                <c:pt idx="540">
                  <c:v>219</c:v>
                </c:pt>
                <c:pt idx="541">
                  <c:v>245</c:v>
                </c:pt>
                <c:pt idx="542">
                  <c:v>197</c:v>
                </c:pt>
                <c:pt idx="543">
                  <c:v>208</c:v>
                </c:pt>
                <c:pt idx="544">
                  <c:v>196</c:v>
                </c:pt>
                <c:pt idx="545">
                  <c:v>197</c:v>
                </c:pt>
                <c:pt idx="546">
                  <c:v>198</c:v>
                </c:pt>
                <c:pt idx="547">
                  <c:v>231</c:v>
                </c:pt>
                <c:pt idx="548">
                  <c:v>223</c:v>
                </c:pt>
                <c:pt idx="549">
                  <c:v>217</c:v>
                </c:pt>
                <c:pt idx="550">
                  <c:v>193</c:v>
                </c:pt>
                <c:pt idx="551">
                  <c:v>181</c:v>
                </c:pt>
                <c:pt idx="552">
                  <c:v>234</c:v>
                </c:pt>
                <c:pt idx="553">
                  <c:v>184</c:v>
                </c:pt>
                <c:pt idx="554">
                  <c:v>247</c:v>
                </c:pt>
                <c:pt idx="555">
                  <c:v>200</c:v>
                </c:pt>
                <c:pt idx="556">
                  <c:v>204</c:v>
                </c:pt>
                <c:pt idx="557">
                  <c:v>214</c:v>
                </c:pt>
                <c:pt idx="558">
                  <c:v>210</c:v>
                </c:pt>
                <c:pt idx="559">
                  <c:v>192</c:v>
                </c:pt>
                <c:pt idx="560">
                  <c:v>178</c:v>
                </c:pt>
                <c:pt idx="561">
                  <c:v>206</c:v>
                </c:pt>
                <c:pt idx="562">
                  <c:v>222</c:v>
                </c:pt>
                <c:pt idx="563">
                  <c:v>241</c:v>
                </c:pt>
                <c:pt idx="564">
                  <c:v>223</c:v>
                </c:pt>
                <c:pt idx="565">
                  <c:v>196</c:v>
                </c:pt>
                <c:pt idx="566">
                  <c:v>222</c:v>
                </c:pt>
                <c:pt idx="567">
                  <c:v>196</c:v>
                </c:pt>
                <c:pt idx="568">
                  <c:v>240</c:v>
                </c:pt>
                <c:pt idx="569">
                  <c:v>181</c:v>
                </c:pt>
                <c:pt idx="570">
                  <c:v>235</c:v>
                </c:pt>
                <c:pt idx="571">
                  <c:v>206</c:v>
                </c:pt>
                <c:pt idx="572">
                  <c:v>248</c:v>
                </c:pt>
                <c:pt idx="573">
                  <c:v>220</c:v>
                </c:pt>
                <c:pt idx="574">
                  <c:v>242</c:v>
                </c:pt>
                <c:pt idx="575">
                  <c:v>224</c:v>
                </c:pt>
                <c:pt idx="576">
                  <c:v>200</c:v>
                </c:pt>
                <c:pt idx="577">
                  <c:v>243</c:v>
                </c:pt>
                <c:pt idx="578">
                  <c:v>250</c:v>
                </c:pt>
                <c:pt idx="579">
                  <c:v>189</c:v>
                </c:pt>
                <c:pt idx="580">
                  <c:v>181</c:v>
                </c:pt>
                <c:pt idx="581">
                  <c:v>195</c:v>
                </c:pt>
                <c:pt idx="582">
                  <c:v>205</c:v>
                </c:pt>
                <c:pt idx="583">
                  <c:v>233</c:v>
                </c:pt>
                <c:pt idx="584">
                  <c:v>205</c:v>
                </c:pt>
                <c:pt idx="585">
                  <c:v>224</c:v>
                </c:pt>
                <c:pt idx="586">
                  <c:v>188</c:v>
                </c:pt>
                <c:pt idx="587">
                  <c:v>210</c:v>
                </c:pt>
                <c:pt idx="588">
                  <c:v>247</c:v>
                </c:pt>
                <c:pt idx="589">
                  <c:v>197</c:v>
                </c:pt>
                <c:pt idx="590">
                  <c:v>240</c:v>
                </c:pt>
                <c:pt idx="591">
                  <c:v>243</c:v>
                </c:pt>
                <c:pt idx="592">
                  <c:v>228</c:v>
                </c:pt>
                <c:pt idx="593">
                  <c:v>227</c:v>
                </c:pt>
                <c:pt idx="594">
                  <c:v>243</c:v>
                </c:pt>
                <c:pt idx="595">
                  <c:v>216</c:v>
                </c:pt>
                <c:pt idx="596">
                  <c:v>204</c:v>
                </c:pt>
                <c:pt idx="597">
                  <c:v>224</c:v>
                </c:pt>
                <c:pt idx="598">
                  <c:v>219</c:v>
                </c:pt>
                <c:pt idx="599">
                  <c:v>242</c:v>
                </c:pt>
                <c:pt idx="600">
                  <c:v>214</c:v>
                </c:pt>
                <c:pt idx="601">
                  <c:v>223</c:v>
                </c:pt>
                <c:pt idx="602">
                  <c:v>193</c:v>
                </c:pt>
                <c:pt idx="603">
                  <c:v>222</c:v>
                </c:pt>
                <c:pt idx="604">
                  <c:v>213</c:v>
                </c:pt>
                <c:pt idx="605">
                  <c:v>226</c:v>
                </c:pt>
                <c:pt idx="606">
                  <c:v>229</c:v>
                </c:pt>
                <c:pt idx="607">
                  <c:v>219</c:v>
                </c:pt>
                <c:pt idx="608">
                  <c:v>213</c:v>
                </c:pt>
                <c:pt idx="609">
                  <c:v>208</c:v>
                </c:pt>
                <c:pt idx="610">
                  <c:v>230</c:v>
                </c:pt>
                <c:pt idx="611">
                  <c:v>198</c:v>
                </c:pt>
                <c:pt idx="612">
                  <c:v>181</c:v>
                </c:pt>
                <c:pt idx="613">
                  <c:v>189</c:v>
                </c:pt>
                <c:pt idx="614">
                  <c:v>224</c:v>
                </c:pt>
                <c:pt idx="615">
                  <c:v>212</c:v>
                </c:pt>
                <c:pt idx="616">
                  <c:v>245</c:v>
                </c:pt>
                <c:pt idx="617">
                  <c:v>138</c:v>
                </c:pt>
                <c:pt idx="618">
                  <c:v>227</c:v>
                </c:pt>
                <c:pt idx="619">
                  <c:v>220</c:v>
                </c:pt>
                <c:pt idx="620">
                  <c:v>203</c:v>
                </c:pt>
                <c:pt idx="621">
                  <c:v>202</c:v>
                </c:pt>
                <c:pt idx="622">
                  <c:v>197</c:v>
                </c:pt>
                <c:pt idx="623">
                  <c:v>224</c:v>
                </c:pt>
                <c:pt idx="624">
                  <c:v>229</c:v>
                </c:pt>
                <c:pt idx="625">
                  <c:v>231</c:v>
                </c:pt>
                <c:pt idx="626">
                  <c:v>215</c:v>
                </c:pt>
                <c:pt idx="627">
                  <c:v>218</c:v>
                </c:pt>
                <c:pt idx="628">
                  <c:v>181</c:v>
                </c:pt>
                <c:pt idx="629">
                  <c:v>227</c:v>
                </c:pt>
                <c:pt idx="630">
                  <c:v>218</c:v>
                </c:pt>
                <c:pt idx="631">
                  <c:v>205</c:v>
                </c:pt>
                <c:pt idx="632">
                  <c:v>183</c:v>
                </c:pt>
                <c:pt idx="633">
                  <c:v>229</c:v>
                </c:pt>
                <c:pt idx="634">
                  <c:v>185</c:v>
                </c:pt>
                <c:pt idx="635">
                  <c:v>186</c:v>
                </c:pt>
                <c:pt idx="636">
                  <c:v>181</c:v>
                </c:pt>
                <c:pt idx="637">
                  <c:v>192</c:v>
                </c:pt>
                <c:pt idx="638">
                  <c:v>229</c:v>
                </c:pt>
                <c:pt idx="639">
                  <c:v>199</c:v>
                </c:pt>
                <c:pt idx="640">
                  <c:v>239</c:v>
                </c:pt>
                <c:pt idx="641">
                  <c:v>228</c:v>
                </c:pt>
                <c:pt idx="642">
                  <c:v>200</c:v>
                </c:pt>
                <c:pt idx="643">
                  <c:v>236</c:v>
                </c:pt>
                <c:pt idx="644">
                  <c:v>188</c:v>
                </c:pt>
                <c:pt idx="645">
                  <c:v>212</c:v>
                </c:pt>
                <c:pt idx="646">
                  <c:v>192</c:v>
                </c:pt>
                <c:pt idx="647">
                  <c:v>180</c:v>
                </c:pt>
                <c:pt idx="648">
                  <c:v>221</c:v>
                </c:pt>
                <c:pt idx="649">
                  <c:v>181</c:v>
                </c:pt>
                <c:pt idx="650">
                  <c:v>180</c:v>
                </c:pt>
                <c:pt idx="651">
                  <c:v>245</c:v>
                </c:pt>
                <c:pt idx="652">
                  <c:v>194</c:v>
                </c:pt>
                <c:pt idx="653">
                  <c:v>222</c:v>
                </c:pt>
                <c:pt idx="654">
                  <c:v>196</c:v>
                </c:pt>
                <c:pt idx="655">
                  <c:v>205</c:v>
                </c:pt>
                <c:pt idx="656">
                  <c:v>187</c:v>
                </c:pt>
                <c:pt idx="657">
                  <c:v>226</c:v>
                </c:pt>
                <c:pt idx="658">
                  <c:v>196</c:v>
                </c:pt>
                <c:pt idx="659">
                  <c:v>221</c:v>
                </c:pt>
                <c:pt idx="660">
                  <c:v>218</c:v>
                </c:pt>
                <c:pt idx="661">
                  <c:v>208</c:v>
                </c:pt>
                <c:pt idx="662">
                  <c:v>239</c:v>
                </c:pt>
                <c:pt idx="663">
                  <c:v>210</c:v>
                </c:pt>
                <c:pt idx="664">
                  <c:v>207</c:v>
                </c:pt>
                <c:pt idx="665">
                  <c:v>237</c:v>
                </c:pt>
                <c:pt idx="666">
                  <c:v>188</c:v>
                </c:pt>
                <c:pt idx="667">
                  <c:v>195</c:v>
                </c:pt>
                <c:pt idx="668">
                  <c:v>193</c:v>
                </c:pt>
                <c:pt idx="669">
                  <c:v>252</c:v>
                </c:pt>
                <c:pt idx="670">
                  <c:v>230</c:v>
                </c:pt>
                <c:pt idx="671">
                  <c:v>212</c:v>
                </c:pt>
                <c:pt idx="672">
                  <c:v>188</c:v>
                </c:pt>
                <c:pt idx="673">
                  <c:v>181</c:v>
                </c:pt>
                <c:pt idx="674">
                  <c:v>242</c:v>
                </c:pt>
                <c:pt idx="675">
                  <c:v>236</c:v>
                </c:pt>
                <c:pt idx="676">
                  <c:v>232</c:v>
                </c:pt>
                <c:pt idx="677">
                  <c:v>239</c:v>
                </c:pt>
                <c:pt idx="678">
                  <c:v>191</c:v>
                </c:pt>
                <c:pt idx="679">
                  <c:v>222</c:v>
                </c:pt>
                <c:pt idx="680">
                  <c:v>192</c:v>
                </c:pt>
                <c:pt idx="681">
                  <c:v>248</c:v>
                </c:pt>
                <c:pt idx="682">
                  <c:v>213</c:v>
                </c:pt>
                <c:pt idx="683">
                  <c:v>194</c:v>
                </c:pt>
                <c:pt idx="684">
                  <c:v>202</c:v>
                </c:pt>
                <c:pt idx="685">
                  <c:v>249</c:v>
                </c:pt>
                <c:pt idx="686">
                  <c:v>223</c:v>
                </c:pt>
                <c:pt idx="687">
                  <c:v>193</c:v>
                </c:pt>
                <c:pt idx="688">
                  <c:v>234</c:v>
                </c:pt>
                <c:pt idx="689">
                  <c:v>187</c:v>
                </c:pt>
                <c:pt idx="690">
                  <c:v>231</c:v>
                </c:pt>
                <c:pt idx="691">
                  <c:v>203</c:v>
                </c:pt>
                <c:pt idx="692">
                  <c:v>224</c:v>
                </c:pt>
                <c:pt idx="693">
                  <c:v>186</c:v>
                </c:pt>
                <c:pt idx="694">
                  <c:v>229</c:v>
                </c:pt>
                <c:pt idx="695">
                  <c:v>244</c:v>
                </c:pt>
                <c:pt idx="696">
                  <c:v>192</c:v>
                </c:pt>
                <c:pt idx="697">
                  <c:v>229</c:v>
                </c:pt>
                <c:pt idx="698">
                  <c:v>246</c:v>
                </c:pt>
                <c:pt idx="699">
                  <c:v>217</c:v>
                </c:pt>
                <c:pt idx="700">
                  <c:v>229</c:v>
                </c:pt>
                <c:pt idx="701">
                  <c:v>189</c:v>
                </c:pt>
                <c:pt idx="702">
                  <c:v>186</c:v>
                </c:pt>
                <c:pt idx="703">
                  <c:v>236</c:v>
                </c:pt>
                <c:pt idx="704">
                  <c:v>218</c:v>
                </c:pt>
                <c:pt idx="705">
                  <c:v>193</c:v>
                </c:pt>
                <c:pt idx="706">
                  <c:v>203</c:v>
                </c:pt>
                <c:pt idx="707">
                  <c:v>213</c:v>
                </c:pt>
                <c:pt idx="708">
                  <c:v>243</c:v>
                </c:pt>
                <c:pt idx="709">
                  <c:v>193</c:v>
                </c:pt>
                <c:pt idx="710">
                  <c:v>197</c:v>
                </c:pt>
                <c:pt idx="711">
                  <c:v>234</c:v>
                </c:pt>
                <c:pt idx="712">
                  <c:v>229</c:v>
                </c:pt>
                <c:pt idx="713">
                  <c:v>213</c:v>
                </c:pt>
                <c:pt idx="714">
                  <c:v>222</c:v>
                </c:pt>
                <c:pt idx="715">
                  <c:v>211</c:v>
                </c:pt>
                <c:pt idx="716">
                  <c:v>198</c:v>
                </c:pt>
                <c:pt idx="717">
                  <c:v>224</c:v>
                </c:pt>
                <c:pt idx="718">
                  <c:v>246</c:v>
                </c:pt>
                <c:pt idx="719">
                  <c:v>232</c:v>
                </c:pt>
                <c:pt idx="720">
                  <c:v>217</c:v>
                </c:pt>
                <c:pt idx="721">
                  <c:v>229</c:v>
                </c:pt>
                <c:pt idx="722">
                  <c:v>232</c:v>
                </c:pt>
                <c:pt idx="723">
                  <c:v>189</c:v>
                </c:pt>
                <c:pt idx="724">
                  <c:v>248</c:v>
                </c:pt>
                <c:pt idx="725">
                  <c:v>265</c:v>
                </c:pt>
                <c:pt idx="726">
                  <c:v>235</c:v>
                </c:pt>
                <c:pt idx="727">
                  <c:v>236</c:v>
                </c:pt>
                <c:pt idx="728">
                  <c:v>221</c:v>
                </c:pt>
                <c:pt idx="729">
                  <c:v>200</c:v>
                </c:pt>
                <c:pt idx="730">
                  <c:v>210</c:v>
                </c:pt>
                <c:pt idx="731">
                  <c:v>180</c:v>
                </c:pt>
                <c:pt idx="732">
                  <c:v>239</c:v>
                </c:pt>
                <c:pt idx="733">
                  <c:v>249</c:v>
                </c:pt>
                <c:pt idx="734">
                  <c:v>199</c:v>
                </c:pt>
                <c:pt idx="735">
                  <c:v>186</c:v>
                </c:pt>
                <c:pt idx="736">
                  <c:v>197</c:v>
                </c:pt>
                <c:pt idx="737">
                  <c:v>210</c:v>
                </c:pt>
                <c:pt idx="738">
                  <c:v>199</c:v>
                </c:pt>
                <c:pt idx="739">
                  <c:v>191</c:v>
                </c:pt>
                <c:pt idx="740">
                  <c:v>223</c:v>
                </c:pt>
                <c:pt idx="741">
                  <c:v>226</c:v>
                </c:pt>
                <c:pt idx="742">
                  <c:v>203</c:v>
                </c:pt>
                <c:pt idx="743">
                  <c:v>180</c:v>
                </c:pt>
                <c:pt idx="744">
                  <c:v>184</c:v>
                </c:pt>
                <c:pt idx="745">
                  <c:v>209</c:v>
                </c:pt>
                <c:pt idx="746">
                  <c:v>292</c:v>
                </c:pt>
                <c:pt idx="747">
                  <c:v>240</c:v>
                </c:pt>
                <c:pt idx="748">
                  <c:v>239</c:v>
                </c:pt>
                <c:pt idx="749">
                  <c:v>192</c:v>
                </c:pt>
                <c:pt idx="750">
                  <c:v>188</c:v>
                </c:pt>
                <c:pt idx="751">
                  <c:v>225</c:v>
                </c:pt>
                <c:pt idx="752">
                  <c:v>221</c:v>
                </c:pt>
                <c:pt idx="753">
                  <c:v>225</c:v>
                </c:pt>
                <c:pt idx="754">
                  <c:v>187</c:v>
                </c:pt>
                <c:pt idx="755">
                  <c:v>233</c:v>
                </c:pt>
                <c:pt idx="756">
                  <c:v>199</c:v>
                </c:pt>
                <c:pt idx="757">
                  <c:v>232</c:v>
                </c:pt>
                <c:pt idx="758">
                  <c:v>197</c:v>
                </c:pt>
                <c:pt idx="759">
                  <c:v>199</c:v>
                </c:pt>
                <c:pt idx="760">
                  <c:v>210</c:v>
                </c:pt>
                <c:pt idx="761">
                  <c:v>196</c:v>
                </c:pt>
                <c:pt idx="762">
                  <c:v>184</c:v>
                </c:pt>
                <c:pt idx="763">
                  <c:v>240</c:v>
                </c:pt>
                <c:pt idx="764">
                  <c:v>195</c:v>
                </c:pt>
                <c:pt idx="765">
                  <c:v>235</c:v>
                </c:pt>
                <c:pt idx="766">
                  <c:v>243</c:v>
                </c:pt>
                <c:pt idx="767">
                  <c:v>242</c:v>
                </c:pt>
                <c:pt idx="768">
                  <c:v>187</c:v>
                </c:pt>
                <c:pt idx="769">
                  <c:v>249</c:v>
                </c:pt>
                <c:pt idx="770">
                  <c:v>241</c:v>
                </c:pt>
                <c:pt idx="771">
                  <c:v>206</c:v>
                </c:pt>
                <c:pt idx="772">
                  <c:v>196</c:v>
                </c:pt>
                <c:pt idx="773">
                  <c:v>199</c:v>
                </c:pt>
                <c:pt idx="774">
                  <c:v>218</c:v>
                </c:pt>
                <c:pt idx="775">
                  <c:v>244</c:v>
                </c:pt>
                <c:pt idx="776">
                  <c:v>222</c:v>
                </c:pt>
                <c:pt idx="777">
                  <c:v>189</c:v>
                </c:pt>
                <c:pt idx="778">
                  <c:v>198</c:v>
                </c:pt>
                <c:pt idx="779">
                  <c:v>214</c:v>
                </c:pt>
                <c:pt idx="780">
                  <c:v>188</c:v>
                </c:pt>
                <c:pt idx="781">
                  <c:v>249</c:v>
                </c:pt>
                <c:pt idx="782">
                  <c:v>216</c:v>
                </c:pt>
                <c:pt idx="783">
                  <c:v>261</c:v>
                </c:pt>
                <c:pt idx="784">
                  <c:v>218</c:v>
                </c:pt>
                <c:pt idx="785">
                  <c:v>219</c:v>
                </c:pt>
                <c:pt idx="786">
                  <c:v>244</c:v>
                </c:pt>
                <c:pt idx="787">
                  <c:v>230</c:v>
                </c:pt>
                <c:pt idx="788">
                  <c:v>241</c:v>
                </c:pt>
                <c:pt idx="789">
                  <c:v>234</c:v>
                </c:pt>
                <c:pt idx="790">
                  <c:v>204</c:v>
                </c:pt>
                <c:pt idx="791">
                  <c:v>244</c:v>
                </c:pt>
                <c:pt idx="792">
                  <c:v>244</c:v>
                </c:pt>
                <c:pt idx="793">
                  <c:v>239</c:v>
                </c:pt>
                <c:pt idx="794">
                  <c:v>220</c:v>
                </c:pt>
                <c:pt idx="795">
                  <c:v>183</c:v>
                </c:pt>
                <c:pt idx="796">
                  <c:v>218</c:v>
                </c:pt>
                <c:pt idx="797">
                  <c:v>181</c:v>
                </c:pt>
                <c:pt idx="798">
                  <c:v>200</c:v>
                </c:pt>
                <c:pt idx="799">
                  <c:v>249</c:v>
                </c:pt>
                <c:pt idx="800">
                  <c:v>209</c:v>
                </c:pt>
                <c:pt idx="801">
                  <c:v>210</c:v>
                </c:pt>
                <c:pt idx="802">
                  <c:v>217</c:v>
                </c:pt>
                <c:pt idx="803">
                  <c:v>216</c:v>
                </c:pt>
                <c:pt idx="804">
                  <c:v>220</c:v>
                </c:pt>
                <c:pt idx="805">
                  <c:v>234</c:v>
                </c:pt>
                <c:pt idx="806">
                  <c:v>249</c:v>
                </c:pt>
                <c:pt idx="807">
                  <c:v>228</c:v>
                </c:pt>
                <c:pt idx="808">
                  <c:v>229</c:v>
                </c:pt>
                <c:pt idx="809">
                  <c:v>214</c:v>
                </c:pt>
                <c:pt idx="810">
                  <c:v>230</c:v>
                </c:pt>
                <c:pt idx="811">
                  <c:v>221</c:v>
                </c:pt>
                <c:pt idx="812">
                  <c:v>180</c:v>
                </c:pt>
                <c:pt idx="813">
                  <c:v>192</c:v>
                </c:pt>
                <c:pt idx="814">
                  <c:v>232</c:v>
                </c:pt>
                <c:pt idx="815">
                  <c:v>212</c:v>
                </c:pt>
                <c:pt idx="816">
                  <c:v>237</c:v>
                </c:pt>
                <c:pt idx="817">
                  <c:v>183</c:v>
                </c:pt>
                <c:pt idx="818">
                  <c:v>232</c:v>
                </c:pt>
                <c:pt idx="819">
                  <c:v>221</c:v>
                </c:pt>
                <c:pt idx="820">
                  <c:v>235</c:v>
                </c:pt>
                <c:pt idx="821">
                  <c:v>189</c:v>
                </c:pt>
                <c:pt idx="822">
                  <c:v>185</c:v>
                </c:pt>
                <c:pt idx="823">
                  <c:v>239</c:v>
                </c:pt>
                <c:pt idx="824">
                  <c:v>234</c:v>
                </c:pt>
                <c:pt idx="825">
                  <c:v>249</c:v>
                </c:pt>
                <c:pt idx="826">
                  <c:v>210</c:v>
                </c:pt>
                <c:pt idx="827">
                  <c:v>212</c:v>
                </c:pt>
                <c:pt idx="828">
                  <c:v>243</c:v>
                </c:pt>
                <c:pt idx="829">
                  <c:v>216</c:v>
                </c:pt>
                <c:pt idx="830">
                  <c:v>186</c:v>
                </c:pt>
                <c:pt idx="831">
                  <c:v>184</c:v>
                </c:pt>
                <c:pt idx="832">
                  <c:v>197</c:v>
                </c:pt>
                <c:pt idx="833">
                  <c:v>236</c:v>
                </c:pt>
                <c:pt idx="834">
                  <c:v>244</c:v>
                </c:pt>
                <c:pt idx="835">
                  <c:v>244</c:v>
                </c:pt>
                <c:pt idx="836">
                  <c:v>190</c:v>
                </c:pt>
                <c:pt idx="837">
                  <c:v>240</c:v>
                </c:pt>
                <c:pt idx="838">
                  <c:v>211</c:v>
                </c:pt>
                <c:pt idx="839">
                  <c:v>245</c:v>
                </c:pt>
                <c:pt idx="840">
                  <c:v>224</c:v>
                </c:pt>
                <c:pt idx="841">
                  <c:v>207</c:v>
                </c:pt>
                <c:pt idx="842">
                  <c:v>241</c:v>
                </c:pt>
                <c:pt idx="843">
                  <c:v>217</c:v>
                </c:pt>
                <c:pt idx="844">
                  <c:v>208</c:v>
                </c:pt>
                <c:pt idx="845">
                  <c:v>246</c:v>
                </c:pt>
                <c:pt idx="846">
                  <c:v>228</c:v>
                </c:pt>
                <c:pt idx="847">
                  <c:v>237</c:v>
                </c:pt>
                <c:pt idx="848">
                  <c:v>227</c:v>
                </c:pt>
                <c:pt idx="849">
                  <c:v>217</c:v>
                </c:pt>
                <c:pt idx="850">
                  <c:v>200</c:v>
                </c:pt>
                <c:pt idx="851">
                  <c:v>189</c:v>
                </c:pt>
                <c:pt idx="852">
                  <c:v>208</c:v>
                </c:pt>
                <c:pt idx="853">
                  <c:v>249</c:v>
                </c:pt>
                <c:pt idx="854">
                  <c:v>190</c:v>
                </c:pt>
                <c:pt idx="855">
                  <c:v>218</c:v>
                </c:pt>
                <c:pt idx="856">
                  <c:v>213</c:v>
                </c:pt>
                <c:pt idx="857">
                  <c:v>228</c:v>
                </c:pt>
                <c:pt idx="858">
                  <c:v>196</c:v>
                </c:pt>
                <c:pt idx="859">
                  <c:v>211</c:v>
                </c:pt>
                <c:pt idx="860">
                  <c:v>219</c:v>
                </c:pt>
                <c:pt idx="861">
                  <c:v>185</c:v>
                </c:pt>
                <c:pt idx="862">
                  <c:v>222</c:v>
                </c:pt>
                <c:pt idx="863">
                  <c:v>198</c:v>
                </c:pt>
                <c:pt idx="864">
                  <c:v>238</c:v>
                </c:pt>
                <c:pt idx="865">
                  <c:v>232</c:v>
                </c:pt>
                <c:pt idx="866">
                  <c:v>224</c:v>
                </c:pt>
                <c:pt idx="867">
                  <c:v>240</c:v>
                </c:pt>
                <c:pt idx="868">
                  <c:v>241</c:v>
                </c:pt>
                <c:pt idx="869">
                  <c:v>235</c:v>
                </c:pt>
                <c:pt idx="870">
                  <c:v>246</c:v>
                </c:pt>
                <c:pt idx="871">
                  <c:v>226</c:v>
                </c:pt>
                <c:pt idx="872">
                  <c:v>191</c:v>
                </c:pt>
                <c:pt idx="873">
                  <c:v>244</c:v>
                </c:pt>
                <c:pt idx="874">
                  <c:v>204</c:v>
                </c:pt>
                <c:pt idx="875">
                  <c:v>194</c:v>
                </c:pt>
                <c:pt idx="876">
                  <c:v>221</c:v>
                </c:pt>
                <c:pt idx="877">
                  <c:v>232</c:v>
                </c:pt>
                <c:pt idx="878">
                  <c:v>249</c:v>
                </c:pt>
                <c:pt idx="879">
                  <c:v>213</c:v>
                </c:pt>
                <c:pt idx="880">
                  <c:v>242</c:v>
                </c:pt>
                <c:pt idx="881">
                  <c:v>228</c:v>
                </c:pt>
                <c:pt idx="882">
                  <c:v>189</c:v>
                </c:pt>
                <c:pt idx="883">
                  <c:v>184</c:v>
                </c:pt>
                <c:pt idx="884">
                  <c:v>224</c:v>
                </c:pt>
                <c:pt idx="885">
                  <c:v>248</c:v>
                </c:pt>
                <c:pt idx="886">
                  <c:v>245</c:v>
                </c:pt>
                <c:pt idx="887">
                  <c:v>246</c:v>
                </c:pt>
                <c:pt idx="888">
                  <c:v>242</c:v>
                </c:pt>
                <c:pt idx="889">
                  <c:v>184</c:v>
                </c:pt>
                <c:pt idx="890">
                  <c:v>192</c:v>
                </c:pt>
                <c:pt idx="891">
                  <c:v>226</c:v>
                </c:pt>
                <c:pt idx="892">
                  <c:v>217</c:v>
                </c:pt>
                <c:pt idx="893">
                  <c:v>229</c:v>
                </c:pt>
                <c:pt idx="894">
                  <c:v>189</c:v>
                </c:pt>
                <c:pt idx="895">
                  <c:v>188</c:v>
                </c:pt>
                <c:pt idx="896">
                  <c:v>219</c:v>
                </c:pt>
                <c:pt idx="897">
                  <c:v>228</c:v>
                </c:pt>
                <c:pt idx="898">
                  <c:v>239</c:v>
                </c:pt>
                <c:pt idx="899">
                  <c:v>231</c:v>
                </c:pt>
                <c:pt idx="900">
                  <c:v>192</c:v>
                </c:pt>
                <c:pt idx="901">
                  <c:v>239</c:v>
                </c:pt>
                <c:pt idx="902">
                  <c:v>214</c:v>
                </c:pt>
                <c:pt idx="903">
                  <c:v>222</c:v>
                </c:pt>
                <c:pt idx="904">
                  <c:v>223</c:v>
                </c:pt>
                <c:pt idx="905">
                  <c:v>266</c:v>
                </c:pt>
                <c:pt idx="906">
                  <c:v>229</c:v>
                </c:pt>
                <c:pt idx="907">
                  <c:v>247</c:v>
                </c:pt>
                <c:pt idx="908">
                  <c:v>242</c:v>
                </c:pt>
                <c:pt idx="909">
                  <c:v>219</c:v>
                </c:pt>
                <c:pt idx="910">
                  <c:v>243</c:v>
                </c:pt>
                <c:pt idx="911">
                  <c:v>184</c:v>
                </c:pt>
                <c:pt idx="912">
                  <c:v>192</c:v>
                </c:pt>
                <c:pt idx="913">
                  <c:v>223</c:v>
                </c:pt>
                <c:pt idx="914">
                  <c:v>237</c:v>
                </c:pt>
                <c:pt idx="915">
                  <c:v>238</c:v>
                </c:pt>
                <c:pt idx="916">
                  <c:v>203</c:v>
                </c:pt>
                <c:pt idx="917">
                  <c:v>186</c:v>
                </c:pt>
                <c:pt idx="918">
                  <c:v>181</c:v>
                </c:pt>
                <c:pt idx="919">
                  <c:v>239</c:v>
                </c:pt>
                <c:pt idx="920">
                  <c:v>188</c:v>
                </c:pt>
                <c:pt idx="921">
                  <c:v>188</c:v>
                </c:pt>
                <c:pt idx="922">
                  <c:v>234</c:v>
                </c:pt>
                <c:pt idx="923">
                  <c:v>205</c:v>
                </c:pt>
                <c:pt idx="924">
                  <c:v>181</c:v>
                </c:pt>
                <c:pt idx="925">
                  <c:v>204</c:v>
                </c:pt>
                <c:pt idx="926">
                  <c:v>228</c:v>
                </c:pt>
                <c:pt idx="927">
                  <c:v>209</c:v>
                </c:pt>
                <c:pt idx="928">
                  <c:v>228</c:v>
                </c:pt>
                <c:pt idx="929">
                  <c:v>246</c:v>
                </c:pt>
                <c:pt idx="930">
                  <c:v>192</c:v>
                </c:pt>
                <c:pt idx="931">
                  <c:v>200</c:v>
                </c:pt>
                <c:pt idx="932">
                  <c:v>205</c:v>
                </c:pt>
                <c:pt idx="933">
                  <c:v>242</c:v>
                </c:pt>
                <c:pt idx="934">
                  <c:v>242</c:v>
                </c:pt>
                <c:pt idx="935">
                  <c:v>233</c:v>
                </c:pt>
                <c:pt idx="936">
                  <c:v>181</c:v>
                </c:pt>
                <c:pt idx="937">
                  <c:v>245</c:v>
                </c:pt>
                <c:pt idx="938">
                  <c:v>226</c:v>
                </c:pt>
                <c:pt idx="939">
                  <c:v>235</c:v>
                </c:pt>
                <c:pt idx="940">
                  <c:v>194</c:v>
                </c:pt>
                <c:pt idx="941">
                  <c:v>191</c:v>
                </c:pt>
                <c:pt idx="942">
                  <c:v>230</c:v>
                </c:pt>
                <c:pt idx="943">
                  <c:v>191</c:v>
                </c:pt>
                <c:pt idx="944">
                  <c:v>239</c:v>
                </c:pt>
                <c:pt idx="945">
                  <c:v>238</c:v>
                </c:pt>
                <c:pt idx="946">
                  <c:v>204</c:v>
                </c:pt>
                <c:pt idx="947">
                  <c:v>246</c:v>
                </c:pt>
                <c:pt idx="948">
                  <c:v>193</c:v>
                </c:pt>
                <c:pt idx="949">
                  <c:v>193</c:v>
                </c:pt>
                <c:pt idx="950">
                  <c:v>199</c:v>
                </c:pt>
                <c:pt idx="951">
                  <c:v>182</c:v>
                </c:pt>
                <c:pt idx="952">
                  <c:v>204</c:v>
                </c:pt>
                <c:pt idx="953">
                  <c:v>206</c:v>
                </c:pt>
                <c:pt idx="954">
                  <c:v>236</c:v>
                </c:pt>
                <c:pt idx="955">
                  <c:v>246</c:v>
                </c:pt>
                <c:pt idx="956">
                  <c:v>201</c:v>
                </c:pt>
                <c:pt idx="957">
                  <c:v>234</c:v>
                </c:pt>
                <c:pt idx="958">
                  <c:v>224</c:v>
                </c:pt>
                <c:pt idx="959">
                  <c:v>195</c:v>
                </c:pt>
                <c:pt idx="960">
                  <c:v>205</c:v>
                </c:pt>
                <c:pt idx="961">
                  <c:v>219</c:v>
                </c:pt>
                <c:pt idx="962">
                  <c:v>243</c:v>
                </c:pt>
                <c:pt idx="963">
                  <c:v>202</c:v>
                </c:pt>
                <c:pt idx="964">
                  <c:v>229</c:v>
                </c:pt>
                <c:pt idx="965">
                  <c:v>198</c:v>
                </c:pt>
                <c:pt idx="966">
                  <c:v>199</c:v>
                </c:pt>
                <c:pt idx="967">
                  <c:v>199</c:v>
                </c:pt>
                <c:pt idx="968">
                  <c:v>203</c:v>
                </c:pt>
                <c:pt idx="969">
                  <c:v>193</c:v>
                </c:pt>
                <c:pt idx="970">
                  <c:v>236</c:v>
                </c:pt>
                <c:pt idx="971">
                  <c:v>207</c:v>
                </c:pt>
                <c:pt idx="972">
                  <c:v>237</c:v>
                </c:pt>
                <c:pt idx="973">
                  <c:v>235</c:v>
                </c:pt>
                <c:pt idx="974">
                  <c:v>189</c:v>
                </c:pt>
                <c:pt idx="975">
                  <c:v>182</c:v>
                </c:pt>
                <c:pt idx="976">
                  <c:v>218</c:v>
                </c:pt>
                <c:pt idx="977">
                  <c:v>215</c:v>
                </c:pt>
                <c:pt idx="978">
                  <c:v>230</c:v>
                </c:pt>
                <c:pt idx="979">
                  <c:v>245</c:v>
                </c:pt>
                <c:pt idx="980">
                  <c:v>220</c:v>
                </c:pt>
                <c:pt idx="981">
                  <c:v>196</c:v>
                </c:pt>
                <c:pt idx="982">
                  <c:v>205</c:v>
                </c:pt>
                <c:pt idx="983">
                  <c:v>247</c:v>
                </c:pt>
                <c:pt idx="984">
                  <c:v>232</c:v>
                </c:pt>
                <c:pt idx="985">
                  <c:v>210</c:v>
                </c:pt>
                <c:pt idx="986">
                  <c:v>181</c:v>
                </c:pt>
                <c:pt idx="987">
                  <c:v>201</c:v>
                </c:pt>
                <c:pt idx="988">
                  <c:v>192</c:v>
                </c:pt>
                <c:pt idx="989">
                  <c:v>231</c:v>
                </c:pt>
                <c:pt idx="990">
                  <c:v>205</c:v>
                </c:pt>
                <c:pt idx="991">
                  <c:v>193</c:v>
                </c:pt>
                <c:pt idx="992">
                  <c:v>237</c:v>
                </c:pt>
                <c:pt idx="993">
                  <c:v>206</c:v>
                </c:pt>
                <c:pt idx="994">
                  <c:v>197</c:v>
                </c:pt>
                <c:pt idx="995">
                  <c:v>218</c:v>
                </c:pt>
                <c:pt idx="996">
                  <c:v>203</c:v>
                </c:pt>
                <c:pt idx="997">
                  <c:v>203</c:v>
                </c:pt>
                <c:pt idx="998">
                  <c:v>211</c:v>
                </c:pt>
                <c:pt idx="999">
                  <c:v>229</c:v>
                </c:pt>
                <c:pt idx="1000">
                  <c:v>207</c:v>
                </c:pt>
                <c:pt idx="1001">
                  <c:v>244</c:v>
                </c:pt>
                <c:pt idx="1002">
                  <c:v>241</c:v>
                </c:pt>
                <c:pt idx="1003">
                  <c:v>193</c:v>
                </c:pt>
                <c:pt idx="1004">
                  <c:v>249</c:v>
                </c:pt>
                <c:pt idx="1005">
                  <c:v>224</c:v>
                </c:pt>
                <c:pt idx="1006">
                  <c:v>199</c:v>
                </c:pt>
                <c:pt idx="1007">
                  <c:v>242</c:v>
                </c:pt>
                <c:pt idx="1008">
                  <c:v>199</c:v>
                </c:pt>
                <c:pt idx="1009">
                  <c:v>197</c:v>
                </c:pt>
                <c:pt idx="1010">
                  <c:v>274</c:v>
                </c:pt>
                <c:pt idx="1011">
                  <c:v>206</c:v>
                </c:pt>
                <c:pt idx="1012">
                  <c:v>241</c:v>
                </c:pt>
                <c:pt idx="1013">
                  <c:v>198</c:v>
                </c:pt>
                <c:pt idx="1014">
                  <c:v>248</c:v>
                </c:pt>
                <c:pt idx="1015">
                  <c:v>238</c:v>
                </c:pt>
                <c:pt idx="1016">
                  <c:v>227</c:v>
                </c:pt>
                <c:pt idx="1017">
                  <c:v>247</c:v>
                </c:pt>
                <c:pt idx="1018">
                  <c:v>231</c:v>
                </c:pt>
                <c:pt idx="1019">
                  <c:v>213</c:v>
                </c:pt>
                <c:pt idx="1020">
                  <c:v>198</c:v>
                </c:pt>
                <c:pt idx="1021">
                  <c:v>227</c:v>
                </c:pt>
                <c:pt idx="1022">
                  <c:v>246</c:v>
                </c:pt>
                <c:pt idx="1023">
                  <c:v>238</c:v>
                </c:pt>
                <c:pt idx="1024">
                  <c:v>194</c:v>
                </c:pt>
                <c:pt idx="1025">
                  <c:v>209</c:v>
                </c:pt>
                <c:pt idx="1026">
                  <c:v>234</c:v>
                </c:pt>
                <c:pt idx="1027">
                  <c:v>214</c:v>
                </c:pt>
                <c:pt idx="1028">
                  <c:v>229</c:v>
                </c:pt>
                <c:pt idx="1029">
                  <c:v>271</c:v>
                </c:pt>
                <c:pt idx="1030">
                  <c:v>227</c:v>
                </c:pt>
                <c:pt idx="1031">
                  <c:v>207</c:v>
                </c:pt>
                <c:pt idx="1032">
                  <c:v>208</c:v>
                </c:pt>
                <c:pt idx="1033">
                  <c:v>190</c:v>
                </c:pt>
                <c:pt idx="1034">
                  <c:v>225</c:v>
                </c:pt>
                <c:pt idx="1035">
                  <c:v>205</c:v>
                </c:pt>
                <c:pt idx="1036">
                  <c:v>213</c:v>
                </c:pt>
                <c:pt idx="1037">
                  <c:v>224</c:v>
                </c:pt>
                <c:pt idx="1038">
                  <c:v>219</c:v>
                </c:pt>
                <c:pt idx="1039">
                  <c:v>220</c:v>
                </c:pt>
                <c:pt idx="1040">
                  <c:v>245</c:v>
                </c:pt>
                <c:pt idx="1041">
                  <c:v>225</c:v>
                </c:pt>
                <c:pt idx="1042">
                  <c:v>190</c:v>
                </c:pt>
                <c:pt idx="1043">
                  <c:v>245</c:v>
                </c:pt>
                <c:pt idx="1044">
                  <c:v>240</c:v>
                </c:pt>
                <c:pt idx="1045">
                  <c:v>184</c:v>
                </c:pt>
                <c:pt idx="1046">
                  <c:v>238</c:v>
                </c:pt>
                <c:pt idx="1047">
                  <c:v>229</c:v>
                </c:pt>
                <c:pt idx="1048">
                  <c:v>195</c:v>
                </c:pt>
                <c:pt idx="1049">
                  <c:v>195</c:v>
                </c:pt>
                <c:pt idx="1050">
                  <c:v>191</c:v>
                </c:pt>
                <c:pt idx="1051">
                  <c:v>245</c:v>
                </c:pt>
                <c:pt idx="1052">
                  <c:v>182</c:v>
                </c:pt>
                <c:pt idx="1053">
                  <c:v>223</c:v>
                </c:pt>
                <c:pt idx="1054">
                  <c:v>233</c:v>
                </c:pt>
                <c:pt idx="1055">
                  <c:v>205</c:v>
                </c:pt>
                <c:pt idx="1056">
                  <c:v>242</c:v>
                </c:pt>
                <c:pt idx="1057">
                  <c:v>222</c:v>
                </c:pt>
                <c:pt idx="1058">
                  <c:v>194</c:v>
                </c:pt>
                <c:pt idx="1059">
                  <c:v>196</c:v>
                </c:pt>
                <c:pt idx="1060">
                  <c:v>202</c:v>
                </c:pt>
                <c:pt idx="1061">
                  <c:v>191</c:v>
                </c:pt>
                <c:pt idx="1062">
                  <c:v>235</c:v>
                </c:pt>
                <c:pt idx="1063">
                  <c:v>224</c:v>
                </c:pt>
                <c:pt idx="1064">
                  <c:v>234</c:v>
                </c:pt>
                <c:pt idx="1065">
                  <c:v>228</c:v>
                </c:pt>
                <c:pt idx="1066">
                  <c:v>236</c:v>
                </c:pt>
                <c:pt idx="1067">
                  <c:v>245</c:v>
                </c:pt>
                <c:pt idx="1068">
                  <c:v>184</c:v>
                </c:pt>
                <c:pt idx="1069">
                  <c:v>222</c:v>
                </c:pt>
                <c:pt idx="1070">
                  <c:v>220</c:v>
                </c:pt>
                <c:pt idx="1071">
                  <c:v>232</c:v>
                </c:pt>
                <c:pt idx="1072">
                  <c:v>200</c:v>
                </c:pt>
                <c:pt idx="1073">
                  <c:v>244</c:v>
                </c:pt>
                <c:pt idx="1074">
                  <c:v>238</c:v>
                </c:pt>
                <c:pt idx="1075">
                  <c:v>229</c:v>
                </c:pt>
                <c:pt idx="1076">
                  <c:v>234</c:v>
                </c:pt>
                <c:pt idx="1077">
                  <c:v>242</c:v>
                </c:pt>
                <c:pt idx="1078">
                  <c:v>193</c:v>
                </c:pt>
                <c:pt idx="1079">
                  <c:v>233</c:v>
                </c:pt>
                <c:pt idx="1080">
                  <c:v>182</c:v>
                </c:pt>
                <c:pt idx="1081">
                  <c:v>202</c:v>
                </c:pt>
                <c:pt idx="1082">
                  <c:v>235</c:v>
                </c:pt>
                <c:pt idx="1083">
                  <c:v>204</c:v>
                </c:pt>
                <c:pt idx="1084">
                  <c:v>180</c:v>
                </c:pt>
                <c:pt idx="1085">
                  <c:v>230</c:v>
                </c:pt>
                <c:pt idx="1086">
                  <c:v>196</c:v>
                </c:pt>
                <c:pt idx="1087">
                  <c:v>209</c:v>
                </c:pt>
                <c:pt idx="1088">
                  <c:v>237</c:v>
                </c:pt>
                <c:pt idx="1089">
                  <c:v>249</c:v>
                </c:pt>
                <c:pt idx="1090">
                  <c:v>223</c:v>
                </c:pt>
                <c:pt idx="1091">
                  <c:v>234</c:v>
                </c:pt>
                <c:pt idx="1092">
                  <c:v>218</c:v>
                </c:pt>
                <c:pt idx="1093">
                  <c:v>241</c:v>
                </c:pt>
                <c:pt idx="1094">
                  <c:v>221</c:v>
                </c:pt>
                <c:pt idx="1095">
                  <c:v>211</c:v>
                </c:pt>
                <c:pt idx="1096">
                  <c:v>199</c:v>
                </c:pt>
                <c:pt idx="1097">
                  <c:v>232</c:v>
                </c:pt>
                <c:pt idx="1098">
                  <c:v>207</c:v>
                </c:pt>
                <c:pt idx="1099">
                  <c:v>199</c:v>
                </c:pt>
                <c:pt idx="1100">
                  <c:v>189</c:v>
                </c:pt>
                <c:pt idx="1101">
                  <c:v>201</c:v>
                </c:pt>
                <c:pt idx="1102">
                  <c:v>244</c:v>
                </c:pt>
                <c:pt idx="1103">
                  <c:v>231</c:v>
                </c:pt>
                <c:pt idx="1104">
                  <c:v>218</c:v>
                </c:pt>
                <c:pt idx="1105">
                  <c:v>194</c:v>
                </c:pt>
                <c:pt idx="1106">
                  <c:v>250</c:v>
                </c:pt>
                <c:pt idx="1107">
                  <c:v>204</c:v>
                </c:pt>
                <c:pt idx="1108">
                  <c:v>197</c:v>
                </c:pt>
                <c:pt idx="1109">
                  <c:v>234</c:v>
                </c:pt>
                <c:pt idx="1110">
                  <c:v>211</c:v>
                </c:pt>
                <c:pt idx="1111">
                  <c:v>213</c:v>
                </c:pt>
                <c:pt idx="1112">
                  <c:v>214</c:v>
                </c:pt>
                <c:pt idx="1113">
                  <c:v>214</c:v>
                </c:pt>
                <c:pt idx="1114">
                  <c:v>230</c:v>
                </c:pt>
                <c:pt idx="1115">
                  <c:v>203</c:v>
                </c:pt>
                <c:pt idx="1116">
                  <c:v>194</c:v>
                </c:pt>
                <c:pt idx="1117">
                  <c:v>269</c:v>
                </c:pt>
                <c:pt idx="1118">
                  <c:v>228</c:v>
                </c:pt>
                <c:pt idx="1119">
                  <c:v>244</c:v>
                </c:pt>
                <c:pt idx="1120">
                  <c:v>246</c:v>
                </c:pt>
                <c:pt idx="1121">
                  <c:v>241</c:v>
                </c:pt>
                <c:pt idx="1122">
                  <c:v>197</c:v>
                </c:pt>
                <c:pt idx="1123">
                  <c:v>190</c:v>
                </c:pt>
                <c:pt idx="1124">
                  <c:v>210</c:v>
                </c:pt>
                <c:pt idx="1125">
                  <c:v>234</c:v>
                </c:pt>
                <c:pt idx="1126">
                  <c:v>219</c:v>
                </c:pt>
                <c:pt idx="1127">
                  <c:v>247</c:v>
                </c:pt>
                <c:pt idx="1128">
                  <c:v>240</c:v>
                </c:pt>
                <c:pt idx="1129">
                  <c:v>217</c:v>
                </c:pt>
                <c:pt idx="1130">
                  <c:v>218</c:v>
                </c:pt>
                <c:pt idx="1131">
                  <c:v>190</c:v>
                </c:pt>
                <c:pt idx="1132">
                  <c:v>236</c:v>
                </c:pt>
                <c:pt idx="1133">
                  <c:v>202</c:v>
                </c:pt>
                <c:pt idx="1134">
                  <c:v>225</c:v>
                </c:pt>
                <c:pt idx="1135">
                  <c:v>244</c:v>
                </c:pt>
                <c:pt idx="1136">
                  <c:v>245</c:v>
                </c:pt>
                <c:pt idx="1137">
                  <c:v>247</c:v>
                </c:pt>
                <c:pt idx="1138">
                  <c:v>199</c:v>
                </c:pt>
                <c:pt idx="1139">
                  <c:v>218</c:v>
                </c:pt>
                <c:pt idx="1140">
                  <c:v>204</c:v>
                </c:pt>
                <c:pt idx="1141">
                  <c:v>193</c:v>
                </c:pt>
                <c:pt idx="1142">
                  <c:v>203</c:v>
                </c:pt>
                <c:pt idx="1143">
                  <c:v>245</c:v>
                </c:pt>
                <c:pt idx="1144">
                  <c:v>203</c:v>
                </c:pt>
                <c:pt idx="1145">
                  <c:v>182</c:v>
                </c:pt>
                <c:pt idx="1146">
                  <c:v>221</c:v>
                </c:pt>
                <c:pt idx="1147">
                  <c:v>232</c:v>
                </c:pt>
                <c:pt idx="1148">
                  <c:v>183</c:v>
                </c:pt>
                <c:pt idx="1149">
                  <c:v>220</c:v>
                </c:pt>
                <c:pt idx="1150">
                  <c:v>191</c:v>
                </c:pt>
                <c:pt idx="1151">
                  <c:v>199</c:v>
                </c:pt>
                <c:pt idx="1152">
                  <c:v>185</c:v>
                </c:pt>
                <c:pt idx="1153">
                  <c:v>235</c:v>
                </c:pt>
                <c:pt idx="1154">
                  <c:v>221</c:v>
                </c:pt>
                <c:pt idx="1155">
                  <c:v>194</c:v>
                </c:pt>
                <c:pt idx="1156">
                  <c:v>214</c:v>
                </c:pt>
                <c:pt idx="1157">
                  <c:v>218</c:v>
                </c:pt>
                <c:pt idx="1158">
                  <c:v>215</c:v>
                </c:pt>
                <c:pt idx="1159">
                  <c:v>193</c:v>
                </c:pt>
                <c:pt idx="1160">
                  <c:v>193</c:v>
                </c:pt>
                <c:pt idx="1161">
                  <c:v>203</c:v>
                </c:pt>
                <c:pt idx="1162">
                  <c:v>185</c:v>
                </c:pt>
                <c:pt idx="1163">
                  <c:v>215</c:v>
                </c:pt>
                <c:pt idx="1164">
                  <c:v>247</c:v>
                </c:pt>
                <c:pt idx="1165">
                  <c:v>234</c:v>
                </c:pt>
                <c:pt idx="1166">
                  <c:v>223</c:v>
                </c:pt>
                <c:pt idx="1167">
                  <c:v>204</c:v>
                </c:pt>
                <c:pt idx="1168">
                  <c:v>206</c:v>
                </c:pt>
                <c:pt idx="1169">
                  <c:v>245</c:v>
                </c:pt>
                <c:pt idx="1170">
                  <c:v>191</c:v>
                </c:pt>
                <c:pt idx="1171">
                  <c:v>208</c:v>
                </c:pt>
                <c:pt idx="1172">
                  <c:v>249</c:v>
                </c:pt>
                <c:pt idx="1173">
                  <c:v>224</c:v>
                </c:pt>
                <c:pt idx="1174">
                  <c:v>187</c:v>
                </c:pt>
                <c:pt idx="1175">
                  <c:v>203</c:v>
                </c:pt>
                <c:pt idx="1176">
                  <c:v>249</c:v>
                </c:pt>
                <c:pt idx="1177">
                  <c:v>182</c:v>
                </c:pt>
                <c:pt idx="1178">
                  <c:v>245</c:v>
                </c:pt>
                <c:pt idx="1179">
                  <c:v>192</c:v>
                </c:pt>
                <c:pt idx="1180">
                  <c:v>187</c:v>
                </c:pt>
                <c:pt idx="1181">
                  <c:v>242</c:v>
                </c:pt>
                <c:pt idx="1182">
                  <c:v>225</c:v>
                </c:pt>
                <c:pt idx="1183">
                  <c:v>236</c:v>
                </c:pt>
                <c:pt idx="1184">
                  <c:v>243</c:v>
                </c:pt>
                <c:pt idx="1185">
                  <c:v>186</c:v>
                </c:pt>
                <c:pt idx="1186">
                  <c:v>248</c:v>
                </c:pt>
                <c:pt idx="1187">
                  <c:v>209</c:v>
                </c:pt>
                <c:pt idx="1188">
                  <c:v>183</c:v>
                </c:pt>
                <c:pt idx="1189">
                  <c:v>202</c:v>
                </c:pt>
                <c:pt idx="1190">
                  <c:v>189</c:v>
                </c:pt>
                <c:pt idx="1191">
                  <c:v>217</c:v>
                </c:pt>
                <c:pt idx="1192">
                  <c:v>228</c:v>
                </c:pt>
                <c:pt idx="1193">
                  <c:v>205</c:v>
                </c:pt>
                <c:pt idx="1194">
                  <c:v>239</c:v>
                </c:pt>
                <c:pt idx="1195">
                  <c:v>192</c:v>
                </c:pt>
                <c:pt idx="1196">
                  <c:v>223</c:v>
                </c:pt>
                <c:pt idx="1197">
                  <c:v>204</c:v>
                </c:pt>
                <c:pt idx="1198">
                  <c:v>246</c:v>
                </c:pt>
                <c:pt idx="1199">
                  <c:v>229</c:v>
                </c:pt>
                <c:pt idx="1200">
                  <c:v>208</c:v>
                </c:pt>
                <c:pt idx="1201">
                  <c:v>223</c:v>
                </c:pt>
                <c:pt idx="1202">
                  <c:v>227</c:v>
                </c:pt>
                <c:pt idx="1203">
                  <c:v>194</c:v>
                </c:pt>
                <c:pt idx="1204">
                  <c:v>225</c:v>
                </c:pt>
                <c:pt idx="1205">
                  <c:v>216</c:v>
                </c:pt>
                <c:pt idx="1206">
                  <c:v>188</c:v>
                </c:pt>
                <c:pt idx="1207">
                  <c:v>222</c:v>
                </c:pt>
                <c:pt idx="1208">
                  <c:v>210</c:v>
                </c:pt>
                <c:pt idx="1209">
                  <c:v>242</c:v>
                </c:pt>
                <c:pt idx="1210">
                  <c:v>203</c:v>
                </c:pt>
                <c:pt idx="1211">
                  <c:v>240</c:v>
                </c:pt>
                <c:pt idx="1212">
                  <c:v>206</c:v>
                </c:pt>
                <c:pt idx="1213">
                  <c:v>215</c:v>
                </c:pt>
                <c:pt idx="1214">
                  <c:v>229</c:v>
                </c:pt>
                <c:pt idx="1215">
                  <c:v>223</c:v>
                </c:pt>
                <c:pt idx="1216">
                  <c:v>198</c:v>
                </c:pt>
                <c:pt idx="1217">
                  <c:v>215</c:v>
                </c:pt>
                <c:pt idx="1218">
                  <c:v>205</c:v>
                </c:pt>
                <c:pt idx="1219">
                  <c:v>240</c:v>
                </c:pt>
                <c:pt idx="1220">
                  <c:v>237</c:v>
                </c:pt>
                <c:pt idx="1221">
                  <c:v>210</c:v>
                </c:pt>
                <c:pt idx="1222">
                  <c:v>216</c:v>
                </c:pt>
                <c:pt idx="1223">
                  <c:v>185</c:v>
                </c:pt>
                <c:pt idx="1224">
                  <c:v>222</c:v>
                </c:pt>
                <c:pt idx="1225">
                  <c:v>211</c:v>
                </c:pt>
                <c:pt idx="1226">
                  <c:v>198</c:v>
                </c:pt>
                <c:pt idx="1227">
                  <c:v>213</c:v>
                </c:pt>
                <c:pt idx="1228">
                  <c:v>234</c:v>
                </c:pt>
                <c:pt idx="1229">
                  <c:v>188</c:v>
                </c:pt>
                <c:pt idx="1230">
                  <c:v>198</c:v>
                </c:pt>
                <c:pt idx="1231">
                  <c:v>195</c:v>
                </c:pt>
                <c:pt idx="1232">
                  <c:v>186</c:v>
                </c:pt>
                <c:pt idx="1233">
                  <c:v>244</c:v>
                </c:pt>
                <c:pt idx="1234">
                  <c:v>207</c:v>
                </c:pt>
                <c:pt idx="1235">
                  <c:v>216</c:v>
                </c:pt>
                <c:pt idx="1236">
                  <c:v>249</c:v>
                </c:pt>
                <c:pt idx="1237">
                  <c:v>206</c:v>
                </c:pt>
                <c:pt idx="1238">
                  <c:v>186</c:v>
                </c:pt>
                <c:pt idx="1239">
                  <c:v>238</c:v>
                </c:pt>
                <c:pt idx="1240">
                  <c:v>236</c:v>
                </c:pt>
                <c:pt idx="1241">
                  <c:v>240</c:v>
                </c:pt>
                <c:pt idx="1242">
                  <c:v>157</c:v>
                </c:pt>
                <c:pt idx="1243">
                  <c:v>195</c:v>
                </c:pt>
                <c:pt idx="1244">
                  <c:v>244</c:v>
                </c:pt>
                <c:pt idx="1245">
                  <c:v>202</c:v>
                </c:pt>
                <c:pt idx="1246">
                  <c:v>236</c:v>
                </c:pt>
                <c:pt idx="1247">
                  <c:v>210</c:v>
                </c:pt>
                <c:pt idx="1248">
                  <c:v>198</c:v>
                </c:pt>
                <c:pt idx="1249">
                  <c:v>203</c:v>
                </c:pt>
                <c:pt idx="1250">
                  <c:v>198</c:v>
                </c:pt>
                <c:pt idx="1251">
                  <c:v>223</c:v>
                </c:pt>
                <c:pt idx="1252">
                  <c:v>226</c:v>
                </c:pt>
                <c:pt idx="1253">
                  <c:v>197</c:v>
                </c:pt>
                <c:pt idx="1254">
                  <c:v>223</c:v>
                </c:pt>
                <c:pt idx="1255">
                  <c:v>224</c:v>
                </c:pt>
                <c:pt idx="1256">
                  <c:v>188</c:v>
                </c:pt>
                <c:pt idx="1257">
                  <c:v>225</c:v>
                </c:pt>
                <c:pt idx="1258">
                  <c:v>184</c:v>
                </c:pt>
                <c:pt idx="1259">
                  <c:v>202</c:v>
                </c:pt>
                <c:pt idx="1260">
                  <c:v>204</c:v>
                </c:pt>
                <c:pt idx="1261">
                  <c:v>194</c:v>
                </c:pt>
                <c:pt idx="1262">
                  <c:v>197</c:v>
                </c:pt>
                <c:pt idx="1263">
                  <c:v>182</c:v>
                </c:pt>
                <c:pt idx="1264">
                  <c:v>243</c:v>
                </c:pt>
                <c:pt idx="1265">
                  <c:v>187</c:v>
                </c:pt>
                <c:pt idx="1266">
                  <c:v>195</c:v>
                </c:pt>
                <c:pt idx="1267">
                  <c:v>221</c:v>
                </c:pt>
                <c:pt idx="1268">
                  <c:v>187</c:v>
                </c:pt>
                <c:pt idx="1269">
                  <c:v>217</c:v>
                </c:pt>
                <c:pt idx="1270">
                  <c:v>212</c:v>
                </c:pt>
                <c:pt idx="1271">
                  <c:v>223</c:v>
                </c:pt>
                <c:pt idx="1272">
                  <c:v>196</c:v>
                </c:pt>
                <c:pt idx="1273">
                  <c:v>237</c:v>
                </c:pt>
                <c:pt idx="1274">
                  <c:v>224</c:v>
                </c:pt>
                <c:pt idx="1275">
                  <c:v>199</c:v>
                </c:pt>
                <c:pt idx="1276">
                  <c:v>233</c:v>
                </c:pt>
                <c:pt idx="1277">
                  <c:v>231</c:v>
                </c:pt>
                <c:pt idx="1278">
                  <c:v>218</c:v>
                </c:pt>
                <c:pt idx="1279">
                  <c:v>214</c:v>
                </c:pt>
                <c:pt idx="1280">
                  <c:v>192</c:v>
                </c:pt>
                <c:pt idx="1281">
                  <c:v>181</c:v>
                </c:pt>
                <c:pt idx="1282">
                  <c:v>205</c:v>
                </c:pt>
                <c:pt idx="1283">
                  <c:v>220</c:v>
                </c:pt>
                <c:pt idx="1284">
                  <c:v>237</c:v>
                </c:pt>
                <c:pt idx="1285">
                  <c:v>182</c:v>
                </c:pt>
                <c:pt idx="1286">
                  <c:v>265</c:v>
                </c:pt>
                <c:pt idx="1287">
                  <c:v>151</c:v>
                </c:pt>
                <c:pt idx="1288">
                  <c:v>191</c:v>
                </c:pt>
                <c:pt idx="1289">
                  <c:v>249</c:v>
                </c:pt>
                <c:pt idx="1290">
                  <c:v>182</c:v>
                </c:pt>
                <c:pt idx="1291">
                  <c:v>242</c:v>
                </c:pt>
                <c:pt idx="1292">
                  <c:v>229</c:v>
                </c:pt>
                <c:pt idx="1293">
                  <c:v>229</c:v>
                </c:pt>
                <c:pt idx="1294">
                  <c:v>196</c:v>
                </c:pt>
                <c:pt idx="1295">
                  <c:v>210</c:v>
                </c:pt>
                <c:pt idx="1296">
                  <c:v>201</c:v>
                </c:pt>
                <c:pt idx="1297">
                  <c:v>214</c:v>
                </c:pt>
                <c:pt idx="1298">
                  <c:v>203</c:v>
                </c:pt>
                <c:pt idx="1299">
                  <c:v>203</c:v>
                </c:pt>
                <c:pt idx="1300">
                  <c:v>209</c:v>
                </c:pt>
                <c:pt idx="1301">
                  <c:v>206</c:v>
                </c:pt>
                <c:pt idx="1302">
                  <c:v>241</c:v>
                </c:pt>
                <c:pt idx="1303">
                  <c:v>249</c:v>
                </c:pt>
                <c:pt idx="1304">
                  <c:v>249</c:v>
                </c:pt>
                <c:pt idx="1305">
                  <c:v>242</c:v>
                </c:pt>
                <c:pt idx="1306">
                  <c:v>199</c:v>
                </c:pt>
                <c:pt idx="1307">
                  <c:v>188</c:v>
                </c:pt>
                <c:pt idx="1308">
                  <c:v>219</c:v>
                </c:pt>
                <c:pt idx="1309">
                  <c:v>248</c:v>
                </c:pt>
                <c:pt idx="1310">
                  <c:v>232</c:v>
                </c:pt>
                <c:pt idx="1311">
                  <c:v>187</c:v>
                </c:pt>
                <c:pt idx="1312">
                  <c:v>237</c:v>
                </c:pt>
                <c:pt idx="1313">
                  <c:v>192</c:v>
                </c:pt>
                <c:pt idx="1314">
                  <c:v>195</c:v>
                </c:pt>
                <c:pt idx="1315">
                  <c:v>219</c:v>
                </c:pt>
                <c:pt idx="1316">
                  <c:v>230</c:v>
                </c:pt>
                <c:pt idx="1317">
                  <c:v>193</c:v>
                </c:pt>
                <c:pt idx="1318">
                  <c:v>218</c:v>
                </c:pt>
                <c:pt idx="1319">
                  <c:v>221</c:v>
                </c:pt>
                <c:pt idx="1320">
                  <c:v>203</c:v>
                </c:pt>
                <c:pt idx="1321">
                  <c:v>218</c:v>
                </c:pt>
                <c:pt idx="1322">
                  <c:v>227</c:v>
                </c:pt>
                <c:pt idx="1323">
                  <c:v>189</c:v>
                </c:pt>
                <c:pt idx="1324">
                  <c:v>247</c:v>
                </c:pt>
                <c:pt idx="1325">
                  <c:v>211</c:v>
                </c:pt>
                <c:pt idx="1326">
                  <c:v>233</c:v>
                </c:pt>
                <c:pt idx="1327">
                  <c:v>181</c:v>
                </c:pt>
                <c:pt idx="1328">
                  <c:v>219</c:v>
                </c:pt>
                <c:pt idx="1329">
                  <c:v>181</c:v>
                </c:pt>
                <c:pt idx="1330">
                  <c:v>201</c:v>
                </c:pt>
                <c:pt idx="1331">
                  <c:v>249</c:v>
                </c:pt>
                <c:pt idx="1332">
                  <c:v>245</c:v>
                </c:pt>
                <c:pt idx="1333">
                  <c:v>228</c:v>
                </c:pt>
                <c:pt idx="1334">
                  <c:v>236</c:v>
                </c:pt>
                <c:pt idx="1335">
                  <c:v>208</c:v>
                </c:pt>
                <c:pt idx="1336">
                  <c:v>205</c:v>
                </c:pt>
                <c:pt idx="1337">
                  <c:v>243</c:v>
                </c:pt>
                <c:pt idx="1338">
                  <c:v>238</c:v>
                </c:pt>
                <c:pt idx="1339">
                  <c:v>204</c:v>
                </c:pt>
                <c:pt idx="1340">
                  <c:v>238</c:v>
                </c:pt>
                <c:pt idx="1341">
                  <c:v>224</c:v>
                </c:pt>
                <c:pt idx="1342">
                  <c:v>183</c:v>
                </c:pt>
                <c:pt idx="1343">
                  <c:v>201</c:v>
                </c:pt>
                <c:pt idx="1344">
                  <c:v>211</c:v>
                </c:pt>
                <c:pt idx="1345">
                  <c:v>224</c:v>
                </c:pt>
                <c:pt idx="1346">
                  <c:v>188</c:v>
                </c:pt>
                <c:pt idx="1347">
                  <c:v>198</c:v>
                </c:pt>
                <c:pt idx="1348">
                  <c:v>238</c:v>
                </c:pt>
                <c:pt idx="1349">
                  <c:v>201</c:v>
                </c:pt>
                <c:pt idx="1350">
                  <c:v>244</c:v>
                </c:pt>
                <c:pt idx="1351">
                  <c:v>244</c:v>
                </c:pt>
                <c:pt idx="1352">
                  <c:v>204</c:v>
                </c:pt>
                <c:pt idx="1353">
                  <c:v>214</c:v>
                </c:pt>
                <c:pt idx="1354">
                  <c:v>229</c:v>
                </c:pt>
                <c:pt idx="1355">
                  <c:v>195</c:v>
                </c:pt>
                <c:pt idx="1356">
                  <c:v>202</c:v>
                </c:pt>
                <c:pt idx="1357">
                  <c:v>186</c:v>
                </c:pt>
                <c:pt idx="1358">
                  <c:v>205</c:v>
                </c:pt>
                <c:pt idx="1359">
                  <c:v>240</c:v>
                </c:pt>
                <c:pt idx="1360">
                  <c:v>246</c:v>
                </c:pt>
                <c:pt idx="1361">
                  <c:v>209</c:v>
                </c:pt>
                <c:pt idx="1362">
                  <c:v>244</c:v>
                </c:pt>
                <c:pt idx="1363">
                  <c:v>200</c:v>
                </c:pt>
                <c:pt idx="1364">
                  <c:v>239</c:v>
                </c:pt>
                <c:pt idx="1365">
                  <c:v>231</c:v>
                </c:pt>
                <c:pt idx="1366">
                  <c:v>232</c:v>
                </c:pt>
                <c:pt idx="1367">
                  <c:v>196</c:v>
                </c:pt>
                <c:pt idx="1368">
                  <c:v>188</c:v>
                </c:pt>
                <c:pt idx="1369">
                  <c:v>304</c:v>
                </c:pt>
                <c:pt idx="1370">
                  <c:v>226</c:v>
                </c:pt>
                <c:pt idx="1371">
                  <c:v>211</c:v>
                </c:pt>
                <c:pt idx="1372">
                  <c:v>230</c:v>
                </c:pt>
                <c:pt idx="1373">
                  <c:v>247</c:v>
                </c:pt>
                <c:pt idx="1374">
                  <c:v>227</c:v>
                </c:pt>
                <c:pt idx="1375">
                  <c:v>240</c:v>
                </c:pt>
                <c:pt idx="1376">
                  <c:v>244</c:v>
                </c:pt>
                <c:pt idx="1377">
                  <c:v>185</c:v>
                </c:pt>
                <c:pt idx="1378">
                  <c:v>235</c:v>
                </c:pt>
                <c:pt idx="1379">
                  <c:v>194</c:v>
                </c:pt>
                <c:pt idx="1380">
                  <c:v>184</c:v>
                </c:pt>
                <c:pt idx="1381">
                  <c:v>201</c:v>
                </c:pt>
                <c:pt idx="1382">
                  <c:v>236</c:v>
                </c:pt>
                <c:pt idx="1383">
                  <c:v>226</c:v>
                </c:pt>
                <c:pt idx="1384">
                  <c:v>210</c:v>
                </c:pt>
                <c:pt idx="1385">
                  <c:v>203</c:v>
                </c:pt>
                <c:pt idx="1386">
                  <c:v>226</c:v>
                </c:pt>
                <c:pt idx="1387">
                  <c:v>215</c:v>
                </c:pt>
                <c:pt idx="1388">
                  <c:v>226</c:v>
                </c:pt>
                <c:pt idx="1389">
                  <c:v>197</c:v>
                </c:pt>
                <c:pt idx="1390">
                  <c:v>215</c:v>
                </c:pt>
                <c:pt idx="1391">
                  <c:v>207</c:v>
                </c:pt>
                <c:pt idx="1392">
                  <c:v>204</c:v>
                </c:pt>
                <c:pt idx="1393">
                  <c:v>247</c:v>
                </c:pt>
                <c:pt idx="1394">
                  <c:v>212</c:v>
                </c:pt>
                <c:pt idx="1395">
                  <c:v>212</c:v>
                </c:pt>
                <c:pt idx="1396">
                  <c:v>222</c:v>
                </c:pt>
                <c:pt idx="1397">
                  <c:v>216</c:v>
                </c:pt>
                <c:pt idx="1398">
                  <c:v>235</c:v>
                </c:pt>
                <c:pt idx="1399">
                  <c:v>186</c:v>
                </c:pt>
                <c:pt idx="1400">
                  <c:v>197</c:v>
                </c:pt>
                <c:pt idx="1401">
                  <c:v>215</c:v>
                </c:pt>
                <c:pt idx="1402">
                  <c:v>203</c:v>
                </c:pt>
                <c:pt idx="1403">
                  <c:v>233</c:v>
                </c:pt>
                <c:pt idx="1404">
                  <c:v>225</c:v>
                </c:pt>
                <c:pt idx="1405">
                  <c:v>211</c:v>
                </c:pt>
                <c:pt idx="1406">
                  <c:v>223</c:v>
                </c:pt>
                <c:pt idx="1407">
                  <c:v>232</c:v>
                </c:pt>
                <c:pt idx="1408">
                  <c:v>244</c:v>
                </c:pt>
                <c:pt idx="1409">
                  <c:v>215</c:v>
                </c:pt>
                <c:pt idx="1410">
                  <c:v>219</c:v>
                </c:pt>
                <c:pt idx="1411">
                  <c:v>202</c:v>
                </c:pt>
                <c:pt idx="1412">
                  <c:v>236</c:v>
                </c:pt>
                <c:pt idx="1413">
                  <c:v>190</c:v>
                </c:pt>
                <c:pt idx="1414">
                  <c:v>243</c:v>
                </c:pt>
                <c:pt idx="1415">
                  <c:v>189</c:v>
                </c:pt>
                <c:pt idx="1416">
                  <c:v>214</c:v>
                </c:pt>
                <c:pt idx="1417">
                  <c:v>188</c:v>
                </c:pt>
                <c:pt idx="1418">
                  <c:v>181</c:v>
                </c:pt>
                <c:pt idx="1419">
                  <c:v>234</c:v>
                </c:pt>
                <c:pt idx="1420">
                  <c:v>189</c:v>
                </c:pt>
                <c:pt idx="1421">
                  <c:v>235</c:v>
                </c:pt>
                <c:pt idx="1422">
                  <c:v>208</c:v>
                </c:pt>
                <c:pt idx="1423">
                  <c:v>203</c:v>
                </c:pt>
                <c:pt idx="1424">
                  <c:v>180</c:v>
                </c:pt>
                <c:pt idx="1425">
                  <c:v>205</c:v>
                </c:pt>
                <c:pt idx="1426">
                  <c:v>211</c:v>
                </c:pt>
                <c:pt idx="1427">
                  <c:v>194</c:v>
                </c:pt>
                <c:pt idx="1428">
                  <c:v>242</c:v>
                </c:pt>
                <c:pt idx="1429">
                  <c:v>243</c:v>
                </c:pt>
                <c:pt idx="1430">
                  <c:v>219</c:v>
                </c:pt>
                <c:pt idx="1431">
                  <c:v>193</c:v>
                </c:pt>
                <c:pt idx="1432">
                  <c:v>185</c:v>
                </c:pt>
                <c:pt idx="1433">
                  <c:v>189</c:v>
                </c:pt>
                <c:pt idx="1434">
                  <c:v>294</c:v>
                </c:pt>
                <c:pt idx="1435">
                  <c:v>196</c:v>
                </c:pt>
                <c:pt idx="1436">
                  <c:v>240</c:v>
                </c:pt>
                <c:pt idx="1437">
                  <c:v>218</c:v>
                </c:pt>
                <c:pt idx="1438">
                  <c:v>238</c:v>
                </c:pt>
                <c:pt idx="1439">
                  <c:v>214</c:v>
                </c:pt>
                <c:pt idx="1440">
                  <c:v>195</c:v>
                </c:pt>
                <c:pt idx="1441">
                  <c:v>200</c:v>
                </c:pt>
                <c:pt idx="1442">
                  <c:v>240</c:v>
                </c:pt>
                <c:pt idx="1443">
                  <c:v>214</c:v>
                </c:pt>
                <c:pt idx="1444">
                  <c:v>193</c:v>
                </c:pt>
                <c:pt idx="1445">
                  <c:v>193</c:v>
                </c:pt>
                <c:pt idx="1446">
                  <c:v>213</c:v>
                </c:pt>
                <c:pt idx="1447">
                  <c:v>236</c:v>
                </c:pt>
                <c:pt idx="1448">
                  <c:v>212</c:v>
                </c:pt>
                <c:pt idx="1449">
                  <c:v>244</c:v>
                </c:pt>
                <c:pt idx="1450">
                  <c:v>214</c:v>
                </c:pt>
                <c:pt idx="1451">
                  <c:v>240</c:v>
                </c:pt>
                <c:pt idx="1452">
                  <c:v>234</c:v>
                </c:pt>
                <c:pt idx="1453">
                  <c:v>237</c:v>
                </c:pt>
                <c:pt idx="1454">
                  <c:v>247</c:v>
                </c:pt>
                <c:pt idx="1455">
                  <c:v>210</c:v>
                </c:pt>
                <c:pt idx="1456">
                  <c:v>185</c:v>
                </c:pt>
                <c:pt idx="1457">
                  <c:v>207</c:v>
                </c:pt>
                <c:pt idx="1458">
                  <c:v>180</c:v>
                </c:pt>
                <c:pt idx="1459">
                  <c:v>205</c:v>
                </c:pt>
                <c:pt idx="1460">
                  <c:v>185</c:v>
                </c:pt>
                <c:pt idx="1461">
                  <c:v>203</c:v>
                </c:pt>
                <c:pt idx="1462">
                  <c:v>249</c:v>
                </c:pt>
                <c:pt idx="1463">
                  <c:v>182</c:v>
                </c:pt>
                <c:pt idx="1464">
                  <c:v>247</c:v>
                </c:pt>
                <c:pt idx="1465">
                  <c:v>198</c:v>
                </c:pt>
                <c:pt idx="1466">
                  <c:v>235</c:v>
                </c:pt>
                <c:pt idx="1467">
                  <c:v>217</c:v>
                </c:pt>
                <c:pt idx="1468">
                  <c:v>235</c:v>
                </c:pt>
                <c:pt idx="1469">
                  <c:v>186</c:v>
                </c:pt>
                <c:pt idx="1470">
                  <c:v>198</c:v>
                </c:pt>
                <c:pt idx="1471">
                  <c:v>241</c:v>
                </c:pt>
                <c:pt idx="1472">
                  <c:v>182</c:v>
                </c:pt>
                <c:pt idx="1473">
                  <c:v>191</c:v>
                </c:pt>
                <c:pt idx="1474">
                  <c:v>201</c:v>
                </c:pt>
                <c:pt idx="1475">
                  <c:v>203</c:v>
                </c:pt>
                <c:pt idx="1476">
                  <c:v>182</c:v>
                </c:pt>
                <c:pt idx="1477">
                  <c:v>195</c:v>
                </c:pt>
                <c:pt idx="1478">
                  <c:v>190</c:v>
                </c:pt>
                <c:pt idx="1479">
                  <c:v>232</c:v>
                </c:pt>
                <c:pt idx="1480">
                  <c:v>186</c:v>
                </c:pt>
                <c:pt idx="1481">
                  <c:v>192</c:v>
                </c:pt>
                <c:pt idx="1482">
                  <c:v>190</c:v>
                </c:pt>
                <c:pt idx="1483">
                  <c:v>233</c:v>
                </c:pt>
                <c:pt idx="1484">
                  <c:v>207</c:v>
                </c:pt>
                <c:pt idx="1485">
                  <c:v>212</c:v>
                </c:pt>
                <c:pt idx="1486">
                  <c:v>182</c:v>
                </c:pt>
                <c:pt idx="1487">
                  <c:v>197</c:v>
                </c:pt>
                <c:pt idx="1488">
                  <c:v>239</c:v>
                </c:pt>
                <c:pt idx="1489">
                  <c:v>229</c:v>
                </c:pt>
                <c:pt idx="1490">
                  <c:v>228</c:v>
                </c:pt>
                <c:pt idx="1491">
                  <c:v>188</c:v>
                </c:pt>
                <c:pt idx="1492">
                  <c:v>192</c:v>
                </c:pt>
                <c:pt idx="1493">
                  <c:v>195</c:v>
                </c:pt>
                <c:pt idx="1494">
                  <c:v>191</c:v>
                </c:pt>
                <c:pt idx="1495">
                  <c:v>250</c:v>
                </c:pt>
                <c:pt idx="1496">
                  <c:v>225</c:v>
                </c:pt>
                <c:pt idx="1497">
                  <c:v>186</c:v>
                </c:pt>
                <c:pt idx="1498">
                  <c:v>245</c:v>
                </c:pt>
                <c:pt idx="1499">
                  <c:v>198</c:v>
                </c:pt>
                <c:pt idx="1500">
                  <c:v>196</c:v>
                </c:pt>
                <c:pt idx="1501">
                  <c:v>236</c:v>
                </c:pt>
                <c:pt idx="1502">
                  <c:v>214</c:v>
                </c:pt>
                <c:pt idx="1503">
                  <c:v>204</c:v>
                </c:pt>
                <c:pt idx="1504">
                  <c:v>264</c:v>
                </c:pt>
                <c:pt idx="1505">
                  <c:v>212</c:v>
                </c:pt>
                <c:pt idx="1506">
                  <c:v>186</c:v>
                </c:pt>
                <c:pt idx="1507">
                  <c:v>233</c:v>
                </c:pt>
                <c:pt idx="1508">
                  <c:v>231</c:v>
                </c:pt>
                <c:pt idx="1509">
                  <c:v>217</c:v>
                </c:pt>
                <c:pt idx="1510">
                  <c:v>244</c:v>
                </c:pt>
                <c:pt idx="1511">
                  <c:v>181</c:v>
                </c:pt>
                <c:pt idx="1512">
                  <c:v>223</c:v>
                </c:pt>
                <c:pt idx="1513">
                  <c:v>181</c:v>
                </c:pt>
                <c:pt idx="1514">
                  <c:v>180</c:v>
                </c:pt>
                <c:pt idx="1515">
                  <c:v>216</c:v>
                </c:pt>
                <c:pt idx="1516">
                  <c:v>248</c:v>
                </c:pt>
                <c:pt idx="1517">
                  <c:v>221</c:v>
                </c:pt>
                <c:pt idx="1518">
                  <c:v>209</c:v>
                </c:pt>
                <c:pt idx="1519">
                  <c:v>248</c:v>
                </c:pt>
                <c:pt idx="1520">
                  <c:v>199</c:v>
                </c:pt>
                <c:pt idx="1521">
                  <c:v>234</c:v>
                </c:pt>
                <c:pt idx="1522">
                  <c:v>191</c:v>
                </c:pt>
                <c:pt idx="1523">
                  <c:v>230</c:v>
                </c:pt>
                <c:pt idx="1524">
                  <c:v>246</c:v>
                </c:pt>
                <c:pt idx="1525">
                  <c:v>205</c:v>
                </c:pt>
                <c:pt idx="1526">
                  <c:v>207</c:v>
                </c:pt>
                <c:pt idx="1527">
                  <c:v>247</c:v>
                </c:pt>
                <c:pt idx="1528">
                  <c:v>238</c:v>
                </c:pt>
                <c:pt idx="1529">
                  <c:v>225</c:v>
                </c:pt>
                <c:pt idx="1530">
                  <c:v>221</c:v>
                </c:pt>
                <c:pt idx="1531">
                  <c:v>202</c:v>
                </c:pt>
                <c:pt idx="1532">
                  <c:v>232</c:v>
                </c:pt>
                <c:pt idx="1533">
                  <c:v>190</c:v>
                </c:pt>
                <c:pt idx="1534">
                  <c:v>234</c:v>
                </c:pt>
                <c:pt idx="1535">
                  <c:v>207</c:v>
                </c:pt>
                <c:pt idx="1536">
                  <c:v>234</c:v>
                </c:pt>
                <c:pt idx="1537">
                  <c:v>199</c:v>
                </c:pt>
                <c:pt idx="1538">
                  <c:v>192</c:v>
                </c:pt>
                <c:pt idx="1539">
                  <c:v>245</c:v>
                </c:pt>
                <c:pt idx="1540">
                  <c:v>188</c:v>
                </c:pt>
                <c:pt idx="1541">
                  <c:v>197</c:v>
                </c:pt>
                <c:pt idx="1542">
                  <c:v>227</c:v>
                </c:pt>
                <c:pt idx="1543">
                  <c:v>208</c:v>
                </c:pt>
                <c:pt idx="1544">
                  <c:v>198</c:v>
                </c:pt>
                <c:pt idx="1545">
                  <c:v>219</c:v>
                </c:pt>
                <c:pt idx="1546">
                  <c:v>181</c:v>
                </c:pt>
                <c:pt idx="1547">
                  <c:v>183</c:v>
                </c:pt>
                <c:pt idx="1548">
                  <c:v>227</c:v>
                </c:pt>
                <c:pt idx="1549">
                  <c:v>206</c:v>
                </c:pt>
                <c:pt idx="1550">
                  <c:v>192</c:v>
                </c:pt>
                <c:pt idx="1551">
                  <c:v>225</c:v>
                </c:pt>
                <c:pt idx="1552">
                  <c:v>195</c:v>
                </c:pt>
                <c:pt idx="1553">
                  <c:v>211</c:v>
                </c:pt>
                <c:pt idx="1554">
                  <c:v>248</c:v>
                </c:pt>
                <c:pt idx="1555">
                  <c:v>240</c:v>
                </c:pt>
                <c:pt idx="1556">
                  <c:v>183</c:v>
                </c:pt>
                <c:pt idx="1557">
                  <c:v>220</c:v>
                </c:pt>
                <c:pt idx="1558">
                  <c:v>209</c:v>
                </c:pt>
                <c:pt idx="1559">
                  <c:v>232</c:v>
                </c:pt>
                <c:pt idx="1560">
                  <c:v>236</c:v>
                </c:pt>
                <c:pt idx="1561">
                  <c:v>227</c:v>
                </c:pt>
                <c:pt idx="1562">
                  <c:v>239</c:v>
                </c:pt>
                <c:pt idx="1563">
                  <c:v>244</c:v>
                </c:pt>
                <c:pt idx="1564">
                  <c:v>208</c:v>
                </c:pt>
                <c:pt idx="1565">
                  <c:v>205</c:v>
                </c:pt>
                <c:pt idx="1566">
                  <c:v>236</c:v>
                </c:pt>
                <c:pt idx="1567">
                  <c:v>214</c:v>
                </c:pt>
                <c:pt idx="1568">
                  <c:v>206</c:v>
                </c:pt>
                <c:pt idx="1569">
                  <c:v>235</c:v>
                </c:pt>
                <c:pt idx="1570">
                  <c:v>239</c:v>
                </c:pt>
                <c:pt idx="1571">
                  <c:v>231</c:v>
                </c:pt>
                <c:pt idx="1572">
                  <c:v>225</c:v>
                </c:pt>
                <c:pt idx="1573">
                  <c:v>212</c:v>
                </c:pt>
                <c:pt idx="1574">
                  <c:v>206</c:v>
                </c:pt>
                <c:pt idx="1575">
                  <c:v>215</c:v>
                </c:pt>
                <c:pt idx="1576">
                  <c:v>239</c:v>
                </c:pt>
                <c:pt idx="1577">
                  <c:v>186</c:v>
                </c:pt>
                <c:pt idx="1578">
                  <c:v>248</c:v>
                </c:pt>
                <c:pt idx="1579">
                  <c:v>198</c:v>
                </c:pt>
                <c:pt idx="1580">
                  <c:v>185</c:v>
                </c:pt>
                <c:pt idx="1581">
                  <c:v>196</c:v>
                </c:pt>
                <c:pt idx="1582">
                  <c:v>182</c:v>
                </c:pt>
                <c:pt idx="1583">
                  <c:v>215</c:v>
                </c:pt>
                <c:pt idx="1584">
                  <c:v>180</c:v>
                </c:pt>
                <c:pt idx="1585">
                  <c:v>200</c:v>
                </c:pt>
                <c:pt idx="1586">
                  <c:v>234</c:v>
                </c:pt>
                <c:pt idx="1587">
                  <c:v>204</c:v>
                </c:pt>
                <c:pt idx="1588">
                  <c:v>219</c:v>
                </c:pt>
                <c:pt idx="1589">
                  <c:v>213</c:v>
                </c:pt>
                <c:pt idx="1590">
                  <c:v>132</c:v>
                </c:pt>
                <c:pt idx="1591">
                  <c:v>224</c:v>
                </c:pt>
                <c:pt idx="1592">
                  <c:v>125</c:v>
                </c:pt>
                <c:pt idx="1593">
                  <c:v>192</c:v>
                </c:pt>
                <c:pt idx="1594">
                  <c:v>235</c:v>
                </c:pt>
                <c:pt idx="1595">
                  <c:v>190</c:v>
                </c:pt>
                <c:pt idx="1596">
                  <c:v>190</c:v>
                </c:pt>
                <c:pt idx="1597">
                  <c:v>200</c:v>
                </c:pt>
                <c:pt idx="1598">
                  <c:v>187</c:v>
                </c:pt>
                <c:pt idx="1599">
                  <c:v>214</c:v>
                </c:pt>
                <c:pt idx="1600">
                  <c:v>235</c:v>
                </c:pt>
                <c:pt idx="1601">
                  <c:v>183</c:v>
                </c:pt>
                <c:pt idx="1602">
                  <c:v>237</c:v>
                </c:pt>
                <c:pt idx="1603">
                  <c:v>184</c:v>
                </c:pt>
                <c:pt idx="1604">
                  <c:v>221</c:v>
                </c:pt>
                <c:pt idx="1605">
                  <c:v>183</c:v>
                </c:pt>
                <c:pt idx="1606">
                  <c:v>233</c:v>
                </c:pt>
                <c:pt idx="1607">
                  <c:v>186</c:v>
                </c:pt>
                <c:pt idx="1608">
                  <c:v>206</c:v>
                </c:pt>
                <c:pt idx="1609">
                  <c:v>194</c:v>
                </c:pt>
                <c:pt idx="1610">
                  <c:v>199</c:v>
                </c:pt>
                <c:pt idx="1611">
                  <c:v>187</c:v>
                </c:pt>
                <c:pt idx="1612">
                  <c:v>216</c:v>
                </c:pt>
                <c:pt idx="1613">
                  <c:v>237</c:v>
                </c:pt>
                <c:pt idx="1614">
                  <c:v>236</c:v>
                </c:pt>
                <c:pt idx="1615">
                  <c:v>183</c:v>
                </c:pt>
                <c:pt idx="1616">
                  <c:v>215</c:v>
                </c:pt>
                <c:pt idx="1617">
                  <c:v>225</c:v>
                </c:pt>
                <c:pt idx="1618">
                  <c:v>147</c:v>
                </c:pt>
                <c:pt idx="1619">
                  <c:v>231</c:v>
                </c:pt>
                <c:pt idx="1620">
                  <c:v>227</c:v>
                </c:pt>
                <c:pt idx="1621">
                  <c:v>213</c:v>
                </c:pt>
                <c:pt idx="1622">
                  <c:v>221</c:v>
                </c:pt>
                <c:pt idx="1623">
                  <c:v>183</c:v>
                </c:pt>
                <c:pt idx="1624">
                  <c:v>235</c:v>
                </c:pt>
                <c:pt idx="1625">
                  <c:v>243</c:v>
                </c:pt>
                <c:pt idx="1626">
                  <c:v>180</c:v>
                </c:pt>
                <c:pt idx="1627">
                  <c:v>204</c:v>
                </c:pt>
                <c:pt idx="1628">
                  <c:v>242</c:v>
                </c:pt>
                <c:pt idx="1629">
                  <c:v>192</c:v>
                </c:pt>
                <c:pt idx="1630">
                  <c:v>188</c:v>
                </c:pt>
                <c:pt idx="1631">
                  <c:v>211</c:v>
                </c:pt>
                <c:pt idx="1632">
                  <c:v>235</c:v>
                </c:pt>
                <c:pt idx="1633">
                  <c:v>250</c:v>
                </c:pt>
                <c:pt idx="1634">
                  <c:v>182</c:v>
                </c:pt>
                <c:pt idx="1635">
                  <c:v>221</c:v>
                </c:pt>
                <c:pt idx="1636">
                  <c:v>248</c:v>
                </c:pt>
                <c:pt idx="1637">
                  <c:v>227</c:v>
                </c:pt>
                <c:pt idx="1638">
                  <c:v>198</c:v>
                </c:pt>
                <c:pt idx="1639">
                  <c:v>239</c:v>
                </c:pt>
                <c:pt idx="1640">
                  <c:v>191</c:v>
                </c:pt>
                <c:pt idx="1641">
                  <c:v>195</c:v>
                </c:pt>
                <c:pt idx="1642">
                  <c:v>208</c:v>
                </c:pt>
                <c:pt idx="1643">
                  <c:v>196</c:v>
                </c:pt>
                <c:pt idx="1644">
                  <c:v>198</c:v>
                </c:pt>
                <c:pt idx="1645">
                  <c:v>196</c:v>
                </c:pt>
                <c:pt idx="1646">
                  <c:v>200</c:v>
                </c:pt>
                <c:pt idx="1647">
                  <c:v>241</c:v>
                </c:pt>
                <c:pt idx="1648">
                  <c:v>208</c:v>
                </c:pt>
                <c:pt idx="1649">
                  <c:v>226</c:v>
                </c:pt>
                <c:pt idx="1650">
                  <c:v>211</c:v>
                </c:pt>
                <c:pt idx="1651">
                  <c:v>198</c:v>
                </c:pt>
                <c:pt idx="1652">
                  <c:v>266</c:v>
                </c:pt>
                <c:pt idx="1653">
                  <c:v>219</c:v>
                </c:pt>
                <c:pt idx="1654">
                  <c:v>250</c:v>
                </c:pt>
                <c:pt idx="1655">
                  <c:v>235</c:v>
                </c:pt>
                <c:pt idx="1656">
                  <c:v>217</c:v>
                </c:pt>
                <c:pt idx="1657">
                  <c:v>238</c:v>
                </c:pt>
                <c:pt idx="1658">
                  <c:v>180</c:v>
                </c:pt>
                <c:pt idx="1659">
                  <c:v>226</c:v>
                </c:pt>
                <c:pt idx="1660">
                  <c:v>221</c:v>
                </c:pt>
                <c:pt idx="1661">
                  <c:v>192</c:v>
                </c:pt>
                <c:pt idx="1662">
                  <c:v>230</c:v>
                </c:pt>
                <c:pt idx="1663">
                  <c:v>242</c:v>
                </c:pt>
                <c:pt idx="1664">
                  <c:v>227</c:v>
                </c:pt>
                <c:pt idx="1665">
                  <c:v>232</c:v>
                </c:pt>
                <c:pt idx="1666">
                  <c:v>233</c:v>
                </c:pt>
                <c:pt idx="1667">
                  <c:v>201</c:v>
                </c:pt>
                <c:pt idx="1668">
                  <c:v>222</c:v>
                </c:pt>
                <c:pt idx="1669">
                  <c:v>223</c:v>
                </c:pt>
                <c:pt idx="1670">
                  <c:v>214</c:v>
                </c:pt>
                <c:pt idx="1671">
                  <c:v>183</c:v>
                </c:pt>
                <c:pt idx="1672">
                  <c:v>202</c:v>
                </c:pt>
                <c:pt idx="1673">
                  <c:v>194</c:v>
                </c:pt>
                <c:pt idx="1674">
                  <c:v>195</c:v>
                </c:pt>
                <c:pt idx="1675">
                  <c:v>196</c:v>
                </c:pt>
                <c:pt idx="1676">
                  <c:v>187</c:v>
                </c:pt>
                <c:pt idx="1677">
                  <c:v>210</c:v>
                </c:pt>
                <c:pt idx="1678">
                  <c:v>192</c:v>
                </c:pt>
                <c:pt idx="1679">
                  <c:v>197</c:v>
                </c:pt>
                <c:pt idx="1680">
                  <c:v>220</c:v>
                </c:pt>
                <c:pt idx="1681">
                  <c:v>235</c:v>
                </c:pt>
                <c:pt idx="1682">
                  <c:v>226</c:v>
                </c:pt>
                <c:pt idx="1683">
                  <c:v>237</c:v>
                </c:pt>
                <c:pt idx="1684">
                  <c:v>218</c:v>
                </c:pt>
                <c:pt idx="1685">
                  <c:v>248</c:v>
                </c:pt>
                <c:pt idx="1686">
                  <c:v>197</c:v>
                </c:pt>
                <c:pt idx="1687">
                  <c:v>163</c:v>
                </c:pt>
                <c:pt idx="1688">
                  <c:v>191</c:v>
                </c:pt>
                <c:pt idx="1689">
                  <c:v>242</c:v>
                </c:pt>
                <c:pt idx="1690">
                  <c:v>227</c:v>
                </c:pt>
                <c:pt idx="1691">
                  <c:v>197</c:v>
                </c:pt>
                <c:pt idx="1692">
                  <c:v>213</c:v>
                </c:pt>
                <c:pt idx="1693">
                  <c:v>191</c:v>
                </c:pt>
                <c:pt idx="1694">
                  <c:v>206</c:v>
                </c:pt>
                <c:pt idx="1695">
                  <c:v>249</c:v>
                </c:pt>
                <c:pt idx="1696">
                  <c:v>233</c:v>
                </c:pt>
                <c:pt idx="1697">
                  <c:v>227</c:v>
                </c:pt>
                <c:pt idx="1698">
                  <c:v>204</c:v>
                </c:pt>
                <c:pt idx="1699">
                  <c:v>243</c:v>
                </c:pt>
                <c:pt idx="1700">
                  <c:v>247</c:v>
                </c:pt>
                <c:pt idx="1701">
                  <c:v>225</c:v>
                </c:pt>
                <c:pt idx="1702">
                  <c:v>190</c:v>
                </c:pt>
                <c:pt idx="1703">
                  <c:v>237</c:v>
                </c:pt>
                <c:pt idx="1704">
                  <c:v>250</c:v>
                </c:pt>
                <c:pt idx="1705">
                  <c:v>230</c:v>
                </c:pt>
                <c:pt idx="1706">
                  <c:v>192</c:v>
                </c:pt>
                <c:pt idx="1707">
                  <c:v>187</c:v>
                </c:pt>
                <c:pt idx="1708">
                  <c:v>246</c:v>
                </c:pt>
                <c:pt idx="1709">
                  <c:v>242</c:v>
                </c:pt>
                <c:pt idx="1710">
                  <c:v>208</c:v>
                </c:pt>
                <c:pt idx="1711">
                  <c:v>248</c:v>
                </c:pt>
                <c:pt idx="1712">
                  <c:v>227</c:v>
                </c:pt>
                <c:pt idx="1713">
                  <c:v>182</c:v>
                </c:pt>
                <c:pt idx="1714">
                  <c:v>215</c:v>
                </c:pt>
                <c:pt idx="1715">
                  <c:v>215</c:v>
                </c:pt>
                <c:pt idx="1716">
                  <c:v>230</c:v>
                </c:pt>
                <c:pt idx="1717">
                  <c:v>225</c:v>
                </c:pt>
                <c:pt idx="1718">
                  <c:v>192</c:v>
                </c:pt>
                <c:pt idx="1719">
                  <c:v>228</c:v>
                </c:pt>
                <c:pt idx="1720">
                  <c:v>225</c:v>
                </c:pt>
                <c:pt idx="1721">
                  <c:v>186</c:v>
                </c:pt>
                <c:pt idx="1722">
                  <c:v>223</c:v>
                </c:pt>
                <c:pt idx="1723">
                  <c:v>232</c:v>
                </c:pt>
                <c:pt idx="1724">
                  <c:v>207</c:v>
                </c:pt>
                <c:pt idx="1725">
                  <c:v>208</c:v>
                </c:pt>
                <c:pt idx="1726">
                  <c:v>212</c:v>
                </c:pt>
                <c:pt idx="1727">
                  <c:v>248</c:v>
                </c:pt>
                <c:pt idx="1728">
                  <c:v>184</c:v>
                </c:pt>
                <c:pt idx="1729">
                  <c:v>243</c:v>
                </c:pt>
                <c:pt idx="1730">
                  <c:v>232</c:v>
                </c:pt>
                <c:pt idx="1731">
                  <c:v>187</c:v>
                </c:pt>
                <c:pt idx="1732">
                  <c:v>191</c:v>
                </c:pt>
                <c:pt idx="1733">
                  <c:v>190</c:v>
                </c:pt>
                <c:pt idx="1734">
                  <c:v>216</c:v>
                </c:pt>
                <c:pt idx="1735">
                  <c:v>241</c:v>
                </c:pt>
                <c:pt idx="1736">
                  <c:v>215</c:v>
                </c:pt>
                <c:pt idx="1737">
                  <c:v>183</c:v>
                </c:pt>
                <c:pt idx="1738">
                  <c:v>224</c:v>
                </c:pt>
                <c:pt idx="1739">
                  <c:v>238</c:v>
                </c:pt>
                <c:pt idx="1740">
                  <c:v>192</c:v>
                </c:pt>
                <c:pt idx="1741">
                  <c:v>204</c:v>
                </c:pt>
                <c:pt idx="1742">
                  <c:v>199</c:v>
                </c:pt>
                <c:pt idx="1743">
                  <c:v>246</c:v>
                </c:pt>
                <c:pt idx="1744">
                  <c:v>201</c:v>
                </c:pt>
                <c:pt idx="1745">
                  <c:v>215</c:v>
                </c:pt>
                <c:pt idx="1746">
                  <c:v>198</c:v>
                </c:pt>
                <c:pt idx="1747">
                  <c:v>218</c:v>
                </c:pt>
                <c:pt idx="1748">
                  <c:v>224</c:v>
                </c:pt>
                <c:pt idx="1749">
                  <c:v>249</c:v>
                </c:pt>
                <c:pt idx="1750">
                  <c:v>186</c:v>
                </c:pt>
                <c:pt idx="1751">
                  <c:v>223</c:v>
                </c:pt>
                <c:pt idx="1752">
                  <c:v>199</c:v>
                </c:pt>
                <c:pt idx="1753">
                  <c:v>201</c:v>
                </c:pt>
                <c:pt idx="1754">
                  <c:v>248</c:v>
                </c:pt>
                <c:pt idx="1755">
                  <c:v>214</c:v>
                </c:pt>
                <c:pt idx="1756">
                  <c:v>214</c:v>
                </c:pt>
                <c:pt idx="1757">
                  <c:v>250</c:v>
                </c:pt>
                <c:pt idx="1758">
                  <c:v>206</c:v>
                </c:pt>
                <c:pt idx="1759">
                  <c:v>187</c:v>
                </c:pt>
                <c:pt idx="1760">
                  <c:v>245</c:v>
                </c:pt>
                <c:pt idx="1761">
                  <c:v>232</c:v>
                </c:pt>
                <c:pt idx="1762">
                  <c:v>228</c:v>
                </c:pt>
                <c:pt idx="1763">
                  <c:v>202</c:v>
                </c:pt>
                <c:pt idx="1764">
                  <c:v>197</c:v>
                </c:pt>
                <c:pt idx="1765">
                  <c:v>187</c:v>
                </c:pt>
                <c:pt idx="1766">
                  <c:v>221</c:v>
                </c:pt>
                <c:pt idx="1767">
                  <c:v>227</c:v>
                </c:pt>
                <c:pt idx="1768">
                  <c:v>211</c:v>
                </c:pt>
                <c:pt idx="1769">
                  <c:v>224</c:v>
                </c:pt>
                <c:pt idx="1770">
                  <c:v>214</c:v>
                </c:pt>
                <c:pt idx="1771">
                  <c:v>199</c:v>
                </c:pt>
                <c:pt idx="1772">
                  <c:v>190</c:v>
                </c:pt>
                <c:pt idx="1773">
                  <c:v>214</c:v>
                </c:pt>
                <c:pt idx="1774">
                  <c:v>247</c:v>
                </c:pt>
                <c:pt idx="1775">
                  <c:v>219</c:v>
                </c:pt>
                <c:pt idx="1776">
                  <c:v>225</c:v>
                </c:pt>
                <c:pt idx="1777">
                  <c:v>208</c:v>
                </c:pt>
                <c:pt idx="1778">
                  <c:v>187</c:v>
                </c:pt>
                <c:pt idx="1779">
                  <c:v>249</c:v>
                </c:pt>
                <c:pt idx="1780">
                  <c:v>193</c:v>
                </c:pt>
                <c:pt idx="1781">
                  <c:v>201</c:v>
                </c:pt>
                <c:pt idx="1782">
                  <c:v>184</c:v>
                </c:pt>
                <c:pt idx="1783">
                  <c:v>239</c:v>
                </c:pt>
                <c:pt idx="1784">
                  <c:v>224</c:v>
                </c:pt>
                <c:pt idx="1785">
                  <c:v>232</c:v>
                </c:pt>
                <c:pt idx="1786">
                  <c:v>192</c:v>
                </c:pt>
                <c:pt idx="1787">
                  <c:v>202</c:v>
                </c:pt>
                <c:pt idx="1788">
                  <c:v>233</c:v>
                </c:pt>
                <c:pt idx="1789">
                  <c:v>245</c:v>
                </c:pt>
                <c:pt idx="1790">
                  <c:v>197</c:v>
                </c:pt>
                <c:pt idx="1791">
                  <c:v>196</c:v>
                </c:pt>
                <c:pt idx="1792">
                  <c:v>181</c:v>
                </c:pt>
                <c:pt idx="1793">
                  <c:v>200</c:v>
                </c:pt>
                <c:pt idx="1794">
                  <c:v>241</c:v>
                </c:pt>
                <c:pt idx="1795">
                  <c:v>296</c:v>
                </c:pt>
                <c:pt idx="1796">
                  <c:v>238</c:v>
                </c:pt>
                <c:pt idx="1797">
                  <c:v>244</c:v>
                </c:pt>
                <c:pt idx="1798">
                  <c:v>244</c:v>
                </c:pt>
                <c:pt idx="1799">
                  <c:v>226</c:v>
                </c:pt>
                <c:pt idx="1800">
                  <c:v>210</c:v>
                </c:pt>
                <c:pt idx="1801">
                  <c:v>231</c:v>
                </c:pt>
                <c:pt idx="1802">
                  <c:v>212</c:v>
                </c:pt>
                <c:pt idx="1803">
                  <c:v>182</c:v>
                </c:pt>
                <c:pt idx="1804">
                  <c:v>219</c:v>
                </c:pt>
                <c:pt idx="1805">
                  <c:v>247</c:v>
                </c:pt>
                <c:pt idx="1806">
                  <c:v>225</c:v>
                </c:pt>
                <c:pt idx="1807">
                  <c:v>242</c:v>
                </c:pt>
                <c:pt idx="1808">
                  <c:v>217</c:v>
                </c:pt>
                <c:pt idx="1809">
                  <c:v>241</c:v>
                </c:pt>
                <c:pt idx="1810">
                  <c:v>184</c:v>
                </c:pt>
                <c:pt idx="1811">
                  <c:v>248</c:v>
                </c:pt>
                <c:pt idx="1812">
                  <c:v>214</c:v>
                </c:pt>
                <c:pt idx="1813">
                  <c:v>199</c:v>
                </c:pt>
                <c:pt idx="1814">
                  <c:v>242</c:v>
                </c:pt>
                <c:pt idx="1815">
                  <c:v>185</c:v>
                </c:pt>
                <c:pt idx="1816">
                  <c:v>209</c:v>
                </c:pt>
                <c:pt idx="1817">
                  <c:v>183</c:v>
                </c:pt>
                <c:pt idx="1818">
                  <c:v>192</c:v>
                </c:pt>
                <c:pt idx="1819">
                  <c:v>240</c:v>
                </c:pt>
                <c:pt idx="1820">
                  <c:v>234</c:v>
                </c:pt>
                <c:pt idx="1821">
                  <c:v>234</c:v>
                </c:pt>
                <c:pt idx="1822">
                  <c:v>191</c:v>
                </c:pt>
                <c:pt idx="1823">
                  <c:v>223</c:v>
                </c:pt>
                <c:pt idx="1824">
                  <c:v>196</c:v>
                </c:pt>
                <c:pt idx="1825">
                  <c:v>231</c:v>
                </c:pt>
                <c:pt idx="1826">
                  <c:v>228</c:v>
                </c:pt>
                <c:pt idx="1827">
                  <c:v>220</c:v>
                </c:pt>
                <c:pt idx="1828">
                  <c:v>248</c:v>
                </c:pt>
                <c:pt idx="1829">
                  <c:v>182</c:v>
                </c:pt>
                <c:pt idx="1830">
                  <c:v>203</c:v>
                </c:pt>
                <c:pt idx="1831">
                  <c:v>174</c:v>
                </c:pt>
                <c:pt idx="1832">
                  <c:v>201</c:v>
                </c:pt>
                <c:pt idx="1833">
                  <c:v>208</c:v>
                </c:pt>
                <c:pt idx="1834">
                  <c:v>229</c:v>
                </c:pt>
                <c:pt idx="1835">
                  <c:v>224</c:v>
                </c:pt>
                <c:pt idx="1836">
                  <c:v>201</c:v>
                </c:pt>
                <c:pt idx="1837">
                  <c:v>221</c:v>
                </c:pt>
                <c:pt idx="1838">
                  <c:v>199</c:v>
                </c:pt>
                <c:pt idx="1839">
                  <c:v>207</c:v>
                </c:pt>
                <c:pt idx="1840">
                  <c:v>228</c:v>
                </c:pt>
                <c:pt idx="1841">
                  <c:v>183</c:v>
                </c:pt>
                <c:pt idx="1842">
                  <c:v>199</c:v>
                </c:pt>
                <c:pt idx="1843">
                  <c:v>213</c:v>
                </c:pt>
                <c:pt idx="1844">
                  <c:v>198</c:v>
                </c:pt>
                <c:pt idx="1845">
                  <c:v>232</c:v>
                </c:pt>
                <c:pt idx="1846">
                  <c:v>239</c:v>
                </c:pt>
                <c:pt idx="1847">
                  <c:v>228</c:v>
                </c:pt>
                <c:pt idx="1848">
                  <c:v>225</c:v>
                </c:pt>
                <c:pt idx="1849">
                  <c:v>198</c:v>
                </c:pt>
                <c:pt idx="1850">
                  <c:v>192</c:v>
                </c:pt>
                <c:pt idx="1851">
                  <c:v>230</c:v>
                </c:pt>
                <c:pt idx="1852">
                  <c:v>181</c:v>
                </c:pt>
                <c:pt idx="1853">
                  <c:v>185</c:v>
                </c:pt>
                <c:pt idx="1854">
                  <c:v>214</c:v>
                </c:pt>
                <c:pt idx="1855">
                  <c:v>192</c:v>
                </c:pt>
                <c:pt idx="1856">
                  <c:v>229</c:v>
                </c:pt>
                <c:pt idx="1857">
                  <c:v>222</c:v>
                </c:pt>
                <c:pt idx="1858">
                  <c:v>185</c:v>
                </c:pt>
                <c:pt idx="1859">
                  <c:v>206</c:v>
                </c:pt>
                <c:pt idx="1860">
                  <c:v>203</c:v>
                </c:pt>
                <c:pt idx="1861">
                  <c:v>205</c:v>
                </c:pt>
                <c:pt idx="1862">
                  <c:v>226</c:v>
                </c:pt>
                <c:pt idx="1863">
                  <c:v>183</c:v>
                </c:pt>
                <c:pt idx="1864">
                  <c:v>197</c:v>
                </c:pt>
                <c:pt idx="1865">
                  <c:v>181</c:v>
                </c:pt>
                <c:pt idx="1866">
                  <c:v>228</c:v>
                </c:pt>
                <c:pt idx="1867">
                  <c:v>222</c:v>
                </c:pt>
                <c:pt idx="1868">
                  <c:v>301</c:v>
                </c:pt>
                <c:pt idx="1869">
                  <c:v>237</c:v>
                </c:pt>
                <c:pt idx="1870">
                  <c:v>240</c:v>
                </c:pt>
                <c:pt idx="1871">
                  <c:v>224</c:v>
                </c:pt>
                <c:pt idx="1872">
                  <c:v>194</c:v>
                </c:pt>
                <c:pt idx="1873">
                  <c:v>231</c:v>
                </c:pt>
                <c:pt idx="1874">
                  <c:v>217</c:v>
                </c:pt>
                <c:pt idx="1875">
                  <c:v>228</c:v>
                </c:pt>
                <c:pt idx="1876">
                  <c:v>248</c:v>
                </c:pt>
                <c:pt idx="1877">
                  <c:v>204</c:v>
                </c:pt>
                <c:pt idx="1878">
                  <c:v>191</c:v>
                </c:pt>
                <c:pt idx="1879">
                  <c:v>241</c:v>
                </c:pt>
                <c:pt idx="1880">
                  <c:v>193</c:v>
                </c:pt>
                <c:pt idx="1881">
                  <c:v>247</c:v>
                </c:pt>
                <c:pt idx="1882">
                  <c:v>195</c:v>
                </c:pt>
                <c:pt idx="1883">
                  <c:v>191</c:v>
                </c:pt>
                <c:pt idx="1884">
                  <c:v>214</c:v>
                </c:pt>
                <c:pt idx="1885">
                  <c:v>199</c:v>
                </c:pt>
                <c:pt idx="1886">
                  <c:v>233</c:v>
                </c:pt>
                <c:pt idx="1887">
                  <c:v>189</c:v>
                </c:pt>
                <c:pt idx="1888">
                  <c:v>206</c:v>
                </c:pt>
                <c:pt idx="1889">
                  <c:v>185</c:v>
                </c:pt>
                <c:pt idx="1890">
                  <c:v>244</c:v>
                </c:pt>
                <c:pt idx="1891">
                  <c:v>206</c:v>
                </c:pt>
                <c:pt idx="1892">
                  <c:v>222</c:v>
                </c:pt>
                <c:pt idx="1893">
                  <c:v>230</c:v>
                </c:pt>
                <c:pt idx="1894">
                  <c:v>183</c:v>
                </c:pt>
                <c:pt idx="1895">
                  <c:v>202</c:v>
                </c:pt>
                <c:pt idx="1896">
                  <c:v>202</c:v>
                </c:pt>
                <c:pt idx="1897">
                  <c:v>241</c:v>
                </c:pt>
                <c:pt idx="1898">
                  <c:v>193</c:v>
                </c:pt>
                <c:pt idx="1899">
                  <c:v>181</c:v>
                </c:pt>
                <c:pt idx="1900">
                  <c:v>204</c:v>
                </c:pt>
                <c:pt idx="1901">
                  <c:v>227</c:v>
                </c:pt>
                <c:pt idx="1902">
                  <c:v>187</c:v>
                </c:pt>
                <c:pt idx="1903">
                  <c:v>210</c:v>
                </c:pt>
                <c:pt idx="1904">
                  <c:v>236</c:v>
                </c:pt>
                <c:pt idx="1905">
                  <c:v>213</c:v>
                </c:pt>
                <c:pt idx="1906">
                  <c:v>240</c:v>
                </c:pt>
                <c:pt idx="1907">
                  <c:v>210</c:v>
                </c:pt>
                <c:pt idx="1908">
                  <c:v>244</c:v>
                </c:pt>
                <c:pt idx="1909">
                  <c:v>189</c:v>
                </c:pt>
                <c:pt idx="1910">
                  <c:v>183</c:v>
                </c:pt>
                <c:pt idx="1911">
                  <c:v>241</c:v>
                </c:pt>
                <c:pt idx="1912">
                  <c:v>243</c:v>
                </c:pt>
                <c:pt idx="1913">
                  <c:v>238</c:v>
                </c:pt>
                <c:pt idx="1914">
                  <c:v>216</c:v>
                </c:pt>
                <c:pt idx="1915">
                  <c:v>211</c:v>
                </c:pt>
                <c:pt idx="1916">
                  <c:v>187</c:v>
                </c:pt>
                <c:pt idx="1917">
                  <c:v>224</c:v>
                </c:pt>
                <c:pt idx="1918">
                  <c:v>248</c:v>
                </c:pt>
                <c:pt idx="1919">
                  <c:v>210</c:v>
                </c:pt>
                <c:pt idx="1920">
                  <c:v>245</c:v>
                </c:pt>
                <c:pt idx="1921">
                  <c:v>221</c:v>
                </c:pt>
                <c:pt idx="1922">
                  <c:v>221</c:v>
                </c:pt>
                <c:pt idx="1923">
                  <c:v>238</c:v>
                </c:pt>
                <c:pt idx="1924">
                  <c:v>182</c:v>
                </c:pt>
                <c:pt idx="1925">
                  <c:v>202</c:v>
                </c:pt>
                <c:pt idx="1926">
                  <c:v>234</c:v>
                </c:pt>
                <c:pt idx="1927">
                  <c:v>141</c:v>
                </c:pt>
                <c:pt idx="1928">
                  <c:v>186</c:v>
                </c:pt>
                <c:pt idx="1929">
                  <c:v>242</c:v>
                </c:pt>
                <c:pt idx="1930">
                  <c:v>217</c:v>
                </c:pt>
                <c:pt idx="1931">
                  <c:v>211</c:v>
                </c:pt>
                <c:pt idx="1932">
                  <c:v>185</c:v>
                </c:pt>
                <c:pt idx="1933">
                  <c:v>200</c:v>
                </c:pt>
                <c:pt idx="1934">
                  <c:v>212</c:v>
                </c:pt>
                <c:pt idx="1935">
                  <c:v>233</c:v>
                </c:pt>
                <c:pt idx="1936">
                  <c:v>199</c:v>
                </c:pt>
                <c:pt idx="1937">
                  <c:v>244</c:v>
                </c:pt>
                <c:pt idx="1938">
                  <c:v>227</c:v>
                </c:pt>
                <c:pt idx="1939">
                  <c:v>225</c:v>
                </c:pt>
                <c:pt idx="1940">
                  <c:v>181</c:v>
                </c:pt>
                <c:pt idx="1941">
                  <c:v>215</c:v>
                </c:pt>
                <c:pt idx="1942">
                  <c:v>199</c:v>
                </c:pt>
                <c:pt idx="1943">
                  <c:v>211</c:v>
                </c:pt>
                <c:pt idx="1944">
                  <c:v>235</c:v>
                </c:pt>
                <c:pt idx="1945">
                  <c:v>221</c:v>
                </c:pt>
                <c:pt idx="1946">
                  <c:v>185</c:v>
                </c:pt>
                <c:pt idx="1947">
                  <c:v>224</c:v>
                </c:pt>
                <c:pt idx="1948">
                  <c:v>213</c:v>
                </c:pt>
                <c:pt idx="1949">
                  <c:v>217</c:v>
                </c:pt>
                <c:pt idx="1950">
                  <c:v>225</c:v>
                </c:pt>
                <c:pt idx="1951">
                  <c:v>234</c:v>
                </c:pt>
                <c:pt idx="1952">
                  <c:v>212</c:v>
                </c:pt>
                <c:pt idx="1953">
                  <c:v>205</c:v>
                </c:pt>
                <c:pt idx="1954">
                  <c:v>210</c:v>
                </c:pt>
                <c:pt idx="1955">
                  <c:v>234</c:v>
                </c:pt>
                <c:pt idx="1956">
                  <c:v>158</c:v>
                </c:pt>
                <c:pt idx="1957">
                  <c:v>240</c:v>
                </c:pt>
                <c:pt idx="1958">
                  <c:v>199</c:v>
                </c:pt>
                <c:pt idx="1959">
                  <c:v>247</c:v>
                </c:pt>
                <c:pt idx="1960">
                  <c:v>224</c:v>
                </c:pt>
                <c:pt idx="1961">
                  <c:v>233</c:v>
                </c:pt>
                <c:pt idx="1962">
                  <c:v>206</c:v>
                </c:pt>
                <c:pt idx="1963">
                  <c:v>200</c:v>
                </c:pt>
                <c:pt idx="1964">
                  <c:v>188</c:v>
                </c:pt>
                <c:pt idx="1965">
                  <c:v>226</c:v>
                </c:pt>
                <c:pt idx="1966">
                  <c:v>223</c:v>
                </c:pt>
                <c:pt idx="1967">
                  <c:v>229</c:v>
                </c:pt>
                <c:pt idx="1968">
                  <c:v>199</c:v>
                </c:pt>
                <c:pt idx="1969">
                  <c:v>224</c:v>
                </c:pt>
                <c:pt idx="1970">
                  <c:v>214</c:v>
                </c:pt>
                <c:pt idx="1971">
                  <c:v>184</c:v>
                </c:pt>
                <c:pt idx="1972">
                  <c:v>196</c:v>
                </c:pt>
                <c:pt idx="1973">
                  <c:v>223</c:v>
                </c:pt>
                <c:pt idx="1974">
                  <c:v>232</c:v>
                </c:pt>
                <c:pt idx="1975">
                  <c:v>192</c:v>
                </c:pt>
                <c:pt idx="1976">
                  <c:v>183</c:v>
                </c:pt>
                <c:pt idx="1977">
                  <c:v>244</c:v>
                </c:pt>
                <c:pt idx="1978">
                  <c:v>216</c:v>
                </c:pt>
                <c:pt idx="1979">
                  <c:v>215</c:v>
                </c:pt>
                <c:pt idx="1980">
                  <c:v>224</c:v>
                </c:pt>
                <c:pt idx="1981">
                  <c:v>182</c:v>
                </c:pt>
                <c:pt idx="1982">
                  <c:v>181</c:v>
                </c:pt>
                <c:pt idx="1983">
                  <c:v>183</c:v>
                </c:pt>
                <c:pt idx="1984">
                  <c:v>223</c:v>
                </c:pt>
                <c:pt idx="1985">
                  <c:v>191</c:v>
                </c:pt>
                <c:pt idx="1986">
                  <c:v>235</c:v>
                </c:pt>
                <c:pt idx="1987">
                  <c:v>250</c:v>
                </c:pt>
                <c:pt idx="1988">
                  <c:v>196</c:v>
                </c:pt>
                <c:pt idx="1989">
                  <c:v>220</c:v>
                </c:pt>
                <c:pt idx="1990">
                  <c:v>233</c:v>
                </c:pt>
                <c:pt idx="1991">
                  <c:v>227</c:v>
                </c:pt>
                <c:pt idx="1992">
                  <c:v>190</c:v>
                </c:pt>
                <c:pt idx="1993">
                  <c:v>232</c:v>
                </c:pt>
                <c:pt idx="1994">
                  <c:v>184</c:v>
                </c:pt>
                <c:pt idx="1995">
                  <c:v>214</c:v>
                </c:pt>
                <c:pt idx="1996">
                  <c:v>241</c:v>
                </c:pt>
                <c:pt idx="1997">
                  <c:v>211</c:v>
                </c:pt>
                <c:pt idx="1998">
                  <c:v>248</c:v>
                </c:pt>
                <c:pt idx="1999">
                  <c:v>194</c:v>
                </c:pt>
                <c:pt idx="2000">
                  <c:v>198</c:v>
                </c:pt>
                <c:pt idx="2001">
                  <c:v>205</c:v>
                </c:pt>
                <c:pt idx="2002">
                  <c:v>196</c:v>
                </c:pt>
                <c:pt idx="2003">
                  <c:v>184</c:v>
                </c:pt>
                <c:pt idx="2004">
                  <c:v>172</c:v>
                </c:pt>
                <c:pt idx="2005">
                  <c:v>222</c:v>
                </c:pt>
                <c:pt idx="2006">
                  <c:v>194</c:v>
                </c:pt>
                <c:pt idx="2007">
                  <c:v>248</c:v>
                </c:pt>
                <c:pt idx="2008">
                  <c:v>222</c:v>
                </c:pt>
                <c:pt idx="2009">
                  <c:v>210</c:v>
                </c:pt>
                <c:pt idx="2010">
                  <c:v>247</c:v>
                </c:pt>
                <c:pt idx="2011">
                  <c:v>197</c:v>
                </c:pt>
                <c:pt idx="2012">
                  <c:v>221</c:v>
                </c:pt>
                <c:pt idx="2013">
                  <c:v>233</c:v>
                </c:pt>
                <c:pt idx="2014">
                  <c:v>223</c:v>
                </c:pt>
                <c:pt idx="2015">
                  <c:v>186</c:v>
                </c:pt>
                <c:pt idx="2016">
                  <c:v>170</c:v>
                </c:pt>
                <c:pt idx="2017">
                  <c:v>261</c:v>
                </c:pt>
                <c:pt idx="2018">
                  <c:v>231</c:v>
                </c:pt>
                <c:pt idx="2019">
                  <c:v>193</c:v>
                </c:pt>
                <c:pt idx="2020">
                  <c:v>248</c:v>
                </c:pt>
                <c:pt idx="2021">
                  <c:v>181</c:v>
                </c:pt>
                <c:pt idx="2022">
                  <c:v>242</c:v>
                </c:pt>
                <c:pt idx="2023">
                  <c:v>200</c:v>
                </c:pt>
                <c:pt idx="2024">
                  <c:v>201</c:v>
                </c:pt>
                <c:pt idx="2025">
                  <c:v>236</c:v>
                </c:pt>
                <c:pt idx="2026">
                  <c:v>224</c:v>
                </c:pt>
                <c:pt idx="2027">
                  <c:v>206</c:v>
                </c:pt>
                <c:pt idx="2028">
                  <c:v>245</c:v>
                </c:pt>
                <c:pt idx="2029">
                  <c:v>219</c:v>
                </c:pt>
                <c:pt idx="2030">
                  <c:v>195</c:v>
                </c:pt>
                <c:pt idx="2031">
                  <c:v>215</c:v>
                </c:pt>
                <c:pt idx="2032">
                  <c:v>229</c:v>
                </c:pt>
                <c:pt idx="2033">
                  <c:v>205</c:v>
                </c:pt>
                <c:pt idx="2034">
                  <c:v>209</c:v>
                </c:pt>
                <c:pt idx="2035">
                  <c:v>230</c:v>
                </c:pt>
                <c:pt idx="2036">
                  <c:v>236</c:v>
                </c:pt>
                <c:pt idx="2037">
                  <c:v>192</c:v>
                </c:pt>
                <c:pt idx="2038">
                  <c:v>237</c:v>
                </c:pt>
                <c:pt idx="2039">
                  <c:v>242</c:v>
                </c:pt>
                <c:pt idx="2040">
                  <c:v>221</c:v>
                </c:pt>
                <c:pt idx="2041">
                  <c:v>214</c:v>
                </c:pt>
                <c:pt idx="2042">
                  <c:v>220</c:v>
                </c:pt>
                <c:pt idx="2043">
                  <c:v>205</c:v>
                </c:pt>
                <c:pt idx="2044">
                  <c:v>233</c:v>
                </c:pt>
                <c:pt idx="2045">
                  <c:v>237</c:v>
                </c:pt>
                <c:pt idx="2046">
                  <c:v>190</c:v>
                </c:pt>
                <c:pt idx="2047">
                  <c:v>187</c:v>
                </c:pt>
                <c:pt idx="2048">
                  <c:v>191</c:v>
                </c:pt>
                <c:pt idx="2049">
                  <c:v>192</c:v>
                </c:pt>
                <c:pt idx="2050">
                  <c:v>212</c:v>
                </c:pt>
                <c:pt idx="2051">
                  <c:v>211</c:v>
                </c:pt>
                <c:pt idx="2052">
                  <c:v>243</c:v>
                </c:pt>
                <c:pt idx="2053">
                  <c:v>210</c:v>
                </c:pt>
                <c:pt idx="2054">
                  <c:v>236</c:v>
                </c:pt>
                <c:pt idx="2055">
                  <c:v>213</c:v>
                </c:pt>
                <c:pt idx="2056">
                  <c:v>200</c:v>
                </c:pt>
                <c:pt idx="2057">
                  <c:v>220</c:v>
                </c:pt>
                <c:pt idx="2058">
                  <c:v>226</c:v>
                </c:pt>
                <c:pt idx="2059">
                  <c:v>226</c:v>
                </c:pt>
                <c:pt idx="2060">
                  <c:v>234</c:v>
                </c:pt>
                <c:pt idx="2061">
                  <c:v>218</c:v>
                </c:pt>
                <c:pt idx="2062">
                  <c:v>215</c:v>
                </c:pt>
                <c:pt idx="2063">
                  <c:v>224</c:v>
                </c:pt>
                <c:pt idx="2064">
                  <c:v>248</c:v>
                </c:pt>
                <c:pt idx="2065">
                  <c:v>222</c:v>
                </c:pt>
                <c:pt idx="2066">
                  <c:v>219</c:v>
                </c:pt>
                <c:pt idx="2067">
                  <c:v>219</c:v>
                </c:pt>
                <c:pt idx="2068">
                  <c:v>207</c:v>
                </c:pt>
                <c:pt idx="2069">
                  <c:v>203</c:v>
                </c:pt>
                <c:pt idx="2070">
                  <c:v>186</c:v>
                </c:pt>
                <c:pt idx="2071">
                  <c:v>245</c:v>
                </c:pt>
                <c:pt idx="2072">
                  <c:v>188</c:v>
                </c:pt>
                <c:pt idx="2073">
                  <c:v>190</c:v>
                </c:pt>
                <c:pt idx="2074">
                  <c:v>231</c:v>
                </c:pt>
                <c:pt idx="2075">
                  <c:v>247</c:v>
                </c:pt>
                <c:pt idx="2076">
                  <c:v>218</c:v>
                </c:pt>
                <c:pt idx="2077">
                  <c:v>246</c:v>
                </c:pt>
                <c:pt idx="2078">
                  <c:v>192</c:v>
                </c:pt>
                <c:pt idx="2079">
                  <c:v>209</c:v>
                </c:pt>
                <c:pt idx="2080">
                  <c:v>228</c:v>
                </c:pt>
                <c:pt idx="2081">
                  <c:v>225</c:v>
                </c:pt>
                <c:pt idx="2082">
                  <c:v>245</c:v>
                </c:pt>
                <c:pt idx="2083">
                  <c:v>247</c:v>
                </c:pt>
                <c:pt idx="2084">
                  <c:v>216</c:v>
                </c:pt>
                <c:pt idx="2085">
                  <c:v>209</c:v>
                </c:pt>
                <c:pt idx="2086">
                  <c:v>245</c:v>
                </c:pt>
                <c:pt idx="2087">
                  <c:v>232</c:v>
                </c:pt>
                <c:pt idx="2088">
                  <c:v>206</c:v>
                </c:pt>
                <c:pt idx="2089">
                  <c:v>216</c:v>
                </c:pt>
                <c:pt idx="2090">
                  <c:v>182</c:v>
                </c:pt>
                <c:pt idx="2091">
                  <c:v>223</c:v>
                </c:pt>
                <c:pt idx="2092">
                  <c:v>220</c:v>
                </c:pt>
                <c:pt idx="2093">
                  <c:v>186</c:v>
                </c:pt>
                <c:pt idx="2094">
                  <c:v>215</c:v>
                </c:pt>
                <c:pt idx="2095">
                  <c:v>190</c:v>
                </c:pt>
                <c:pt idx="2096">
                  <c:v>193</c:v>
                </c:pt>
                <c:pt idx="2097">
                  <c:v>248</c:v>
                </c:pt>
                <c:pt idx="2098">
                  <c:v>194</c:v>
                </c:pt>
                <c:pt idx="2099">
                  <c:v>233</c:v>
                </c:pt>
                <c:pt idx="2100">
                  <c:v>221</c:v>
                </c:pt>
                <c:pt idx="2101">
                  <c:v>201</c:v>
                </c:pt>
                <c:pt idx="2102">
                  <c:v>233</c:v>
                </c:pt>
                <c:pt idx="2103">
                  <c:v>239</c:v>
                </c:pt>
                <c:pt idx="2104">
                  <c:v>197</c:v>
                </c:pt>
                <c:pt idx="2105">
                  <c:v>200</c:v>
                </c:pt>
                <c:pt idx="2106">
                  <c:v>238</c:v>
                </c:pt>
                <c:pt idx="2107">
                  <c:v>202</c:v>
                </c:pt>
                <c:pt idx="2108">
                  <c:v>203</c:v>
                </c:pt>
                <c:pt idx="2109">
                  <c:v>237</c:v>
                </c:pt>
                <c:pt idx="2110">
                  <c:v>180</c:v>
                </c:pt>
                <c:pt idx="2111">
                  <c:v>189</c:v>
                </c:pt>
                <c:pt idx="2112">
                  <c:v>187</c:v>
                </c:pt>
                <c:pt idx="2113">
                  <c:v>238</c:v>
                </c:pt>
                <c:pt idx="2114">
                  <c:v>209</c:v>
                </c:pt>
                <c:pt idx="2115">
                  <c:v>227</c:v>
                </c:pt>
                <c:pt idx="2116">
                  <c:v>217</c:v>
                </c:pt>
                <c:pt idx="2117">
                  <c:v>226</c:v>
                </c:pt>
                <c:pt idx="2118">
                  <c:v>189</c:v>
                </c:pt>
                <c:pt idx="2119">
                  <c:v>180</c:v>
                </c:pt>
                <c:pt idx="2120">
                  <c:v>218</c:v>
                </c:pt>
                <c:pt idx="2121">
                  <c:v>209</c:v>
                </c:pt>
                <c:pt idx="2122">
                  <c:v>245</c:v>
                </c:pt>
                <c:pt idx="2123">
                  <c:v>226</c:v>
                </c:pt>
                <c:pt idx="2124">
                  <c:v>184</c:v>
                </c:pt>
                <c:pt idx="2125">
                  <c:v>213</c:v>
                </c:pt>
                <c:pt idx="2126">
                  <c:v>194</c:v>
                </c:pt>
                <c:pt idx="2127">
                  <c:v>244</c:v>
                </c:pt>
                <c:pt idx="2128">
                  <c:v>243</c:v>
                </c:pt>
                <c:pt idx="2129">
                  <c:v>244</c:v>
                </c:pt>
                <c:pt idx="2130">
                  <c:v>228</c:v>
                </c:pt>
                <c:pt idx="2131">
                  <c:v>219</c:v>
                </c:pt>
                <c:pt idx="2132">
                  <c:v>225</c:v>
                </c:pt>
                <c:pt idx="2133">
                  <c:v>224</c:v>
                </c:pt>
                <c:pt idx="2134">
                  <c:v>249</c:v>
                </c:pt>
                <c:pt idx="2135">
                  <c:v>195</c:v>
                </c:pt>
                <c:pt idx="2136">
                  <c:v>222</c:v>
                </c:pt>
                <c:pt idx="2137">
                  <c:v>194</c:v>
                </c:pt>
                <c:pt idx="2138">
                  <c:v>129</c:v>
                </c:pt>
                <c:pt idx="2139">
                  <c:v>231</c:v>
                </c:pt>
                <c:pt idx="2140">
                  <c:v>244</c:v>
                </c:pt>
                <c:pt idx="2141">
                  <c:v>248</c:v>
                </c:pt>
                <c:pt idx="2142">
                  <c:v>208</c:v>
                </c:pt>
                <c:pt idx="2143">
                  <c:v>223</c:v>
                </c:pt>
                <c:pt idx="2144">
                  <c:v>228</c:v>
                </c:pt>
                <c:pt idx="2145">
                  <c:v>184</c:v>
                </c:pt>
                <c:pt idx="2146">
                  <c:v>200</c:v>
                </c:pt>
                <c:pt idx="2147">
                  <c:v>225</c:v>
                </c:pt>
                <c:pt idx="2148">
                  <c:v>180</c:v>
                </c:pt>
                <c:pt idx="2149">
                  <c:v>204</c:v>
                </c:pt>
                <c:pt idx="2150">
                  <c:v>201</c:v>
                </c:pt>
                <c:pt idx="2151">
                  <c:v>224</c:v>
                </c:pt>
                <c:pt idx="2152">
                  <c:v>243</c:v>
                </c:pt>
                <c:pt idx="2153">
                  <c:v>233</c:v>
                </c:pt>
                <c:pt idx="2154">
                  <c:v>244</c:v>
                </c:pt>
                <c:pt idx="2155">
                  <c:v>200</c:v>
                </c:pt>
                <c:pt idx="2156">
                  <c:v>274</c:v>
                </c:pt>
                <c:pt idx="2157">
                  <c:v>186</c:v>
                </c:pt>
                <c:pt idx="2158">
                  <c:v>185</c:v>
                </c:pt>
                <c:pt idx="2159">
                  <c:v>217</c:v>
                </c:pt>
                <c:pt idx="2160">
                  <c:v>247</c:v>
                </c:pt>
                <c:pt idx="2161">
                  <c:v>227</c:v>
                </c:pt>
                <c:pt idx="2162">
                  <c:v>239</c:v>
                </c:pt>
                <c:pt idx="2163">
                  <c:v>180</c:v>
                </c:pt>
                <c:pt idx="2164">
                  <c:v>246</c:v>
                </c:pt>
                <c:pt idx="2165">
                  <c:v>220</c:v>
                </c:pt>
                <c:pt idx="2166">
                  <c:v>184</c:v>
                </c:pt>
                <c:pt idx="2167">
                  <c:v>186</c:v>
                </c:pt>
                <c:pt idx="2168">
                  <c:v>239</c:v>
                </c:pt>
                <c:pt idx="2169">
                  <c:v>187</c:v>
                </c:pt>
                <c:pt idx="2170">
                  <c:v>198</c:v>
                </c:pt>
                <c:pt idx="2171">
                  <c:v>232</c:v>
                </c:pt>
                <c:pt idx="2172">
                  <c:v>238</c:v>
                </c:pt>
                <c:pt idx="2173">
                  <c:v>184</c:v>
                </c:pt>
                <c:pt idx="2174">
                  <c:v>237</c:v>
                </c:pt>
                <c:pt idx="2175">
                  <c:v>184</c:v>
                </c:pt>
                <c:pt idx="2176">
                  <c:v>207</c:v>
                </c:pt>
                <c:pt idx="2177">
                  <c:v>204</c:v>
                </c:pt>
                <c:pt idx="2178">
                  <c:v>234</c:v>
                </c:pt>
                <c:pt idx="2179">
                  <c:v>233</c:v>
                </c:pt>
                <c:pt idx="2180">
                  <c:v>211</c:v>
                </c:pt>
                <c:pt idx="2181">
                  <c:v>201</c:v>
                </c:pt>
                <c:pt idx="2182">
                  <c:v>200</c:v>
                </c:pt>
                <c:pt idx="2183">
                  <c:v>223</c:v>
                </c:pt>
                <c:pt idx="2184">
                  <c:v>248</c:v>
                </c:pt>
                <c:pt idx="2185">
                  <c:v>211</c:v>
                </c:pt>
                <c:pt idx="2186">
                  <c:v>246</c:v>
                </c:pt>
                <c:pt idx="2187">
                  <c:v>230</c:v>
                </c:pt>
                <c:pt idx="2188">
                  <c:v>181</c:v>
                </c:pt>
                <c:pt idx="2189">
                  <c:v>209</c:v>
                </c:pt>
                <c:pt idx="2190">
                  <c:v>220</c:v>
                </c:pt>
                <c:pt idx="2191">
                  <c:v>229</c:v>
                </c:pt>
                <c:pt idx="2192">
                  <c:v>243</c:v>
                </c:pt>
                <c:pt idx="2193">
                  <c:v>218</c:v>
                </c:pt>
                <c:pt idx="2194">
                  <c:v>238</c:v>
                </c:pt>
                <c:pt idx="2195">
                  <c:v>214</c:v>
                </c:pt>
                <c:pt idx="2196">
                  <c:v>228</c:v>
                </c:pt>
                <c:pt idx="2197">
                  <c:v>184</c:v>
                </c:pt>
                <c:pt idx="2198">
                  <c:v>224</c:v>
                </c:pt>
                <c:pt idx="2199">
                  <c:v>191</c:v>
                </c:pt>
                <c:pt idx="2200">
                  <c:v>217</c:v>
                </c:pt>
                <c:pt idx="2201">
                  <c:v>226</c:v>
                </c:pt>
                <c:pt idx="2202">
                  <c:v>187</c:v>
                </c:pt>
                <c:pt idx="2203">
                  <c:v>240</c:v>
                </c:pt>
                <c:pt idx="2204">
                  <c:v>235</c:v>
                </c:pt>
                <c:pt idx="2205">
                  <c:v>246</c:v>
                </c:pt>
                <c:pt idx="2206">
                  <c:v>186</c:v>
                </c:pt>
                <c:pt idx="2207">
                  <c:v>191</c:v>
                </c:pt>
                <c:pt idx="2208">
                  <c:v>244</c:v>
                </c:pt>
                <c:pt idx="2209">
                  <c:v>223</c:v>
                </c:pt>
                <c:pt idx="2210">
                  <c:v>242</c:v>
                </c:pt>
                <c:pt idx="2211">
                  <c:v>207</c:v>
                </c:pt>
                <c:pt idx="2212">
                  <c:v>210</c:v>
                </c:pt>
                <c:pt idx="2213">
                  <c:v>238</c:v>
                </c:pt>
                <c:pt idx="2214">
                  <c:v>209</c:v>
                </c:pt>
                <c:pt idx="2215">
                  <c:v>215</c:v>
                </c:pt>
                <c:pt idx="2216">
                  <c:v>195</c:v>
                </c:pt>
                <c:pt idx="2217">
                  <c:v>223</c:v>
                </c:pt>
                <c:pt idx="2218">
                  <c:v>231</c:v>
                </c:pt>
                <c:pt idx="2219">
                  <c:v>208</c:v>
                </c:pt>
                <c:pt idx="2220">
                  <c:v>206</c:v>
                </c:pt>
                <c:pt idx="2221">
                  <c:v>194</c:v>
                </c:pt>
                <c:pt idx="2222">
                  <c:v>239</c:v>
                </c:pt>
                <c:pt idx="2223">
                  <c:v>183</c:v>
                </c:pt>
                <c:pt idx="2224">
                  <c:v>238</c:v>
                </c:pt>
                <c:pt idx="2225">
                  <c:v>223</c:v>
                </c:pt>
                <c:pt idx="2226">
                  <c:v>204</c:v>
                </c:pt>
                <c:pt idx="2227">
                  <c:v>238</c:v>
                </c:pt>
                <c:pt idx="2228">
                  <c:v>189</c:v>
                </c:pt>
                <c:pt idx="2229">
                  <c:v>219</c:v>
                </c:pt>
                <c:pt idx="2230">
                  <c:v>238</c:v>
                </c:pt>
                <c:pt idx="2231">
                  <c:v>193</c:v>
                </c:pt>
                <c:pt idx="2232">
                  <c:v>208</c:v>
                </c:pt>
                <c:pt idx="2233">
                  <c:v>243</c:v>
                </c:pt>
                <c:pt idx="2234">
                  <c:v>243</c:v>
                </c:pt>
                <c:pt idx="2235">
                  <c:v>223</c:v>
                </c:pt>
                <c:pt idx="2236">
                  <c:v>223</c:v>
                </c:pt>
                <c:pt idx="2237">
                  <c:v>231</c:v>
                </c:pt>
                <c:pt idx="2238">
                  <c:v>249</c:v>
                </c:pt>
                <c:pt idx="2239">
                  <c:v>202</c:v>
                </c:pt>
                <c:pt idx="2240">
                  <c:v>185</c:v>
                </c:pt>
                <c:pt idx="2241">
                  <c:v>235</c:v>
                </c:pt>
                <c:pt idx="2242">
                  <c:v>219</c:v>
                </c:pt>
                <c:pt idx="2243">
                  <c:v>191</c:v>
                </c:pt>
                <c:pt idx="2244">
                  <c:v>259</c:v>
                </c:pt>
                <c:pt idx="2245">
                  <c:v>248</c:v>
                </c:pt>
                <c:pt idx="2246">
                  <c:v>214</c:v>
                </c:pt>
                <c:pt idx="2247">
                  <c:v>195</c:v>
                </c:pt>
                <c:pt idx="2248">
                  <c:v>231</c:v>
                </c:pt>
                <c:pt idx="2249">
                  <c:v>220</c:v>
                </c:pt>
                <c:pt idx="2250">
                  <c:v>210</c:v>
                </c:pt>
                <c:pt idx="2251">
                  <c:v>217</c:v>
                </c:pt>
                <c:pt idx="2252">
                  <c:v>216</c:v>
                </c:pt>
                <c:pt idx="2253">
                  <c:v>127</c:v>
                </c:pt>
                <c:pt idx="2254">
                  <c:v>239</c:v>
                </c:pt>
                <c:pt idx="2255">
                  <c:v>234</c:v>
                </c:pt>
                <c:pt idx="2256">
                  <c:v>250</c:v>
                </c:pt>
                <c:pt idx="2257">
                  <c:v>231</c:v>
                </c:pt>
                <c:pt idx="2258">
                  <c:v>195</c:v>
                </c:pt>
                <c:pt idx="2259">
                  <c:v>190</c:v>
                </c:pt>
                <c:pt idx="2260">
                  <c:v>201</c:v>
                </c:pt>
                <c:pt idx="2261">
                  <c:v>207</c:v>
                </c:pt>
                <c:pt idx="2262">
                  <c:v>198</c:v>
                </c:pt>
                <c:pt idx="2263">
                  <c:v>231</c:v>
                </c:pt>
                <c:pt idx="2264">
                  <c:v>244</c:v>
                </c:pt>
                <c:pt idx="2265">
                  <c:v>204</c:v>
                </c:pt>
                <c:pt idx="2266">
                  <c:v>241</c:v>
                </c:pt>
                <c:pt idx="2267">
                  <c:v>228</c:v>
                </c:pt>
                <c:pt idx="2268">
                  <c:v>239</c:v>
                </c:pt>
                <c:pt idx="2269">
                  <c:v>224</c:v>
                </c:pt>
                <c:pt idx="2270">
                  <c:v>198</c:v>
                </c:pt>
                <c:pt idx="2271">
                  <c:v>247</c:v>
                </c:pt>
                <c:pt idx="2272">
                  <c:v>219</c:v>
                </c:pt>
                <c:pt idx="2273">
                  <c:v>184</c:v>
                </c:pt>
                <c:pt idx="2274">
                  <c:v>238</c:v>
                </c:pt>
                <c:pt idx="2275">
                  <c:v>190</c:v>
                </c:pt>
                <c:pt idx="2276">
                  <c:v>201</c:v>
                </c:pt>
                <c:pt idx="2277">
                  <c:v>214</c:v>
                </c:pt>
                <c:pt idx="2278">
                  <c:v>272</c:v>
                </c:pt>
                <c:pt idx="2279">
                  <c:v>229</c:v>
                </c:pt>
                <c:pt idx="2280">
                  <c:v>188</c:v>
                </c:pt>
                <c:pt idx="2281">
                  <c:v>232</c:v>
                </c:pt>
                <c:pt idx="2282">
                  <c:v>238</c:v>
                </c:pt>
                <c:pt idx="2283">
                  <c:v>235</c:v>
                </c:pt>
                <c:pt idx="2284">
                  <c:v>244</c:v>
                </c:pt>
                <c:pt idx="2285">
                  <c:v>237</c:v>
                </c:pt>
                <c:pt idx="2286">
                  <c:v>203</c:v>
                </c:pt>
                <c:pt idx="2287">
                  <c:v>221</c:v>
                </c:pt>
                <c:pt idx="2288">
                  <c:v>227</c:v>
                </c:pt>
                <c:pt idx="2289">
                  <c:v>238</c:v>
                </c:pt>
                <c:pt idx="2290">
                  <c:v>189</c:v>
                </c:pt>
                <c:pt idx="2291">
                  <c:v>233</c:v>
                </c:pt>
                <c:pt idx="2292">
                  <c:v>248</c:v>
                </c:pt>
                <c:pt idx="2293">
                  <c:v>214</c:v>
                </c:pt>
                <c:pt idx="2294">
                  <c:v>247</c:v>
                </c:pt>
                <c:pt idx="2295">
                  <c:v>236</c:v>
                </c:pt>
                <c:pt idx="2296">
                  <c:v>234</c:v>
                </c:pt>
                <c:pt idx="2297">
                  <c:v>181</c:v>
                </c:pt>
                <c:pt idx="2298">
                  <c:v>208</c:v>
                </c:pt>
                <c:pt idx="2299">
                  <c:v>230</c:v>
                </c:pt>
                <c:pt idx="2300">
                  <c:v>240</c:v>
                </c:pt>
                <c:pt idx="2301">
                  <c:v>229</c:v>
                </c:pt>
                <c:pt idx="2302">
                  <c:v>182</c:v>
                </c:pt>
                <c:pt idx="2303">
                  <c:v>226</c:v>
                </c:pt>
                <c:pt idx="2304">
                  <c:v>221</c:v>
                </c:pt>
                <c:pt idx="2305">
                  <c:v>212</c:v>
                </c:pt>
                <c:pt idx="2306">
                  <c:v>192</c:v>
                </c:pt>
                <c:pt idx="2307">
                  <c:v>238</c:v>
                </c:pt>
                <c:pt idx="2308">
                  <c:v>281</c:v>
                </c:pt>
                <c:pt idx="2309">
                  <c:v>224</c:v>
                </c:pt>
                <c:pt idx="2310">
                  <c:v>232</c:v>
                </c:pt>
                <c:pt idx="2311">
                  <c:v>208</c:v>
                </c:pt>
                <c:pt idx="2312">
                  <c:v>213</c:v>
                </c:pt>
                <c:pt idx="2313">
                  <c:v>227</c:v>
                </c:pt>
                <c:pt idx="2314">
                  <c:v>219</c:v>
                </c:pt>
                <c:pt idx="2315">
                  <c:v>233</c:v>
                </c:pt>
                <c:pt idx="2316">
                  <c:v>239</c:v>
                </c:pt>
                <c:pt idx="2317">
                  <c:v>206</c:v>
                </c:pt>
                <c:pt idx="2318">
                  <c:v>239</c:v>
                </c:pt>
                <c:pt idx="2319">
                  <c:v>236</c:v>
                </c:pt>
                <c:pt idx="2320">
                  <c:v>209</c:v>
                </c:pt>
                <c:pt idx="2321">
                  <c:v>220</c:v>
                </c:pt>
                <c:pt idx="2322">
                  <c:v>217</c:v>
                </c:pt>
                <c:pt idx="2323">
                  <c:v>192</c:v>
                </c:pt>
                <c:pt idx="2324">
                  <c:v>185</c:v>
                </c:pt>
                <c:pt idx="2325">
                  <c:v>237</c:v>
                </c:pt>
                <c:pt idx="2326">
                  <c:v>194</c:v>
                </c:pt>
                <c:pt idx="2327">
                  <c:v>197</c:v>
                </c:pt>
                <c:pt idx="2328">
                  <c:v>235</c:v>
                </c:pt>
                <c:pt idx="2329">
                  <c:v>240</c:v>
                </c:pt>
                <c:pt idx="2330">
                  <c:v>224</c:v>
                </c:pt>
                <c:pt idx="2331">
                  <c:v>203</c:v>
                </c:pt>
                <c:pt idx="2332">
                  <c:v>194</c:v>
                </c:pt>
                <c:pt idx="2333">
                  <c:v>158</c:v>
                </c:pt>
                <c:pt idx="2334">
                  <c:v>184</c:v>
                </c:pt>
                <c:pt idx="2335">
                  <c:v>212</c:v>
                </c:pt>
                <c:pt idx="2336">
                  <c:v>246</c:v>
                </c:pt>
                <c:pt idx="2337">
                  <c:v>183</c:v>
                </c:pt>
                <c:pt idx="2338">
                  <c:v>226</c:v>
                </c:pt>
                <c:pt idx="2339">
                  <c:v>192</c:v>
                </c:pt>
                <c:pt idx="2340">
                  <c:v>191</c:v>
                </c:pt>
                <c:pt idx="2341">
                  <c:v>223</c:v>
                </c:pt>
                <c:pt idx="2342">
                  <c:v>184</c:v>
                </c:pt>
                <c:pt idx="2343">
                  <c:v>185</c:v>
                </c:pt>
                <c:pt idx="2344">
                  <c:v>231</c:v>
                </c:pt>
                <c:pt idx="2345">
                  <c:v>230</c:v>
                </c:pt>
                <c:pt idx="2346">
                  <c:v>214</c:v>
                </c:pt>
                <c:pt idx="2347">
                  <c:v>229</c:v>
                </c:pt>
                <c:pt idx="2348">
                  <c:v>182</c:v>
                </c:pt>
                <c:pt idx="2349">
                  <c:v>192</c:v>
                </c:pt>
                <c:pt idx="2350">
                  <c:v>223</c:v>
                </c:pt>
                <c:pt idx="2351">
                  <c:v>234</c:v>
                </c:pt>
                <c:pt idx="2352">
                  <c:v>181</c:v>
                </c:pt>
                <c:pt idx="2353">
                  <c:v>183</c:v>
                </c:pt>
                <c:pt idx="2354">
                  <c:v>180</c:v>
                </c:pt>
                <c:pt idx="2355">
                  <c:v>209</c:v>
                </c:pt>
                <c:pt idx="2356">
                  <c:v>220</c:v>
                </c:pt>
                <c:pt idx="2357">
                  <c:v>244</c:v>
                </c:pt>
                <c:pt idx="2358">
                  <c:v>228</c:v>
                </c:pt>
                <c:pt idx="2359">
                  <c:v>187</c:v>
                </c:pt>
                <c:pt idx="2360">
                  <c:v>216</c:v>
                </c:pt>
                <c:pt idx="2361">
                  <c:v>249</c:v>
                </c:pt>
                <c:pt idx="2362">
                  <c:v>225</c:v>
                </c:pt>
                <c:pt idx="2363">
                  <c:v>190</c:v>
                </c:pt>
                <c:pt idx="2364">
                  <c:v>209</c:v>
                </c:pt>
                <c:pt idx="2365">
                  <c:v>221</c:v>
                </c:pt>
                <c:pt idx="2366">
                  <c:v>216</c:v>
                </c:pt>
                <c:pt idx="2367">
                  <c:v>214</c:v>
                </c:pt>
                <c:pt idx="2368">
                  <c:v>222</c:v>
                </c:pt>
                <c:pt idx="2369">
                  <c:v>248</c:v>
                </c:pt>
                <c:pt idx="2370">
                  <c:v>223</c:v>
                </c:pt>
                <c:pt idx="2371">
                  <c:v>200</c:v>
                </c:pt>
                <c:pt idx="2372">
                  <c:v>185</c:v>
                </c:pt>
                <c:pt idx="2373">
                  <c:v>245</c:v>
                </c:pt>
                <c:pt idx="2374">
                  <c:v>234</c:v>
                </c:pt>
                <c:pt idx="2375">
                  <c:v>181</c:v>
                </c:pt>
                <c:pt idx="2376">
                  <c:v>217</c:v>
                </c:pt>
                <c:pt idx="2377">
                  <c:v>221</c:v>
                </c:pt>
                <c:pt idx="2378">
                  <c:v>225</c:v>
                </c:pt>
                <c:pt idx="2379">
                  <c:v>195</c:v>
                </c:pt>
                <c:pt idx="2380">
                  <c:v>233</c:v>
                </c:pt>
                <c:pt idx="2381">
                  <c:v>197</c:v>
                </c:pt>
                <c:pt idx="2382">
                  <c:v>231</c:v>
                </c:pt>
                <c:pt idx="2383">
                  <c:v>196</c:v>
                </c:pt>
                <c:pt idx="2384">
                  <c:v>239</c:v>
                </c:pt>
                <c:pt idx="2385">
                  <c:v>218</c:v>
                </c:pt>
                <c:pt idx="2386">
                  <c:v>217</c:v>
                </c:pt>
                <c:pt idx="2387">
                  <c:v>223</c:v>
                </c:pt>
                <c:pt idx="2388">
                  <c:v>182</c:v>
                </c:pt>
                <c:pt idx="2389">
                  <c:v>209</c:v>
                </c:pt>
                <c:pt idx="2390">
                  <c:v>204</c:v>
                </c:pt>
                <c:pt idx="2391">
                  <c:v>238</c:v>
                </c:pt>
                <c:pt idx="2392">
                  <c:v>187</c:v>
                </c:pt>
                <c:pt idx="2393">
                  <c:v>236</c:v>
                </c:pt>
                <c:pt idx="2394">
                  <c:v>213</c:v>
                </c:pt>
                <c:pt idx="2395">
                  <c:v>183</c:v>
                </c:pt>
                <c:pt idx="2396">
                  <c:v>183</c:v>
                </c:pt>
                <c:pt idx="2397">
                  <c:v>180</c:v>
                </c:pt>
                <c:pt idx="2398">
                  <c:v>186</c:v>
                </c:pt>
                <c:pt idx="2399">
                  <c:v>193</c:v>
                </c:pt>
                <c:pt idx="2400">
                  <c:v>202</c:v>
                </c:pt>
                <c:pt idx="2401">
                  <c:v>250</c:v>
                </c:pt>
                <c:pt idx="2402">
                  <c:v>192</c:v>
                </c:pt>
                <c:pt idx="2403">
                  <c:v>189</c:v>
                </c:pt>
                <c:pt idx="2404">
                  <c:v>203</c:v>
                </c:pt>
                <c:pt idx="2405">
                  <c:v>206</c:v>
                </c:pt>
                <c:pt idx="2406">
                  <c:v>208</c:v>
                </c:pt>
                <c:pt idx="2407">
                  <c:v>187</c:v>
                </c:pt>
                <c:pt idx="2408">
                  <c:v>240</c:v>
                </c:pt>
                <c:pt idx="2409">
                  <c:v>203</c:v>
                </c:pt>
                <c:pt idx="2410">
                  <c:v>218</c:v>
                </c:pt>
                <c:pt idx="2411">
                  <c:v>232</c:v>
                </c:pt>
                <c:pt idx="2412">
                  <c:v>247</c:v>
                </c:pt>
                <c:pt idx="2413">
                  <c:v>200</c:v>
                </c:pt>
                <c:pt idx="2414">
                  <c:v>182</c:v>
                </c:pt>
                <c:pt idx="2415">
                  <c:v>207</c:v>
                </c:pt>
                <c:pt idx="2416">
                  <c:v>213</c:v>
                </c:pt>
                <c:pt idx="2417">
                  <c:v>189</c:v>
                </c:pt>
                <c:pt idx="2418">
                  <c:v>207</c:v>
                </c:pt>
                <c:pt idx="2419">
                  <c:v>276</c:v>
                </c:pt>
                <c:pt idx="2420">
                  <c:v>243</c:v>
                </c:pt>
                <c:pt idx="2421">
                  <c:v>205</c:v>
                </c:pt>
                <c:pt idx="2422">
                  <c:v>236</c:v>
                </c:pt>
                <c:pt idx="2423">
                  <c:v>204</c:v>
                </c:pt>
                <c:pt idx="2424">
                  <c:v>213</c:v>
                </c:pt>
                <c:pt idx="2425">
                  <c:v>265</c:v>
                </c:pt>
                <c:pt idx="2426">
                  <c:v>247</c:v>
                </c:pt>
                <c:pt idx="2427">
                  <c:v>231</c:v>
                </c:pt>
                <c:pt idx="2428">
                  <c:v>247</c:v>
                </c:pt>
                <c:pt idx="2429">
                  <c:v>233</c:v>
                </c:pt>
                <c:pt idx="2430">
                  <c:v>209</c:v>
                </c:pt>
                <c:pt idx="2431">
                  <c:v>191</c:v>
                </c:pt>
                <c:pt idx="2432">
                  <c:v>186</c:v>
                </c:pt>
                <c:pt idx="2433">
                  <c:v>207</c:v>
                </c:pt>
                <c:pt idx="2434">
                  <c:v>198</c:v>
                </c:pt>
                <c:pt idx="2435">
                  <c:v>206</c:v>
                </c:pt>
                <c:pt idx="2436">
                  <c:v>236</c:v>
                </c:pt>
                <c:pt idx="2437">
                  <c:v>220</c:v>
                </c:pt>
                <c:pt idx="2438">
                  <c:v>220</c:v>
                </c:pt>
                <c:pt idx="2439">
                  <c:v>209</c:v>
                </c:pt>
                <c:pt idx="2440">
                  <c:v>248</c:v>
                </c:pt>
                <c:pt idx="2441">
                  <c:v>201</c:v>
                </c:pt>
                <c:pt idx="2442">
                  <c:v>190</c:v>
                </c:pt>
                <c:pt idx="2443">
                  <c:v>192</c:v>
                </c:pt>
                <c:pt idx="2444">
                  <c:v>234</c:v>
                </c:pt>
                <c:pt idx="2445">
                  <c:v>228</c:v>
                </c:pt>
                <c:pt idx="2446">
                  <c:v>243</c:v>
                </c:pt>
                <c:pt idx="2447">
                  <c:v>203</c:v>
                </c:pt>
                <c:pt idx="2448">
                  <c:v>221</c:v>
                </c:pt>
                <c:pt idx="2449">
                  <c:v>184</c:v>
                </c:pt>
                <c:pt idx="2450">
                  <c:v>219</c:v>
                </c:pt>
                <c:pt idx="2451">
                  <c:v>191</c:v>
                </c:pt>
                <c:pt idx="2452">
                  <c:v>242</c:v>
                </c:pt>
                <c:pt idx="2453">
                  <c:v>187</c:v>
                </c:pt>
                <c:pt idx="2454">
                  <c:v>223</c:v>
                </c:pt>
                <c:pt idx="2455">
                  <c:v>239</c:v>
                </c:pt>
                <c:pt idx="2456">
                  <c:v>180</c:v>
                </c:pt>
                <c:pt idx="2457">
                  <c:v>215</c:v>
                </c:pt>
                <c:pt idx="2458">
                  <c:v>186</c:v>
                </c:pt>
                <c:pt idx="2459">
                  <c:v>209</c:v>
                </c:pt>
                <c:pt idx="2460">
                  <c:v>186</c:v>
                </c:pt>
                <c:pt idx="2461">
                  <c:v>246</c:v>
                </c:pt>
                <c:pt idx="2462">
                  <c:v>241</c:v>
                </c:pt>
                <c:pt idx="2463">
                  <c:v>183</c:v>
                </c:pt>
                <c:pt idx="2464">
                  <c:v>236</c:v>
                </c:pt>
                <c:pt idx="2465">
                  <c:v>235</c:v>
                </c:pt>
                <c:pt idx="2466">
                  <c:v>247</c:v>
                </c:pt>
                <c:pt idx="2467">
                  <c:v>204</c:v>
                </c:pt>
                <c:pt idx="2468">
                  <c:v>199</c:v>
                </c:pt>
                <c:pt idx="2469">
                  <c:v>199</c:v>
                </c:pt>
                <c:pt idx="2470">
                  <c:v>220</c:v>
                </c:pt>
                <c:pt idx="2471">
                  <c:v>209</c:v>
                </c:pt>
                <c:pt idx="2472">
                  <c:v>246</c:v>
                </c:pt>
                <c:pt idx="2473">
                  <c:v>174</c:v>
                </c:pt>
                <c:pt idx="2474">
                  <c:v>186</c:v>
                </c:pt>
                <c:pt idx="2475">
                  <c:v>200</c:v>
                </c:pt>
                <c:pt idx="2476">
                  <c:v>186</c:v>
                </c:pt>
                <c:pt idx="2477">
                  <c:v>216</c:v>
                </c:pt>
                <c:pt idx="2478">
                  <c:v>189</c:v>
                </c:pt>
                <c:pt idx="2479">
                  <c:v>233</c:v>
                </c:pt>
                <c:pt idx="2480">
                  <c:v>220</c:v>
                </c:pt>
                <c:pt idx="2481">
                  <c:v>236</c:v>
                </c:pt>
                <c:pt idx="2482">
                  <c:v>239</c:v>
                </c:pt>
                <c:pt idx="2483">
                  <c:v>214</c:v>
                </c:pt>
                <c:pt idx="2484">
                  <c:v>212</c:v>
                </c:pt>
                <c:pt idx="2485">
                  <c:v>233</c:v>
                </c:pt>
                <c:pt idx="2486">
                  <c:v>193</c:v>
                </c:pt>
                <c:pt idx="2487">
                  <c:v>182</c:v>
                </c:pt>
                <c:pt idx="2488">
                  <c:v>188</c:v>
                </c:pt>
                <c:pt idx="2489">
                  <c:v>201</c:v>
                </c:pt>
                <c:pt idx="2490">
                  <c:v>233</c:v>
                </c:pt>
                <c:pt idx="2491">
                  <c:v>188</c:v>
                </c:pt>
                <c:pt idx="2492">
                  <c:v>238</c:v>
                </c:pt>
                <c:pt idx="2493">
                  <c:v>180</c:v>
                </c:pt>
                <c:pt idx="2494">
                  <c:v>212</c:v>
                </c:pt>
                <c:pt idx="2495">
                  <c:v>229</c:v>
                </c:pt>
                <c:pt idx="2496">
                  <c:v>182</c:v>
                </c:pt>
                <c:pt idx="2497">
                  <c:v>249</c:v>
                </c:pt>
                <c:pt idx="2498">
                  <c:v>228</c:v>
                </c:pt>
                <c:pt idx="2499">
                  <c:v>191</c:v>
                </c:pt>
                <c:pt idx="2500">
                  <c:v>212</c:v>
                </c:pt>
                <c:pt idx="2501">
                  <c:v>180</c:v>
                </c:pt>
                <c:pt idx="2502">
                  <c:v>199</c:v>
                </c:pt>
                <c:pt idx="2503">
                  <c:v>205</c:v>
                </c:pt>
                <c:pt idx="2504">
                  <c:v>189</c:v>
                </c:pt>
                <c:pt idx="2505">
                  <c:v>191</c:v>
                </c:pt>
                <c:pt idx="2506">
                  <c:v>211</c:v>
                </c:pt>
                <c:pt idx="2507">
                  <c:v>242</c:v>
                </c:pt>
                <c:pt idx="2508">
                  <c:v>187</c:v>
                </c:pt>
                <c:pt idx="2509">
                  <c:v>214</c:v>
                </c:pt>
                <c:pt idx="2510">
                  <c:v>232</c:v>
                </c:pt>
                <c:pt idx="2511">
                  <c:v>206</c:v>
                </c:pt>
                <c:pt idx="2512">
                  <c:v>228</c:v>
                </c:pt>
                <c:pt idx="2513">
                  <c:v>232</c:v>
                </c:pt>
                <c:pt idx="2514">
                  <c:v>216</c:v>
                </c:pt>
                <c:pt idx="2515">
                  <c:v>193</c:v>
                </c:pt>
                <c:pt idx="2516">
                  <c:v>204</c:v>
                </c:pt>
                <c:pt idx="2517">
                  <c:v>209</c:v>
                </c:pt>
                <c:pt idx="2518">
                  <c:v>183</c:v>
                </c:pt>
                <c:pt idx="2519">
                  <c:v>196</c:v>
                </c:pt>
                <c:pt idx="2520">
                  <c:v>215</c:v>
                </c:pt>
                <c:pt idx="2521">
                  <c:v>221</c:v>
                </c:pt>
                <c:pt idx="2522">
                  <c:v>186</c:v>
                </c:pt>
                <c:pt idx="2523">
                  <c:v>219</c:v>
                </c:pt>
                <c:pt idx="2524">
                  <c:v>208</c:v>
                </c:pt>
                <c:pt idx="2525">
                  <c:v>207</c:v>
                </c:pt>
                <c:pt idx="2526">
                  <c:v>228</c:v>
                </c:pt>
                <c:pt idx="2527">
                  <c:v>189</c:v>
                </c:pt>
                <c:pt idx="2528">
                  <c:v>244</c:v>
                </c:pt>
                <c:pt idx="2529">
                  <c:v>221</c:v>
                </c:pt>
                <c:pt idx="2530">
                  <c:v>222</c:v>
                </c:pt>
                <c:pt idx="2531">
                  <c:v>191</c:v>
                </c:pt>
                <c:pt idx="2532">
                  <c:v>227</c:v>
                </c:pt>
                <c:pt idx="2533">
                  <c:v>224</c:v>
                </c:pt>
                <c:pt idx="2534">
                  <c:v>217</c:v>
                </c:pt>
                <c:pt idx="2535">
                  <c:v>181</c:v>
                </c:pt>
                <c:pt idx="2536">
                  <c:v>222</c:v>
                </c:pt>
                <c:pt idx="2537">
                  <c:v>201</c:v>
                </c:pt>
                <c:pt idx="2538">
                  <c:v>204</c:v>
                </c:pt>
                <c:pt idx="2539">
                  <c:v>239</c:v>
                </c:pt>
                <c:pt idx="2540">
                  <c:v>223</c:v>
                </c:pt>
                <c:pt idx="2541">
                  <c:v>232</c:v>
                </c:pt>
                <c:pt idx="2542">
                  <c:v>239</c:v>
                </c:pt>
                <c:pt idx="2543">
                  <c:v>206</c:v>
                </c:pt>
                <c:pt idx="2544">
                  <c:v>186</c:v>
                </c:pt>
                <c:pt idx="2545">
                  <c:v>181</c:v>
                </c:pt>
                <c:pt idx="2546">
                  <c:v>226</c:v>
                </c:pt>
                <c:pt idx="2547">
                  <c:v>205</c:v>
                </c:pt>
                <c:pt idx="2548">
                  <c:v>221</c:v>
                </c:pt>
                <c:pt idx="2549">
                  <c:v>198</c:v>
                </c:pt>
                <c:pt idx="2550">
                  <c:v>187</c:v>
                </c:pt>
                <c:pt idx="2551">
                  <c:v>182</c:v>
                </c:pt>
                <c:pt idx="2552">
                  <c:v>224</c:v>
                </c:pt>
                <c:pt idx="2553">
                  <c:v>202</c:v>
                </c:pt>
                <c:pt idx="2554">
                  <c:v>227</c:v>
                </c:pt>
                <c:pt idx="2555">
                  <c:v>218</c:v>
                </c:pt>
                <c:pt idx="2556">
                  <c:v>188</c:v>
                </c:pt>
                <c:pt idx="2557">
                  <c:v>236</c:v>
                </c:pt>
                <c:pt idx="2558">
                  <c:v>194</c:v>
                </c:pt>
                <c:pt idx="2559">
                  <c:v>236</c:v>
                </c:pt>
                <c:pt idx="2560">
                  <c:v>227</c:v>
                </c:pt>
                <c:pt idx="2561">
                  <c:v>202</c:v>
                </c:pt>
                <c:pt idx="2562">
                  <c:v>180</c:v>
                </c:pt>
                <c:pt idx="2563">
                  <c:v>212</c:v>
                </c:pt>
                <c:pt idx="2564">
                  <c:v>247</c:v>
                </c:pt>
                <c:pt idx="2565">
                  <c:v>217</c:v>
                </c:pt>
                <c:pt idx="2566">
                  <c:v>245</c:v>
                </c:pt>
                <c:pt idx="2567">
                  <c:v>229</c:v>
                </c:pt>
                <c:pt idx="2568">
                  <c:v>220</c:v>
                </c:pt>
                <c:pt idx="2569">
                  <c:v>230</c:v>
                </c:pt>
                <c:pt idx="2570">
                  <c:v>191</c:v>
                </c:pt>
                <c:pt idx="2571">
                  <c:v>220</c:v>
                </c:pt>
                <c:pt idx="2572">
                  <c:v>232</c:v>
                </c:pt>
                <c:pt idx="2573">
                  <c:v>185</c:v>
                </c:pt>
                <c:pt idx="2574">
                  <c:v>222</c:v>
                </c:pt>
                <c:pt idx="2575">
                  <c:v>239</c:v>
                </c:pt>
                <c:pt idx="2576">
                  <c:v>195</c:v>
                </c:pt>
                <c:pt idx="2577">
                  <c:v>220</c:v>
                </c:pt>
                <c:pt idx="2578">
                  <c:v>252</c:v>
                </c:pt>
                <c:pt idx="2579">
                  <c:v>183</c:v>
                </c:pt>
                <c:pt idx="2580">
                  <c:v>225</c:v>
                </c:pt>
                <c:pt idx="2581">
                  <c:v>190</c:v>
                </c:pt>
                <c:pt idx="2582">
                  <c:v>226</c:v>
                </c:pt>
                <c:pt idx="2583">
                  <c:v>238</c:v>
                </c:pt>
                <c:pt idx="2584">
                  <c:v>211</c:v>
                </c:pt>
                <c:pt idx="2585">
                  <c:v>205</c:v>
                </c:pt>
                <c:pt idx="2586">
                  <c:v>200</c:v>
                </c:pt>
                <c:pt idx="2587">
                  <c:v>201</c:v>
                </c:pt>
                <c:pt idx="2588">
                  <c:v>190</c:v>
                </c:pt>
                <c:pt idx="2589">
                  <c:v>234</c:v>
                </c:pt>
                <c:pt idx="2590">
                  <c:v>203</c:v>
                </c:pt>
                <c:pt idx="2591">
                  <c:v>234</c:v>
                </c:pt>
                <c:pt idx="2592">
                  <c:v>242</c:v>
                </c:pt>
                <c:pt idx="2593">
                  <c:v>248</c:v>
                </c:pt>
                <c:pt idx="2594">
                  <c:v>233</c:v>
                </c:pt>
                <c:pt idx="2595">
                  <c:v>220</c:v>
                </c:pt>
                <c:pt idx="2596">
                  <c:v>259</c:v>
                </c:pt>
              </c:numCache>
            </c:numRef>
          </c:xVal>
          <c:yVal>
            <c:numRef>
              <c:f>Sheet1!$AX$2:$AX$2598</c:f>
              <c:numCache>
                <c:formatCode>General</c:formatCode>
                <c:ptCount val="2597"/>
                <c:pt idx="0">
                  <c:v>1.66</c:v>
                </c:pt>
                <c:pt idx="1">
                  <c:v>1.58</c:v>
                </c:pt>
                <c:pt idx="2">
                  <c:v>1.63</c:v>
                </c:pt>
                <c:pt idx="3">
                  <c:v>1.05</c:v>
                </c:pt>
                <c:pt idx="4">
                  <c:v>1.1399999999999999</c:v>
                </c:pt>
                <c:pt idx="5">
                  <c:v>1.1000000000000001</c:v>
                </c:pt>
                <c:pt idx="6">
                  <c:v>1.41</c:v>
                </c:pt>
                <c:pt idx="7">
                  <c:v>1.34</c:v>
                </c:pt>
                <c:pt idx="8">
                  <c:v>1.59</c:v>
                </c:pt>
                <c:pt idx="9">
                  <c:v>1.1200000000000001</c:v>
                </c:pt>
                <c:pt idx="10">
                  <c:v>1.64</c:v>
                </c:pt>
                <c:pt idx="11">
                  <c:v>1.1100000000000001</c:v>
                </c:pt>
                <c:pt idx="12">
                  <c:v>2.09</c:v>
                </c:pt>
                <c:pt idx="13">
                  <c:v>1.6</c:v>
                </c:pt>
                <c:pt idx="14">
                  <c:v>1.7</c:v>
                </c:pt>
                <c:pt idx="15">
                  <c:v>1.78</c:v>
                </c:pt>
                <c:pt idx="16">
                  <c:v>1.1200000000000001</c:v>
                </c:pt>
                <c:pt idx="17">
                  <c:v>1.67</c:v>
                </c:pt>
                <c:pt idx="18">
                  <c:v>1.67</c:v>
                </c:pt>
                <c:pt idx="19">
                  <c:v>1.36</c:v>
                </c:pt>
                <c:pt idx="20">
                  <c:v>1.59</c:v>
                </c:pt>
                <c:pt idx="21">
                  <c:v>2</c:v>
                </c:pt>
                <c:pt idx="22">
                  <c:v>1.28</c:v>
                </c:pt>
                <c:pt idx="23">
                  <c:v>1.29</c:v>
                </c:pt>
                <c:pt idx="24">
                  <c:v>2.5099999999999998</c:v>
                </c:pt>
                <c:pt idx="25">
                  <c:v>1.63</c:v>
                </c:pt>
                <c:pt idx="26">
                  <c:v>1.64</c:v>
                </c:pt>
                <c:pt idx="27">
                  <c:v>1.46</c:v>
                </c:pt>
                <c:pt idx="28">
                  <c:v>1.93</c:v>
                </c:pt>
                <c:pt idx="29">
                  <c:v>1.7</c:v>
                </c:pt>
                <c:pt idx="30">
                  <c:v>1.52</c:v>
                </c:pt>
                <c:pt idx="31">
                  <c:v>1.07</c:v>
                </c:pt>
                <c:pt idx="32">
                  <c:v>0.87</c:v>
                </c:pt>
                <c:pt idx="33">
                  <c:v>1.49</c:v>
                </c:pt>
                <c:pt idx="34">
                  <c:v>1.74</c:v>
                </c:pt>
                <c:pt idx="35">
                  <c:v>1.57</c:v>
                </c:pt>
                <c:pt idx="36">
                  <c:v>1.54</c:v>
                </c:pt>
                <c:pt idx="37">
                  <c:v>1.42</c:v>
                </c:pt>
                <c:pt idx="38">
                  <c:v>1.76</c:v>
                </c:pt>
                <c:pt idx="39">
                  <c:v>1.51</c:v>
                </c:pt>
                <c:pt idx="40">
                  <c:v>1.63</c:v>
                </c:pt>
                <c:pt idx="41">
                  <c:v>1.26</c:v>
                </c:pt>
                <c:pt idx="42">
                  <c:v>1.74</c:v>
                </c:pt>
                <c:pt idx="43">
                  <c:v>2.21</c:v>
                </c:pt>
                <c:pt idx="44">
                  <c:v>1.73</c:v>
                </c:pt>
                <c:pt idx="45">
                  <c:v>1.36</c:v>
                </c:pt>
                <c:pt idx="46">
                  <c:v>1.19</c:v>
                </c:pt>
                <c:pt idx="47">
                  <c:v>1.6</c:v>
                </c:pt>
                <c:pt idx="48">
                  <c:v>1.1599999999999999</c:v>
                </c:pt>
                <c:pt idx="49">
                  <c:v>1.25</c:v>
                </c:pt>
                <c:pt idx="50">
                  <c:v>1.2</c:v>
                </c:pt>
                <c:pt idx="51">
                  <c:v>1.72</c:v>
                </c:pt>
                <c:pt idx="52">
                  <c:v>1.1000000000000001</c:v>
                </c:pt>
                <c:pt idx="53">
                  <c:v>1.7</c:v>
                </c:pt>
                <c:pt idx="54">
                  <c:v>1.98</c:v>
                </c:pt>
                <c:pt idx="55">
                  <c:v>1.41</c:v>
                </c:pt>
                <c:pt idx="56">
                  <c:v>1.3</c:v>
                </c:pt>
                <c:pt idx="57">
                  <c:v>1.65</c:v>
                </c:pt>
                <c:pt idx="58">
                  <c:v>0.98</c:v>
                </c:pt>
                <c:pt idx="59">
                  <c:v>0.59</c:v>
                </c:pt>
                <c:pt idx="60">
                  <c:v>1.31</c:v>
                </c:pt>
                <c:pt idx="61">
                  <c:v>1.55</c:v>
                </c:pt>
                <c:pt idx="62">
                  <c:v>1.83</c:v>
                </c:pt>
                <c:pt idx="63">
                  <c:v>1.8</c:v>
                </c:pt>
                <c:pt idx="64">
                  <c:v>1.19</c:v>
                </c:pt>
                <c:pt idx="65">
                  <c:v>1.4</c:v>
                </c:pt>
                <c:pt idx="66">
                  <c:v>1.63</c:v>
                </c:pt>
                <c:pt idx="67">
                  <c:v>1.37</c:v>
                </c:pt>
                <c:pt idx="68">
                  <c:v>1.1200000000000001</c:v>
                </c:pt>
                <c:pt idx="69">
                  <c:v>1.63</c:v>
                </c:pt>
                <c:pt idx="70">
                  <c:v>1.87</c:v>
                </c:pt>
                <c:pt idx="71">
                  <c:v>1.39</c:v>
                </c:pt>
                <c:pt idx="72">
                  <c:v>2.35</c:v>
                </c:pt>
                <c:pt idx="73">
                  <c:v>1.57</c:v>
                </c:pt>
                <c:pt idx="74">
                  <c:v>1.29</c:v>
                </c:pt>
                <c:pt idx="75">
                  <c:v>1.91</c:v>
                </c:pt>
                <c:pt idx="76">
                  <c:v>1.45</c:v>
                </c:pt>
                <c:pt idx="77">
                  <c:v>0.95</c:v>
                </c:pt>
                <c:pt idx="78">
                  <c:v>1.19</c:v>
                </c:pt>
                <c:pt idx="79">
                  <c:v>2</c:v>
                </c:pt>
                <c:pt idx="80">
                  <c:v>1.98</c:v>
                </c:pt>
                <c:pt idx="81">
                  <c:v>0.88</c:v>
                </c:pt>
                <c:pt idx="82">
                  <c:v>1.72</c:v>
                </c:pt>
                <c:pt idx="83">
                  <c:v>1.26</c:v>
                </c:pt>
                <c:pt idx="84">
                  <c:v>1.31</c:v>
                </c:pt>
                <c:pt idx="85">
                  <c:v>1.03</c:v>
                </c:pt>
                <c:pt idx="86">
                  <c:v>1.05</c:v>
                </c:pt>
                <c:pt idx="87">
                  <c:v>1.1100000000000001</c:v>
                </c:pt>
                <c:pt idx="88">
                  <c:v>1.91</c:v>
                </c:pt>
                <c:pt idx="89">
                  <c:v>1.01</c:v>
                </c:pt>
                <c:pt idx="90">
                  <c:v>1.64</c:v>
                </c:pt>
                <c:pt idx="91">
                  <c:v>1.73</c:v>
                </c:pt>
                <c:pt idx="92">
                  <c:v>2.19</c:v>
                </c:pt>
                <c:pt idx="93">
                  <c:v>1.31</c:v>
                </c:pt>
                <c:pt idx="94">
                  <c:v>1.41</c:v>
                </c:pt>
                <c:pt idx="95">
                  <c:v>1.7</c:v>
                </c:pt>
                <c:pt idx="96">
                  <c:v>1.7</c:v>
                </c:pt>
                <c:pt idx="97">
                  <c:v>1.76</c:v>
                </c:pt>
                <c:pt idx="98">
                  <c:v>1.69</c:v>
                </c:pt>
                <c:pt idx="99">
                  <c:v>0.89</c:v>
                </c:pt>
                <c:pt idx="100">
                  <c:v>0.87</c:v>
                </c:pt>
                <c:pt idx="101">
                  <c:v>0.91</c:v>
                </c:pt>
                <c:pt idx="102">
                  <c:v>1.98</c:v>
                </c:pt>
                <c:pt idx="103">
                  <c:v>1.69</c:v>
                </c:pt>
                <c:pt idx="104">
                  <c:v>1.52</c:v>
                </c:pt>
                <c:pt idx="105">
                  <c:v>1.72</c:v>
                </c:pt>
                <c:pt idx="106">
                  <c:v>1.27</c:v>
                </c:pt>
                <c:pt idx="107">
                  <c:v>1.93</c:v>
                </c:pt>
                <c:pt idx="108">
                  <c:v>1.3</c:v>
                </c:pt>
                <c:pt idx="109">
                  <c:v>1.59</c:v>
                </c:pt>
                <c:pt idx="110">
                  <c:v>0.97</c:v>
                </c:pt>
                <c:pt idx="111">
                  <c:v>1.59</c:v>
                </c:pt>
                <c:pt idx="112">
                  <c:v>1.64</c:v>
                </c:pt>
                <c:pt idx="113">
                  <c:v>1.08</c:v>
                </c:pt>
                <c:pt idx="114">
                  <c:v>1.84</c:v>
                </c:pt>
                <c:pt idx="115">
                  <c:v>1.1399999999999999</c:v>
                </c:pt>
                <c:pt idx="116">
                  <c:v>1.19</c:v>
                </c:pt>
                <c:pt idx="117">
                  <c:v>1.55</c:v>
                </c:pt>
                <c:pt idx="118">
                  <c:v>1.35</c:v>
                </c:pt>
                <c:pt idx="119">
                  <c:v>1.29</c:v>
                </c:pt>
                <c:pt idx="120">
                  <c:v>1.28</c:v>
                </c:pt>
                <c:pt idx="121">
                  <c:v>1.06</c:v>
                </c:pt>
                <c:pt idx="122">
                  <c:v>1.68</c:v>
                </c:pt>
                <c:pt idx="123">
                  <c:v>1.03</c:v>
                </c:pt>
                <c:pt idx="124">
                  <c:v>2.0699999999999998</c:v>
                </c:pt>
                <c:pt idx="125">
                  <c:v>1.27</c:v>
                </c:pt>
                <c:pt idx="126">
                  <c:v>1.46</c:v>
                </c:pt>
                <c:pt idx="127">
                  <c:v>1.23</c:v>
                </c:pt>
                <c:pt idx="128">
                  <c:v>1.53</c:v>
                </c:pt>
                <c:pt idx="129">
                  <c:v>1.21</c:v>
                </c:pt>
                <c:pt idx="130">
                  <c:v>1.31</c:v>
                </c:pt>
                <c:pt idx="131">
                  <c:v>1.35</c:v>
                </c:pt>
                <c:pt idx="132">
                  <c:v>1.01</c:v>
                </c:pt>
                <c:pt idx="133">
                  <c:v>1.1100000000000001</c:v>
                </c:pt>
                <c:pt idx="134">
                  <c:v>2.04</c:v>
                </c:pt>
                <c:pt idx="135">
                  <c:v>1.1100000000000001</c:v>
                </c:pt>
                <c:pt idx="136">
                  <c:v>1.69</c:v>
                </c:pt>
                <c:pt idx="137">
                  <c:v>2.31</c:v>
                </c:pt>
                <c:pt idx="138">
                  <c:v>1.3</c:v>
                </c:pt>
                <c:pt idx="139">
                  <c:v>1.28</c:v>
                </c:pt>
                <c:pt idx="140">
                  <c:v>1.45</c:v>
                </c:pt>
                <c:pt idx="141">
                  <c:v>1.17</c:v>
                </c:pt>
                <c:pt idx="142">
                  <c:v>1.45</c:v>
                </c:pt>
                <c:pt idx="143">
                  <c:v>2.85</c:v>
                </c:pt>
                <c:pt idx="144">
                  <c:v>2.0499999999999998</c:v>
                </c:pt>
                <c:pt idx="145">
                  <c:v>1.35</c:v>
                </c:pt>
                <c:pt idx="146">
                  <c:v>1.1100000000000001</c:v>
                </c:pt>
                <c:pt idx="147">
                  <c:v>1.67</c:v>
                </c:pt>
                <c:pt idx="148">
                  <c:v>1.31</c:v>
                </c:pt>
                <c:pt idx="149">
                  <c:v>1.66</c:v>
                </c:pt>
                <c:pt idx="150">
                  <c:v>1.67</c:v>
                </c:pt>
                <c:pt idx="151">
                  <c:v>1.07</c:v>
                </c:pt>
                <c:pt idx="152">
                  <c:v>1.69</c:v>
                </c:pt>
                <c:pt idx="153">
                  <c:v>0.98</c:v>
                </c:pt>
                <c:pt idx="154">
                  <c:v>1.1299999999999999</c:v>
                </c:pt>
                <c:pt idx="155">
                  <c:v>1.8</c:v>
                </c:pt>
                <c:pt idx="156">
                  <c:v>1.27</c:v>
                </c:pt>
                <c:pt idx="157">
                  <c:v>1.76</c:v>
                </c:pt>
                <c:pt idx="158">
                  <c:v>1.1499999999999999</c:v>
                </c:pt>
                <c:pt idx="159">
                  <c:v>1.34</c:v>
                </c:pt>
                <c:pt idx="160">
                  <c:v>1.1399999999999999</c:v>
                </c:pt>
                <c:pt idx="161">
                  <c:v>1.9</c:v>
                </c:pt>
                <c:pt idx="162">
                  <c:v>1.1200000000000001</c:v>
                </c:pt>
                <c:pt idx="163">
                  <c:v>1.69</c:v>
                </c:pt>
                <c:pt idx="164">
                  <c:v>1.18</c:v>
                </c:pt>
                <c:pt idx="165">
                  <c:v>1.24</c:v>
                </c:pt>
                <c:pt idx="166">
                  <c:v>1.46</c:v>
                </c:pt>
                <c:pt idx="167">
                  <c:v>1.44</c:v>
                </c:pt>
                <c:pt idx="168">
                  <c:v>1.26</c:v>
                </c:pt>
                <c:pt idx="169">
                  <c:v>1.02</c:v>
                </c:pt>
                <c:pt idx="170">
                  <c:v>1.86</c:v>
                </c:pt>
                <c:pt idx="171">
                  <c:v>1.81</c:v>
                </c:pt>
                <c:pt idx="172">
                  <c:v>1.72</c:v>
                </c:pt>
                <c:pt idx="173">
                  <c:v>0.86</c:v>
                </c:pt>
                <c:pt idx="174">
                  <c:v>1.43</c:v>
                </c:pt>
                <c:pt idx="175">
                  <c:v>1.63</c:v>
                </c:pt>
                <c:pt idx="176">
                  <c:v>1.77</c:v>
                </c:pt>
                <c:pt idx="177">
                  <c:v>2.12</c:v>
                </c:pt>
                <c:pt idx="178">
                  <c:v>1.65</c:v>
                </c:pt>
                <c:pt idx="179">
                  <c:v>0.66</c:v>
                </c:pt>
                <c:pt idx="180">
                  <c:v>1.33</c:v>
                </c:pt>
                <c:pt idx="181">
                  <c:v>1.8</c:v>
                </c:pt>
                <c:pt idx="182">
                  <c:v>1.1599999999999999</c:v>
                </c:pt>
                <c:pt idx="183">
                  <c:v>1.07</c:v>
                </c:pt>
                <c:pt idx="184">
                  <c:v>1.08</c:v>
                </c:pt>
                <c:pt idx="185">
                  <c:v>1.45</c:v>
                </c:pt>
                <c:pt idx="186">
                  <c:v>1.83</c:v>
                </c:pt>
                <c:pt idx="187">
                  <c:v>1.46</c:v>
                </c:pt>
                <c:pt idx="188">
                  <c:v>2.21</c:v>
                </c:pt>
                <c:pt idx="189">
                  <c:v>1.41</c:v>
                </c:pt>
                <c:pt idx="190">
                  <c:v>1.75</c:v>
                </c:pt>
                <c:pt idx="191">
                  <c:v>1.62</c:v>
                </c:pt>
                <c:pt idx="192">
                  <c:v>0.92</c:v>
                </c:pt>
                <c:pt idx="193">
                  <c:v>1.51</c:v>
                </c:pt>
                <c:pt idx="194">
                  <c:v>1.51</c:v>
                </c:pt>
                <c:pt idx="195">
                  <c:v>1.58</c:v>
                </c:pt>
                <c:pt idx="196">
                  <c:v>1.59</c:v>
                </c:pt>
                <c:pt idx="197">
                  <c:v>1.39</c:v>
                </c:pt>
                <c:pt idx="198">
                  <c:v>1.61</c:v>
                </c:pt>
                <c:pt idx="199">
                  <c:v>1.41</c:v>
                </c:pt>
                <c:pt idx="200">
                  <c:v>1.1299999999999999</c:v>
                </c:pt>
                <c:pt idx="201">
                  <c:v>1.9</c:v>
                </c:pt>
                <c:pt idx="202">
                  <c:v>1.0900000000000001</c:v>
                </c:pt>
                <c:pt idx="203">
                  <c:v>1.89</c:v>
                </c:pt>
                <c:pt idx="204">
                  <c:v>1.84</c:v>
                </c:pt>
                <c:pt idx="205">
                  <c:v>1.1200000000000001</c:v>
                </c:pt>
                <c:pt idx="206">
                  <c:v>1.1100000000000001</c:v>
                </c:pt>
                <c:pt idx="207">
                  <c:v>1.21</c:v>
                </c:pt>
                <c:pt idx="208">
                  <c:v>1.29</c:v>
                </c:pt>
                <c:pt idx="209">
                  <c:v>1.51</c:v>
                </c:pt>
                <c:pt idx="210">
                  <c:v>1.5</c:v>
                </c:pt>
                <c:pt idx="211">
                  <c:v>1.65</c:v>
                </c:pt>
                <c:pt idx="212">
                  <c:v>1.1399999999999999</c:v>
                </c:pt>
                <c:pt idx="213">
                  <c:v>1.2</c:v>
                </c:pt>
                <c:pt idx="214">
                  <c:v>1.23</c:v>
                </c:pt>
                <c:pt idx="215">
                  <c:v>1.75</c:v>
                </c:pt>
                <c:pt idx="216">
                  <c:v>1.19</c:v>
                </c:pt>
                <c:pt idx="217">
                  <c:v>1.26</c:v>
                </c:pt>
                <c:pt idx="218">
                  <c:v>1.2</c:v>
                </c:pt>
                <c:pt idx="219">
                  <c:v>1.27</c:v>
                </c:pt>
                <c:pt idx="220">
                  <c:v>1.27</c:v>
                </c:pt>
                <c:pt idx="221">
                  <c:v>1.61</c:v>
                </c:pt>
                <c:pt idx="222">
                  <c:v>2.14</c:v>
                </c:pt>
                <c:pt idx="223">
                  <c:v>1.57</c:v>
                </c:pt>
                <c:pt idx="224">
                  <c:v>1.45</c:v>
                </c:pt>
                <c:pt idx="225">
                  <c:v>1.01</c:v>
                </c:pt>
                <c:pt idx="226">
                  <c:v>1.72</c:v>
                </c:pt>
                <c:pt idx="227">
                  <c:v>1.57</c:v>
                </c:pt>
                <c:pt idx="228">
                  <c:v>1.0900000000000001</c:v>
                </c:pt>
                <c:pt idx="229">
                  <c:v>1.83</c:v>
                </c:pt>
                <c:pt idx="230">
                  <c:v>1.2</c:v>
                </c:pt>
                <c:pt idx="231">
                  <c:v>1.66</c:v>
                </c:pt>
                <c:pt idx="232">
                  <c:v>1.37</c:v>
                </c:pt>
                <c:pt idx="233">
                  <c:v>1.44</c:v>
                </c:pt>
                <c:pt idx="234">
                  <c:v>1.35</c:v>
                </c:pt>
                <c:pt idx="235">
                  <c:v>1.34</c:v>
                </c:pt>
                <c:pt idx="236">
                  <c:v>1.81</c:v>
                </c:pt>
                <c:pt idx="237">
                  <c:v>1.76</c:v>
                </c:pt>
                <c:pt idx="238">
                  <c:v>1.31</c:v>
                </c:pt>
                <c:pt idx="239">
                  <c:v>1.68</c:v>
                </c:pt>
                <c:pt idx="240">
                  <c:v>1.73</c:v>
                </c:pt>
                <c:pt idx="241">
                  <c:v>1.8</c:v>
                </c:pt>
                <c:pt idx="242">
                  <c:v>1.56</c:v>
                </c:pt>
                <c:pt idx="243">
                  <c:v>1.48</c:v>
                </c:pt>
                <c:pt idx="244">
                  <c:v>1.49</c:v>
                </c:pt>
                <c:pt idx="245">
                  <c:v>1.5</c:v>
                </c:pt>
                <c:pt idx="246">
                  <c:v>2.7</c:v>
                </c:pt>
                <c:pt idx="247">
                  <c:v>1</c:v>
                </c:pt>
                <c:pt idx="248">
                  <c:v>1.82</c:v>
                </c:pt>
                <c:pt idx="249">
                  <c:v>1.89</c:v>
                </c:pt>
                <c:pt idx="250">
                  <c:v>1.6</c:v>
                </c:pt>
                <c:pt idx="251">
                  <c:v>1.02</c:v>
                </c:pt>
                <c:pt idx="252">
                  <c:v>0.83</c:v>
                </c:pt>
                <c:pt idx="253">
                  <c:v>1.56</c:v>
                </c:pt>
                <c:pt idx="254">
                  <c:v>1.3</c:v>
                </c:pt>
                <c:pt idx="255">
                  <c:v>1.64</c:v>
                </c:pt>
                <c:pt idx="256">
                  <c:v>1.71</c:v>
                </c:pt>
                <c:pt idx="257">
                  <c:v>1.41</c:v>
                </c:pt>
                <c:pt idx="258">
                  <c:v>1.07</c:v>
                </c:pt>
                <c:pt idx="259">
                  <c:v>0.95</c:v>
                </c:pt>
                <c:pt idx="260">
                  <c:v>1.9</c:v>
                </c:pt>
                <c:pt idx="261">
                  <c:v>1.66</c:v>
                </c:pt>
                <c:pt idx="262">
                  <c:v>1.36</c:v>
                </c:pt>
                <c:pt idx="263">
                  <c:v>1.1299999999999999</c:v>
                </c:pt>
                <c:pt idx="264">
                  <c:v>1.07</c:v>
                </c:pt>
                <c:pt idx="265">
                  <c:v>1.1000000000000001</c:v>
                </c:pt>
                <c:pt idx="266">
                  <c:v>1.35</c:v>
                </c:pt>
                <c:pt idx="267">
                  <c:v>1.33</c:v>
                </c:pt>
                <c:pt idx="268">
                  <c:v>1.4</c:v>
                </c:pt>
                <c:pt idx="269">
                  <c:v>1.62</c:v>
                </c:pt>
                <c:pt idx="270">
                  <c:v>1.29</c:v>
                </c:pt>
                <c:pt idx="271">
                  <c:v>1.1499999999999999</c:v>
                </c:pt>
                <c:pt idx="272">
                  <c:v>1.9</c:v>
                </c:pt>
                <c:pt idx="273">
                  <c:v>1.29</c:v>
                </c:pt>
                <c:pt idx="274">
                  <c:v>1.78</c:v>
                </c:pt>
                <c:pt idx="275">
                  <c:v>1.21</c:v>
                </c:pt>
                <c:pt idx="276">
                  <c:v>1.03</c:v>
                </c:pt>
                <c:pt idx="277">
                  <c:v>1.78</c:v>
                </c:pt>
                <c:pt idx="278">
                  <c:v>1.1200000000000001</c:v>
                </c:pt>
                <c:pt idx="279">
                  <c:v>1.37</c:v>
                </c:pt>
                <c:pt idx="280">
                  <c:v>1.1299999999999999</c:v>
                </c:pt>
                <c:pt idx="281">
                  <c:v>1.27</c:v>
                </c:pt>
                <c:pt idx="282">
                  <c:v>2.0299999999999998</c:v>
                </c:pt>
                <c:pt idx="283">
                  <c:v>1.28</c:v>
                </c:pt>
                <c:pt idx="284">
                  <c:v>1.8</c:v>
                </c:pt>
                <c:pt idx="285">
                  <c:v>0.91</c:v>
                </c:pt>
                <c:pt idx="286">
                  <c:v>0.99</c:v>
                </c:pt>
                <c:pt idx="287">
                  <c:v>1.37</c:v>
                </c:pt>
                <c:pt idx="288">
                  <c:v>1.1499999999999999</c:v>
                </c:pt>
                <c:pt idx="289">
                  <c:v>1.38</c:v>
                </c:pt>
                <c:pt idx="290">
                  <c:v>1.85</c:v>
                </c:pt>
                <c:pt idx="291">
                  <c:v>1.85</c:v>
                </c:pt>
                <c:pt idx="292">
                  <c:v>1.05</c:v>
                </c:pt>
                <c:pt idx="293">
                  <c:v>1.56</c:v>
                </c:pt>
                <c:pt idx="294">
                  <c:v>1.02</c:v>
                </c:pt>
                <c:pt idx="295">
                  <c:v>1.08</c:v>
                </c:pt>
                <c:pt idx="296">
                  <c:v>1.71</c:v>
                </c:pt>
                <c:pt idx="297">
                  <c:v>1.41</c:v>
                </c:pt>
                <c:pt idx="298">
                  <c:v>1.75</c:v>
                </c:pt>
                <c:pt idx="299">
                  <c:v>0.84</c:v>
                </c:pt>
                <c:pt idx="300">
                  <c:v>1.29</c:v>
                </c:pt>
                <c:pt idx="301">
                  <c:v>1.64</c:v>
                </c:pt>
                <c:pt idx="302">
                  <c:v>1.44</c:v>
                </c:pt>
                <c:pt idx="303">
                  <c:v>1.37</c:v>
                </c:pt>
                <c:pt idx="304">
                  <c:v>1.34</c:v>
                </c:pt>
                <c:pt idx="305">
                  <c:v>1.78</c:v>
                </c:pt>
                <c:pt idx="306">
                  <c:v>2.1</c:v>
                </c:pt>
                <c:pt idx="307">
                  <c:v>1.07</c:v>
                </c:pt>
                <c:pt idx="308">
                  <c:v>1.59</c:v>
                </c:pt>
                <c:pt idx="309">
                  <c:v>1.1200000000000001</c:v>
                </c:pt>
                <c:pt idx="310">
                  <c:v>1.2</c:v>
                </c:pt>
                <c:pt idx="311">
                  <c:v>0.99</c:v>
                </c:pt>
                <c:pt idx="312">
                  <c:v>1.1499999999999999</c:v>
                </c:pt>
                <c:pt idx="313">
                  <c:v>1.06</c:v>
                </c:pt>
                <c:pt idx="314">
                  <c:v>1.36</c:v>
                </c:pt>
                <c:pt idx="315">
                  <c:v>1.71</c:v>
                </c:pt>
                <c:pt idx="316">
                  <c:v>1.24</c:v>
                </c:pt>
                <c:pt idx="317">
                  <c:v>0.87</c:v>
                </c:pt>
                <c:pt idx="318">
                  <c:v>2.04</c:v>
                </c:pt>
                <c:pt idx="319">
                  <c:v>1.77</c:v>
                </c:pt>
                <c:pt idx="320">
                  <c:v>1.92</c:v>
                </c:pt>
                <c:pt idx="321">
                  <c:v>1.2</c:v>
                </c:pt>
                <c:pt idx="322">
                  <c:v>1.57</c:v>
                </c:pt>
                <c:pt idx="323">
                  <c:v>1.64</c:v>
                </c:pt>
                <c:pt idx="324">
                  <c:v>1.17</c:v>
                </c:pt>
                <c:pt idx="325">
                  <c:v>1.23</c:v>
                </c:pt>
                <c:pt idx="326">
                  <c:v>1.88</c:v>
                </c:pt>
                <c:pt idx="327">
                  <c:v>1.23</c:v>
                </c:pt>
                <c:pt idx="328">
                  <c:v>1.39</c:v>
                </c:pt>
                <c:pt idx="329">
                  <c:v>1.08</c:v>
                </c:pt>
                <c:pt idx="330">
                  <c:v>2.0099999999999998</c:v>
                </c:pt>
                <c:pt idx="331">
                  <c:v>1.46</c:v>
                </c:pt>
                <c:pt idx="332">
                  <c:v>1.33</c:v>
                </c:pt>
                <c:pt idx="333">
                  <c:v>2.42</c:v>
                </c:pt>
                <c:pt idx="334">
                  <c:v>1.24</c:v>
                </c:pt>
                <c:pt idx="335">
                  <c:v>1.18</c:v>
                </c:pt>
                <c:pt idx="336">
                  <c:v>1.66</c:v>
                </c:pt>
                <c:pt idx="337">
                  <c:v>1.07</c:v>
                </c:pt>
                <c:pt idx="338">
                  <c:v>1.66</c:v>
                </c:pt>
                <c:pt idx="339">
                  <c:v>1.62</c:v>
                </c:pt>
                <c:pt idx="340">
                  <c:v>0.78</c:v>
                </c:pt>
                <c:pt idx="341">
                  <c:v>1.17</c:v>
                </c:pt>
                <c:pt idx="342">
                  <c:v>1.45</c:v>
                </c:pt>
                <c:pt idx="343">
                  <c:v>1.22</c:v>
                </c:pt>
                <c:pt idx="344">
                  <c:v>1.35</c:v>
                </c:pt>
                <c:pt idx="345">
                  <c:v>1.28</c:v>
                </c:pt>
                <c:pt idx="346">
                  <c:v>1.08</c:v>
                </c:pt>
                <c:pt idx="347">
                  <c:v>1.1100000000000001</c:v>
                </c:pt>
                <c:pt idx="348">
                  <c:v>1.88</c:v>
                </c:pt>
                <c:pt idx="349">
                  <c:v>1.48</c:v>
                </c:pt>
                <c:pt idx="350">
                  <c:v>1.81</c:v>
                </c:pt>
                <c:pt idx="351">
                  <c:v>1.66</c:v>
                </c:pt>
                <c:pt idx="352">
                  <c:v>1.78</c:v>
                </c:pt>
                <c:pt idx="353">
                  <c:v>0.56999999999999995</c:v>
                </c:pt>
                <c:pt idx="354">
                  <c:v>0.91</c:v>
                </c:pt>
                <c:pt idx="355">
                  <c:v>1.5</c:v>
                </c:pt>
                <c:pt idx="356">
                  <c:v>1.04</c:v>
                </c:pt>
                <c:pt idx="357">
                  <c:v>1.42</c:v>
                </c:pt>
                <c:pt idx="358">
                  <c:v>0.99</c:v>
                </c:pt>
                <c:pt idx="359">
                  <c:v>1.69</c:v>
                </c:pt>
                <c:pt idx="360">
                  <c:v>1.52</c:v>
                </c:pt>
                <c:pt idx="361">
                  <c:v>1.62</c:v>
                </c:pt>
                <c:pt idx="362">
                  <c:v>2.3199999999999998</c:v>
                </c:pt>
                <c:pt idx="363">
                  <c:v>1.6</c:v>
                </c:pt>
                <c:pt idx="364">
                  <c:v>1.64</c:v>
                </c:pt>
                <c:pt idx="365">
                  <c:v>1.96</c:v>
                </c:pt>
                <c:pt idx="366">
                  <c:v>0.99</c:v>
                </c:pt>
                <c:pt idx="367">
                  <c:v>1.81</c:v>
                </c:pt>
                <c:pt idx="368">
                  <c:v>1.07</c:v>
                </c:pt>
                <c:pt idx="369">
                  <c:v>1.56</c:v>
                </c:pt>
                <c:pt idx="370">
                  <c:v>1.59</c:v>
                </c:pt>
                <c:pt idx="371">
                  <c:v>1.23</c:v>
                </c:pt>
                <c:pt idx="372">
                  <c:v>1.55</c:v>
                </c:pt>
                <c:pt idx="373">
                  <c:v>1.17</c:v>
                </c:pt>
                <c:pt idx="374">
                  <c:v>1.8</c:v>
                </c:pt>
                <c:pt idx="375">
                  <c:v>1.1599999999999999</c:v>
                </c:pt>
                <c:pt idx="376">
                  <c:v>1.31</c:v>
                </c:pt>
                <c:pt idx="377">
                  <c:v>2.15</c:v>
                </c:pt>
                <c:pt idx="378">
                  <c:v>1.66</c:v>
                </c:pt>
                <c:pt idx="379">
                  <c:v>0.98</c:v>
                </c:pt>
                <c:pt idx="380">
                  <c:v>0.98</c:v>
                </c:pt>
                <c:pt idx="381">
                  <c:v>0.95</c:v>
                </c:pt>
                <c:pt idx="382">
                  <c:v>1.66</c:v>
                </c:pt>
                <c:pt idx="383">
                  <c:v>1.51</c:v>
                </c:pt>
                <c:pt idx="384">
                  <c:v>1.29</c:v>
                </c:pt>
                <c:pt idx="385">
                  <c:v>1.29</c:v>
                </c:pt>
                <c:pt idx="386">
                  <c:v>1.36</c:v>
                </c:pt>
                <c:pt idx="387">
                  <c:v>1.39</c:v>
                </c:pt>
                <c:pt idx="388">
                  <c:v>1.37</c:v>
                </c:pt>
                <c:pt idx="389">
                  <c:v>1.1100000000000001</c:v>
                </c:pt>
                <c:pt idx="390">
                  <c:v>1.29</c:v>
                </c:pt>
                <c:pt idx="391">
                  <c:v>1.54</c:v>
                </c:pt>
                <c:pt idx="392">
                  <c:v>1.54</c:v>
                </c:pt>
                <c:pt idx="393">
                  <c:v>1.1599999999999999</c:v>
                </c:pt>
                <c:pt idx="394">
                  <c:v>0.97</c:v>
                </c:pt>
                <c:pt idx="395">
                  <c:v>1.58</c:v>
                </c:pt>
                <c:pt idx="396">
                  <c:v>1.43</c:v>
                </c:pt>
                <c:pt idx="397">
                  <c:v>0.76</c:v>
                </c:pt>
                <c:pt idx="398">
                  <c:v>1.0900000000000001</c:v>
                </c:pt>
                <c:pt idx="399">
                  <c:v>0.8</c:v>
                </c:pt>
                <c:pt idx="400">
                  <c:v>1.08</c:v>
                </c:pt>
                <c:pt idx="401">
                  <c:v>1.38</c:v>
                </c:pt>
                <c:pt idx="402">
                  <c:v>1</c:v>
                </c:pt>
                <c:pt idx="403">
                  <c:v>1.52</c:v>
                </c:pt>
                <c:pt idx="404">
                  <c:v>1.1499999999999999</c:v>
                </c:pt>
                <c:pt idx="405">
                  <c:v>1.1100000000000001</c:v>
                </c:pt>
                <c:pt idx="406">
                  <c:v>1.56</c:v>
                </c:pt>
                <c:pt idx="407">
                  <c:v>1.65</c:v>
                </c:pt>
                <c:pt idx="408">
                  <c:v>1.54</c:v>
                </c:pt>
                <c:pt idx="409">
                  <c:v>0.97</c:v>
                </c:pt>
                <c:pt idx="410">
                  <c:v>1.46</c:v>
                </c:pt>
                <c:pt idx="411">
                  <c:v>1.96</c:v>
                </c:pt>
                <c:pt idx="412">
                  <c:v>1.24</c:v>
                </c:pt>
                <c:pt idx="413">
                  <c:v>1.77</c:v>
                </c:pt>
                <c:pt idx="414">
                  <c:v>2.0099999999999998</c:v>
                </c:pt>
                <c:pt idx="415">
                  <c:v>1.62</c:v>
                </c:pt>
                <c:pt idx="416">
                  <c:v>1.63</c:v>
                </c:pt>
                <c:pt idx="417">
                  <c:v>0.96</c:v>
                </c:pt>
                <c:pt idx="418">
                  <c:v>0.94</c:v>
                </c:pt>
                <c:pt idx="419">
                  <c:v>0.87</c:v>
                </c:pt>
                <c:pt idx="420">
                  <c:v>1.59</c:v>
                </c:pt>
                <c:pt idx="421">
                  <c:v>1</c:v>
                </c:pt>
                <c:pt idx="422">
                  <c:v>0.94</c:v>
                </c:pt>
                <c:pt idx="423">
                  <c:v>1.99</c:v>
                </c:pt>
                <c:pt idx="424">
                  <c:v>1.42</c:v>
                </c:pt>
                <c:pt idx="425">
                  <c:v>1.57</c:v>
                </c:pt>
                <c:pt idx="426">
                  <c:v>1.01</c:v>
                </c:pt>
                <c:pt idx="427">
                  <c:v>2.0099999999999998</c:v>
                </c:pt>
                <c:pt idx="428">
                  <c:v>1.35</c:v>
                </c:pt>
                <c:pt idx="429">
                  <c:v>0.85</c:v>
                </c:pt>
                <c:pt idx="430">
                  <c:v>1.05</c:v>
                </c:pt>
                <c:pt idx="431">
                  <c:v>1.57</c:v>
                </c:pt>
                <c:pt idx="432">
                  <c:v>1.81</c:v>
                </c:pt>
                <c:pt idx="433">
                  <c:v>1.78</c:v>
                </c:pt>
                <c:pt idx="434">
                  <c:v>1.78</c:v>
                </c:pt>
                <c:pt idx="435">
                  <c:v>1.54</c:v>
                </c:pt>
                <c:pt idx="436">
                  <c:v>1.8</c:v>
                </c:pt>
                <c:pt idx="437">
                  <c:v>1.3</c:v>
                </c:pt>
                <c:pt idx="438">
                  <c:v>1.08</c:v>
                </c:pt>
                <c:pt idx="439">
                  <c:v>1.34</c:v>
                </c:pt>
                <c:pt idx="440">
                  <c:v>2.09</c:v>
                </c:pt>
                <c:pt idx="441">
                  <c:v>1.1499999999999999</c:v>
                </c:pt>
                <c:pt idx="442">
                  <c:v>1.1599999999999999</c:v>
                </c:pt>
                <c:pt idx="443">
                  <c:v>1.27</c:v>
                </c:pt>
                <c:pt idx="444">
                  <c:v>1.08</c:v>
                </c:pt>
                <c:pt idx="445">
                  <c:v>1.26</c:v>
                </c:pt>
                <c:pt idx="446">
                  <c:v>1.05</c:v>
                </c:pt>
                <c:pt idx="447">
                  <c:v>1.3</c:v>
                </c:pt>
                <c:pt idx="448">
                  <c:v>1.31</c:v>
                </c:pt>
                <c:pt idx="449">
                  <c:v>1.26</c:v>
                </c:pt>
                <c:pt idx="450">
                  <c:v>1.59</c:v>
                </c:pt>
                <c:pt idx="451">
                  <c:v>0.88</c:v>
                </c:pt>
                <c:pt idx="452">
                  <c:v>1</c:v>
                </c:pt>
                <c:pt idx="453">
                  <c:v>1.4</c:v>
                </c:pt>
                <c:pt idx="454">
                  <c:v>0.91</c:v>
                </c:pt>
                <c:pt idx="455">
                  <c:v>1.54</c:v>
                </c:pt>
                <c:pt idx="456">
                  <c:v>1.0900000000000001</c:v>
                </c:pt>
                <c:pt idx="457">
                  <c:v>0.91</c:v>
                </c:pt>
                <c:pt idx="458">
                  <c:v>1.03</c:v>
                </c:pt>
                <c:pt idx="459">
                  <c:v>1.75</c:v>
                </c:pt>
                <c:pt idx="460">
                  <c:v>1.58</c:v>
                </c:pt>
                <c:pt idx="461">
                  <c:v>1.68</c:v>
                </c:pt>
                <c:pt idx="462">
                  <c:v>1.48</c:v>
                </c:pt>
                <c:pt idx="463">
                  <c:v>1.41</c:v>
                </c:pt>
                <c:pt idx="464">
                  <c:v>1.59</c:v>
                </c:pt>
                <c:pt idx="465">
                  <c:v>1.4</c:v>
                </c:pt>
                <c:pt idx="466">
                  <c:v>1.79</c:v>
                </c:pt>
                <c:pt idx="467">
                  <c:v>0.74</c:v>
                </c:pt>
                <c:pt idx="468">
                  <c:v>1.89</c:v>
                </c:pt>
                <c:pt idx="469">
                  <c:v>1.49</c:v>
                </c:pt>
                <c:pt idx="470">
                  <c:v>1.08</c:v>
                </c:pt>
                <c:pt idx="471">
                  <c:v>1.77</c:v>
                </c:pt>
                <c:pt idx="472">
                  <c:v>1.84</c:v>
                </c:pt>
                <c:pt idx="473">
                  <c:v>1.59</c:v>
                </c:pt>
                <c:pt idx="474">
                  <c:v>1.2</c:v>
                </c:pt>
                <c:pt idx="475">
                  <c:v>1.43</c:v>
                </c:pt>
                <c:pt idx="476">
                  <c:v>1.99</c:v>
                </c:pt>
                <c:pt idx="477">
                  <c:v>1.42</c:v>
                </c:pt>
                <c:pt idx="478">
                  <c:v>1.66</c:v>
                </c:pt>
                <c:pt idx="479">
                  <c:v>1.84</c:v>
                </c:pt>
                <c:pt idx="480">
                  <c:v>1.51</c:v>
                </c:pt>
                <c:pt idx="481">
                  <c:v>1.43</c:v>
                </c:pt>
                <c:pt idx="482">
                  <c:v>1.32</c:v>
                </c:pt>
                <c:pt idx="483">
                  <c:v>1.19</c:v>
                </c:pt>
                <c:pt idx="484">
                  <c:v>1.48</c:v>
                </c:pt>
                <c:pt idx="485">
                  <c:v>1.39</c:v>
                </c:pt>
                <c:pt idx="486">
                  <c:v>1.1000000000000001</c:v>
                </c:pt>
                <c:pt idx="487">
                  <c:v>1.41</c:v>
                </c:pt>
                <c:pt idx="488">
                  <c:v>1.62</c:v>
                </c:pt>
                <c:pt idx="489">
                  <c:v>0.92</c:v>
                </c:pt>
                <c:pt idx="490">
                  <c:v>1.92</c:v>
                </c:pt>
                <c:pt idx="491">
                  <c:v>1.1100000000000001</c:v>
                </c:pt>
                <c:pt idx="492">
                  <c:v>1.1399999999999999</c:v>
                </c:pt>
                <c:pt idx="493">
                  <c:v>1.24</c:v>
                </c:pt>
                <c:pt idx="494">
                  <c:v>1.5</c:v>
                </c:pt>
                <c:pt idx="495">
                  <c:v>1.21</c:v>
                </c:pt>
                <c:pt idx="496">
                  <c:v>0.93</c:v>
                </c:pt>
                <c:pt idx="497">
                  <c:v>1.28</c:v>
                </c:pt>
                <c:pt idx="498">
                  <c:v>1.93</c:v>
                </c:pt>
                <c:pt idx="499">
                  <c:v>2.04</c:v>
                </c:pt>
                <c:pt idx="500">
                  <c:v>1.77</c:v>
                </c:pt>
                <c:pt idx="501">
                  <c:v>1.39</c:v>
                </c:pt>
                <c:pt idx="502">
                  <c:v>1.59</c:v>
                </c:pt>
                <c:pt idx="503">
                  <c:v>1.78</c:v>
                </c:pt>
                <c:pt idx="504">
                  <c:v>1.42</c:v>
                </c:pt>
                <c:pt idx="505">
                  <c:v>1.23</c:v>
                </c:pt>
                <c:pt idx="506">
                  <c:v>1.8</c:v>
                </c:pt>
                <c:pt idx="507">
                  <c:v>1.07</c:v>
                </c:pt>
                <c:pt idx="508">
                  <c:v>1.23</c:v>
                </c:pt>
                <c:pt idx="509">
                  <c:v>1.01</c:v>
                </c:pt>
                <c:pt idx="510">
                  <c:v>1.74</c:v>
                </c:pt>
                <c:pt idx="511">
                  <c:v>1.07</c:v>
                </c:pt>
                <c:pt idx="512">
                  <c:v>1.43</c:v>
                </c:pt>
                <c:pt idx="513">
                  <c:v>0.9</c:v>
                </c:pt>
                <c:pt idx="514">
                  <c:v>1.43</c:v>
                </c:pt>
                <c:pt idx="515">
                  <c:v>1.19</c:v>
                </c:pt>
                <c:pt idx="516">
                  <c:v>1.85</c:v>
                </c:pt>
                <c:pt idx="517">
                  <c:v>1.4</c:v>
                </c:pt>
                <c:pt idx="518">
                  <c:v>1.1499999999999999</c:v>
                </c:pt>
                <c:pt idx="519">
                  <c:v>1.44</c:v>
                </c:pt>
                <c:pt idx="520">
                  <c:v>1.67</c:v>
                </c:pt>
                <c:pt idx="521">
                  <c:v>1.73</c:v>
                </c:pt>
                <c:pt idx="522">
                  <c:v>1.75</c:v>
                </c:pt>
                <c:pt idx="523">
                  <c:v>1.32</c:v>
                </c:pt>
                <c:pt idx="524">
                  <c:v>1.52</c:v>
                </c:pt>
                <c:pt idx="525">
                  <c:v>1.1399999999999999</c:v>
                </c:pt>
                <c:pt idx="526">
                  <c:v>1.41</c:v>
                </c:pt>
                <c:pt idx="527">
                  <c:v>1.22</c:v>
                </c:pt>
                <c:pt idx="528">
                  <c:v>0.9</c:v>
                </c:pt>
                <c:pt idx="529">
                  <c:v>1.44</c:v>
                </c:pt>
                <c:pt idx="530">
                  <c:v>1.45</c:v>
                </c:pt>
                <c:pt idx="531">
                  <c:v>1.56</c:v>
                </c:pt>
                <c:pt idx="532">
                  <c:v>1.21</c:v>
                </c:pt>
                <c:pt idx="533">
                  <c:v>1.75</c:v>
                </c:pt>
                <c:pt idx="534">
                  <c:v>1.07</c:v>
                </c:pt>
                <c:pt idx="535">
                  <c:v>1.1499999999999999</c:v>
                </c:pt>
                <c:pt idx="536">
                  <c:v>1.23</c:v>
                </c:pt>
                <c:pt idx="537">
                  <c:v>0.96</c:v>
                </c:pt>
                <c:pt idx="538">
                  <c:v>0.88</c:v>
                </c:pt>
                <c:pt idx="539">
                  <c:v>1.5</c:v>
                </c:pt>
                <c:pt idx="540">
                  <c:v>1.82</c:v>
                </c:pt>
                <c:pt idx="541">
                  <c:v>1.24</c:v>
                </c:pt>
                <c:pt idx="542">
                  <c:v>1.9</c:v>
                </c:pt>
                <c:pt idx="543">
                  <c:v>1.78</c:v>
                </c:pt>
                <c:pt idx="544">
                  <c:v>1.95</c:v>
                </c:pt>
                <c:pt idx="545">
                  <c:v>2.02</c:v>
                </c:pt>
                <c:pt idx="546">
                  <c:v>1.2</c:v>
                </c:pt>
                <c:pt idx="547">
                  <c:v>1.33</c:v>
                </c:pt>
                <c:pt idx="548">
                  <c:v>1.7</c:v>
                </c:pt>
                <c:pt idx="549">
                  <c:v>1.64</c:v>
                </c:pt>
                <c:pt idx="550">
                  <c:v>1.29</c:v>
                </c:pt>
                <c:pt idx="551">
                  <c:v>2.06</c:v>
                </c:pt>
                <c:pt idx="552">
                  <c:v>1.72</c:v>
                </c:pt>
                <c:pt idx="553">
                  <c:v>2.2000000000000002</c:v>
                </c:pt>
                <c:pt idx="554">
                  <c:v>1.59</c:v>
                </c:pt>
                <c:pt idx="555">
                  <c:v>1.49</c:v>
                </c:pt>
                <c:pt idx="556">
                  <c:v>1.39</c:v>
                </c:pt>
                <c:pt idx="557">
                  <c:v>1.1200000000000001</c:v>
                </c:pt>
                <c:pt idx="558">
                  <c:v>1.89</c:v>
                </c:pt>
                <c:pt idx="559">
                  <c:v>1.52</c:v>
                </c:pt>
                <c:pt idx="560">
                  <c:v>1.7</c:v>
                </c:pt>
                <c:pt idx="561">
                  <c:v>1.41</c:v>
                </c:pt>
                <c:pt idx="562">
                  <c:v>1.29</c:v>
                </c:pt>
                <c:pt idx="563">
                  <c:v>1.65</c:v>
                </c:pt>
                <c:pt idx="564">
                  <c:v>1.52</c:v>
                </c:pt>
                <c:pt idx="565">
                  <c:v>1.52</c:v>
                </c:pt>
                <c:pt idx="566">
                  <c:v>1.5</c:v>
                </c:pt>
                <c:pt idx="567">
                  <c:v>1.19</c:v>
                </c:pt>
                <c:pt idx="568">
                  <c:v>1.48</c:v>
                </c:pt>
                <c:pt idx="569">
                  <c:v>2.21</c:v>
                </c:pt>
                <c:pt idx="570">
                  <c:v>1.1000000000000001</c:v>
                </c:pt>
                <c:pt idx="571">
                  <c:v>1.72</c:v>
                </c:pt>
                <c:pt idx="572">
                  <c:v>1.39</c:v>
                </c:pt>
                <c:pt idx="573">
                  <c:v>1.1299999999999999</c:v>
                </c:pt>
                <c:pt idx="574">
                  <c:v>1.01</c:v>
                </c:pt>
                <c:pt idx="575">
                  <c:v>0.99</c:v>
                </c:pt>
                <c:pt idx="576">
                  <c:v>1.43</c:v>
                </c:pt>
                <c:pt idx="577">
                  <c:v>1.66</c:v>
                </c:pt>
                <c:pt idx="578">
                  <c:v>1.1299999999999999</c:v>
                </c:pt>
                <c:pt idx="579">
                  <c:v>1.24</c:v>
                </c:pt>
                <c:pt idx="580">
                  <c:v>2.08</c:v>
                </c:pt>
                <c:pt idx="581">
                  <c:v>1.29</c:v>
                </c:pt>
                <c:pt idx="582">
                  <c:v>1.66</c:v>
                </c:pt>
                <c:pt idx="583">
                  <c:v>1.2</c:v>
                </c:pt>
                <c:pt idx="584">
                  <c:v>1.73</c:v>
                </c:pt>
                <c:pt idx="585">
                  <c:v>1.01</c:v>
                </c:pt>
                <c:pt idx="586">
                  <c:v>1.48</c:v>
                </c:pt>
                <c:pt idx="587">
                  <c:v>1.2</c:v>
                </c:pt>
                <c:pt idx="588">
                  <c:v>1.01</c:v>
                </c:pt>
                <c:pt idx="589">
                  <c:v>1.48</c:v>
                </c:pt>
                <c:pt idx="590">
                  <c:v>1.63</c:v>
                </c:pt>
                <c:pt idx="591">
                  <c:v>1.29</c:v>
                </c:pt>
                <c:pt idx="592">
                  <c:v>1.4</c:v>
                </c:pt>
                <c:pt idx="593">
                  <c:v>0.82</c:v>
                </c:pt>
                <c:pt idx="594">
                  <c:v>1.5</c:v>
                </c:pt>
                <c:pt idx="595">
                  <c:v>1.8</c:v>
                </c:pt>
                <c:pt idx="596">
                  <c:v>1.73</c:v>
                </c:pt>
                <c:pt idx="597">
                  <c:v>1.29</c:v>
                </c:pt>
                <c:pt idx="598">
                  <c:v>1.46</c:v>
                </c:pt>
                <c:pt idx="599">
                  <c:v>1.1599999999999999</c:v>
                </c:pt>
                <c:pt idx="600">
                  <c:v>1.01</c:v>
                </c:pt>
                <c:pt idx="601">
                  <c:v>1.57</c:v>
                </c:pt>
                <c:pt idx="602">
                  <c:v>1.89</c:v>
                </c:pt>
                <c:pt idx="603">
                  <c:v>1.39</c:v>
                </c:pt>
                <c:pt idx="604">
                  <c:v>1.65</c:v>
                </c:pt>
                <c:pt idx="605">
                  <c:v>0.62</c:v>
                </c:pt>
                <c:pt idx="606">
                  <c:v>1.18</c:v>
                </c:pt>
                <c:pt idx="607">
                  <c:v>1.52</c:v>
                </c:pt>
                <c:pt idx="608">
                  <c:v>1.22</c:v>
                </c:pt>
                <c:pt idx="609">
                  <c:v>1.18</c:v>
                </c:pt>
                <c:pt idx="610">
                  <c:v>1.25</c:v>
                </c:pt>
                <c:pt idx="611">
                  <c:v>1.18</c:v>
                </c:pt>
                <c:pt idx="612">
                  <c:v>1.29</c:v>
                </c:pt>
                <c:pt idx="613">
                  <c:v>1.57</c:v>
                </c:pt>
                <c:pt idx="614">
                  <c:v>1.74</c:v>
                </c:pt>
                <c:pt idx="615">
                  <c:v>0.99</c:v>
                </c:pt>
                <c:pt idx="616">
                  <c:v>1.52</c:v>
                </c:pt>
                <c:pt idx="617">
                  <c:v>2.04</c:v>
                </c:pt>
                <c:pt idx="618">
                  <c:v>1.79</c:v>
                </c:pt>
                <c:pt idx="619">
                  <c:v>1.5</c:v>
                </c:pt>
                <c:pt idx="620">
                  <c:v>1.64</c:v>
                </c:pt>
                <c:pt idx="621">
                  <c:v>1.49</c:v>
                </c:pt>
                <c:pt idx="622">
                  <c:v>1.84</c:v>
                </c:pt>
                <c:pt idx="623">
                  <c:v>1.35</c:v>
                </c:pt>
                <c:pt idx="624">
                  <c:v>1.35</c:v>
                </c:pt>
                <c:pt idx="625">
                  <c:v>1.48</c:v>
                </c:pt>
                <c:pt idx="626">
                  <c:v>0.96</c:v>
                </c:pt>
                <c:pt idx="627">
                  <c:v>1.77</c:v>
                </c:pt>
                <c:pt idx="628">
                  <c:v>2.06</c:v>
                </c:pt>
                <c:pt idx="629">
                  <c:v>0.93</c:v>
                </c:pt>
                <c:pt idx="630">
                  <c:v>1.52</c:v>
                </c:pt>
                <c:pt idx="631">
                  <c:v>1.79</c:v>
                </c:pt>
                <c:pt idx="632">
                  <c:v>1.89</c:v>
                </c:pt>
                <c:pt idx="633">
                  <c:v>1.02</c:v>
                </c:pt>
                <c:pt idx="634">
                  <c:v>2.02</c:v>
                </c:pt>
                <c:pt idx="635">
                  <c:v>1.58</c:v>
                </c:pt>
                <c:pt idx="636">
                  <c:v>1.91</c:v>
                </c:pt>
                <c:pt idx="637">
                  <c:v>1.55</c:v>
                </c:pt>
                <c:pt idx="638">
                  <c:v>0.92</c:v>
                </c:pt>
                <c:pt idx="639">
                  <c:v>1.96</c:v>
                </c:pt>
                <c:pt idx="640">
                  <c:v>1.48</c:v>
                </c:pt>
                <c:pt idx="641">
                  <c:v>1.31</c:v>
                </c:pt>
                <c:pt idx="642">
                  <c:v>1.99</c:v>
                </c:pt>
                <c:pt idx="643">
                  <c:v>1.1000000000000001</c:v>
                </c:pt>
                <c:pt idx="644">
                  <c:v>1.47</c:v>
                </c:pt>
                <c:pt idx="645">
                  <c:v>1.55</c:v>
                </c:pt>
                <c:pt idx="646">
                  <c:v>1.28</c:v>
                </c:pt>
                <c:pt idx="647">
                  <c:v>1.65</c:v>
                </c:pt>
                <c:pt idx="648">
                  <c:v>1.1399999999999999</c:v>
                </c:pt>
                <c:pt idx="649">
                  <c:v>1.83</c:v>
                </c:pt>
                <c:pt idx="650">
                  <c:v>1.56</c:v>
                </c:pt>
                <c:pt idx="651">
                  <c:v>1</c:v>
                </c:pt>
                <c:pt idx="652">
                  <c:v>2.1</c:v>
                </c:pt>
                <c:pt idx="653">
                  <c:v>1.01</c:v>
                </c:pt>
                <c:pt idx="654">
                  <c:v>1.1000000000000001</c:v>
                </c:pt>
                <c:pt idx="655">
                  <c:v>1.97</c:v>
                </c:pt>
                <c:pt idx="656">
                  <c:v>1.75</c:v>
                </c:pt>
                <c:pt idx="657">
                  <c:v>0.97</c:v>
                </c:pt>
                <c:pt idx="658">
                  <c:v>1.23</c:v>
                </c:pt>
                <c:pt idx="659">
                  <c:v>1.37</c:v>
                </c:pt>
                <c:pt idx="660">
                  <c:v>1.68</c:v>
                </c:pt>
                <c:pt idx="661">
                  <c:v>1.48</c:v>
                </c:pt>
                <c:pt idx="662">
                  <c:v>0.94</c:v>
                </c:pt>
                <c:pt idx="663">
                  <c:v>1.87</c:v>
                </c:pt>
                <c:pt idx="664">
                  <c:v>1.54</c:v>
                </c:pt>
                <c:pt idx="665">
                  <c:v>1.08</c:v>
                </c:pt>
                <c:pt idx="666">
                  <c:v>1.82</c:v>
                </c:pt>
                <c:pt idx="667">
                  <c:v>1.94</c:v>
                </c:pt>
                <c:pt idx="668">
                  <c:v>1.08</c:v>
                </c:pt>
                <c:pt idx="669">
                  <c:v>1.47</c:v>
                </c:pt>
                <c:pt idx="670">
                  <c:v>1.08</c:v>
                </c:pt>
                <c:pt idx="671">
                  <c:v>1.47</c:v>
                </c:pt>
                <c:pt idx="672">
                  <c:v>2.16</c:v>
                </c:pt>
                <c:pt idx="673">
                  <c:v>1.81</c:v>
                </c:pt>
                <c:pt idx="674">
                  <c:v>1.1599999999999999</c:v>
                </c:pt>
                <c:pt idx="675">
                  <c:v>0.99</c:v>
                </c:pt>
                <c:pt idx="676">
                  <c:v>1.45</c:v>
                </c:pt>
                <c:pt idx="677">
                  <c:v>1.08</c:v>
                </c:pt>
                <c:pt idx="678">
                  <c:v>1.5</c:v>
                </c:pt>
                <c:pt idx="679">
                  <c:v>1.51</c:v>
                </c:pt>
                <c:pt idx="680">
                  <c:v>1.66</c:v>
                </c:pt>
                <c:pt idx="681">
                  <c:v>0.92</c:v>
                </c:pt>
                <c:pt idx="682">
                  <c:v>1.01</c:v>
                </c:pt>
                <c:pt idx="683">
                  <c:v>1.43</c:v>
                </c:pt>
                <c:pt idx="684">
                  <c:v>1.97</c:v>
                </c:pt>
                <c:pt idx="685">
                  <c:v>1.18</c:v>
                </c:pt>
                <c:pt idx="686">
                  <c:v>0.96</c:v>
                </c:pt>
                <c:pt idx="687">
                  <c:v>1.46</c:v>
                </c:pt>
                <c:pt idx="688">
                  <c:v>1.6</c:v>
                </c:pt>
                <c:pt idx="689">
                  <c:v>1.97</c:v>
                </c:pt>
                <c:pt idx="690">
                  <c:v>1.38</c:v>
                </c:pt>
                <c:pt idx="691">
                  <c:v>1.28</c:v>
                </c:pt>
                <c:pt idx="692">
                  <c:v>1.71</c:v>
                </c:pt>
                <c:pt idx="693">
                  <c:v>1.61</c:v>
                </c:pt>
                <c:pt idx="694">
                  <c:v>1.23</c:v>
                </c:pt>
                <c:pt idx="695">
                  <c:v>0.97</c:v>
                </c:pt>
                <c:pt idx="696">
                  <c:v>1.93</c:v>
                </c:pt>
                <c:pt idx="697">
                  <c:v>1.51</c:v>
                </c:pt>
                <c:pt idx="698">
                  <c:v>1.52</c:v>
                </c:pt>
                <c:pt idx="699">
                  <c:v>1.41</c:v>
                </c:pt>
                <c:pt idx="700">
                  <c:v>1.06</c:v>
                </c:pt>
                <c:pt idx="701">
                  <c:v>1.73</c:v>
                </c:pt>
                <c:pt idx="702">
                  <c:v>1.92</c:v>
                </c:pt>
                <c:pt idx="703">
                  <c:v>1.1599999999999999</c:v>
                </c:pt>
                <c:pt idx="704">
                  <c:v>1.85</c:v>
                </c:pt>
                <c:pt idx="705">
                  <c:v>1.24</c:v>
                </c:pt>
                <c:pt idx="706">
                  <c:v>1.1299999999999999</c:v>
                </c:pt>
                <c:pt idx="707">
                  <c:v>1.48</c:v>
                </c:pt>
                <c:pt idx="708">
                  <c:v>1.51</c:v>
                </c:pt>
                <c:pt idx="709">
                  <c:v>1.08</c:v>
                </c:pt>
                <c:pt idx="710">
                  <c:v>1.1200000000000001</c:v>
                </c:pt>
                <c:pt idx="711">
                  <c:v>1.72</c:v>
                </c:pt>
                <c:pt idx="712">
                  <c:v>1.28</c:v>
                </c:pt>
                <c:pt idx="713">
                  <c:v>1.1399999999999999</c:v>
                </c:pt>
                <c:pt idx="714">
                  <c:v>1.54</c:v>
                </c:pt>
                <c:pt idx="715">
                  <c:v>1.29</c:v>
                </c:pt>
                <c:pt idx="716">
                  <c:v>1.66</c:v>
                </c:pt>
                <c:pt idx="717">
                  <c:v>1.22</c:v>
                </c:pt>
                <c:pt idx="718">
                  <c:v>1.43</c:v>
                </c:pt>
                <c:pt idx="719">
                  <c:v>1.36</c:v>
                </c:pt>
                <c:pt idx="720">
                  <c:v>1.66</c:v>
                </c:pt>
                <c:pt idx="721">
                  <c:v>1.24</c:v>
                </c:pt>
                <c:pt idx="722">
                  <c:v>0.92</c:v>
                </c:pt>
                <c:pt idx="723">
                  <c:v>1.72</c:v>
                </c:pt>
                <c:pt idx="724">
                  <c:v>0.93</c:v>
                </c:pt>
                <c:pt idx="725">
                  <c:v>0.87</c:v>
                </c:pt>
                <c:pt idx="726">
                  <c:v>1.05</c:v>
                </c:pt>
                <c:pt idx="727">
                  <c:v>0.96</c:v>
                </c:pt>
                <c:pt idx="728">
                  <c:v>1.31</c:v>
                </c:pt>
                <c:pt idx="729">
                  <c:v>1.42</c:v>
                </c:pt>
                <c:pt idx="730">
                  <c:v>1.41</c:v>
                </c:pt>
                <c:pt idx="731">
                  <c:v>1.3</c:v>
                </c:pt>
                <c:pt idx="732">
                  <c:v>1</c:v>
                </c:pt>
                <c:pt idx="733">
                  <c:v>1.24</c:v>
                </c:pt>
                <c:pt idx="734">
                  <c:v>1.1299999999999999</c:v>
                </c:pt>
                <c:pt idx="735">
                  <c:v>1.57</c:v>
                </c:pt>
                <c:pt idx="736">
                  <c:v>1.41</c:v>
                </c:pt>
                <c:pt idx="737">
                  <c:v>1.65</c:v>
                </c:pt>
                <c:pt idx="738">
                  <c:v>2.0499999999999998</c:v>
                </c:pt>
                <c:pt idx="739">
                  <c:v>1.1599999999999999</c:v>
                </c:pt>
                <c:pt idx="740">
                  <c:v>1.1399999999999999</c:v>
                </c:pt>
                <c:pt idx="741">
                  <c:v>1.69</c:v>
                </c:pt>
                <c:pt idx="742">
                  <c:v>1.51</c:v>
                </c:pt>
                <c:pt idx="743">
                  <c:v>1.95</c:v>
                </c:pt>
                <c:pt idx="744">
                  <c:v>1.36</c:v>
                </c:pt>
                <c:pt idx="745">
                  <c:v>1.73</c:v>
                </c:pt>
                <c:pt idx="746">
                  <c:v>0.86</c:v>
                </c:pt>
                <c:pt idx="747">
                  <c:v>1.4</c:v>
                </c:pt>
                <c:pt idx="748">
                  <c:v>1.05</c:v>
                </c:pt>
                <c:pt idx="749">
                  <c:v>1.32</c:v>
                </c:pt>
                <c:pt idx="750">
                  <c:v>1.95</c:v>
                </c:pt>
                <c:pt idx="751">
                  <c:v>1.45</c:v>
                </c:pt>
                <c:pt idx="752">
                  <c:v>1.06</c:v>
                </c:pt>
                <c:pt idx="753">
                  <c:v>1.1000000000000001</c:v>
                </c:pt>
                <c:pt idx="754">
                  <c:v>1.5</c:v>
                </c:pt>
                <c:pt idx="755">
                  <c:v>1.59</c:v>
                </c:pt>
                <c:pt idx="756">
                  <c:v>1.18</c:v>
                </c:pt>
                <c:pt idx="757">
                  <c:v>1.46</c:v>
                </c:pt>
                <c:pt idx="758">
                  <c:v>1.26</c:v>
                </c:pt>
                <c:pt idx="759">
                  <c:v>1.76</c:v>
                </c:pt>
                <c:pt idx="760">
                  <c:v>1.31</c:v>
                </c:pt>
                <c:pt idx="761">
                  <c:v>1.1100000000000001</c:v>
                </c:pt>
                <c:pt idx="762">
                  <c:v>1.91</c:v>
                </c:pt>
                <c:pt idx="763">
                  <c:v>1.1200000000000001</c:v>
                </c:pt>
                <c:pt idx="764">
                  <c:v>1.88</c:v>
                </c:pt>
                <c:pt idx="765">
                  <c:v>1.32</c:v>
                </c:pt>
                <c:pt idx="766">
                  <c:v>1.73</c:v>
                </c:pt>
                <c:pt idx="767">
                  <c:v>1.42</c:v>
                </c:pt>
                <c:pt idx="768">
                  <c:v>1.29</c:v>
                </c:pt>
                <c:pt idx="769">
                  <c:v>1.63</c:v>
                </c:pt>
                <c:pt idx="770">
                  <c:v>1.36</c:v>
                </c:pt>
                <c:pt idx="771">
                  <c:v>1.94</c:v>
                </c:pt>
                <c:pt idx="772">
                  <c:v>1.4</c:v>
                </c:pt>
                <c:pt idx="773">
                  <c:v>1.03</c:v>
                </c:pt>
                <c:pt idx="774">
                  <c:v>1.34</c:v>
                </c:pt>
                <c:pt idx="775">
                  <c:v>1.06</c:v>
                </c:pt>
                <c:pt idx="776">
                  <c:v>1.0900000000000001</c:v>
                </c:pt>
                <c:pt idx="777">
                  <c:v>1.92</c:v>
                </c:pt>
                <c:pt idx="778">
                  <c:v>1.99</c:v>
                </c:pt>
                <c:pt idx="779">
                  <c:v>1.69</c:v>
                </c:pt>
                <c:pt idx="780">
                  <c:v>1.32</c:v>
                </c:pt>
                <c:pt idx="781">
                  <c:v>1.41</c:v>
                </c:pt>
                <c:pt idx="782">
                  <c:v>1.67</c:v>
                </c:pt>
                <c:pt idx="783">
                  <c:v>1.38</c:v>
                </c:pt>
                <c:pt idx="784">
                  <c:v>1.86</c:v>
                </c:pt>
                <c:pt idx="785">
                  <c:v>1.81</c:v>
                </c:pt>
                <c:pt idx="786">
                  <c:v>1.41</c:v>
                </c:pt>
                <c:pt idx="787">
                  <c:v>1.48</c:v>
                </c:pt>
                <c:pt idx="788">
                  <c:v>1.4</c:v>
                </c:pt>
                <c:pt idx="789">
                  <c:v>1.18</c:v>
                </c:pt>
                <c:pt idx="790">
                  <c:v>1.44</c:v>
                </c:pt>
                <c:pt idx="791">
                  <c:v>1.58</c:v>
                </c:pt>
                <c:pt idx="792">
                  <c:v>0.84</c:v>
                </c:pt>
                <c:pt idx="793">
                  <c:v>1.5</c:v>
                </c:pt>
                <c:pt idx="794">
                  <c:v>1.07</c:v>
                </c:pt>
                <c:pt idx="795">
                  <c:v>2.13</c:v>
                </c:pt>
                <c:pt idx="796">
                  <c:v>1.69</c:v>
                </c:pt>
                <c:pt idx="797">
                  <c:v>1.88</c:v>
                </c:pt>
                <c:pt idx="798">
                  <c:v>1.67</c:v>
                </c:pt>
                <c:pt idx="799">
                  <c:v>1.21</c:v>
                </c:pt>
                <c:pt idx="800">
                  <c:v>1.82</c:v>
                </c:pt>
                <c:pt idx="801">
                  <c:v>1.8</c:v>
                </c:pt>
                <c:pt idx="802">
                  <c:v>1.1299999999999999</c:v>
                </c:pt>
                <c:pt idx="803">
                  <c:v>1.54</c:v>
                </c:pt>
                <c:pt idx="804">
                  <c:v>1.17</c:v>
                </c:pt>
                <c:pt idx="805">
                  <c:v>1.72</c:v>
                </c:pt>
                <c:pt idx="806">
                  <c:v>0.92</c:v>
                </c:pt>
                <c:pt idx="807">
                  <c:v>1.73</c:v>
                </c:pt>
                <c:pt idx="808">
                  <c:v>0.97</c:v>
                </c:pt>
                <c:pt idx="809">
                  <c:v>1.72</c:v>
                </c:pt>
                <c:pt idx="810">
                  <c:v>1.58</c:v>
                </c:pt>
                <c:pt idx="811">
                  <c:v>1.29</c:v>
                </c:pt>
                <c:pt idx="812">
                  <c:v>2.14</c:v>
                </c:pt>
                <c:pt idx="813">
                  <c:v>0.97</c:v>
                </c:pt>
                <c:pt idx="814">
                  <c:v>1.38</c:v>
                </c:pt>
                <c:pt idx="815">
                  <c:v>1.18</c:v>
                </c:pt>
                <c:pt idx="816">
                  <c:v>0.91</c:v>
                </c:pt>
                <c:pt idx="817">
                  <c:v>2.15</c:v>
                </c:pt>
                <c:pt idx="818">
                  <c:v>1.75</c:v>
                </c:pt>
                <c:pt idx="819">
                  <c:v>1.75</c:v>
                </c:pt>
                <c:pt idx="820">
                  <c:v>1.18</c:v>
                </c:pt>
                <c:pt idx="821">
                  <c:v>1.7</c:v>
                </c:pt>
                <c:pt idx="822">
                  <c:v>1.99</c:v>
                </c:pt>
                <c:pt idx="823">
                  <c:v>1.04</c:v>
                </c:pt>
                <c:pt idx="824">
                  <c:v>1.37</c:v>
                </c:pt>
                <c:pt idx="825">
                  <c:v>0.95</c:v>
                </c:pt>
                <c:pt idx="826">
                  <c:v>1.45</c:v>
                </c:pt>
                <c:pt idx="827">
                  <c:v>1.61</c:v>
                </c:pt>
                <c:pt idx="828">
                  <c:v>1.08</c:v>
                </c:pt>
                <c:pt idx="829">
                  <c:v>0.86</c:v>
                </c:pt>
                <c:pt idx="830">
                  <c:v>1.88</c:v>
                </c:pt>
                <c:pt idx="831">
                  <c:v>1.89</c:v>
                </c:pt>
                <c:pt idx="832">
                  <c:v>1.82</c:v>
                </c:pt>
                <c:pt idx="833">
                  <c:v>1.36</c:v>
                </c:pt>
                <c:pt idx="834">
                  <c:v>1.35</c:v>
                </c:pt>
                <c:pt idx="835">
                  <c:v>1.53</c:v>
                </c:pt>
                <c:pt idx="836">
                  <c:v>2.04</c:v>
                </c:pt>
                <c:pt idx="837">
                  <c:v>0.9</c:v>
                </c:pt>
                <c:pt idx="838">
                  <c:v>1.55</c:v>
                </c:pt>
                <c:pt idx="839">
                  <c:v>1.03</c:v>
                </c:pt>
                <c:pt idx="840">
                  <c:v>1.21</c:v>
                </c:pt>
                <c:pt idx="841">
                  <c:v>1.59</c:v>
                </c:pt>
                <c:pt idx="842">
                  <c:v>1.26</c:v>
                </c:pt>
                <c:pt idx="843">
                  <c:v>1.94</c:v>
                </c:pt>
                <c:pt idx="844">
                  <c:v>1.1499999999999999</c:v>
                </c:pt>
                <c:pt idx="845">
                  <c:v>0.89</c:v>
                </c:pt>
                <c:pt idx="846">
                  <c:v>1.71</c:v>
                </c:pt>
                <c:pt idx="847">
                  <c:v>1.08</c:v>
                </c:pt>
                <c:pt idx="848">
                  <c:v>1.65</c:v>
                </c:pt>
                <c:pt idx="849">
                  <c:v>1.88</c:v>
                </c:pt>
                <c:pt idx="850">
                  <c:v>1.4</c:v>
                </c:pt>
                <c:pt idx="851">
                  <c:v>2.12</c:v>
                </c:pt>
                <c:pt idx="852">
                  <c:v>1.27</c:v>
                </c:pt>
                <c:pt idx="853">
                  <c:v>1.32</c:v>
                </c:pt>
                <c:pt idx="854">
                  <c:v>1.46</c:v>
                </c:pt>
                <c:pt idx="855">
                  <c:v>1.33</c:v>
                </c:pt>
                <c:pt idx="856">
                  <c:v>1.73</c:v>
                </c:pt>
                <c:pt idx="857">
                  <c:v>0.98</c:v>
                </c:pt>
                <c:pt idx="858">
                  <c:v>1.62</c:v>
                </c:pt>
                <c:pt idx="859">
                  <c:v>1.34</c:v>
                </c:pt>
                <c:pt idx="860">
                  <c:v>1.57</c:v>
                </c:pt>
                <c:pt idx="861">
                  <c:v>1.53</c:v>
                </c:pt>
                <c:pt idx="862">
                  <c:v>1.38</c:v>
                </c:pt>
                <c:pt idx="863">
                  <c:v>1.65</c:v>
                </c:pt>
                <c:pt idx="864">
                  <c:v>1.38</c:v>
                </c:pt>
                <c:pt idx="865">
                  <c:v>1.24</c:v>
                </c:pt>
                <c:pt idx="866">
                  <c:v>1.77</c:v>
                </c:pt>
                <c:pt idx="867">
                  <c:v>1.18</c:v>
                </c:pt>
                <c:pt idx="868">
                  <c:v>1.28</c:v>
                </c:pt>
                <c:pt idx="869">
                  <c:v>1.01</c:v>
                </c:pt>
                <c:pt idx="870">
                  <c:v>1.48</c:v>
                </c:pt>
                <c:pt idx="871">
                  <c:v>0.83</c:v>
                </c:pt>
                <c:pt idx="872">
                  <c:v>1.88</c:v>
                </c:pt>
                <c:pt idx="873">
                  <c:v>1.37</c:v>
                </c:pt>
                <c:pt idx="874">
                  <c:v>1.38</c:v>
                </c:pt>
                <c:pt idx="875">
                  <c:v>2.0699999999999998</c:v>
                </c:pt>
                <c:pt idx="876">
                  <c:v>0.98</c:v>
                </c:pt>
                <c:pt idx="877">
                  <c:v>1.56</c:v>
                </c:pt>
                <c:pt idx="878">
                  <c:v>1.6</c:v>
                </c:pt>
                <c:pt idx="879">
                  <c:v>1.1299999999999999</c:v>
                </c:pt>
                <c:pt idx="880">
                  <c:v>1.44</c:v>
                </c:pt>
                <c:pt idx="881">
                  <c:v>1.27</c:v>
                </c:pt>
                <c:pt idx="882">
                  <c:v>1.63</c:v>
                </c:pt>
                <c:pt idx="883">
                  <c:v>1.5</c:v>
                </c:pt>
                <c:pt idx="884">
                  <c:v>1.49</c:v>
                </c:pt>
                <c:pt idx="885">
                  <c:v>1.41</c:v>
                </c:pt>
                <c:pt idx="886">
                  <c:v>1.46</c:v>
                </c:pt>
                <c:pt idx="887">
                  <c:v>1.1200000000000001</c:v>
                </c:pt>
                <c:pt idx="888">
                  <c:v>1.43</c:v>
                </c:pt>
                <c:pt idx="889">
                  <c:v>1.17</c:v>
                </c:pt>
                <c:pt idx="890">
                  <c:v>1.87</c:v>
                </c:pt>
                <c:pt idx="891">
                  <c:v>1.38</c:v>
                </c:pt>
                <c:pt idx="892">
                  <c:v>1.42</c:v>
                </c:pt>
                <c:pt idx="893">
                  <c:v>1.28</c:v>
                </c:pt>
                <c:pt idx="894">
                  <c:v>1.35</c:v>
                </c:pt>
                <c:pt idx="895">
                  <c:v>1.18</c:v>
                </c:pt>
                <c:pt idx="896">
                  <c:v>1.38</c:v>
                </c:pt>
                <c:pt idx="897">
                  <c:v>1.27</c:v>
                </c:pt>
                <c:pt idx="898">
                  <c:v>0.78</c:v>
                </c:pt>
                <c:pt idx="899">
                  <c:v>1.21</c:v>
                </c:pt>
                <c:pt idx="900">
                  <c:v>1.55</c:v>
                </c:pt>
                <c:pt idx="901">
                  <c:v>0.87</c:v>
                </c:pt>
                <c:pt idx="902">
                  <c:v>1.81</c:v>
                </c:pt>
                <c:pt idx="903">
                  <c:v>1.78</c:v>
                </c:pt>
                <c:pt idx="904">
                  <c:v>1.1100000000000001</c:v>
                </c:pt>
                <c:pt idx="905">
                  <c:v>1.3</c:v>
                </c:pt>
                <c:pt idx="906">
                  <c:v>1.62</c:v>
                </c:pt>
                <c:pt idx="907">
                  <c:v>1.1200000000000001</c:v>
                </c:pt>
                <c:pt idx="908">
                  <c:v>1.45</c:v>
                </c:pt>
                <c:pt idx="909">
                  <c:v>1.21</c:v>
                </c:pt>
                <c:pt idx="910">
                  <c:v>1.34</c:v>
                </c:pt>
                <c:pt idx="911">
                  <c:v>2.2000000000000002</c:v>
                </c:pt>
                <c:pt idx="912">
                  <c:v>2.0699999999999998</c:v>
                </c:pt>
                <c:pt idx="913">
                  <c:v>0.63</c:v>
                </c:pt>
                <c:pt idx="914">
                  <c:v>0.86</c:v>
                </c:pt>
                <c:pt idx="915">
                  <c:v>1.97</c:v>
                </c:pt>
                <c:pt idx="916">
                  <c:v>1.51</c:v>
                </c:pt>
                <c:pt idx="917">
                  <c:v>2.17</c:v>
                </c:pt>
                <c:pt idx="918">
                  <c:v>1.97</c:v>
                </c:pt>
                <c:pt idx="919">
                  <c:v>1.04</c:v>
                </c:pt>
                <c:pt idx="920">
                  <c:v>2.17</c:v>
                </c:pt>
                <c:pt idx="921">
                  <c:v>0.99</c:v>
                </c:pt>
                <c:pt idx="922">
                  <c:v>1</c:v>
                </c:pt>
                <c:pt idx="923">
                  <c:v>1.51</c:v>
                </c:pt>
                <c:pt idx="924">
                  <c:v>1.22</c:v>
                </c:pt>
                <c:pt idx="925">
                  <c:v>1.63</c:v>
                </c:pt>
                <c:pt idx="926">
                  <c:v>0.92</c:v>
                </c:pt>
                <c:pt idx="927">
                  <c:v>1.08</c:v>
                </c:pt>
                <c:pt idx="928">
                  <c:v>1.1399999999999999</c:v>
                </c:pt>
                <c:pt idx="929">
                  <c:v>1.21</c:v>
                </c:pt>
                <c:pt idx="930">
                  <c:v>0.97</c:v>
                </c:pt>
                <c:pt idx="931">
                  <c:v>1.73</c:v>
                </c:pt>
                <c:pt idx="932">
                  <c:v>1.61</c:v>
                </c:pt>
                <c:pt idx="933">
                  <c:v>1.31</c:v>
                </c:pt>
                <c:pt idx="934">
                  <c:v>1.63</c:v>
                </c:pt>
                <c:pt idx="935">
                  <c:v>1.58</c:v>
                </c:pt>
                <c:pt idx="936">
                  <c:v>1.95</c:v>
                </c:pt>
                <c:pt idx="937">
                  <c:v>0.97</c:v>
                </c:pt>
                <c:pt idx="938">
                  <c:v>1.66</c:v>
                </c:pt>
                <c:pt idx="939">
                  <c:v>1.1599999999999999</c:v>
                </c:pt>
                <c:pt idx="940">
                  <c:v>1.32</c:v>
                </c:pt>
                <c:pt idx="941">
                  <c:v>1.62</c:v>
                </c:pt>
                <c:pt idx="942">
                  <c:v>1.1299999999999999</c:v>
                </c:pt>
                <c:pt idx="943">
                  <c:v>1.29</c:v>
                </c:pt>
                <c:pt idx="944">
                  <c:v>1.22</c:v>
                </c:pt>
                <c:pt idx="945">
                  <c:v>0.99</c:v>
                </c:pt>
                <c:pt idx="946">
                  <c:v>1.64</c:v>
                </c:pt>
                <c:pt idx="947">
                  <c:v>0.87</c:v>
                </c:pt>
                <c:pt idx="948">
                  <c:v>1.51</c:v>
                </c:pt>
                <c:pt idx="949">
                  <c:v>1.82</c:v>
                </c:pt>
                <c:pt idx="950">
                  <c:v>1.91</c:v>
                </c:pt>
                <c:pt idx="951">
                  <c:v>2.31</c:v>
                </c:pt>
                <c:pt idx="952">
                  <c:v>1.93</c:v>
                </c:pt>
                <c:pt idx="953">
                  <c:v>1.51</c:v>
                </c:pt>
                <c:pt idx="954">
                  <c:v>1.26</c:v>
                </c:pt>
                <c:pt idx="955">
                  <c:v>1.01</c:v>
                </c:pt>
                <c:pt idx="956">
                  <c:v>1.85</c:v>
                </c:pt>
                <c:pt idx="957">
                  <c:v>1</c:v>
                </c:pt>
                <c:pt idx="958">
                  <c:v>1.39</c:v>
                </c:pt>
                <c:pt idx="959">
                  <c:v>1.28</c:v>
                </c:pt>
                <c:pt idx="960">
                  <c:v>1.1399999999999999</c:v>
                </c:pt>
                <c:pt idx="961">
                  <c:v>1.28</c:v>
                </c:pt>
                <c:pt idx="962">
                  <c:v>1.43</c:v>
                </c:pt>
                <c:pt idx="963">
                  <c:v>1.98</c:v>
                </c:pt>
                <c:pt idx="964">
                  <c:v>1.78</c:v>
                </c:pt>
                <c:pt idx="965">
                  <c:v>1.03</c:v>
                </c:pt>
                <c:pt idx="966">
                  <c:v>1.87</c:v>
                </c:pt>
                <c:pt idx="967">
                  <c:v>1.0900000000000001</c:v>
                </c:pt>
                <c:pt idx="968">
                  <c:v>1.38</c:v>
                </c:pt>
                <c:pt idx="969">
                  <c:v>1.73</c:v>
                </c:pt>
                <c:pt idx="970">
                  <c:v>1.61</c:v>
                </c:pt>
                <c:pt idx="971">
                  <c:v>1.55</c:v>
                </c:pt>
                <c:pt idx="972">
                  <c:v>1.1399999999999999</c:v>
                </c:pt>
                <c:pt idx="973">
                  <c:v>1.28</c:v>
                </c:pt>
                <c:pt idx="974">
                  <c:v>2.0099999999999998</c:v>
                </c:pt>
                <c:pt idx="975">
                  <c:v>2.2200000000000002</c:v>
                </c:pt>
                <c:pt idx="976">
                  <c:v>1.25</c:v>
                </c:pt>
                <c:pt idx="977">
                  <c:v>1.79</c:v>
                </c:pt>
                <c:pt idx="978">
                  <c:v>1.53</c:v>
                </c:pt>
                <c:pt idx="979">
                  <c:v>0.89</c:v>
                </c:pt>
                <c:pt idx="980">
                  <c:v>1.7</c:v>
                </c:pt>
                <c:pt idx="981">
                  <c:v>1.43</c:v>
                </c:pt>
                <c:pt idx="982">
                  <c:v>1.26</c:v>
                </c:pt>
                <c:pt idx="983">
                  <c:v>1.62</c:v>
                </c:pt>
                <c:pt idx="984">
                  <c:v>1.66</c:v>
                </c:pt>
                <c:pt idx="985">
                  <c:v>1.88</c:v>
                </c:pt>
                <c:pt idx="986">
                  <c:v>1.73</c:v>
                </c:pt>
                <c:pt idx="987">
                  <c:v>1.6</c:v>
                </c:pt>
                <c:pt idx="988">
                  <c:v>2.12</c:v>
                </c:pt>
                <c:pt idx="989">
                  <c:v>0.98</c:v>
                </c:pt>
                <c:pt idx="990">
                  <c:v>1.62</c:v>
                </c:pt>
                <c:pt idx="991">
                  <c:v>1.49</c:v>
                </c:pt>
                <c:pt idx="992">
                  <c:v>1.59</c:v>
                </c:pt>
                <c:pt idx="993">
                  <c:v>1.03</c:v>
                </c:pt>
                <c:pt idx="994">
                  <c:v>1.57</c:v>
                </c:pt>
                <c:pt idx="995">
                  <c:v>1.21</c:v>
                </c:pt>
                <c:pt idx="996">
                  <c:v>1.23</c:v>
                </c:pt>
                <c:pt idx="997">
                  <c:v>1.04</c:v>
                </c:pt>
                <c:pt idx="998">
                  <c:v>1.51</c:v>
                </c:pt>
                <c:pt idx="999">
                  <c:v>1.1299999999999999</c:v>
                </c:pt>
                <c:pt idx="1000">
                  <c:v>1.77</c:v>
                </c:pt>
                <c:pt idx="1001">
                  <c:v>1.26</c:v>
                </c:pt>
                <c:pt idx="1002">
                  <c:v>1.06</c:v>
                </c:pt>
                <c:pt idx="1003">
                  <c:v>1.47</c:v>
                </c:pt>
                <c:pt idx="1004">
                  <c:v>1.0900000000000001</c:v>
                </c:pt>
                <c:pt idx="1005">
                  <c:v>1.28</c:v>
                </c:pt>
                <c:pt idx="1006">
                  <c:v>1.48</c:v>
                </c:pt>
                <c:pt idx="1007">
                  <c:v>1.1200000000000001</c:v>
                </c:pt>
                <c:pt idx="1008">
                  <c:v>1.62</c:v>
                </c:pt>
                <c:pt idx="1009">
                  <c:v>1.05</c:v>
                </c:pt>
                <c:pt idx="1010">
                  <c:v>0.85</c:v>
                </c:pt>
                <c:pt idx="1011">
                  <c:v>1.58</c:v>
                </c:pt>
                <c:pt idx="1012">
                  <c:v>0.99</c:v>
                </c:pt>
                <c:pt idx="1013">
                  <c:v>1.94</c:v>
                </c:pt>
                <c:pt idx="1014">
                  <c:v>1.58</c:v>
                </c:pt>
                <c:pt idx="1015">
                  <c:v>1.34</c:v>
                </c:pt>
                <c:pt idx="1016">
                  <c:v>1.1499999999999999</c:v>
                </c:pt>
                <c:pt idx="1017">
                  <c:v>0.97</c:v>
                </c:pt>
                <c:pt idx="1018">
                  <c:v>1.56</c:v>
                </c:pt>
                <c:pt idx="1019">
                  <c:v>1.86</c:v>
                </c:pt>
                <c:pt idx="1020">
                  <c:v>1.97</c:v>
                </c:pt>
                <c:pt idx="1021">
                  <c:v>1.24</c:v>
                </c:pt>
                <c:pt idx="1022">
                  <c:v>1.27</c:v>
                </c:pt>
                <c:pt idx="1023">
                  <c:v>1.5</c:v>
                </c:pt>
                <c:pt idx="1024">
                  <c:v>1.5</c:v>
                </c:pt>
                <c:pt idx="1025">
                  <c:v>1.05</c:v>
                </c:pt>
                <c:pt idx="1026">
                  <c:v>1.47</c:v>
                </c:pt>
                <c:pt idx="1027">
                  <c:v>1.35</c:v>
                </c:pt>
                <c:pt idx="1028">
                  <c:v>1.35</c:v>
                </c:pt>
                <c:pt idx="1029">
                  <c:v>0.99</c:v>
                </c:pt>
                <c:pt idx="1030">
                  <c:v>0.95</c:v>
                </c:pt>
                <c:pt idx="1031">
                  <c:v>1.66</c:v>
                </c:pt>
                <c:pt idx="1032">
                  <c:v>1.29</c:v>
                </c:pt>
                <c:pt idx="1033">
                  <c:v>1.32</c:v>
                </c:pt>
                <c:pt idx="1034">
                  <c:v>1.25</c:v>
                </c:pt>
                <c:pt idx="1035">
                  <c:v>1.2</c:v>
                </c:pt>
                <c:pt idx="1036">
                  <c:v>1.75</c:v>
                </c:pt>
                <c:pt idx="1037">
                  <c:v>1.61</c:v>
                </c:pt>
                <c:pt idx="1038">
                  <c:v>1.71</c:v>
                </c:pt>
                <c:pt idx="1039">
                  <c:v>1.67</c:v>
                </c:pt>
                <c:pt idx="1040">
                  <c:v>1.1499999999999999</c:v>
                </c:pt>
                <c:pt idx="1041">
                  <c:v>1.5</c:v>
                </c:pt>
                <c:pt idx="1042">
                  <c:v>1.8</c:v>
                </c:pt>
                <c:pt idx="1043">
                  <c:v>1.63</c:v>
                </c:pt>
                <c:pt idx="1044">
                  <c:v>1.03</c:v>
                </c:pt>
                <c:pt idx="1045">
                  <c:v>1.35</c:v>
                </c:pt>
                <c:pt idx="1046">
                  <c:v>0.95</c:v>
                </c:pt>
                <c:pt idx="1047">
                  <c:v>1.33</c:v>
                </c:pt>
                <c:pt idx="1048">
                  <c:v>1.68</c:v>
                </c:pt>
                <c:pt idx="1049">
                  <c:v>2.02</c:v>
                </c:pt>
                <c:pt idx="1050">
                  <c:v>1.2</c:v>
                </c:pt>
                <c:pt idx="1051">
                  <c:v>1.52</c:v>
                </c:pt>
                <c:pt idx="1052">
                  <c:v>1.63</c:v>
                </c:pt>
                <c:pt idx="1053">
                  <c:v>1.21</c:v>
                </c:pt>
                <c:pt idx="1054">
                  <c:v>1.49</c:v>
                </c:pt>
                <c:pt idx="1055">
                  <c:v>1.6</c:v>
                </c:pt>
                <c:pt idx="1056">
                  <c:v>1.17</c:v>
                </c:pt>
                <c:pt idx="1057">
                  <c:v>1.89</c:v>
                </c:pt>
                <c:pt idx="1058">
                  <c:v>1.46</c:v>
                </c:pt>
                <c:pt idx="1059">
                  <c:v>1.77</c:v>
                </c:pt>
                <c:pt idx="1060">
                  <c:v>1.47</c:v>
                </c:pt>
                <c:pt idx="1061">
                  <c:v>2.06</c:v>
                </c:pt>
                <c:pt idx="1062">
                  <c:v>1.55</c:v>
                </c:pt>
                <c:pt idx="1063">
                  <c:v>0.97</c:v>
                </c:pt>
                <c:pt idx="1064">
                  <c:v>0.96</c:v>
                </c:pt>
                <c:pt idx="1065">
                  <c:v>1.3</c:v>
                </c:pt>
                <c:pt idx="1066">
                  <c:v>1.65</c:v>
                </c:pt>
                <c:pt idx="1067">
                  <c:v>1.04</c:v>
                </c:pt>
                <c:pt idx="1068">
                  <c:v>1.21</c:v>
                </c:pt>
                <c:pt idx="1069">
                  <c:v>1.68</c:v>
                </c:pt>
                <c:pt idx="1070">
                  <c:v>1.3</c:v>
                </c:pt>
                <c:pt idx="1071">
                  <c:v>1.33</c:v>
                </c:pt>
                <c:pt idx="1072">
                  <c:v>1.37</c:v>
                </c:pt>
                <c:pt idx="1073">
                  <c:v>1.51</c:v>
                </c:pt>
                <c:pt idx="1074">
                  <c:v>1.66</c:v>
                </c:pt>
                <c:pt idx="1075">
                  <c:v>1.3</c:v>
                </c:pt>
                <c:pt idx="1076">
                  <c:v>1.3</c:v>
                </c:pt>
                <c:pt idx="1077">
                  <c:v>1.21</c:v>
                </c:pt>
                <c:pt idx="1078">
                  <c:v>1.33</c:v>
                </c:pt>
                <c:pt idx="1079">
                  <c:v>1.21</c:v>
                </c:pt>
                <c:pt idx="1080">
                  <c:v>2.0699999999999998</c:v>
                </c:pt>
                <c:pt idx="1081">
                  <c:v>1.9</c:v>
                </c:pt>
                <c:pt idx="1082">
                  <c:v>1.4</c:v>
                </c:pt>
                <c:pt idx="1083">
                  <c:v>1.79</c:v>
                </c:pt>
                <c:pt idx="1084">
                  <c:v>1.53</c:v>
                </c:pt>
                <c:pt idx="1085">
                  <c:v>0.92</c:v>
                </c:pt>
                <c:pt idx="1086">
                  <c:v>1.27</c:v>
                </c:pt>
                <c:pt idx="1087">
                  <c:v>1.6</c:v>
                </c:pt>
                <c:pt idx="1088">
                  <c:v>1.66</c:v>
                </c:pt>
                <c:pt idx="1089">
                  <c:v>1.37</c:v>
                </c:pt>
                <c:pt idx="1090">
                  <c:v>1.48</c:v>
                </c:pt>
                <c:pt idx="1091">
                  <c:v>1.43</c:v>
                </c:pt>
                <c:pt idx="1092">
                  <c:v>1.1200000000000001</c:v>
                </c:pt>
                <c:pt idx="1093">
                  <c:v>1.1599999999999999</c:v>
                </c:pt>
                <c:pt idx="1094">
                  <c:v>2.11</c:v>
                </c:pt>
                <c:pt idx="1095">
                  <c:v>1.23</c:v>
                </c:pt>
                <c:pt idx="1096">
                  <c:v>1.75</c:v>
                </c:pt>
                <c:pt idx="1097">
                  <c:v>1.42</c:v>
                </c:pt>
                <c:pt idx="1098">
                  <c:v>1.2</c:v>
                </c:pt>
                <c:pt idx="1099">
                  <c:v>2.0299999999999998</c:v>
                </c:pt>
                <c:pt idx="1100">
                  <c:v>1.42</c:v>
                </c:pt>
                <c:pt idx="1101">
                  <c:v>1.22</c:v>
                </c:pt>
                <c:pt idx="1102">
                  <c:v>1.64</c:v>
                </c:pt>
                <c:pt idx="1103">
                  <c:v>1.71</c:v>
                </c:pt>
                <c:pt idx="1104">
                  <c:v>1.36</c:v>
                </c:pt>
                <c:pt idx="1105">
                  <c:v>1.81</c:v>
                </c:pt>
                <c:pt idx="1106">
                  <c:v>1.08</c:v>
                </c:pt>
                <c:pt idx="1107">
                  <c:v>1.51</c:v>
                </c:pt>
                <c:pt idx="1108">
                  <c:v>1.76</c:v>
                </c:pt>
                <c:pt idx="1109">
                  <c:v>1.26</c:v>
                </c:pt>
                <c:pt idx="1110">
                  <c:v>1.7</c:v>
                </c:pt>
                <c:pt idx="1111">
                  <c:v>1.33</c:v>
                </c:pt>
                <c:pt idx="1112">
                  <c:v>1.9</c:v>
                </c:pt>
                <c:pt idx="1113">
                  <c:v>1.39</c:v>
                </c:pt>
                <c:pt idx="1114">
                  <c:v>1.5</c:v>
                </c:pt>
                <c:pt idx="1115">
                  <c:v>1.52</c:v>
                </c:pt>
                <c:pt idx="1116">
                  <c:v>2.09</c:v>
                </c:pt>
                <c:pt idx="1117">
                  <c:v>0.92</c:v>
                </c:pt>
                <c:pt idx="1118">
                  <c:v>1.41</c:v>
                </c:pt>
                <c:pt idx="1119">
                  <c:v>1.1299999999999999</c:v>
                </c:pt>
                <c:pt idx="1120">
                  <c:v>1.9</c:v>
                </c:pt>
                <c:pt idx="1121">
                  <c:v>1.1299999999999999</c:v>
                </c:pt>
                <c:pt idx="1122">
                  <c:v>1.49</c:v>
                </c:pt>
                <c:pt idx="1123">
                  <c:v>1.99</c:v>
                </c:pt>
                <c:pt idx="1124">
                  <c:v>1.83</c:v>
                </c:pt>
                <c:pt idx="1125">
                  <c:v>1.1399999999999999</c:v>
                </c:pt>
                <c:pt idx="1126">
                  <c:v>1.28</c:v>
                </c:pt>
                <c:pt idx="1127">
                  <c:v>0.84</c:v>
                </c:pt>
                <c:pt idx="1128">
                  <c:v>1.18</c:v>
                </c:pt>
                <c:pt idx="1129">
                  <c:v>1.62</c:v>
                </c:pt>
                <c:pt idx="1130">
                  <c:v>1.38</c:v>
                </c:pt>
                <c:pt idx="1131">
                  <c:v>1.62</c:v>
                </c:pt>
                <c:pt idx="1132">
                  <c:v>1.1100000000000001</c:v>
                </c:pt>
                <c:pt idx="1133">
                  <c:v>1.48</c:v>
                </c:pt>
                <c:pt idx="1134">
                  <c:v>1.47</c:v>
                </c:pt>
                <c:pt idx="1135">
                  <c:v>1</c:v>
                </c:pt>
                <c:pt idx="1136">
                  <c:v>1.02</c:v>
                </c:pt>
                <c:pt idx="1137">
                  <c:v>1.31</c:v>
                </c:pt>
                <c:pt idx="1138">
                  <c:v>1.39</c:v>
                </c:pt>
                <c:pt idx="1139">
                  <c:v>1.32</c:v>
                </c:pt>
                <c:pt idx="1140">
                  <c:v>1.37</c:v>
                </c:pt>
                <c:pt idx="1141">
                  <c:v>1.89</c:v>
                </c:pt>
                <c:pt idx="1142">
                  <c:v>0.92</c:v>
                </c:pt>
                <c:pt idx="1143">
                  <c:v>1.1399999999999999</c:v>
                </c:pt>
                <c:pt idx="1144">
                  <c:v>1.38</c:v>
                </c:pt>
                <c:pt idx="1145">
                  <c:v>1.48</c:v>
                </c:pt>
                <c:pt idx="1146">
                  <c:v>1.46</c:v>
                </c:pt>
                <c:pt idx="1147">
                  <c:v>1.54</c:v>
                </c:pt>
                <c:pt idx="1148">
                  <c:v>1.19</c:v>
                </c:pt>
                <c:pt idx="1149">
                  <c:v>1.62</c:v>
                </c:pt>
                <c:pt idx="1150">
                  <c:v>1.86</c:v>
                </c:pt>
                <c:pt idx="1151">
                  <c:v>1.67</c:v>
                </c:pt>
                <c:pt idx="1152">
                  <c:v>1.38</c:v>
                </c:pt>
                <c:pt idx="1153">
                  <c:v>1.19</c:v>
                </c:pt>
                <c:pt idx="1154">
                  <c:v>1.23</c:v>
                </c:pt>
                <c:pt idx="1155">
                  <c:v>1.79</c:v>
                </c:pt>
                <c:pt idx="1156">
                  <c:v>1.41</c:v>
                </c:pt>
                <c:pt idx="1157">
                  <c:v>0.97</c:v>
                </c:pt>
                <c:pt idx="1158">
                  <c:v>1.57</c:v>
                </c:pt>
                <c:pt idx="1159">
                  <c:v>1.59</c:v>
                </c:pt>
                <c:pt idx="1160">
                  <c:v>1.49</c:v>
                </c:pt>
                <c:pt idx="1161">
                  <c:v>1.56</c:v>
                </c:pt>
                <c:pt idx="1162">
                  <c:v>1.82</c:v>
                </c:pt>
                <c:pt idx="1163">
                  <c:v>1.65</c:v>
                </c:pt>
                <c:pt idx="1164">
                  <c:v>1.05</c:v>
                </c:pt>
                <c:pt idx="1165">
                  <c:v>1.36</c:v>
                </c:pt>
                <c:pt idx="1166">
                  <c:v>1.45</c:v>
                </c:pt>
                <c:pt idx="1167">
                  <c:v>0.92</c:v>
                </c:pt>
                <c:pt idx="1168">
                  <c:v>1.44</c:v>
                </c:pt>
                <c:pt idx="1169">
                  <c:v>1.22</c:v>
                </c:pt>
                <c:pt idx="1170">
                  <c:v>1.35</c:v>
                </c:pt>
                <c:pt idx="1171">
                  <c:v>1.54</c:v>
                </c:pt>
                <c:pt idx="1172">
                  <c:v>1.43</c:v>
                </c:pt>
                <c:pt idx="1173">
                  <c:v>1.1399999999999999</c:v>
                </c:pt>
                <c:pt idx="1174">
                  <c:v>1.28</c:v>
                </c:pt>
                <c:pt idx="1175">
                  <c:v>1.98</c:v>
                </c:pt>
                <c:pt idx="1176">
                  <c:v>1.29</c:v>
                </c:pt>
                <c:pt idx="1177">
                  <c:v>1.87</c:v>
                </c:pt>
                <c:pt idx="1178">
                  <c:v>0.95</c:v>
                </c:pt>
                <c:pt idx="1179">
                  <c:v>1.59</c:v>
                </c:pt>
                <c:pt idx="1180">
                  <c:v>1.82</c:v>
                </c:pt>
                <c:pt idx="1181">
                  <c:v>1.21</c:v>
                </c:pt>
                <c:pt idx="1182">
                  <c:v>1.72</c:v>
                </c:pt>
                <c:pt idx="1183">
                  <c:v>1.72</c:v>
                </c:pt>
                <c:pt idx="1184">
                  <c:v>1.24</c:v>
                </c:pt>
                <c:pt idx="1185">
                  <c:v>2.16</c:v>
                </c:pt>
                <c:pt idx="1186">
                  <c:v>0.85</c:v>
                </c:pt>
                <c:pt idx="1187">
                  <c:v>1.92</c:v>
                </c:pt>
                <c:pt idx="1188">
                  <c:v>2.16</c:v>
                </c:pt>
                <c:pt idx="1189">
                  <c:v>1.05</c:v>
                </c:pt>
                <c:pt idx="1190">
                  <c:v>1.75</c:v>
                </c:pt>
                <c:pt idx="1191">
                  <c:v>1.51</c:v>
                </c:pt>
                <c:pt idx="1192">
                  <c:v>1.57</c:v>
                </c:pt>
                <c:pt idx="1193">
                  <c:v>1.35</c:v>
                </c:pt>
                <c:pt idx="1194">
                  <c:v>1.1299999999999999</c:v>
                </c:pt>
                <c:pt idx="1195">
                  <c:v>1.1399999999999999</c:v>
                </c:pt>
                <c:pt idx="1196">
                  <c:v>1.21</c:v>
                </c:pt>
                <c:pt idx="1197">
                  <c:v>1.77</c:v>
                </c:pt>
                <c:pt idx="1198">
                  <c:v>1.1399999999999999</c:v>
                </c:pt>
                <c:pt idx="1199">
                  <c:v>1.1599999999999999</c:v>
                </c:pt>
                <c:pt idx="1200">
                  <c:v>1.87</c:v>
                </c:pt>
                <c:pt idx="1201">
                  <c:v>1.55</c:v>
                </c:pt>
                <c:pt idx="1202">
                  <c:v>1.27</c:v>
                </c:pt>
                <c:pt idx="1203">
                  <c:v>0.72</c:v>
                </c:pt>
                <c:pt idx="1204">
                  <c:v>1.61</c:v>
                </c:pt>
                <c:pt idx="1205">
                  <c:v>1.33</c:v>
                </c:pt>
                <c:pt idx="1206">
                  <c:v>1.48</c:v>
                </c:pt>
                <c:pt idx="1207">
                  <c:v>1.17</c:v>
                </c:pt>
                <c:pt idx="1208">
                  <c:v>1.56</c:v>
                </c:pt>
                <c:pt idx="1209">
                  <c:v>1.51</c:v>
                </c:pt>
                <c:pt idx="1210">
                  <c:v>1.53</c:v>
                </c:pt>
                <c:pt idx="1211">
                  <c:v>1.36</c:v>
                </c:pt>
                <c:pt idx="1212">
                  <c:v>1.21</c:v>
                </c:pt>
                <c:pt idx="1213">
                  <c:v>1.29</c:v>
                </c:pt>
                <c:pt idx="1214">
                  <c:v>1.69</c:v>
                </c:pt>
                <c:pt idx="1215">
                  <c:v>1.52</c:v>
                </c:pt>
                <c:pt idx="1216">
                  <c:v>1.22</c:v>
                </c:pt>
                <c:pt idx="1217">
                  <c:v>1.41</c:v>
                </c:pt>
                <c:pt idx="1218">
                  <c:v>1.84</c:v>
                </c:pt>
                <c:pt idx="1219">
                  <c:v>1.19</c:v>
                </c:pt>
                <c:pt idx="1220">
                  <c:v>0.77</c:v>
                </c:pt>
                <c:pt idx="1221">
                  <c:v>1.1299999999999999</c:v>
                </c:pt>
                <c:pt idx="1222">
                  <c:v>1.73</c:v>
                </c:pt>
                <c:pt idx="1223">
                  <c:v>1.43</c:v>
                </c:pt>
                <c:pt idx="1224">
                  <c:v>1.28</c:v>
                </c:pt>
                <c:pt idx="1225">
                  <c:v>1.73</c:v>
                </c:pt>
                <c:pt idx="1226">
                  <c:v>1.87</c:v>
                </c:pt>
                <c:pt idx="1227">
                  <c:v>1.47</c:v>
                </c:pt>
                <c:pt idx="1228">
                  <c:v>1.02</c:v>
                </c:pt>
                <c:pt idx="1229">
                  <c:v>1.59</c:v>
                </c:pt>
                <c:pt idx="1230">
                  <c:v>1.1100000000000001</c:v>
                </c:pt>
                <c:pt idx="1231">
                  <c:v>1.75</c:v>
                </c:pt>
                <c:pt idx="1232">
                  <c:v>1.67</c:v>
                </c:pt>
                <c:pt idx="1233">
                  <c:v>1.39</c:v>
                </c:pt>
                <c:pt idx="1234">
                  <c:v>1.96</c:v>
                </c:pt>
                <c:pt idx="1235">
                  <c:v>1.42</c:v>
                </c:pt>
                <c:pt idx="1236">
                  <c:v>0.56000000000000005</c:v>
                </c:pt>
                <c:pt idx="1237">
                  <c:v>1.75</c:v>
                </c:pt>
                <c:pt idx="1238">
                  <c:v>1.78</c:v>
                </c:pt>
                <c:pt idx="1239">
                  <c:v>1.64</c:v>
                </c:pt>
                <c:pt idx="1240">
                  <c:v>1.01</c:v>
                </c:pt>
                <c:pt idx="1241">
                  <c:v>1.95</c:v>
                </c:pt>
                <c:pt idx="1242">
                  <c:v>2.1800000000000002</c:v>
                </c:pt>
                <c:pt idx="1243">
                  <c:v>1.67</c:v>
                </c:pt>
                <c:pt idx="1244">
                  <c:v>0.96</c:v>
                </c:pt>
                <c:pt idx="1245">
                  <c:v>1.62</c:v>
                </c:pt>
                <c:pt idx="1246">
                  <c:v>1.69</c:v>
                </c:pt>
                <c:pt idx="1247">
                  <c:v>1.93</c:v>
                </c:pt>
                <c:pt idx="1248">
                  <c:v>1.71</c:v>
                </c:pt>
                <c:pt idx="1249">
                  <c:v>1.35</c:v>
                </c:pt>
                <c:pt idx="1250">
                  <c:v>1.1399999999999999</c:v>
                </c:pt>
                <c:pt idx="1251">
                  <c:v>1.35</c:v>
                </c:pt>
                <c:pt idx="1252">
                  <c:v>0.96</c:v>
                </c:pt>
                <c:pt idx="1253">
                  <c:v>1.63</c:v>
                </c:pt>
                <c:pt idx="1254">
                  <c:v>1.1399999999999999</c:v>
                </c:pt>
                <c:pt idx="1255">
                  <c:v>1.3</c:v>
                </c:pt>
                <c:pt idx="1256">
                  <c:v>1.1000000000000001</c:v>
                </c:pt>
                <c:pt idx="1257">
                  <c:v>1.26</c:v>
                </c:pt>
                <c:pt idx="1258">
                  <c:v>1.31</c:v>
                </c:pt>
                <c:pt idx="1259">
                  <c:v>1.1399999999999999</c:v>
                </c:pt>
                <c:pt idx="1260">
                  <c:v>1.24</c:v>
                </c:pt>
                <c:pt idx="1261">
                  <c:v>2.0299999999999998</c:v>
                </c:pt>
                <c:pt idx="1262">
                  <c:v>1.45</c:v>
                </c:pt>
                <c:pt idx="1263">
                  <c:v>1.29</c:v>
                </c:pt>
                <c:pt idx="1264">
                  <c:v>1.29</c:v>
                </c:pt>
                <c:pt idx="1265">
                  <c:v>1.23</c:v>
                </c:pt>
                <c:pt idx="1266">
                  <c:v>1.45</c:v>
                </c:pt>
                <c:pt idx="1267">
                  <c:v>1.82</c:v>
                </c:pt>
                <c:pt idx="1268">
                  <c:v>1.22</c:v>
                </c:pt>
                <c:pt idx="1269">
                  <c:v>1.73</c:v>
                </c:pt>
                <c:pt idx="1270">
                  <c:v>1.45</c:v>
                </c:pt>
                <c:pt idx="1271">
                  <c:v>1.37</c:v>
                </c:pt>
                <c:pt idx="1272">
                  <c:v>1.61</c:v>
                </c:pt>
                <c:pt idx="1273">
                  <c:v>1.59</c:v>
                </c:pt>
                <c:pt idx="1274">
                  <c:v>1.27</c:v>
                </c:pt>
                <c:pt idx="1275">
                  <c:v>1.65</c:v>
                </c:pt>
                <c:pt idx="1276">
                  <c:v>1.5</c:v>
                </c:pt>
                <c:pt idx="1277">
                  <c:v>1.45</c:v>
                </c:pt>
                <c:pt idx="1278">
                  <c:v>1.1499999999999999</c:v>
                </c:pt>
                <c:pt idx="1279">
                  <c:v>1.48</c:v>
                </c:pt>
                <c:pt idx="1280">
                  <c:v>1.39</c:v>
                </c:pt>
                <c:pt idx="1281">
                  <c:v>2.58</c:v>
                </c:pt>
                <c:pt idx="1282">
                  <c:v>1.32</c:v>
                </c:pt>
                <c:pt idx="1283">
                  <c:v>0.64</c:v>
                </c:pt>
                <c:pt idx="1284">
                  <c:v>1.0900000000000001</c:v>
                </c:pt>
                <c:pt idx="1285">
                  <c:v>1.7</c:v>
                </c:pt>
                <c:pt idx="1286">
                  <c:v>1.32</c:v>
                </c:pt>
                <c:pt idx="1287">
                  <c:v>2.39</c:v>
                </c:pt>
                <c:pt idx="1288">
                  <c:v>1.19</c:v>
                </c:pt>
                <c:pt idx="1289">
                  <c:v>1.32</c:v>
                </c:pt>
                <c:pt idx="1290">
                  <c:v>1.86</c:v>
                </c:pt>
                <c:pt idx="1291">
                  <c:v>1.6</c:v>
                </c:pt>
                <c:pt idx="1292">
                  <c:v>1.55</c:v>
                </c:pt>
                <c:pt idx="1293">
                  <c:v>1.74</c:v>
                </c:pt>
                <c:pt idx="1294">
                  <c:v>1.37</c:v>
                </c:pt>
                <c:pt idx="1295">
                  <c:v>1.86</c:v>
                </c:pt>
                <c:pt idx="1296">
                  <c:v>1.32</c:v>
                </c:pt>
                <c:pt idx="1297">
                  <c:v>1.61</c:v>
                </c:pt>
                <c:pt idx="1298">
                  <c:v>1.22</c:v>
                </c:pt>
                <c:pt idx="1299">
                  <c:v>1.1299999999999999</c:v>
                </c:pt>
                <c:pt idx="1300">
                  <c:v>1.1000000000000001</c:v>
                </c:pt>
                <c:pt idx="1301">
                  <c:v>1.71</c:v>
                </c:pt>
                <c:pt idx="1302">
                  <c:v>1.1100000000000001</c:v>
                </c:pt>
                <c:pt idx="1303">
                  <c:v>1.5</c:v>
                </c:pt>
                <c:pt idx="1304">
                  <c:v>1.39</c:v>
                </c:pt>
                <c:pt idx="1305">
                  <c:v>1.33</c:v>
                </c:pt>
                <c:pt idx="1306">
                  <c:v>1.43</c:v>
                </c:pt>
                <c:pt idx="1307">
                  <c:v>1.73</c:v>
                </c:pt>
                <c:pt idx="1308">
                  <c:v>1.68</c:v>
                </c:pt>
                <c:pt idx="1309">
                  <c:v>1.27</c:v>
                </c:pt>
                <c:pt idx="1310">
                  <c:v>0.93</c:v>
                </c:pt>
                <c:pt idx="1311">
                  <c:v>1.5</c:v>
                </c:pt>
                <c:pt idx="1312">
                  <c:v>1.53</c:v>
                </c:pt>
                <c:pt idx="1313">
                  <c:v>1.62</c:v>
                </c:pt>
                <c:pt idx="1314">
                  <c:v>1.41</c:v>
                </c:pt>
                <c:pt idx="1315">
                  <c:v>1.66</c:v>
                </c:pt>
                <c:pt idx="1316">
                  <c:v>1.63</c:v>
                </c:pt>
                <c:pt idx="1317">
                  <c:v>1.43</c:v>
                </c:pt>
                <c:pt idx="1318">
                  <c:v>0.95</c:v>
                </c:pt>
                <c:pt idx="1319">
                  <c:v>1.36</c:v>
                </c:pt>
                <c:pt idx="1320">
                  <c:v>1.1399999999999999</c:v>
                </c:pt>
                <c:pt idx="1321">
                  <c:v>1.2</c:v>
                </c:pt>
                <c:pt idx="1322">
                  <c:v>1.24</c:v>
                </c:pt>
                <c:pt idx="1323">
                  <c:v>1.81</c:v>
                </c:pt>
                <c:pt idx="1324">
                  <c:v>1.59</c:v>
                </c:pt>
                <c:pt idx="1325">
                  <c:v>1.45</c:v>
                </c:pt>
                <c:pt idx="1326">
                  <c:v>2</c:v>
                </c:pt>
                <c:pt idx="1327">
                  <c:v>1.95</c:v>
                </c:pt>
                <c:pt idx="1328">
                  <c:v>1.54</c:v>
                </c:pt>
                <c:pt idx="1329">
                  <c:v>1.35</c:v>
                </c:pt>
                <c:pt idx="1330">
                  <c:v>1.49</c:v>
                </c:pt>
                <c:pt idx="1331">
                  <c:v>1.44</c:v>
                </c:pt>
                <c:pt idx="1332">
                  <c:v>0.9</c:v>
                </c:pt>
                <c:pt idx="1333">
                  <c:v>2.0499999999999998</c:v>
                </c:pt>
                <c:pt idx="1334">
                  <c:v>1.1200000000000001</c:v>
                </c:pt>
                <c:pt idx="1335">
                  <c:v>1.52</c:v>
                </c:pt>
                <c:pt idx="1336">
                  <c:v>1.26</c:v>
                </c:pt>
                <c:pt idx="1337">
                  <c:v>1.02</c:v>
                </c:pt>
                <c:pt idx="1338">
                  <c:v>0.89</c:v>
                </c:pt>
                <c:pt idx="1339">
                  <c:v>1.1599999999999999</c:v>
                </c:pt>
                <c:pt idx="1340">
                  <c:v>1.19</c:v>
                </c:pt>
                <c:pt idx="1341">
                  <c:v>0.92</c:v>
                </c:pt>
                <c:pt idx="1342">
                  <c:v>1.73</c:v>
                </c:pt>
                <c:pt idx="1343">
                  <c:v>1.1599999999999999</c:v>
                </c:pt>
                <c:pt idx="1344">
                  <c:v>1.1499999999999999</c:v>
                </c:pt>
                <c:pt idx="1345">
                  <c:v>1.71</c:v>
                </c:pt>
                <c:pt idx="1346">
                  <c:v>1.37</c:v>
                </c:pt>
                <c:pt idx="1347">
                  <c:v>1.93</c:v>
                </c:pt>
                <c:pt idx="1348">
                  <c:v>0.97</c:v>
                </c:pt>
                <c:pt idx="1349">
                  <c:v>1.53</c:v>
                </c:pt>
                <c:pt idx="1350">
                  <c:v>1.01</c:v>
                </c:pt>
                <c:pt idx="1351">
                  <c:v>1.32</c:v>
                </c:pt>
                <c:pt idx="1352">
                  <c:v>0.69</c:v>
                </c:pt>
                <c:pt idx="1353">
                  <c:v>1.02</c:v>
                </c:pt>
                <c:pt idx="1354">
                  <c:v>1.1100000000000001</c:v>
                </c:pt>
                <c:pt idx="1355">
                  <c:v>2.0299999999999998</c:v>
                </c:pt>
                <c:pt idx="1356">
                  <c:v>1.2</c:v>
                </c:pt>
                <c:pt idx="1357">
                  <c:v>1.1399999999999999</c:v>
                </c:pt>
                <c:pt idx="1358">
                  <c:v>1.96</c:v>
                </c:pt>
                <c:pt idx="1359">
                  <c:v>1.42</c:v>
                </c:pt>
                <c:pt idx="1360">
                  <c:v>0.92</c:v>
                </c:pt>
                <c:pt idx="1361">
                  <c:v>1.1399999999999999</c:v>
                </c:pt>
                <c:pt idx="1362">
                  <c:v>1.01</c:v>
                </c:pt>
                <c:pt idx="1363">
                  <c:v>1.91</c:v>
                </c:pt>
                <c:pt idx="1364">
                  <c:v>1.36</c:v>
                </c:pt>
                <c:pt idx="1365">
                  <c:v>1.28</c:v>
                </c:pt>
                <c:pt idx="1366">
                  <c:v>1.36</c:v>
                </c:pt>
                <c:pt idx="1367">
                  <c:v>1.42</c:v>
                </c:pt>
                <c:pt idx="1368">
                  <c:v>1.99</c:v>
                </c:pt>
                <c:pt idx="1369">
                  <c:v>1.02</c:v>
                </c:pt>
                <c:pt idx="1370">
                  <c:v>1.19</c:v>
                </c:pt>
                <c:pt idx="1371">
                  <c:v>1.35</c:v>
                </c:pt>
                <c:pt idx="1372">
                  <c:v>1.52</c:v>
                </c:pt>
                <c:pt idx="1373">
                  <c:v>0.9</c:v>
                </c:pt>
                <c:pt idx="1374">
                  <c:v>1.36</c:v>
                </c:pt>
                <c:pt idx="1375">
                  <c:v>0.97</c:v>
                </c:pt>
                <c:pt idx="1376">
                  <c:v>1.42</c:v>
                </c:pt>
                <c:pt idx="1377">
                  <c:v>1.19</c:v>
                </c:pt>
                <c:pt idx="1378">
                  <c:v>0.89</c:v>
                </c:pt>
                <c:pt idx="1379">
                  <c:v>1.78</c:v>
                </c:pt>
                <c:pt idx="1380">
                  <c:v>2</c:v>
                </c:pt>
                <c:pt idx="1381">
                  <c:v>1.8</c:v>
                </c:pt>
                <c:pt idx="1382">
                  <c:v>1.1399999999999999</c:v>
                </c:pt>
                <c:pt idx="1383">
                  <c:v>0.94</c:v>
                </c:pt>
                <c:pt idx="1384">
                  <c:v>1.75</c:v>
                </c:pt>
                <c:pt idx="1385">
                  <c:v>1.98</c:v>
                </c:pt>
                <c:pt idx="1386">
                  <c:v>1.1200000000000001</c:v>
                </c:pt>
                <c:pt idx="1387">
                  <c:v>1.02</c:v>
                </c:pt>
                <c:pt idx="1388">
                  <c:v>1.07</c:v>
                </c:pt>
                <c:pt idx="1389">
                  <c:v>1.31</c:v>
                </c:pt>
                <c:pt idx="1390">
                  <c:v>1.87</c:v>
                </c:pt>
                <c:pt idx="1391">
                  <c:v>1.62</c:v>
                </c:pt>
                <c:pt idx="1392">
                  <c:v>1.1299999999999999</c:v>
                </c:pt>
                <c:pt idx="1393">
                  <c:v>1.32</c:v>
                </c:pt>
                <c:pt idx="1394">
                  <c:v>1.74</c:v>
                </c:pt>
                <c:pt idx="1395">
                  <c:v>1.56</c:v>
                </c:pt>
                <c:pt idx="1396">
                  <c:v>1.1499999999999999</c:v>
                </c:pt>
                <c:pt idx="1397">
                  <c:v>1.73</c:v>
                </c:pt>
                <c:pt idx="1398">
                  <c:v>1.69</c:v>
                </c:pt>
                <c:pt idx="1399">
                  <c:v>1.59</c:v>
                </c:pt>
                <c:pt idx="1400">
                  <c:v>1.03</c:v>
                </c:pt>
                <c:pt idx="1401">
                  <c:v>1.1399999999999999</c:v>
                </c:pt>
                <c:pt idx="1402">
                  <c:v>1.4</c:v>
                </c:pt>
                <c:pt idx="1403">
                  <c:v>1.5</c:v>
                </c:pt>
                <c:pt idx="1404">
                  <c:v>1.2</c:v>
                </c:pt>
                <c:pt idx="1405">
                  <c:v>1.49</c:v>
                </c:pt>
                <c:pt idx="1406">
                  <c:v>1.69</c:v>
                </c:pt>
                <c:pt idx="1407">
                  <c:v>1.03</c:v>
                </c:pt>
                <c:pt idx="1408">
                  <c:v>1.1499999999999999</c:v>
                </c:pt>
                <c:pt idx="1409">
                  <c:v>1.68</c:v>
                </c:pt>
                <c:pt idx="1410">
                  <c:v>0.85</c:v>
                </c:pt>
                <c:pt idx="1411">
                  <c:v>1.54</c:v>
                </c:pt>
                <c:pt idx="1412">
                  <c:v>1.69</c:v>
                </c:pt>
                <c:pt idx="1413">
                  <c:v>1.34</c:v>
                </c:pt>
                <c:pt idx="1414">
                  <c:v>1.3</c:v>
                </c:pt>
                <c:pt idx="1415">
                  <c:v>1.27</c:v>
                </c:pt>
                <c:pt idx="1416">
                  <c:v>1.75</c:v>
                </c:pt>
                <c:pt idx="1417">
                  <c:v>1.52</c:v>
                </c:pt>
                <c:pt idx="1418">
                  <c:v>1.88</c:v>
                </c:pt>
                <c:pt idx="1419">
                  <c:v>0.95</c:v>
                </c:pt>
                <c:pt idx="1420">
                  <c:v>1.9</c:v>
                </c:pt>
                <c:pt idx="1421">
                  <c:v>1.31</c:v>
                </c:pt>
                <c:pt idx="1422">
                  <c:v>1.69</c:v>
                </c:pt>
                <c:pt idx="1423">
                  <c:v>1.72</c:v>
                </c:pt>
                <c:pt idx="1424">
                  <c:v>1.98</c:v>
                </c:pt>
                <c:pt idx="1425">
                  <c:v>2.0499999999999998</c:v>
                </c:pt>
                <c:pt idx="1426">
                  <c:v>1.85</c:v>
                </c:pt>
                <c:pt idx="1427">
                  <c:v>1.17</c:v>
                </c:pt>
                <c:pt idx="1428">
                  <c:v>1.31</c:v>
                </c:pt>
                <c:pt idx="1429">
                  <c:v>1.64</c:v>
                </c:pt>
                <c:pt idx="1430">
                  <c:v>1.83</c:v>
                </c:pt>
                <c:pt idx="1431">
                  <c:v>1.83</c:v>
                </c:pt>
                <c:pt idx="1432">
                  <c:v>2.15</c:v>
                </c:pt>
                <c:pt idx="1433">
                  <c:v>1.2</c:v>
                </c:pt>
                <c:pt idx="1434">
                  <c:v>0.88</c:v>
                </c:pt>
                <c:pt idx="1435">
                  <c:v>1.1399999999999999</c:v>
                </c:pt>
                <c:pt idx="1436">
                  <c:v>1.4</c:v>
                </c:pt>
                <c:pt idx="1437">
                  <c:v>1.5</c:v>
                </c:pt>
                <c:pt idx="1438">
                  <c:v>1.49</c:v>
                </c:pt>
                <c:pt idx="1439">
                  <c:v>1.52</c:v>
                </c:pt>
                <c:pt idx="1440">
                  <c:v>1.53</c:v>
                </c:pt>
                <c:pt idx="1441">
                  <c:v>1.76</c:v>
                </c:pt>
                <c:pt idx="1442">
                  <c:v>1.54</c:v>
                </c:pt>
                <c:pt idx="1443">
                  <c:v>1.59</c:v>
                </c:pt>
                <c:pt idx="1444">
                  <c:v>1.88</c:v>
                </c:pt>
                <c:pt idx="1445">
                  <c:v>1.22</c:v>
                </c:pt>
                <c:pt idx="1446">
                  <c:v>1.87</c:v>
                </c:pt>
                <c:pt idx="1447">
                  <c:v>1.58</c:v>
                </c:pt>
                <c:pt idx="1448">
                  <c:v>1.74</c:v>
                </c:pt>
                <c:pt idx="1449">
                  <c:v>1.36</c:v>
                </c:pt>
                <c:pt idx="1450">
                  <c:v>1.55</c:v>
                </c:pt>
                <c:pt idx="1451">
                  <c:v>0.91</c:v>
                </c:pt>
                <c:pt idx="1452">
                  <c:v>1.23</c:v>
                </c:pt>
                <c:pt idx="1453">
                  <c:v>1.62</c:v>
                </c:pt>
                <c:pt idx="1454">
                  <c:v>1.43</c:v>
                </c:pt>
                <c:pt idx="1455">
                  <c:v>1.84</c:v>
                </c:pt>
                <c:pt idx="1456">
                  <c:v>1.77</c:v>
                </c:pt>
                <c:pt idx="1457">
                  <c:v>1.84</c:v>
                </c:pt>
                <c:pt idx="1458">
                  <c:v>1.81</c:v>
                </c:pt>
                <c:pt idx="1459">
                  <c:v>1.89</c:v>
                </c:pt>
                <c:pt idx="1460">
                  <c:v>2.11</c:v>
                </c:pt>
                <c:pt idx="1461">
                  <c:v>1.0900000000000001</c:v>
                </c:pt>
                <c:pt idx="1462">
                  <c:v>1.62</c:v>
                </c:pt>
                <c:pt idx="1463">
                  <c:v>1.24</c:v>
                </c:pt>
                <c:pt idx="1464">
                  <c:v>1.04</c:v>
                </c:pt>
                <c:pt idx="1465">
                  <c:v>1.52</c:v>
                </c:pt>
                <c:pt idx="1466">
                  <c:v>1.51</c:v>
                </c:pt>
                <c:pt idx="1467">
                  <c:v>1.77</c:v>
                </c:pt>
                <c:pt idx="1468">
                  <c:v>0.97</c:v>
                </c:pt>
                <c:pt idx="1469">
                  <c:v>1.2</c:v>
                </c:pt>
                <c:pt idx="1470">
                  <c:v>1.8</c:v>
                </c:pt>
                <c:pt idx="1471">
                  <c:v>0.85</c:v>
                </c:pt>
                <c:pt idx="1472">
                  <c:v>1.45</c:v>
                </c:pt>
                <c:pt idx="1473">
                  <c:v>1.69</c:v>
                </c:pt>
                <c:pt idx="1474">
                  <c:v>1.86</c:v>
                </c:pt>
                <c:pt idx="1475">
                  <c:v>1.57</c:v>
                </c:pt>
                <c:pt idx="1476">
                  <c:v>1.98</c:v>
                </c:pt>
                <c:pt idx="1477">
                  <c:v>1.1299999999999999</c:v>
                </c:pt>
                <c:pt idx="1478">
                  <c:v>1.83</c:v>
                </c:pt>
                <c:pt idx="1479">
                  <c:v>1.1000000000000001</c:v>
                </c:pt>
                <c:pt idx="1480">
                  <c:v>1.76</c:v>
                </c:pt>
                <c:pt idx="1481">
                  <c:v>2.0099999999999998</c:v>
                </c:pt>
                <c:pt idx="1482">
                  <c:v>1.88</c:v>
                </c:pt>
                <c:pt idx="1483">
                  <c:v>1.32</c:v>
                </c:pt>
                <c:pt idx="1484">
                  <c:v>1.87</c:v>
                </c:pt>
                <c:pt idx="1485">
                  <c:v>1.82</c:v>
                </c:pt>
                <c:pt idx="1486">
                  <c:v>2.17</c:v>
                </c:pt>
                <c:pt idx="1487">
                  <c:v>1.1299999999999999</c:v>
                </c:pt>
                <c:pt idx="1488">
                  <c:v>1.26</c:v>
                </c:pt>
                <c:pt idx="1489">
                  <c:v>0.98</c:v>
                </c:pt>
                <c:pt idx="1490">
                  <c:v>1.32</c:v>
                </c:pt>
                <c:pt idx="1491">
                  <c:v>1.55</c:v>
                </c:pt>
                <c:pt idx="1492">
                  <c:v>2.04</c:v>
                </c:pt>
                <c:pt idx="1493">
                  <c:v>1.33</c:v>
                </c:pt>
                <c:pt idx="1494">
                  <c:v>1.5</c:v>
                </c:pt>
                <c:pt idx="1495">
                  <c:v>1.1499999999999999</c:v>
                </c:pt>
                <c:pt idx="1496">
                  <c:v>1.77</c:v>
                </c:pt>
                <c:pt idx="1497">
                  <c:v>1.79</c:v>
                </c:pt>
                <c:pt idx="1498">
                  <c:v>1.1399999999999999</c:v>
                </c:pt>
                <c:pt idx="1499">
                  <c:v>1.29</c:v>
                </c:pt>
                <c:pt idx="1500">
                  <c:v>1.1100000000000001</c:v>
                </c:pt>
                <c:pt idx="1501">
                  <c:v>1.07</c:v>
                </c:pt>
                <c:pt idx="1502">
                  <c:v>1.63</c:v>
                </c:pt>
                <c:pt idx="1503">
                  <c:v>1.49</c:v>
                </c:pt>
                <c:pt idx="1504">
                  <c:v>1.21</c:v>
                </c:pt>
                <c:pt idx="1505">
                  <c:v>1.19</c:v>
                </c:pt>
                <c:pt idx="1506">
                  <c:v>1.18</c:v>
                </c:pt>
                <c:pt idx="1507">
                  <c:v>1.02</c:v>
                </c:pt>
                <c:pt idx="1508">
                  <c:v>1.26</c:v>
                </c:pt>
                <c:pt idx="1509">
                  <c:v>1.7</c:v>
                </c:pt>
                <c:pt idx="1510">
                  <c:v>1.35</c:v>
                </c:pt>
                <c:pt idx="1511">
                  <c:v>1.17</c:v>
                </c:pt>
                <c:pt idx="1512">
                  <c:v>1.4</c:v>
                </c:pt>
                <c:pt idx="1513">
                  <c:v>1.83</c:v>
                </c:pt>
                <c:pt idx="1514">
                  <c:v>1.86</c:v>
                </c:pt>
                <c:pt idx="1515">
                  <c:v>1.78</c:v>
                </c:pt>
                <c:pt idx="1516">
                  <c:v>1.1299999999999999</c:v>
                </c:pt>
                <c:pt idx="1517">
                  <c:v>1.5</c:v>
                </c:pt>
                <c:pt idx="1518">
                  <c:v>1.68</c:v>
                </c:pt>
                <c:pt idx="1519">
                  <c:v>1.55</c:v>
                </c:pt>
                <c:pt idx="1520">
                  <c:v>1.34</c:v>
                </c:pt>
                <c:pt idx="1521">
                  <c:v>0.95</c:v>
                </c:pt>
                <c:pt idx="1522">
                  <c:v>1.8</c:v>
                </c:pt>
                <c:pt idx="1523">
                  <c:v>1.43</c:v>
                </c:pt>
                <c:pt idx="1524">
                  <c:v>1.1100000000000001</c:v>
                </c:pt>
                <c:pt idx="1525">
                  <c:v>1.43</c:v>
                </c:pt>
                <c:pt idx="1526">
                  <c:v>1.2</c:v>
                </c:pt>
                <c:pt idx="1527">
                  <c:v>1.64</c:v>
                </c:pt>
                <c:pt idx="1528">
                  <c:v>1.17</c:v>
                </c:pt>
                <c:pt idx="1529">
                  <c:v>0.91</c:v>
                </c:pt>
                <c:pt idx="1530">
                  <c:v>1.79</c:v>
                </c:pt>
                <c:pt idx="1531">
                  <c:v>1.06</c:v>
                </c:pt>
                <c:pt idx="1532">
                  <c:v>1</c:v>
                </c:pt>
                <c:pt idx="1533">
                  <c:v>1.67</c:v>
                </c:pt>
                <c:pt idx="1534">
                  <c:v>0.94</c:v>
                </c:pt>
                <c:pt idx="1535">
                  <c:v>1.36</c:v>
                </c:pt>
                <c:pt idx="1536">
                  <c:v>1.47</c:v>
                </c:pt>
                <c:pt idx="1537">
                  <c:v>1.47</c:v>
                </c:pt>
                <c:pt idx="1538">
                  <c:v>2.0499999999999998</c:v>
                </c:pt>
                <c:pt idx="1539">
                  <c:v>1.28</c:v>
                </c:pt>
                <c:pt idx="1540">
                  <c:v>1.89</c:v>
                </c:pt>
                <c:pt idx="1541">
                  <c:v>1.07</c:v>
                </c:pt>
                <c:pt idx="1542">
                  <c:v>1.18</c:v>
                </c:pt>
                <c:pt idx="1543">
                  <c:v>1</c:v>
                </c:pt>
                <c:pt idx="1544">
                  <c:v>1.73</c:v>
                </c:pt>
                <c:pt idx="1545">
                  <c:v>1.08</c:v>
                </c:pt>
                <c:pt idx="1546">
                  <c:v>1.83</c:v>
                </c:pt>
                <c:pt idx="1547">
                  <c:v>1.1100000000000001</c:v>
                </c:pt>
                <c:pt idx="1548">
                  <c:v>1.47</c:v>
                </c:pt>
                <c:pt idx="1549">
                  <c:v>1.88</c:v>
                </c:pt>
                <c:pt idx="1550">
                  <c:v>1.25</c:v>
                </c:pt>
                <c:pt idx="1551">
                  <c:v>1.1299999999999999</c:v>
                </c:pt>
                <c:pt idx="1552">
                  <c:v>1.35</c:v>
                </c:pt>
                <c:pt idx="1553">
                  <c:v>1.78</c:v>
                </c:pt>
                <c:pt idx="1554">
                  <c:v>1.43</c:v>
                </c:pt>
                <c:pt idx="1555">
                  <c:v>1.61</c:v>
                </c:pt>
                <c:pt idx="1556">
                  <c:v>1.72</c:v>
                </c:pt>
                <c:pt idx="1557">
                  <c:v>1.35</c:v>
                </c:pt>
                <c:pt idx="1558">
                  <c:v>1.86</c:v>
                </c:pt>
                <c:pt idx="1559">
                  <c:v>1.67</c:v>
                </c:pt>
                <c:pt idx="1560">
                  <c:v>1.23</c:v>
                </c:pt>
                <c:pt idx="1561">
                  <c:v>1.69</c:v>
                </c:pt>
                <c:pt idx="1562">
                  <c:v>0.98</c:v>
                </c:pt>
                <c:pt idx="1563">
                  <c:v>1.37</c:v>
                </c:pt>
                <c:pt idx="1564">
                  <c:v>1.57</c:v>
                </c:pt>
                <c:pt idx="1565">
                  <c:v>1.77</c:v>
                </c:pt>
                <c:pt idx="1566">
                  <c:v>1.04</c:v>
                </c:pt>
                <c:pt idx="1567">
                  <c:v>1.4</c:v>
                </c:pt>
                <c:pt idx="1568">
                  <c:v>1.75</c:v>
                </c:pt>
                <c:pt idx="1569">
                  <c:v>1.19</c:v>
                </c:pt>
                <c:pt idx="1570">
                  <c:v>1.34</c:v>
                </c:pt>
                <c:pt idx="1571">
                  <c:v>0.9</c:v>
                </c:pt>
                <c:pt idx="1572">
                  <c:v>1.63</c:v>
                </c:pt>
                <c:pt idx="1573">
                  <c:v>1.26</c:v>
                </c:pt>
                <c:pt idx="1574">
                  <c:v>1.02</c:v>
                </c:pt>
                <c:pt idx="1575">
                  <c:v>1.63</c:v>
                </c:pt>
                <c:pt idx="1576">
                  <c:v>1.32</c:v>
                </c:pt>
                <c:pt idx="1577">
                  <c:v>1.97</c:v>
                </c:pt>
                <c:pt idx="1578">
                  <c:v>1.02</c:v>
                </c:pt>
                <c:pt idx="1579">
                  <c:v>1.81</c:v>
                </c:pt>
                <c:pt idx="1580">
                  <c:v>1.74</c:v>
                </c:pt>
                <c:pt idx="1581">
                  <c:v>1.73</c:v>
                </c:pt>
                <c:pt idx="1582">
                  <c:v>1.8</c:v>
                </c:pt>
                <c:pt idx="1583">
                  <c:v>1.77</c:v>
                </c:pt>
                <c:pt idx="1584">
                  <c:v>2.2400000000000002</c:v>
                </c:pt>
                <c:pt idx="1585">
                  <c:v>1.06</c:v>
                </c:pt>
                <c:pt idx="1586">
                  <c:v>1.1299999999999999</c:v>
                </c:pt>
                <c:pt idx="1587">
                  <c:v>1.59</c:v>
                </c:pt>
                <c:pt idx="1588">
                  <c:v>1.53</c:v>
                </c:pt>
                <c:pt idx="1589">
                  <c:v>1.74</c:v>
                </c:pt>
                <c:pt idx="1590">
                  <c:v>2.57</c:v>
                </c:pt>
                <c:pt idx="1591">
                  <c:v>1.22</c:v>
                </c:pt>
                <c:pt idx="1592">
                  <c:v>2.1800000000000002</c:v>
                </c:pt>
                <c:pt idx="1593">
                  <c:v>1.77</c:v>
                </c:pt>
                <c:pt idx="1594">
                  <c:v>1.44</c:v>
                </c:pt>
                <c:pt idx="1595">
                  <c:v>2.0699999999999998</c:v>
                </c:pt>
                <c:pt idx="1596">
                  <c:v>1.1499999999999999</c:v>
                </c:pt>
                <c:pt idx="1597">
                  <c:v>1.58</c:v>
                </c:pt>
                <c:pt idx="1598">
                  <c:v>1.66</c:v>
                </c:pt>
                <c:pt idx="1599">
                  <c:v>1.47</c:v>
                </c:pt>
                <c:pt idx="1600">
                  <c:v>1.0900000000000001</c:v>
                </c:pt>
                <c:pt idx="1601">
                  <c:v>1.24</c:v>
                </c:pt>
                <c:pt idx="1602">
                  <c:v>1.2</c:v>
                </c:pt>
                <c:pt idx="1603">
                  <c:v>1.73</c:v>
                </c:pt>
                <c:pt idx="1604">
                  <c:v>1.1399999999999999</c:v>
                </c:pt>
                <c:pt idx="1605">
                  <c:v>1.66</c:v>
                </c:pt>
                <c:pt idx="1606">
                  <c:v>1.1100000000000001</c:v>
                </c:pt>
                <c:pt idx="1607">
                  <c:v>1.85</c:v>
                </c:pt>
                <c:pt idx="1608">
                  <c:v>1.65</c:v>
                </c:pt>
                <c:pt idx="1609">
                  <c:v>2</c:v>
                </c:pt>
                <c:pt idx="1610">
                  <c:v>1.64</c:v>
                </c:pt>
                <c:pt idx="1611">
                  <c:v>1.1100000000000001</c:v>
                </c:pt>
                <c:pt idx="1612">
                  <c:v>1.29</c:v>
                </c:pt>
                <c:pt idx="1613">
                  <c:v>1.38</c:v>
                </c:pt>
                <c:pt idx="1614">
                  <c:v>1.65</c:v>
                </c:pt>
                <c:pt idx="1615">
                  <c:v>1.65</c:v>
                </c:pt>
                <c:pt idx="1616">
                  <c:v>0.95</c:v>
                </c:pt>
                <c:pt idx="1617">
                  <c:v>1.19</c:v>
                </c:pt>
                <c:pt idx="1618">
                  <c:v>2.74</c:v>
                </c:pt>
                <c:pt idx="1619">
                  <c:v>1.26</c:v>
                </c:pt>
                <c:pt idx="1620">
                  <c:v>2.06</c:v>
                </c:pt>
                <c:pt idx="1621">
                  <c:v>1.76</c:v>
                </c:pt>
                <c:pt idx="1622">
                  <c:v>0.98</c:v>
                </c:pt>
                <c:pt idx="1623">
                  <c:v>2.02</c:v>
                </c:pt>
                <c:pt idx="1624">
                  <c:v>1.39</c:v>
                </c:pt>
                <c:pt idx="1625">
                  <c:v>1.38</c:v>
                </c:pt>
                <c:pt idx="1626">
                  <c:v>1.33</c:v>
                </c:pt>
                <c:pt idx="1627">
                  <c:v>1.88</c:v>
                </c:pt>
                <c:pt idx="1628">
                  <c:v>1.06</c:v>
                </c:pt>
                <c:pt idx="1629">
                  <c:v>1.59</c:v>
                </c:pt>
                <c:pt idx="1630">
                  <c:v>2.4900000000000002</c:v>
                </c:pt>
                <c:pt idx="1631">
                  <c:v>1.1299999999999999</c:v>
                </c:pt>
                <c:pt idx="1632">
                  <c:v>1.59</c:v>
                </c:pt>
                <c:pt idx="1633">
                  <c:v>1.2</c:v>
                </c:pt>
                <c:pt idx="1634">
                  <c:v>2.0099999999999998</c:v>
                </c:pt>
                <c:pt idx="1635">
                  <c:v>1.54</c:v>
                </c:pt>
                <c:pt idx="1636">
                  <c:v>1.44</c:v>
                </c:pt>
                <c:pt idx="1637">
                  <c:v>1.36</c:v>
                </c:pt>
                <c:pt idx="1638">
                  <c:v>2.04</c:v>
                </c:pt>
                <c:pt idx="1639">
                  <c:v>1.68</c:v>
                </c:pt>
                <c:pt idx="1640">
                  <c:v>1.44</c:v>
                </c:pt>
                <c:pt idx="1641">
                  <c:v>1.27</c:v>
                </c:pt>
                <c:pt idx="1642">
                  <c:v>1.1599999999999999</c:v>
                </c:pt>
                <c:pt idx="1643">
                  <c:v>1.88</c:v>
                </c:pt>
                <c:pt idx="1644">
                  <c:v>1.57</c:v>
                </c:pt>
                <c:pt idx="1645">
                  <c:v>1.44</c:v>
                </c:pt>
                <c:pt idx="1646">
                  <c:v>1.51</c:v>
                </c:pt>
                <c:pt idx="1647">
                  <c:v>1.69</c:v>
                </c:pt>
                <c:pt idx="1648">
                  <c:v>1.59</c:v>
                </c:pt>
                <c:pt idx="1649">
                  <c:v>1.1100000000000001</c:v>
                </c:pt>
                <c:pt idx="1650">
                  <c:v>1.27</c:v>
                </c:pt>
                <c:pt idx="1651">
                  <c:v>1.23</c:v>
                </c:pt>
                <c:pt idx="1652">
                  <c:v>0.82</c:v>
                </c:pt>
                <c:pt idx="1653">
                  <c:v>1.78</c:v>
                </c:pt>
                <c:pt idx="1654">
                  <c:v>1.49</c:v>
                </c:pt>
                <c:pt idx="1655">
                  <c:v>1.07</c:v>
                </c:pt>
                <c:pt idx="1656">
                  <c:v>1.78</c:v>
                </c:pt>
                <c:pt idx="1657">
                  <c:v>1.29</c:v>
                </c:pt>
                <c:pt idx="1658">
                  <c:v>2.25</c:v>
                </c:pt>
                <c:pt idx="1659">
                  <c:v>1.07</c:v>
                </c:pt>
                <c:pt idx="1660">
                  <c:v>1.31</c:v>
                </c:pt>
                <c:pt idx="1661">
                  <c:v>1.86</c:v>
                </c:pt>
                <c:pt idx="1662">
                  <c:v>1.27</c:v>
                </c:pt>
                <c:pt idx="1663">
                  <c:v>1.4</c:v>
                </c:pt>
                <c:pt idx="1664">
                  <c:v>1.3</c:v>
                </c:pt>
                <c:pt idx="1665">
                  <c:v>1.26</c:v>
                </c:pt>
                <c:pt idx="1666">
                  <c:v>1.65</c:v>
                </c:pt>
                <c:pt idx="1667">
                  <c:v>1.04</c:v>
                </c:pt>
                <c:pt idx="1668">
                  <c:v>1.58</c:v>
                </c:pt>
                <c:pt idx="1669">
                  <c:v>1.63</c:v>
                </c:pt>
                <c:pt idx="1670">
                  <c:v>0.87</c:v>
                </c:pt>
                <c:pt idx="1671">
                  <c:v>1.3</c:v>
                </c:pt>
                <c:pt idx="1672">
                  <c:v>1.03</c:v>
                </c:pt>
                <c:pt idx="1673">
                  <c:v>2.06</c:v>
                </c:pt>
                <c:pt idx="1674">
                  <c:v>1.8</c:v>
                </c:pt>
                <c:pt idx="1675">
                  <c:v>1.9</c:v>
                </c:pt>
                <c:pt idx="1676">
                  <c:v>1.67</c:v>
                </c:pt>
                <c:pt idx="1677">
                  <c:v>1.1200000000000001</c:v>
                </c:pt>
                <c:pt idx="1678">
                  <c:v>1.94</c:v>
                </c:pt>
                <c:pt idx="1679">
                  <c:v>1.58</c:v>
                </c:pt>
                <c:pt idx="1680">
                  <c:v>1.68</c:v>
                </c:pt>
                <c:pt idx="1681">
                  <c:v>1.53</c:v>
                </c:pt>
                <c:pt idx="1682">
                  <c:v>1.7</c:v>
                </c:pt>
                <c:pt idx="1683">
                  <c:v>0.86</c:v>
                </c:pt>
                <c:pt idx="1684">
                  <c:v>1.05</c:v>
                </c:pt>
                <c:pt idx="1685">
                  <c:v>0.84</c:v>
                </c:pt>
                <c:pt idx="1686">
                  <c:v>1.76</c:v>
                </c:pt>
                <c:pt idx="1687">
                  <c:v>1.39</c:v>
                </c:pt>
                <c:pt idx="1688">
                  <c:v>2.11</c:v>
                </c:pt>
                <c:pt idx="1689">
                  <c:v>1.1299999999999999</c:v>
                </c:pt>
                <c:pt idx="1690">
                  <c:v>1.77</c:v>
                </c:pt>
                <c:pt idx="1691">
                  <c:v>1.73</c:v>
                </c:pt>
                <c:pt idx="1692">
                  <c:v>1.45</c:v>
                </c:pt>
                <c:pt idx="1693">
                  <c:v>1.46</c:v>
                </c:pt>
                <c:pt idx="1694">
                  <c:v>1.17</c:v>
                </c:pt>
                <c:pt idx="1695">
                  <c:v>1.36</c:v>
                </c:pt>
                <c:pt idx="1696">
                  <c:v>1.67</c:v>
                </c:pt>
                <c:pt idx="1697">
                  <c:v>1.3</c:v>
                </c:pt>
                <c:pt idx="1698">
                  <c:v>1.43</c:v>
                </c:pt>
                <c:pt idx="1699">
                  <c:v>1.1399999999999999</c:v>
                </c:pt>
                <c:pt idx="1700">
                  <c:v>0.99</c:v>
                </c:pt>
                <c:pt idx="1701">
                  <c:v>1.46</c:v>
                </c:pt>
                <c:pt idx="1702">
                  <c:v>1.31</c:v>
                </c:pt>
                <c:pt idx="1703">
                  <c:v>1.31</c:v>
                </c:pt>
                <c:pt idx="1704">
                  <c:v>1.27</c:v>
                </c:pt>
                <c:pt idx="1705">
                  <c:v>1.49</c:v>
                </c:pt>
                <c:pt idx="1706">
                  <c:v>1.85</c:v>
                </c:pt>
                <c:pt idx="1707">
                  <c:v>1.2</c:v>
                </c:pt>
                <c:pt idx="1708">
                  <c:v>1.54</c:v>
                </c:pt>
                <c:pt idx="1709">
                  <c:v>1.1299999999999999</c:v>
                </c:pt>
                <c:pt idx="1710">
                  <c:v>1.62</c:v>
                </c:pt>
                <c:pt idx="1711">
                  <c:v>0.91</c:v>
                </c:pt>
                <c:pt idx="1712">
                  <c:v>0.91</c:v>
                </c:pt>
                <c:pt idx="1713">
                  <c:v>1.74</c:v>
                </c:pt>
                <c:pt idx="1714">
                  <c:v>1.77</c:v>
                </c:pt>
                <c:pt idx="1715">
                  <c:v>1.25</c:v>
                </c:pt>
                <c:pt idx="1716">
                  <c:v>1.36</c:v>
                </c:pt>
                <c:pt idx="1717">
                  <c:v>1.59</c:v>
                </c:pt>
                <c:pt idx="1718">
                  <c:v>1.41</c:v>
                </c:pt>
                <c:pt idx="1719">
                  <c:v>1.65</c:v>
                </c:pt>
                <c:pt idx="1720">
                  <c:v>1.27</c:v>
                </c:pt>
                <c:pt idx="1721">
                  <c:v>2.09</c:v>
                </c:pt>
                <c:pt idx="1722">
                  <c:v>1.27</c:v>
                </c:pt>
                <c:pt idx="1723">
                  <c:v>1.41</c:v>
                </c:pt>
                <c:pt idx="1724">
                  <c:v>1.0900000000000001</c:v>
                </c:pt>
                <c:pt idx="1725">
                  <c:v>1.75</c:v>
                </c:pt>
                <c:pt idx="1726">
                  <c:v>1.35</c:v>
                </c:pt>
                <c:pt idx="1727">
                  <c:v>1.3</c:v>
                </c:pt>
                <c:pt idx="1728">
                  <c:v>1.29</c:v>
                </c:pt>
                <c:pt idx="1729">
                  <c:v>1.32</c:v>
                </c:pt>
                <c:pt idx="1730">
                  <c:v>1.3</c:v>
                </c:pt>
                <c:pt idx="1731">
                  <c:v>1.89</c:v>
                </c:pt>
                <c:pt idx="1732">
                  <c:v>1.24</c:v>
                </c:pt>
                <c:pt idx="1733">
                  <c:v>1.4</c:v>
                </c:pt>
                <c:pt idx="1734">
                  <c:v>1.1499999999999999</c:v>
                </c:pt>
                <c:pt idx="1735">
                  <c:v>1.25</c:v>
                </c:pt>
                <c:pt idx="1736">
                  <c:v>1.65</c:v>
                </c:pt>
                <c:pt idx="1737">
                  <c:v>1.38</c:v>
                </c:pt>
                <c:pt idx="1738">
                  <c:v>1.7</c:v>
                </c:pt>
                <c:pt idx="1739">
                  <c:v>1.0900000000000001</c:v>
                </c:pt>
                <c:pt idx="1740">
                  <c:v>1.6</c:v>
                </c:pt>
                <c:pt idx="1741">
                  <c:v>1.04</c:v>
                </c:pt>
                <c:pt idx="1742">
                  <c:v>1.71</c:v>
                </c:pt>
                <c:pt idx="1743">
                  <c:v>0.93</c:v>
                </c:pt>
                <c:pt idx="1744">
                  <c:v>1.84</c:v>
                </c:pt>
                <c:pt idx="1745">
                  <c:v>1.72</c:v>
                </c:pt>
                <c:pt idx="1746">
                  <c:v>1.51</c:v>
                </c:pt>
                <c:pt idx="1747">
                  <c:v>1.72</c:v>
                </c:pt>
                <c:pt idx="1748">
                  <c:v>1.0900000000000001</c:v>
                </c:pt>
                <c:pt idx="1749">
                  <c:v>0.87</c:v>
                </c:pt>
                <c:pt idx="1750">
                  <c:v>1.1299999999999999</c:v>
                </c:pt>
                <c:pt idx="1751">
                  <c:v>1.32</c:v>
                </c:pt>
                <c:pt idx="1752">
                  <c:v>1.1599999999999999</c:v>
                </c:pt>
                <c:pt idx="1753">
                  <c:v>1.62</c:v>
                </c:pt>
                <c:pt idx="1754">
                  <c:v>1.44</c:v>
                </c:pt>
                <c:pt idx="1755">
                  <c:v>1.63</c:v>
                </c:pt>
                <c:pt idx="1756">
                  <c:v>1.44</c:v>
                </c:pt>
                <c:pt idx="1757">
                  <c:v>1.55</c:v>
                </c:pt>
                <c:pt idx="1758">
                  <c:v>1.1499999999999999</c:v>
                </c:pt>
                <c:pt idx="1759">
                  <c:v>2.17</c:v>
                </c:pt>
                <c:pt idx="1760">
                  <c:v>1.6</c:v>
                </c:pt>
                <c:pt idx="1761">
                  <c:v>1.55</c:v>
                </c:pt>
                <c:pt idx="1762">
                  <c:v>1.36</c:v>
                </c:pt>
                <c:pt idx="1763">
                  <c:v>1.23</c:v>
                </c:pt>
                <c:pt idx="1764">
                  <c:v>1.48</c:v>
                </c:pt>
                <c:pt idx="1765">
                  <c:v>1.65</c:v>
                </c:pt>
                <c:pt idx="1766">
                  <c:v>1.24</c:v>
                </c:pt>
                <c:pt idx="1767">
                  <c:v>1.39</c:v>
                </c:pt>
                <c:pt idx="1768">
                  <c:v>1.05</c:v>
                </c:pt>
                <c:pt idx="1769">
                  <c:v>1.05</c:v>
                </c:pt>
                <c:pt idx="1770">
                  <c:v>0.99</c:v>
                </c:pt>
                <c:pt idx="1771">
                  <c:v>1.51</c:v>
                </c:pt>
                <c:pt idx="1772">
                  <c:v>2.0299999999999998</c:v>
                </c:pt>
                <c:pt idx="1773">
                  <c:v>1.42</c:v>
                </c:pt>
                <c:pt idx="1774">
                  <c:v>0.92</c:v>
                </c:pt>
                <c:pt idx="1775">
                  <c:v>1.67</c:v>
                </c:pt>
                <c:pt idx="1776">
                  <c:v>1</c:v>
                </c:pt>
                <c:pt idx="1777">
                  <c:v>1.42</c:v>
                </c:pt>
                <c:pt idx="1778">
                  <c:v>1.88</c:v>
                </c:pt>
                <c:pt idx="1779">
                  <c:v>1.51</c:v>
                </c:pt>
                <c:pt idx="1780">
                  <c:v>1.24</c:v>
                </c:pt>
                <c:pt idx="1781">
                  <c:v>1.74</c:v>
                </c:pt>
                <c:pt idx="1782">
                  <c:v>1.38</c:v>
                </c:pt>
                <c:pt idx="1783">
                  <c:v>1.41</c:v>
                </c:pt>
                <c:pt idx="1784">
                  <c:v>1.69</c:v>
                </c:pt>
                <c:pt idx="1785">
                  <c:v>0.9</c:v>
                </c:pt>
                <c:pt idx="1786">
                  <c:v>1.94</c:v>
                </c:pt>
                <c:pt idx="1787">
                  <c:v>1.04</c:v>
                </c:pt>
                <c:pt idx="1788">
                  <c:v>1.1399999999999999</c:v>
                </c:pt>
                <c:pt idx="1789">
                  <c:v>0.93</c:v>
                </c:pt>
                <c:pt idx="1790">
                  <c:v>1.32</c:v>
                </c:pt>
                <c:pt idx="1791">
                  <c:v>1.81</c:v>
                </c:pt>
                <c:pt idx="1792">
                  <c:v>1.69</c:v>
                </c:pt>
                <c:pt idx="1793">
                  <c:v>1.87</c:v>
                </c:pt>
                <c:pt idx="1794">
                  <c:v>1.04</c:v>
                </c:pt>
                <c:pt idx="1795">
                  <c:v>0.7</c:v>
                </c:pt>
                <c:pt idx="1796">
                  <c:v>1.44</c:v>
                </c:pt>
                <c:pt idx="1797">
                  <c:v>1.46</c:v>
                </c:pt>
                <c:pt idx="1798">
                  <c:v>1.05</c:v>
                </c:pt>
                <c:pt idx="1799">
                  <c:v>1.53</c:v>
                </c:pt>
                <c:pt idx="1800">
                  <c:v>1.91</c:v>
                </c:pt>
                <c:pt idx="1801">
                  <c:v>1.08</c:v>
                </c:pt>
                <c:pt idx="1802">
                  <c:v>1.68</c:v>
                </c:pt>
                <c:pt idx="1803">
                  <c:v>2.08</c:v>
                </c:pt>
                <c:pt idx="1804">
                  <c:v>1.61</c:v>
                </c:pt>
                <c:pt idx="1805">
                  <c:v>1.64</c:v>
                </c:pt>
                <c:pt idx="1806">
                  <c:v>1.1299999999999999</c:v>
                </c:pt>
                <c:pt idx="1807">
                  <c:v>1.66</c:v>
                </c:pt>
                <c:pt idx="1808">
                  <c:v>1.62</c:v>
                </c:pt>
                <c:pt idx="1809">
                  <c:v>0.99</c:v>
                </c:pt>
                <c:pt idx="1810">
                  <c:v>1.99</c:v>
                </c:pt>
                <c:pt idx="1811">
                  <c:v>1.27</c:v>
                </c:pt>
                <c:pt idx="1812">
                  <c:v>1.1200000000000001</c:v>
                </c:pt>
                <c:pt idx="1813">
                  <c:v>0.94</c:v>
                </c:pt>
                <c:pt idx="1814">
                  <c:v>1.4</c:v>
                </c:pt>
                <c:pt idx="1815">
                  <c:v>1.58</c:v>
                </c:pt>
                <c:pt idx="1816">
                  <c:v>1.68</c:v>
                </c:pt>
                <c:pt idx="1817">
                  <c:v>1.39</c:v>
                </c:pt>
                <c:pt idx="1818">
                  <c:v>1.55</c:v>
                </c:pt>
                <c:pt idx="1819">
                  <c:v>1.32</c:v>
                </c:pt>
                <c:pt idx="1820">
                  <c:v>1.42</c:v>
                </c:pt>
                <c:pt idx="1821">
                  <c:v>1.19</c:v>
                </c:pt>
                <c:pt idx="1822">
                  <c:v>1.18</c:v>
                </c:pt>
                <c:pt idx="1823">
                  <c:v>0.98</c:v>
                </c:pt>
                <c:pt idx="1824">
                  <c:v>1.3</c:v>
                </c:pt>
                <c:pt idx="1825">
                  <c:v>1.73</c:v>
                </c:pt>
                <c:pt idx="1826">
                  <c:v>1.46</c:v>
                </c:pt>
                <c:pt idx="1827">
                  <c:v>1.38</c:v>
                </c:pt>
                <c:pt idx="1828">
                  <c:v>1.31</c:v>
                </c:pt>
                <c:pt idx="1829">
                  <c:v>1.56</c:v>
                </c:pt>
                <c:pt idx="1830">
                  <c:v>1.38</c:v>
                </c:pt>
                <c:pt idx="1831">
                  <c:v>1.84</c:v>
                </c:pt>
                <c:pt idx="1832">
                  <c:v>1.38</c:v>
                </c:pt>
                <c:pt idx="1833">
                  <c:v>1.1499999999999999</c:v>
                </c:pt>
                <c:pt idx="1834">
                  <c:v>1.39</c:v>
                </c:pt>
                <c:pt idx="1835">
                  <c:v>1.79</c:v>
                </c:pt>
                <c:pt idx="1836">
                  <c:v>1.76</c:v>
                </c:pt>
                <c:pt idx="1837">
                  <c:v>1.32</c:v>
                </c:pt>
                <c:pt idx="1838">
                  <c:v>1.27</c:v>
                </c:pt>
                <c:pt idx="1839">
                  <c:v>1.4</c:v>
                </c:pt>
                <c:pt idx="1840">
                  <c:v>1.1200000000000001</c:v>
                </c:pt>
                <c:pt idx="1841">
                  <c:v>1.72</c:v>
                </c:pt>
                <c:pt idx="1842">
                  <c:v>1.17</c:v>
                </c:pt>
                <c:pt idx="1843">
                  <c:v>1.41</c:v>
                </c:pt>
                <c:pt idx="1844">
                  <c:v>1.21</c:v>
                </c:pt>
                <c:pt idx="1845">
                  <c:v>1.48</c:v>
                </c:pt>
                <c:pt idx="1846">
                  <c:v>1.1200000000000001</c:v>
                </c:pt>
                <c:pt idx="1847">
                  <c:v>1.5</c:v>
                </c:pt>
                <c:pt idx="1848">
                  <c:v>1.6</c:v>
                </c:pt>
                <c:pt idx="1849">
                  <c:v>1.3</c:v>
                </c:pt>
                <c:pt idx="1850">
                  <c:v>1.7</c:v>
                </c:pt>
                <c:pt idx="1851">
                  <c:v>1.1499999999999999</c:v>
                </c:pt>
                <c:pt idx="1852">
                  <c:v>1.51</c:v>
                </c:pt>
                <c:pt idx="1853">
                  <c:v>2.0699999999999998</c:v>
                </c:pt>
                <c:pt idx="1854">
                  <c:v>1.07</c:v>
                </c:pt>
                <c:pt idx="1855">
                  <c:v>1.9</c:v>
                </c:pt>
                <c:pt idx="1856">
                  <c:v>1.57</c:v>
                </c:pt>
                <c:pt idx="1857">
                  <c:v>1.37</c:v>
                </c:pt>
                <c:pt idx="1858">
                  <c:v>1.1200000000000001</c:v>
                </c:pt>
                <c:pt idx="1859">
                  <c:v>1.21</c:v>
                </c:pt>
                <c:pt idx="1860">
                  <c:v>1.07</c:v>
                </c:pt>
                <c:pt idx="1861">
                  <c:v>1.7</c:v>
                </c:pt>
                <c:pt idx="1862">
                  <c:v>1.65</c:v>
                </c:pt>
                <c:pt idx="1863">
                  <c:v>1.1399999999999999</c:v>
                </c:pt>
                <c:pt idx="1864">
                  <c:v>1.1299999999999999</c:v>
                </c:pt>
                <c:pt idx="1865">
                  <c:v>1.24</c:v>
                </c:pt>
                <c:pt idx="1866">
                  <c:v>1.24</c:v>
                </c:pt>
                <c:pt idx="1867">
                  <c:v>1.8</c:v>
                </c:pt>
                <c:pt idx="1868">
                  <c:v>1.22</c:v>
                </c:pt>
                <c:pt idx="1869">
                  <c:v>1.49</c:v>
                </c:pt>
                <c:pt idx="1870">
                  <c:v>1.05</c:v>
                </c:pt>
                <c:pt idx="1871">
                  <c:v>1.58</c:v>
                </c:pt>
                <c:pt idx="1872">
                  <c:v>1.46</c:v>
                </c:pt>
                <c:pt idx="1873">
                  <c:v>1.73</c:v>
                </c:pt>
                <c:pt idx="1874">
                  <c:v>1.67</c:v>
                </c:pt>
                <c:pt idx="1875">
                  <c:v>0.9</c:v>
                </c:pt>
                <c:pt idx="1876">
                  <c:v>1.46</c:v>
                </c:pt>
                <c:pt idx="1877">
                  <c:v>1.96</c:v>
                </c:pt>
                <c:pt idx="1878">
                  <c:v>1.93</c:v>
                </c:pt>
                <c:pt idx="1879">
                  <c:v>1.34</c:v>
                </c:pt>
                <c:pt idx="1880">
                  <c:v>1.1499999999999999</c:v>
                </c:pt>
                <c:pt idx="1881">
                  <c:v>0.94</c:v>
                </c:pt>
                <c:pt idx="1882">
                  <c:v>1.59</c:v>
                </c:pt>
                <c:pt idx="1883">
                  <c:v>1.43</c:v>
                </c:pt>
                <c:pt idx="1884">
                  <c:v>1.03</c:v>
                </c:pt>
                <c:pt idx="1885">
                  <c:v>1.96</c:v>
                </c:pt>
                <c:pt idx="1886">
                  <c:v>1.56</c:v>
                </c:pt>
                <c:pt idx="1887">
                  <c:v>1.35</c:v>
                </c:pt>
                <c:pt idx="1888">
                  <c:v>1.58</c:v>
                </c:pt>
                <c:pt idx="1889">
                  <c:v>1.72</c:v>
                </c:pt>
                <c:pt idx="1890">
                  <c:v>1.6</c:v>
                </c:pt>
                <c:pt idx="1891">
                  <c:v>1.82</c:v>
                </c:pt>
                <c:pt idx="1892">
                  <c:v>1.03</c:v>
                </c:pt>
                <c:pt idx="1893">
                  <c:v>1.45</c:v>
                </c:pt>
                <c:pt idx="1894">
                  <c:v>1.38</c:v>
                </c:pt>
                <c:pt idx="1895">
                  <c:v>1.88</c:v>
                </c:pt>
                <c:pt idx="1896">
                  <c:v>1.1200000000000001</c:v>
                </c:pt>
                <c:pt idx="1897">
                  <c:v>1.26</c:v>
                </c:pt>
                <c:pt idx="1898">
                  <c:v>1.25</c:v>
                </c:pt>
                <c:pt idx="1899">
                  <c:v>2.04</c:v>
                </c:pt>
                <c:pt idx="1900">
                  <c:v>1.78</c:v>
                </c:pt>
                <c:pt idx="1901">
                  <c:v>1.23</c:v>
                </c:pt>
                <c:pt idx="1902">
                  <c:v>1.2</c:v>
                </c:pt>
                <c:pt idx="1903">
                  <c:v>1.7</c:v>
                </c:pt>
                <c:pt idx="1904">
                  <c:v>1.19</c:v>
                </c:pt>
                <c:pt idx="1905">
                  <c:v>0.97</c:v>
                </c:pt>
                <c:pt idx="1906">
                  <c:v>1.54</c:v>
                </c:pt>
                <c:pt idx="1907">
                  <c:v>0.99</c:v>
                </c:pt>
                <c:pt idx="1908">
                  <c:v>1.6</c:v>
                </c:pt>
                <c:pt idx="1909">
                  <c:v>1.68</c:v>
                </c:pt>
                <c:pt idx="1910">
                  <c:v>1.28</c:v>
                </c:pt>
                <c:pt idx="1911">
                  <c:v>1.28</c:v>
                </c:pt>
                <c:pt idx="1912">
                  <c:v>0.89</c:v>
                </c:pt>
                <c:pt idx="1913">
                  <c:v>1.1000000000000001</c:v>
                </c:pt>
                <c:pt idx="1914">
                  <c:v>1.63</c:v>
                </c:pt>
                <c:pt idx="1915">
                  <c:v>1.04</c:v>
                </c:pt>
                <c:pt idx="1916">
                  <c:v>1.92</c:v>
                </c:pt>
                <c:pt idx="1917">
                  <c:v>0.98</c:v>
                </c:pt>
                <c:pt idx="1918">
                  <c:v>0.95</c:v>
                </c:pt>
                <c:pt idx="1919">
                  <c:v>1.92</c:v>
                </c:pt>
                <c:pt idx="1920">
                  <c:v>1.66</c:v>
                </c:pt>
                <c:pt idx="1921">
                  <c:v>1.27</c:v>
                </c:pt>
                <c:pt idx="1922">
                  <c:v>1.75</c:v>
                </c:pt>
                <c:pt idx="1923">
                  <c:v>1.62</c:v>
                </c:pt>
                <c:pt idx="1924">
                  <c:v>1.21</c:v>
                </c:pt>
                <c:pt idx="1925">
                  <c:v>1.74</c:v>
                </c:pt>
                <c:pt idx="1926">
                  <c:v>1.37</c:v>
                </c:pt>
                <c:pt idx="1927">
                  <c:v>2.79</c:v>
                </c:pt>
                <c:pt idx="1928">
                  <c:v>1.44</c:v>
                </c:pt>
                <c:pt idx="1929">
                  <c:v>1.5</c:v>
                </c:pt>
                <c:pt idx="1930">
                  <c:v>1.42</c:v>
                </c:pt>
                <c:pt idx="1931">
                  <c:v>1.33</c:v>
                </c:pt>
                <c:pt idx="1932">
                  <c:v>1.1499999999999999</c:v>
                </c:pt>
                <c:pt idx="1933">
                  <c:v>1.94</c:v>
                </c:pt>
                <c:pt idx="1934">
                  <c:v>1.1599999999999999</c:v>
                </c:pt>
                <c:pt idx="1935">
                  <c:v>1.22</c:v>
                </c:pt>
                <c:pt idx="1936">
                  <c:v>1.27</c:v>
                </c:pt>
                <c:pt idx="1937">
                  <c:v>0.94</c:v>
                </c:pt>
                <c:pt idx="1938">
                  <c:v>1.76</c:v>
                </c:pt>
                <c:pt idx="1939">
                  <c:v>1.36</c:v>
                </c:pt>
                <c:pt idx="1940">
                  <c:v>2.0499999999999998</c:v>
                </c:pt>
                <c:pt idx="1941">
                  <c:v>1.25</c:v>
                </c:pt>
                <c:pt idx="1942">
                  <c:v>1.49</c:v>
                </c:pt>
                <c:pt idx="1943">
                  <c:v>1.81</c:v>
                </c:pt>
                <c:pt idx="1944">
                  <c:v>1.99</c:v>
                </c:pt>
                <c:pt idx="1945">
                  <c:v>1.24</c:v>
                </c:pt>
                <c:pt idx="1946">
                  <c:v>2.5299999999999998</c:v>
                </c:pt>
                <c:pt idx="1947">
                  <c:v>1.72</c:v>
                </c:pt>
                <c:pt idx="1948">
                  <c:v>1.3</c:v>
                </c:pt>
                <c:pt idx="1949">
                  <c:v>1.48</c:v>
                </c:pt>
                <c:pt idx="1950">
                  <c:v>1.42</c:v>
                </c:pt>
                <c:pt idx="1951">
                  <c:v>0.97</c:v>
                </c:pt>
                <c:pt idx="1952">
                  <c:v>1.35</c:v>
                </c:pt>
                <c:pt idx="1953">
                  <c:v>1.1499999999999999</c:v>
                </c:pt>
                <c:pt idx="1954">
                  <c:v>1.28</c:v>
                </c:pt>
                <c:pt idx="1955">
                  <c:v>1.01</c:v>
                </c:pt>
                <c:pt idx="1956">
                  <c:v>2.2400000000000002</c:v>
                </c:pt>
                <c:pt idx="1957">
                  <c:v>1.31</c:v>
                </c:pt>
                <c:pt idx="1958">
                  <c:v>1.51</c:v>
                </c:pt>
                <c:pt idx="1959">
                  <c:v>1.1599999999999999</c:v>
                </c:pt>
                <c:pt idx="1960">
                  <c:v>1.29</c:v>
                </c:pt>
                <c:pt idx="1961">
                  <c:v>1.05</c:v>
                </c:pt>
                <c:pt idx="1962">
                  <c:v>1.1200000000000001</c:v>
                </c:pt>
                <c:pt idx="1963">
                  <c:v>1.45</c:v>
                </c:pt>
                <c:pt idx="1964">
                  <c:v>1.69</c:v>
                </c:pt>
                <c:pt idx="1965">
                  <c:v>1.1299999999999999</c:v>
                </c:pt>
                <c:pt idx="1966">
                  <c:v>1.55</c:v>
                </c:pt>
                <c:pt idx="1967">
                  <c:v>1.0900000000000001</c:v>
                </c:pt>
                <c:pt idx="1968">
                  <c:v>2.02</c:v>
                </c:pt>
                <c:pt idx="1969">
                  <c:v>1.1299999999999999</c:v>
                </c:pt>
                <c:pt idx="1970">
                  <c:v>1.1299999999999999</c:v>
                </c:pt>
                <c:pt idx="1971">
                  <c:v>2.09</c:v>
                </c:pt>
                <c:pt idx="1972">
                  <c:v>1.85</c:v>
                </c:pt>
                <c:pt idx="1973">
                  <c:v>1.02</c:v>
                </c:pt>
                <c:pt idx="1974">
                  <c:v>1.23</c:v>
                </c:pt>
                <c:pt idx="1975">
                  <c:v>1.22</c:v>
                </c:pt>
                <c:pt idx="1976">
                  <c:v>1.52</c:v>
                </c:pt>
                <c:pt idx="1977">
                  <c:v>1.57</c:v>
                </c:pt>
                <c:pt idx="1978">
                  <c:v>1.78</c:v>
                </c:pt>
                <c:pt idx="1979">
                  <c:v>1.61</c:v>
                </c:pt>
                <c:pt idx="1980">
                  <c:v>0.99</c:v>
                </c:pt>
                <c:pt idx="1981">
                  <c:v>1.38</c:v>
                </c:pt>
                <c:pt idx="1982">
                  <c:v>1.41</c:v>
                </c:pt>
                <c:pt idx="1983">
                  <c:v>1.25</c:v>
                </c:pt>
                <c:pt idx="1984">
                  <c:v>1.59</c:v>
                </c:pt>
                <c:pt idx="1985">
                  <c:v>1.85</c:v>
                </c:pt>
                <c:pt idx="1986">
                  <c:v>1.35</c:v>
                </c:pt>
                <c:pt idx="1987">
                  <c:v>1.6</c:v>
                </c:pt>
                <c:pt idx="1988">
                  <c:v>1.29</c:v>
                </c:pt>
                <c:pt idx="1989">
                  <c:v>1.8</c:v>
                </c:pt>
                <c:pt idx="1990">
                  <c:v>1.45</c:v>
                </c:pt>
                <c:pt idx="1991">
                  <c:v>1.3</c:v>
                </c:pt>
                <c:pt idx="1992">
                  <c:v>1.95</c:v>
                </c:pt>
                <c:pt idx="1993">
                  <c:v>1.38</c:v>
                </c:pt>
                <c:pt idx="1994">
                  <c:v>1.86</c:v>
                </c:pt>
                <c:pt idx="1995">
                  <c:v>1.47</c:v>
                </c:pt>
                <c:pt idx="1996">
                  <c:v>0.94</c:v>
                </c:pt>
                <c:pt idx="1997">
                  <c:v>1.04</c:v>
                </c:pt>
                <c:pt idx="1998">
                  <c:v>1.44</c:v>
                </c:pt>
                <c:pt idx="1999">
                  <c:v>1.27</c:v>
                </c:pt>
                <c:pt idx="2000">
                  <c:v>1.07</c:v>
                </c:pt>
                <c:pt idx="2001">
                  <c:v>2.2799999999999998</c:v>
                </c:pt>
                <c:pt idx="2002">
                  <c:v>1.41</c:v>
                </c:pt>
                <c:pt idx="2003">
                  <c:v>2.17</c:v>
                </c:pt>
                <c:pt idx="2004">
                  <c:v>1.52</c:v>
                </c:pt>
                <c:pt idx="2005">
                  <c:v>1</c:v>
                </c:pt>
                <c:pt idx="2006">
                  <c:v>1.78</c:v>
                </c:pt>
                <c:pt idx="2007">
                  <c:v>1.37</c:v>
                </c:pt>
                <c:pt idx="2008">
                  <c:v>0.98</c:v>
                </c:pt>
                <c:pt idx="2009">
                  <c:v>1.1100000000000001</c:v>
                </c:pt>
                <c:pt idx="2010">
                  <c:v>1.25</c:v>
                </c:pt>
                <c:pt idx="2011">
                  <c:v>1.57</c:v>
                </c:pt>
                <c:pt idx="2012">
                  <c:v>1.5</c:v>
                </c:pt>
                <c:pt idx="2013">
                  <c:v>0.95</c:v>
                </c:pt>
                <c:pt idx="2014">
                  <c:v>1.71</c:v>
                </c:pt>
                <c:pt idx="2015">
                  <c:v>1.1299999999999999</c:v>
                </c:pt>
                <c:pt idx="2016">
                  <c:v>1.76</c:v>
                </c:pt>
                <c:pt idx="2017">
                  <c:v>1.33</c:v>
                </c:pt>
                <c:pt idx="2018">
                  <c:v>1.32</c:v>
                </c:pt>
                <c:pt idx="2019">
                  <c:v>1.39</c:v>
                </c:pt>
                <c:pt idx="2020">
                  <c:v>1.6</c:v>
                </c:pt>
                <c:pt idx="2021">
                  <c:v>1.77</c:v>
                </c:pt>
                <c:pt idx="2022">
                  <c:v>1.02</c:v>
                </c:pt>
                <c:pt idx="2023">
                  <c:v>1.22</c:v>
                </c:pt>
                <c:pt idx="2024">
                  <c:v>1.74</c:v>
                </c:pt>
                <c:pt idx="2025">
                  <c:v>1.36</c:v>
                </c:pt>
                <c:pt idx="2026">
                  <c:v>1.17</c:v>
                </c:pt>
                <c:pt idx="2027">
                  <c:v>1.66</c:v>
                </c:pt>
                <c:pt idx="2028">
                  <c:v>1.33</c:v>
                </c:pt>
                <c:pt idx="2029">
                  <c:v>1.43</c:v>
                </c:pt>
                <c:pt idx="2030">
                  <c:v>1.52</c:v>
                </c:pt>
                <c:pt idx="2031">
                  <c:v>1.72</c:v>
                </c:pt>
                <c:pt idx="2032">
                  <c:v>0.94</c:v>
                </c:pt>
                <c:pt idx="2033">
                  <c:v>1.67</c:v>
                </c:pt>
                <c:pt idx="2034">
                  <c:v>1.18</c:v>
                </c:pt>
                <c:pt idx="2035">
                  <c:v>1.52</c:v>
                </c:pt>
                <c:pt idx="2036">
                  <c:v>1.1399999999999999</c:v>
                </c:pt>
                <c:pt idx="2037">
                  <c:v>1.1200000000000001</c:v>
                </c:pt>
                <c:pt idx="2038">
                  <c:v>1.61</c:v>
                </c:pt>
                <c:pt idx="2039">
                  <c:v>1.2</c:v>
                </c:pt>
                <c:pt idx="2040">
                  <c:v>1.27</c:v>
                </c:pt>
                <c:pt idx="2041">
                  <c:v>1.67</c:v>
                </c:pt>
                <c:pt idx="2042">
                  <c:v>1.1200000000000001</c:v>
                </c:pt>
                <c:pt idx="2043">
                  <c:v>1.7</c:v>
                </c:pt>
                <c:pt idx="2044">
                  <c:v>1.72</c:v>
                </c:pt>
                <c:pt idx="2045">
                  <c:v>1.37</c:v>
                </c:pt>
                <c:pt idx="2046">
                  <c:v>1.62</c:v>
                </c:pt>
                <c:pt idx="2047">
                  <c:v>1.67</c:v>
                </c:pt>
                <c:pt idx="2048">
                  <c:v>1.9</c:v>
                </c:pt>
                <c:pt idx="2049">
                  <c:v>1.48</c:v>
                </c:pt>
                <c:pt idx="2050">
                  <c:v>1.55</c:v>
                </c:pt>
                <c:pt idx="2051">
                  <c:v>1.86</c:v>
                </c:pt>
                <c:pt idx="2052">
                  <c:v>0.86</c:v>
                </c:pt>
                <c:pt idx="2053">
                  <c:v>0.89</c:v>
                </c:pt>
                <c:pt idx="2054">
                  <c:v>0.79</c:v>
                </c:pt>
                <c:pt idx="2055">
                  <c:v>1.1100000000000001</c:v>
                </c:pt>
                <c:pt idx="2056">
                  <c:v>1.87</c:v>
                </c:pt>
                <c:pt idx="2057">
                  <c:v>1.19</c:v>
                </c:pt>
                <c:pt idx="2058">
                  <c:v>1.45</c:v>
                </c:pt>
                <c:pt idx="2059">
                  <c:v>1.35</c:v>
                </c:pt>
                <c:pt idx="2060">
                  <c:v>1.36</c:v>
                </c:pt>
                <c:pt idx="2061">
                  <c:v>1.32</c:v>
                </c:pt>
                <c:pt idx="2062">
                  <c:v>1.2</c:v>
                </c:pt>
                <c:pt idx="2063">
                  <c:v>0.96</c:v>
                </c:pt>
                <c:pt idx="2064">
                  <c:v>1.55</c:v>
                </c:pt>
                <c:pt idx="2065">
                  <c:v>1.0900000000000001</c:v>
                </c:pt>
                <c:pt idx="2066">
                  <c:v>1.73</c:v>
                </c:pt>
                <c:pt idx="2067">
                  <c:v>1.44</c:v>
                </c:pt>
                <c:pt idx="2068">
                  <c:v>1.59</c:v>
                </c:pt>
                <c:pt idx="2069">
                  <c:v>1.64</c:v>
                </c:pt>
                <c:pt idx="2070">
                  <c:v>1.17</c:v>
                </c:pt>
                <c:pt idx="2071">
                  <c:v>1</c:v>
                </c:pt>
                <c:pt idx="2072">
                  <c:v>1.23</c:v>
                </c:pt>
                <c:pt idx="2073">
                  <c:v>2.1</c:v>
                </c:pt>
                <c:pt idx="2074">
                  <c:v>1.42</c:v>
                </c:pt>
                <c:pt idx="2075">
                  <c:v>1.31</c:v>
                </c:pt>
                <c:pt idx="2076">
                  <c:v>1.18</c:v>
                </c:pt>
                <c:pt idx="2077">
                  <c:v>1.33</c:v>
                </c:pt>
                <c:pt idx="2078">
                  <c:v>1.06</c:v>
                </c:pt>
                <c:pt idx="2079">
                  <c:v>1.7</c:v>
                </c:pt>
                <c:pt idx="2080">
                  <c:v>1.01</c:v>
                </c:pt>
                <c:pt idx="2081">
                  <c:v>1.06</c:v>
                </c:pt>
                <c:pt idx="2082">
                  <c:v>1.65</c:v>
                </c:pt>
                <c:pt idx="2083">
                  <c:v>1.39</c:v>
                </c:pt>
                <c:pt idx="2084">
                  <c:v>1.53</c:v>
                </c:pt>
                <c:pt idx="2085">
                  <c:v>1.89</c:v>
                </c:pt>
                <c:pt idx="2086">
                  <c:v>1.65</c:v>
                </c:pt>
                <c:pt idx="2087">
                  <c:v>1.21</c:v>
                </c:pt>
                <c:pt idx="2088">
                  <c:v>1.17</c:v>
                </c:pt>
                <c:pt idx="2089">
                  <c:v>1.27</c:v>
                </c:pt>
                <c:pt idx="2090">
                  <c:v>1.4</c:v>
                </c:pt>
                <c:pt idx="2091">
                  <c:v>1.17</c:v>
                </c:pt>
                <c:pt idx="2092">
                  <c:v>1.36</c:v>
                </c:pt>
                <c:pt idx="2093">
                  <c:v>1.5</c:v>
                </c:pt>
                <c:pt idx="2094">
                  <c:v>1.1200000000000001</c:v>
                </c:pt>
                <c:pt idx="2095">
                  <c:v>1.91</c:v>
                </c:pt>
                <c:pt idx="2096">
                  <c:v>1.48</c:v>
                </c:pt>
                <c:pt idx="2097">
                  <c:v>1.51</c:v>
                </c:pt>
                <c:pt idx="2098">
                  <c:v>1.2</c:v>
                </c:pt>
                <c:pt idx="2099">
                  <c:v>1.56</c:v>
                </c:pt>
                <c:pt idx="2100">
                  <c:v>1.44</c:v>
                </c:pt>
                <c:pt idx="2101">
                  <c:v>1.54</c:v>
                </c:pt>
                <c:pt idx="2102">
                  <c:v>1.49</c:v>
                </c:pt>
                <c:pt idx="2103">
                  <c:v>1.1299999999999999</c:v>
                </c:pt>
                <c:pt idx="2104">
                  <c:v>1.2</c:v>
                </c:pt>
                <c:pt idx="2105">
                  <c:v>1.63</c:v>
                </c:pt>
                <c:pt idx="2106">
                  <c:v>1.24</c:v>
                </c:pt>
                <c:pt idx="2107">
                  <c:v>1.04</c:v>
                </c:pt>
                <c:pt idx="2108">
                  <c:v>1.81</c:v>
                </c:pt>
                <c:pt idx="2109">
                  <c:v>1.17</c:v>
                </c:pt>
                <c:pt idx="2110">
                  <c:v>1.27</c:v>
                </c:pt>
                <c:pt idx="2111">
                  <c:v>1.77</c:v>
                </c:pt>
                <c:pt idx="2112">
                  <c:v>1.29</c:v>
                </c:pt>
                <c:pt idx="2113">
                  <c:v>1.06</c:v>
                </c:pt>
                <c:pt idx="2114">
                  <c:v>1.1599999999999999</c:v>
                </c:pt>
                <c:pt idx="2115">
                  <c:v>1.44</c:v>
                </c:pt>
                <c:pt idx="2116">
                  <c:v>1.04</c:v>
                </c:pt>
                <c:pt idx="2117">
                  <c:v>1.78</c:v>
                </c:pt>
                <c:pt idx="2118">
                  <c:v>1.2</c:v>
                </c:pt>
                <c:pt idx="2119">
                  <c:v>1.91</c:v>
                </c:pt>
                <c:pt idx="2120">
                  <c:v>1.39</c:v>
                </c:pt>
                <c:pt idx="2121">
                  <c:v>1.66</c:v>
                </c:pt>
                <c:pt idx="2122">
                  <c:v>1.47</c:v>
                </c:pt>
                <c:pt idx="2123">
                  <c:v>1.51</c:v>
                </c:pt>
                <c:pt idx="2124">
                  <c:v>1.41</c:v>
                </c:pt>
                <c:pt idx="2125">
                  <c:v>1.26</c:v>
                </c:pt>
                <c:pt idx="2126">
                  <c:v>1.57</c:v>
                </c:pt>
                <c:pt idx="2127">
                  <c:v>1.53</c:v>
                </c:pt>
                <c:pt idx="2128">
                  <c:v>1.49</c:v>
                </c:pt>
                <c:pt idx="2129">
                  <c:v>0.97</c:v>
                </c:pt>
                <c:pt idx="2130">
                  <c:v>1.24</c:v>
                </c:pt>
                <c:pt idx="2131">
                  <c:v>1.78</c:v>
                </c:pt>
                <c:pt idx="2132">
                  <c:v>1.04</c:v>
                </c:pt>
                <c:pt idx="2133">
                  <c:v>0.98</c:v>
                </c:pt>
                <c:pt idx="2134">
                  <c:v>1.59</c:v>
                </c:pt>
                <c:pt idx="2135">
                  <c:v>1.31</c:v>
                </c:pt>
                <c:pt idx="2136">
                  <c:v>1.1000000000000001</c:v>
                </c:pt>
                <c:pt idx="2137">
                  <c:v>1.44</c:v>
                </c:pt>
                <c:pt idx="2138">
                  <c:v>2.4</c:v>
                </c:pt>
                <c:pt idx="2139">
                  <c:v>1.17</c:v>
                </c:pt>
                <c:pt idx="2140">
                  <c:v>0.97</c:v>
                </c:pt>
                <c:pt idx="2141">
                  <c:v>1.07</c:v>
                </c:pt>
                <c:pt idx="2142">
                  <c:v>1.93</c:v>
                </c:pt>
                <c:pt idx="2143">
                  <c:v>0.97</c:v>
                </c:pt>
                <c:pt idx="2144">
                  <c:v>1.05</c:v>
                </c:pt>
                <c:pt idx="2145">
                  <c:v>2.09</c:v>
                </c:pt>
                <c:pt idx="2146">
                  <c:v>1.75</c:v>
                </c:pt>
                <c:pt idx="2147">
                  <c:v>1.45</c:v>
                </c:pt>
                <c:pt idx="2148">
                  <c:v>1.84</c:v>
                </c:pt>
                <c:pt idx="2149">
                  <c:v>1.18</c:v>
                </c:pt>
                <c:pt idx="2150">
                  <c:v>1.61</c:v>
                </c:pt>
                <c:pt idx="2151">
                  <c:v>1.18</c:v>
                </c:pt>
                <c:pt idx="2152">
                  <c:v>0.96</c:v>
                </c:pt>
                <c:pt idx="2153">
                  <c:v>1.74</c:v>
                </c:pt>
                <c:pt idx="2154">
                  <c:v>1.01</c:v>
                </c:pt>
                <c:pt idx="2155">
                  <c:v>1.58</c:v>
                </c:pt>
                <c:pt idx="2156">
                  <c:v>0.99</c:v>
                </c:pt>
                <c:pt idx="2157">
                  <c:v>2.11</c:v>
                </c:pt>
                <c:pt idx="2158">
                  <c:v>1.65</c:v>
                </c:pt>
                <c:pt idx="2159">
                  <c:v>1.24</c:v>
                </c:pt>
                <c:pt idx="2160">
                  <c:v>1.2</c:v>
                </c:pt>
                <c:pt idx="2161">
                  <c:v>1.1000000000000001</c:v>
                </c:pt>
                <c:pt idx="2162">
                  <c:v>1.53</c:v>
                </c:pt>
                <c:pt idx="2163">
                  <c:v>1.8</c:v>
                </c:pt>
                <c:pt idx="2164">
                  <c:v>1.62</c:v>
                </c:pt>
                <c:pt idx="2165">
                  <c:v>1.2</c:v>
                </c:pt>
                <c:pt idx="2166">
                  <c:v>1.73</c:v>
                </c:pt>
                <c:pt idx="2167">
                  <c:v>1.1399999999999999</c:v>
                </c:pt>
                <c:pt idx="2168">
                  <c:v>0.86</c:v>
                </c:pt>
                <c:pt idx="2169">
                  <c:v>1.34</c:v>
                </c:pt>
                <c:pt idx="2170">
                  <c:v>1.76</c:v>
                </c:pt>
                <c:pt idx="2171">
                  <c:v>1.44</c:v>
                </c:pt>
                <c:pt idx="2172">
                  <c:v>1.45</c:v>
                </c:pt>
                <c:pt idx="2173">
                  <c:v>1.52</c:v>
                </c:pt>
                <c:pt idx="2174">
                  <c:v>1.56</c:v>
                </c:pt>
                <c:pt idx="2175">
                  <c:v>2.04</c:v>
                </c:pt>
                <c:pt idx="2176">
                  <c:v>1.45</c:v>
                </c:pt>
                <c:pt idx="2177">
                  <c:v>1.4</c:v>
                </c:pt>
                <c:pt idx="2178">
                  <c:v>1.05</c:v>
                </c:pt>
                <c:pt idx="2179">
                  <c:v>1.05</c:v>
                </c:pt>
                <c:pt idx="2180">
                  <c:v>1.6</c:v>
                </c:pt>
                <c:pt idx="2181">
                  <c:v>1.9</c:v>
                </c:pt>
                <c:pt idx="2182">
                  <c:v>1.6</c:v>
                </c:pt>
                <c:pt idx="2183">
                  <c:v>1.67</c:v>
                </c:pt>
                <c:pt idx="2184">
                  <c:v>1.39</c:v>
                </c:pt>
                <c:pt idx="2185">
                  <c:v>1.24</c:v>
                </c:pt>
                <c:pt idx="2186">
                  <c:v>1.1499999999999999</c:v>
                </c:pt>
                <c:pt idx="2187">
                  <c:v>0.91</c:v>
                </c:pt>
                <c:pt idx="2188">
                  <c:v>1.25</c:v>
                </c:pt>
                <c:pt idx="2189">
                  <c:v>1.04</c:v>
                </c:pt>
                <c:pt idx="2190">
                  <c:v>1.17</c:v>
                </c:pt>
                <c:pt idx="2191">
                  <c:v>1.1299999999999999</c:v>
                </c:pt>
                <c:pt idx="2192">
                  <c:v>0.96</c:v>
                </c:pt>
                <c:pt idx="2193">
                  <c:v>1.7</c:v>
                </c:pt>
                <c:pt idx="2194">
                  <c:v>1.28</c:v>
                </c:pt>
                <c:pt idx="2195">
                  <c:v>1.31</c:v>
                </c:pt>
                <c:pt idx="2196">
                  <c:v>1.08</c:v>
                </c:pt>
                <c:pt idx="2197">
                  <c:v>1.39</c:v>
                </c:pt>
                <c:pt idx="2198">
                  <c:v>1.47</c:v>
                </c:pt>
                <c:pt idx="2199">
                  <c:v>2.2000000000000002</c:v>
                </c:pt>
                <c:pt idx="2200">
                  <c:v>1.56</c:v>
                </c:pt>
                <c:pt idx="2201">
                  <c:v>1.37</c:v>
                </c:pt>
                <c:pt idx="2202">
                  <c:v>1.86</c:v>
                </c:pt>
                <c:pt idx="2203">
                  <c:v>1.23</c:v>
                </c:pt>
                <c:pt idx="2204">
                  <c:v>1.61</c:v>
                </c:pt>
                <c:pt idx="2205">
                  <c:v>1.23</c:v>
                </c:pt>
                <c:pt idx="2206">
                  <c:v>1.89</c:v>
                </c:pt>
                <c:pt idx="2207">
                  <c:v>2</c:v>
                </c:pt>
                <c:pt idx="2208">
                  <c:v>1.32</c:v>
                </c:pt>
                <c:pt idx="2209">
                  <c:v>1.36</c:v>
                </c:pt>
                <c:pt idx="2210">
                  <c:v>1.02</c:v>
                </c:pt>
                <c:pt idx="2211">
                  <c:v>1.5</c:v>
                </c:pt>
                <c:pt idx="2212">
                  <c:v>1.88</c:v>
                </c:pt>
                <c:pt idx="2213">
                  <c:v>1.62</c:v>
                </c:pt>
                <c:pt idx="2214">
                  <c:v>1.77</c:v>
                </c:pt>
                <c:pt idx="2215">
                  <c:v>1.83</c:v>
                </c:pt>
                <c:pt idx="2216">
                  <c:v>1.72</c:v>
                </c:pt>
                <c:pt idx="2217">
                  <c:v>1.46</c:v>
                </c:pt>
                <c:pt idx="2218">
                  <c:v>1.0900000000000001</c:v>
                </c:pt>
                <c:pt idx="2219">
                  <c:v>1.33</c:v>
                </c:pt>
                <c:pt idx="2220">
                  <c:v>1.33</c:v>
                </c:pt>
                <c:pt idx="2221">
                  <c:v>1.36</c:v>
                </c:pt>
                <c:pt idx="2222">
                  <c:v>1.52</c:v>
                </c:pt>
                <c:pt idx="2223">
                  <c:v>1.96</c:v>
                </c:pt>
                <c:pt idx="2224">
                  <c:v>1.65</c:v>
                </c:pt>
                <c:pt idx="2225">
                  <c:v>1.55</c:v>
                </c:pt>
                <c:pt idx="2226">
                  <c:v>1.77</c:v>
                </c:pt>
                <c:pt idx="2227">
                  <c:v>1.54</c:v>
                </c:pt>
                <c:pt idx="2228">
                  <c:v>1.59</c:v>
                </c:pt>
                <c:pt idx="2229">
                  <c:v>1.19</c:v>
                </c:pt>
                <c:pt idx="2230">
                  <c:v>1.96</c:v>
                </c:pt>
                <c:pt idx="2231">
                  <c:v>1.37</c:v>
                </c:pt>
                <c:pt idx="2232">
                  <c:v>2.02</c:v>
                </c:pt>
                <c:pt idx="2233">
                  <c:v>1.03</c:v>
                </c:pt>
                <c:pt idx="2234">
                  <c:v>1.65</c:v>
                </c:pt>
                <c:pt idx="2235">
                  <c:v>0.96</c:v>
                </c:pt>
                <c:pt idx="2236">
                  <c:v>1.2</c:v>
                </c:pt>
                <c:pt idx="2237">
                  <c:v>1.19</c:v>
                </c:pt>
                <c:pt idx="2238">
                  <c:v>1.36</c:v>
                </c:pt>
                <c:pt idx="2239">
                  <c:v>1.08</c:v>
                </c:pt>
                <c:pt idx="2240">
                  <c:v>1.73</c:v>
                </c:pt>
                <c:pt idx="2241">
                  <c:v>1.01</c:v>
                </c:pt>
                <c:pt idx="2242">
                  <c:v>1.27</c:v>
                </c:pt>
                <c:pt idx="2243">
                  <c:v>1.61</c:v>
                </c:pt>
                <c:pt idx="2244">
                  <c:v>1.46</c:v>
                </c:pt>
                <c:pt idx="2245">
                  <c:v>0.83</c:v>
                </c:pt>
                <c:pt idx="2246">
                  <c:v>1.32</c:v>
                </c:pt>
                <c:pt idx="2247">
                  <c:v>1.2</c:v>
                </c:pt>
                <c:pt idx="2248">
                  <c:v>1.52</c:v>
                </c:pt>
                <c:pt idx="2249">
                  <c:v>1.27</c:v>
                </c:pt>
                <c:pt idx="2250">
                  <c:v>1.92</c:v>
                </c:pt>
                <c:pt idx="2251">
                  <c:v>1.42</c:v>
                </c:pt>
                <c:pt idx="2252">
                  <c:v>1.75</c:v>
                </c:pt>
                <c:pt idx="2253">
                  <c:v>2.54</c:v>
                </c:pt>
                <c:pt idx="2254">
                  <c:v>1.42</c:v>
                </c:pt>
                <c:pt idx="2255">
                  <c:v>1.61</c:v>
                </c:pt>
                <c:pt idx="2256">
                  <c:v>1.43</c:v>
                </c:pt>
                <c:pt idx="2257">
                  <c:v>1.4</c:v>
                </c:pt>
                <c:pt idx="2258">
                  <c:v>1.46</c:v>
                </c:pt>
                <c:pt idx="2259">
                  <c:v>1.21</c:v>
                </c:pt>
                <c:pt idx="2260">
                  <c:v>1.71</c:v>
                </c:pt>
                <c:pt idx="2261">
                  <c:v>1.76</c:v>
                </c:pt>
                <c:pt idx="2262">
                  <c:v>1.89</c:v>
                </c:pt>
                <c:pt idx="2263">
                  <c:v>0.93</c:v>
                </c:pt>
                <c:pt idx="2264">
                  <c:v>0.98</c:v>
                </c:pt>
                <c:pt idx="2265">
                  <c:v>1.45</c:v>
                </c:pt>
                <c:pt idx="2266">
                  <c:v>0.9</c:v>
                </c:pt>
                <c:pt idx="2267">
                  <c:v>1.6</c:v>
                </c:pt>
                <c:pt idx="2268">
                  <c:v>1.57</c:v>
                </c:pt>
                <c:pt idx="2269">
                  <c:v>1.05</c:v>
                </c:pt>
                <c:pt idx="2270">
                  <c:v>0.71</c:v>
                </c:pt>
                <c:pt idx="2271">
                  <c:v>1.42</c:v>
                </c:pt>
                <c:pt idx="2272">
                  <c:v>1.43</c:v>
                </c:pt>
                <c:pt idx="2273">
                  <c:v>1.85</c:v>
                </c:pt>
                <c:pt idx="2274">
                  <c:v>1.24</c:v>
                </c:pt>
                <c:pt idx="2275">
                  <c:v>1.68</c:v>
                </c:pt>
                <c:pt idx="2276">
                  <c:v>1.92</c:v>
                </c:pt>
                <c:pt idx="2277">
                  <c:v>1.29</c:v>
                </c:pt>
                <c:pt idx="2278">
                  <c:v>1.03</c:v>
                </c:pt>
                <c:pt idx="2279">
                  <c:v>1.39</c:v>
                </c:pt>
                <c:pt idx="2280">
                  <c:v>1.43</c:v>
                </c:pt>
                <c:pt idx="2281">
                  <c:v>1.61</c:v>
                </c:pt>
                <c:pt idx="2282">
                  <c:v>1.33</c:v>
                </c:pt>
                <c:pt idx="2283">
                  <c:v>1.57</c:v>
                </c:pt>
                <c:pt idx="2284">
                  <c:v>1.41</c:v>
                </c:pt>
                <c:pt idx="2285">
                  <c:v>1.61</c:v>
                </c:pt>
                <c:pt idx="2286">
                  <c:v>1.37</c:v>
                </c:pt>
                <c:pt idx="2287">
                  <c:v>1.1000000000000001</c:v>
                </c:pt>
                <c:pt idx="2288">
                  <c:v>1.29</c:v>
                </c:pt>
                <c:pt idx="2289">
                  <c:v>1.51</c:v>
                </c:pt>
                <c:pt idx="2290">
                  <c:v>1.87</c:v>
                </c:pt>
                <c:pt idx="2291">
                  <c:v>1.33</c:v>
                </c:pt>
                <c:pt idx="2292">
                  <c:v>1.32</c:v>
                </c:pt>
                <c:pt idx="2293">
                  <c:v>1.81</c:v>
                </c:pt>
                <c:pt idx="2294">
                  <c:v>0.94</c:v>
                </c:pt>
                <c:pt idx="2295">
                  <c:v>1.1100000000000001</c:v>
                </c:pt>
                <c:pt idx="2296">
                  <c:v>1.65</c:v>
                </c:pt>
                <c:pt idx="2297">
                  <c:v>1.82</c:v>
                </c:pt>
                <c:pt idx="2298">
                  <c:v>1.37</c:v>
                </c:pt>
                <c:pt idx="2299">
                  <c:v>1.59</c:v>
                </c:pt>
                <c:pt idx="2300">
                  <c:v>1.29</c:v>
                </c:pt>
                <c:pt idx="2301">
                  <c:v>0.61</c:v>
                </c:pt>
                <c:pt idx="2302">
                  <c:v>1.3</c:v>
                </c:pt>
                <c:pt idx="2303">
                  <c:v>1.63</c:v>
                </c:pt>
                <c:pt idx="2304">
                  <c:v>1.64</c:v>
                </c:pt>
                <c:pt idx="2305">
                  <c:v>1.48</c:v>
                </c:pt>
                <c:pt idx="2306">
                  <c:v>1.1200000000000001</c:v>
                </c:pt>
                <c:pt idx="2307">
                  <c:v>1.0900000000000001</c:v>
                </c:pt>
                <c:pt idx="2308">
                  <c:v>1.05</c:v>
                </c:pt>
                <c:pt idx="2309">
                  <c:v>1.1200000000000001</c:v>
                </c:pt>
                <c:pt idx="2310">
                  <c:v>0.91</c:v>
                </c:pt>
                <c:pt idx="2311">
                  <c:v>1.85</c:v>
                </c:pt>
                <c:pt idx="2312">
                  <c:v>0.98</c:v>
                </c:pt>
                <c:pt idx="2313">
                  <c:v>1.66</c:v>
                </c:pt>
                <c:pt idx="2314">
                  <c:v>1.7</c:v>
                </c:pt>
                <c:pt idx="2315">
                  <c:v>1.21</c:v>
                </c:pt>
                <c:pt idx="2316">
                  <c:v>0.86</c:v>
                </c:pt>
                <c:pt idx="2317">
                  <c:v>1.75</c:v>
                </c:pt>
                <c:pt idx="2318">
                  <c:v>1.7</c:v>
                </c:pt>
                <c:pt idx="2319">
                  <c:v>1.49</c:v>
                </c:pt>
                <c:pt idx="2320">
                  <c:v>1.31</c:v>
                </c:pt>
                <c:pt idx="2321">
                  <c:v>1.91</c:v>
                </c:pt>
                <c:pt idx="2322">
                  <c:v>0.64</c:v>
                </c:pt>
                <c:pt idx="2323">
                  <c:v>1.84</c:v>
                </c:pt>
                <c:pt idx="2324">
                  <c:v>1.18</c:v>
                </c:pt>
                <c:pt idx="2325">
                  <c:v>1.4</c:v>
                </c:pt>
                <c:pt idx="2326">
                  <c:v>1.95</c:v>
                </c:pt>
                <c:pt idx="2327">
                  <c:v>1.37</c:v>
                </c:pt>
                <c:pt idx="2328">
                  <c:v>1.1299999999999999</c:v>
                </c:pt>
                <c:pt idx="2329">
                  <c:v>1.24</c:v>
                </c:pt>
                <c:pt idx="2330">
                  <c:v>1.67</c:v>
                </c:pt>
                <c:pt idx="2331">
                  <c:v>2.0099999999999998</c:v>
                </c:pt>
                <c:pt idx="2332">
                  <c:v>1.1200000000000001</c:v>
                </c:pt>
                <c:pt idx="2333">
                  <c:v>2.21</c:v>
                </c:pt>
                <c:pt idx="2334">
                  <c:v>1.58</c:v>
                </c:pt>
                <c:pt idx="2335">
                  <c:v>1.82</c:v>
                </c:pt>
                <c:pt idx="2336">
                  <c:v>1.47</c:v>
                </c:pt>
                <c:pt idx="2337">
                  <c:v>1.54</c:v>
                </c:pt>
                <c:pt idx="2338">
                  <c:v>1.22</c:v>
                </c:pt>
                <c:pt idx="2339">
                  <c:v>1.49</c:v>
                </c:pt>
                <c:pt idx="2340">
                  <c:v>1.19</c:v>
                </c:pt>
                <c:pt idx="2341">
                  <c:v>0.91</c:v>
                </c:pt>
                <c:pt idx="2342">
                  <c:v>2.08</c:v>
                </c:pt>
                <c:pt idx="2343">
                  <c:v>2.1</c:v>
                </c:pt>
                <c:pt idx="2344">
                  <c:v>0.98</c:v>
                </c:pt>
                <c:pt idx="2345">
                  <c:v>1.62</c:v>
                </c:pt>
                <c:pt idx="2346">
                  <c:v>1.38</c:v>
                </c:pt>
                <c:pt idx="2347">
                  <c:v>1.1499999999999999</c:v>
                </c:pt>
                <c:pt idx="2348">
                  <c:v>2.16</c:v>
                </c:pt>
                <c:pt idx="2349">
                  <c:v>2.0099999999999998</c:v>
                </c:pt>
                <c:pt idx="2350">
                  <c:v>1.26</c:v>
                </c:pt>
                <c:pt idx="2351">
                  <c:v>1.52</c:v>
                </c:pt>
                <c:pt idx="2352">
                  <c:v>1.34</c:v>
                </c:pt>
                <c:pt idx="2353">
                  <c:v>1.23</c:v>
                </c:pt>
                <c:pt idx="2354">
                  <c:v>1.87</c:v>
                </c:pt>
                <c:pt idx="2355">
                  <c:v>1.59</c:v>
                </c:pt>
                <c:pt idx="2356">
                  <c:v>1.49</c:v>
                </c:pt>
                <c:pt idx="2357">
                  <c:v>1.1599999999999999</c:v>
                </c:pt>
                <c:pt idx="2358">
                  <c:v>0.95</c:v>
                </c:pt>
                <c:pt idx="2359">
                  <c:v>1.46</c:v>
                </c:pt>
                <c:pt idx="2360">
                  <c:v>1.43</c:v>
                </c:pt>
                <c:pt idx="2361">
                  <c:v>0.96</c:v>
                </c:pt>
                <c:pt idx="2362">
                  <c:v>1.31</c:v>
                </c:pt>
                <c:pt idx="2363">
                  <c:v>1.82</c:v>
                </c:pt>
                <c:pt idx="2364">
                  <c:v>1.74</c:v>
                </c:pt>
                <c:pt idx="2365">
                  <c:v>1.73</c:v>
                </c:pt>
                <c:pt idx="2366">
                  <c:v>1.62</c:v>
                </c:pt>
                <c:pt idx="2367">
                  <c:v>1.63</c:v>
                </c:pt>
                <c:pt idx="2368">
                  <c:v>1.65</c:v>
                </c:pt>
                <c:pt idx="2369">
                  <c:v>1.27</c:v>
                </c:pt>
                <c:pt idx="2370">
                  <c:v>1.42</c:v>
                </c:pt>
                <c:pt idx="2371">
                  <c:v>1.69</c:v>
                </c:pt>
                <c:pt idx="2372">
                  <c:v>1.31</c:v>
                </c:pt>
                <c:pt idx="2373">
                  <c:v>1.37</c:v>
                </c:pt>
                <c:pt idx="2374">
                  <c:v>1.42</c:v>
                </c:pt>
                <c:pt idx="2375">
                  <c:v>1.18</c:v>
                </c:pt>
                <c:pt idx="2376">
                  <c:v>1.42</c:v>
                </c:pt>
                <c:pt idx="2377">
                  <c:v>1.55</c:v>
                </c:pt>
                <c:pt idx="2378">
                  <c:v>1.61</c:v>
                </c:pt>
                <c:pt idx="2379">
                  <c:v>1.1100000000000001</c:v>
                </c:pt>
                <c:pt idx="2380">
                  <c:v>0.96</c:v>
                </c:pt>
                <c:pt idx="2381">
                  <c:v>1.07</c:v>
                </c:pt>
                <c:pt idx="2382">
                  <c:v>1.36</c:v>
                </c:pt>
                <c:pt idx="2383">
                  <c:v>1.43</c:v>
                </c:pt>
                <c:pt idx="2384">
                  <c:v>1.53</c:v>
                </c:pt>
                <c:pt idx="2385">
                  <c:v>1.23</c:v>
                </c:pt>
                <c:pt idx="2386">
                  <c:v>1.68</c:v>
                </c:pt>
                <c:pt idx="2387">
                  <c:v>1.47</c:v>
                </c:pt>
                <c:pt idx="2388">
                  <c:v>1.49</c:v>
                </c:pt>
                <c:pt idx="2389">
                  <c:v>1.28</c:v>
                </c:pt>
                <c:pt idx="2390">
                  <c:v>1.41</c:v>
                </c:pt>
                <c:pt idx="2391">
                  <c:v>1.2</c:v>
                </c:pt>
                <c:pt idx="2392">
                  <c:v>1.1499999999999999</c:v>
                </c:pt>
                <c:pt idx="2393">
                  <c:v>1.38</c:v>
                </c:pt>
                <c:pt idx="2394">
                  <c:v>1.01</c:v>
                </c:pt>
                <c:pt idx="2395">
                  <c:v>2.0699999999999998</c:v>
                </c:pt>
                <c:pt idx="2396">
                  <c:v>2.2200000000000002</c:v>
                </c:pt>
                <c:pt idx="2397">
                  <c:v>1.78</c:v>
                </c:pt>
                <c:pt idx="2398">
                  <c:v>1.23</c:v>
                </c:pt>
                <c:pt idx="2399">
                  <c:v>1.41</c:v>
                </c:pt>
                <c:pt idx="2400">
                  <c:v>1.66</c:v>
                </c:pt>
                <c:pt idx="2401">
                  <c:v>0.87</c:v>
                </c:pt>
                <c:pt idx="2402">
                  <c:v>1.55</c:v>
                </c:pt>
                <c:pt idx="2403">
                  <c:v>1.28</c:v>
                </c:pt>
                <c:pt idx="2404">
                  <c:v>1.1399999999999999</c:v>
                </c:pt>
                <c:pt idx="2405">
                  <c:v>1.59</c:v>
                </c:pt>
                <c:pt idx="2406">
                  <c:v>1.43</c:v>
                </c:pt>
                <c:pt idx="2407">
                  <c:v>1.39</c:v>
                </c:pt>
                <c:pt idx="2408">
                  <c:v>1.1200000000000001</c:v>
                </c:pt>
                <c:pt idx="2409">
                  <c:v>1.9</c:v>
                </c:pt>
                <c:pt idx="2410">
                  <c:v>0.95</c:v>
                </c:pt>
                <c:pt idx="2411">
                  <c:v>1.1499999999999999</c:v>
                </c:pt>
                <c:pt idx="2412">
                  <c:v>1.51</c:v>
                </c:pt>
                <c:pt idx="2413">
                  <c:v>1.35</c:v>
                </c:pt>
                <c:pt idx="2414">
                  <c:v>1.56</c:v>
                </c:pt>
                <c:pt idx="2415">
                  <c:v>1.3</c:v>
                </c:pt>
                <c:pt idx="2416">
                  <c:v>1.66</c:v>
                </c:pt>
                <c:pt idx="2417">
                  <c:v>1.48</c:v>
                </c:pt>
                <c:pt idx="2418">
                  <c:v>1.04</c:v>
                </c:pt>
                <c:pt idx="2419">
                  <c:v>0.82</c:v>
                </c:pt>
                <c:pt idx="2420">
                  <c:v>1.35</c:v>
                </c:pt>
                <c:pt idx="2421">
                  <c:v>1.31</c:v>
                </c:pt>
                <c:pt idx="2422">
                  <c:v>0.91</c:v>
                </c:pt>
                <c:pt idx="2423">
                  <c:v>1.98</c:v>
                </c:pt>
                <c:pt idx="2424">
                  <c:v>1.68</c:v>
                </c:pt>
                <c:pt idx="2425">
                  <c:v>0.79</c:v>
                </c:pt>
                <c:pt idx="2426">
                  <c:v>1.32</c:v>
                </c:pt>
                <c:pt idx="2427">
                  <c:v>1.28</c:v>
                </c:pt>
                <c:pt idx="2428">
                  <c:v>1.51</c:v>
                </c:pt>
                <c:pt idx="2429">
                  <c:v>0.99</c:v>
                </c:pt>
                <c:pt idx="2430">
                  <c:v>1.04</c:v>
                </c:pt>
                <c:pt idx="2431">
                  <c:v>1.9</c:v>
                </c:pt>
                <c:pt idx="2432">
                  <c:v>1.34</c:v>
                </c:pt>
                <c:pt idx="2433">
                  <c:v>1.59</c:v>
                </c:pt>
                <c:pt idx="2434">
                  <c:v>2.36</c:v>
                </c:pt>
                <c:pt idx="2435">
                  <c:v>1.8</c:v>
                </c:pt>
                <c:pt idx="2436">
                  <c:v>1.67</c:v>
                </c:pt>
                <c:pt idx="2437">
                  <c:v>1.73</c:v>
                </c:pt>
                <c:pt idx="2438">
                  <c:v>1.06</c:v>
                </c:pt>
                <c:pt idx="2439">
                  <c:v>1.58</c:v>
                </c:pt>
                <c:pt idx="2440">
                  <c:v>1.05</c:v>
                </c:pt>
                <c:pt idx="2441">
                  <c:v>1.35</c:v>
                </c:pt>
                <c:pt idx="2442">
                  <c:v>1.17</c:v>
                </c:pt>
                <c:pt idx="2443">
                  <c:v>1.0900000000000001</c:v>
                </c:pt>
                <c:pt idx="2444">
                  <c:v>1.4</c:v>
                </c:pt>
                <c:pt idx="2445">
                  <c:v>0.95</c:v>
                </c:pt>
                <c:pt idx="2446">
                  <c:v>1.29</c:v>
                </c:pt>
                <c:pt idx="2447">
                  <c:v>1.82</c:v>
                </c:pt>
                <c:pt idx="2448">
                  <c:v>1.59</c:v>
                </c:pt>
                <c:pt idx="2449">
                  <c:v>2.0099999999999998</c:v>
                </c:pt>
                <c:pt idx="2450">
                  <c:v>1.39</c:v>
                </c:pt>
                <c:pt idx="2451">
                  <c:v>1.47</c:v>
                </c:pt>
                <c:pt idx="2452">
                  <c:v>1.6</c:v>
                </c:pt>
                <c:pt idx="2453">
                  <c:v>1.28</c:v>
                </c:pt>
                <c:pt idx="2454">
                  <c:v>1.44</c:v>
                </c:pt>
                <c:pt idx="2455">
                  <c:v>0.59</c:v>
                </c:pt>
                <c:pt idx="2456">
                  <c:v>2.2400000000000002</c:v>
                </c:pt>
                <c:pt idx="2457">
                  <c:v>1.34</c:v>
                </c:pt>
                <c:pt idx="2458">
                  <c:v>1.81</c:v>
                </c:pt>
                <c:pt idx="2459">
                  <c:v>2.23</c:v>
                </c:pt>
                <c:pt idx="2460">
                  <c:v>2.19</c:v>
                </c:pt>
                <c:pt idx="2461">
                  <c:v>1.1100000000000001</c:v>
                </c:pt>
                <c:pt idx="2462">
                  <c:v>1.7</c:v>
                </c:pt>
                <c:pt idx="2463">
                  <c:v>2.14</c:v>
                </c:pt>
                <c:pt idx="2464">
                  <c:v>1.27</c:v>
                </c:pt>
                <c:pt idx="2465">
                  <c:v>1.65</c:v>
                </c:pt>
                <c:pt idx="2466">
                  <c:v>0.92</c:v>
                </c:pt>
                <c:pt idx="2467">
                  <c:v>1.73</c:v>
                </c:pt>
                <c:pt idx="2468">
                  <c:v>1.59</c:v>
                </c:pt>
                <c:pt idx="2469">
                  <c:v>1.28</c:v>
                </c:pt>
                <c:pt idx="2470">
                  <c:v>1.82</c:v>
                </c:pt>
                <c:pt idx="2471">
                  <c:v>1.89</c:v>
                </c:pt>
                <c:pt idx="2472">
                  <c:v>1.1000000000000001</c:v>
                </c:pt>
                <c:pt idx="2473">
                  <c:v>1.43</c:v>
                </c:pt>
                <c:pt idx="2474">
                  <c:v>1.67</c:v>
                </c:pt>
                <c:pt idx="2475">
                  <c:v>1.71</c:v>
                </c:pt>
                <c:pt idx="2476">
                  <c:v>1.34</c:v>
                </c:pt>
                <c:pt idx="2477">
                  <c:v>1.25</c:v>
                </c:pt>
                <c:pt idx="2478">
                  <c:v>1.42</c:v>
                </c:pt>
                <c:pt idx="2479">
                  <c:v>0.99</c:v>
                </c:pt>
                <c:pt idx="2480">
                  <c:v>0.96</c:v>
                </c:pt>
                <c:pt idx="2481">
                  <c:v>0.59</c:v>
                </c:pt>
                <c:pt idx="2482">
                  <c:v>1.08</c:v>
                </c:pt>
                <c:pt idx="2483">
                  <c:v>1.44</c:v>
                </c:pt>
                <c:pt idx="2484">
                  <c:v>1.41</c:v>
                </c:pt>
                <c:pt idx="2485">
                  <c:v>0.97</c:v>
                </c:pt>
                <c:pt idx="2486">
                  <c:v>1.0900000000000001</c:v>
                </c:pt>
                <c:pt idx="2487">
                  <c:v>1.67</c:v>
                </c:pt>
                <c:pt idx="2488">
                  <c:v>2.08</c:v>
                </c:pt>
                <c:pt idx="2489">
                  <c:v>1.8</c:v>
                </c:pt>
                <c:pt idx="2490">
                  <c:v>1.75</c:v>
                </c:pt>
                <c:pt idx="2491">
                  <c:v>1.67</c:v>
                </c:pt>
                <c:pt idx="2492">
                  <c:v>1.64</c:v>
                </c:pt>
                <c:pt idx="2493">
                  <c:v>1.47</c:v>
                </c:pt>
                <c:pt idx="2494">
                  <c:v>1.64</c:v>
                </c:pt>
                <c:pt idx="2495">
                  <c:v>0.99</c:v>
                </c:pt>
                <c:pt idx="2496">
                  <c:v>2.2000000000000002</c:v>
                </c:pt>
                <c:pt idx="2497">
                  <c:v>1.48</c:v>
                </c:pt>
                <c:pt idx="2498">
                  <c:v>0.62</c:v>
                </c:pt>
                <c:pt idx="2499">
                  <c:v>1.67</c:v>
                </c:pt>
                <c:pt idx="2500">
                  <c:v>1.79</c:v>
                </c:pt>
                <c:pt idx="2501">
                  <c:v>1.1399999999999999</c:v>
                </c:pt>
                <c:pt idx="2502">
                  <c:v>1.23</c:v>
                </c:pt>
                <c:pt idx="2503">
                  <c:v>1.77</c:v>
                </c:pt>
                <c:pt idx="2504">
                  <c:v>1.28</c:v>
                </c:pt>
                <c:pt idx="2505">
                  <c:v>1.96</c:v>
                </c:pt>
                <c:pt idx="2506">
                  <c:v>1.7</c:v>
                </c:pt>
                <c:pt idx="2507">
                  <c:v>1.03</c:v>
                </c:pt>
                <c:pt idx="2508">
                  <c:v>1.54</c:v>
                </c:pt>
                <c:pt idx="2509">
                  <c:v>1.49</c:v>
                </c:pt>
                <c:pt idx="2510">
                  <c:v>0.99</c:v>
                </c:pt>
                <c:pt idx="2511">
                  <c:v>1.67</c:v>
                </c:pt>
                <c:pt idx="2512">
                  <c:v>0.92</c:v>
                </c:pt>
                <c:pt idx="2513">
                  <c:v>1.45</c:v>
                </c:pt>
                <c:pt idx="2514">
                  <c:v>1.17</c:v>
                </c:pt>
                <c:pt idx="2515">
                  <c:v>1.33</c:v>
                </c:pt>
                <c:pt idx="2516">
                  <c:v>1.58</c:v>
                </c:pt>
                <c:pt idx="2517">
                  <c:v>1.59</c:v>
                </c:pt>
                <c:pt idx="2518">
                  <c:v>2.21</c:v>
                </c:pt>
                <c:pt idx="2519">
                  <c:v>1.44</c:v>
                </c:pt>
                <c:pt idx="2520">
                  <c:v>1.36</c:v>
                </c:pt>
                <c:pt idx="2521">
                  <c:v>1.17</c:v>
                </c:pt>
                <c:pt idx="2522">
                  <c:v>1.39</c:v>
                </c:pt>
                <c:pt idx="2523">
                  <c:v>1.66</c:v>
                </c:pt>
                <c:pt idx="2524">
                  <c:v>0.98</c:v>
                </c:pt>
                <c:pt idx="2525">
                  <c:v>1.47</c:v>
                </c:pt>
                <c:pt idx="2526">
                  <c:v>1.44</c:v>
                </c:pt>
                <c:pt idx="2527">
                  <c:v>2.06</c:v>
                </c:pt>
                <c:pt idx="2528">
                  <c:v>1.53</c:v>
                </c:pt>
                <c:pt idx="2529">
                  <c:v>0.94</c:v>
                </c:pt>
                <c:pt idx="2530">
                  <c:v>1.37</c:v>
                </c:pt>
                <c:pt idx="2531">
                  <c:v>1.33</c:v>
                </c:pt>
                <c:pt idx="2532">
                  <c:v>1.01</c:v>
                </c:pt>
                <c:pt idx="2533">
                  <c:v>1.82</c:v>
                </c:pt>
                <c:pt idx="2534">
                  <c:v>1.1299999999999999</c:v>
                </c:pt>
                <c:pt idx="2535">
                  <c:v>1.9</c:v>
                </c:pt>
                <c:pt idx="2536">
                  <c:v>1.79</c:v>
                </c:pt>
                <c:pt idx="2537">
                  <c:v>1.99</c:v>
                </c:pt>
                <c:pt idx="2538">
                  <c:v>1.22</c:v>
                </c:pt>
                <c:pt idx="2539">
                  <c:v>1.48</c:v>
                </c:pt>
                <c:pt idx="2540">
                  <c:v>1.53</c:v>
                </c:pt>
                <c:pt idx="2541">
                  <c:v>1.61</c:v>
                </c:pt>
                <c:pt idx="2542">
                  <c:v>1.1100000000000001</c:v>
                </c:pt>
                <c:pt idx="2543">
                  <c:v>1.1200000000000001</c:v>
                </c:pt>
                <c:pt idx="2544">
                  <c:v>1.1200000000000001</c:v>
                </c:pt>
                <c:pt idx="2545">
                  <c:v>1.93</c:v>
                </c:pt>
                <c:pt idx="2546">
                  <c:v>1.7</c:v>
                </c:pt>
                <c:pt idx="2547">
                  <c:v>1.47</c:v>
                </c:pt>
                <c:pt idx="2548">
                  <c:v>0.99</c:v>
                </c:pt>
                <c:pt idx="2549">
                  <c:v>1.76</c:v>
                </c:pt>
                <c:pt idx="2550">
                  <c:v>1.51</c:v>
                </c:pt>
                <c:pt idx="2551">
                  <c:v>2.04</c:v>
                </c:pt>
                <c:pt idx="2552">
                  <c:v>1.04</c:v>
                </c:pt>
                <c:pt idx="2553">
                  <c:v>1.71</c:v>
                </c:pt>
                <c:pt idx="2554">
                  <c:v>1.07</c:v>
                </c:pt>
                <c:pt idx="2555">
                  <c:v>1.52</c:v>
                </c:pt>
                <c:pt idx="2556">
                  <c:v>1.87</c:v>
                </c:pt>
                <c:pt idx="2557">
                  <c:v>0.91</c:v>
                </c:pt>
                <c:pt idx="2558">
                  <c:v>1.44</c:v>
                </c:pt>
                <c:pt idx="2559">
                  <c:v>0.92</c:v>
                </c:pt>
                <c:pt idx="2560">
                  <c:v>1.24</c:v>
                </c:pt>
                <c:pt idx="2561">
                  <c:v>1.39</c:v>
                </c:pt>
                <c:pt idx="2562">
                  <c:v>1.33</c:v>
                </c:pt>
                <c:pt idx="2563">
                  <c:v>1.45</c:v>
                </c:pt>
                <c:pt idx="2564">
                  <c:v>1.43</c:v>
                </c:pt>
                <c:pt idx="2565">
                  <c:v>1.76</c:v>
                </c:pt>
                <c:pt idx="2566">
                  <c:v>1.1000000000000001</c:v>
                </c:pt>
                <c:pt idx="2567">
                  <c:v>1.25</c:v>
                </c:pt>
                <c:pt idx="2568">
                  <c:v>1.35</c:v>
                </c:pt>
                <c:pt idx="2569">
                  <c:v>1.22</c:v>
                </c:pt>
                <c:pt idx="2570">
                  <c:v>2.09</c:v>
                </c:pt>
                <c:pt idx="2571">
                  <c:v>1.51</c:v>
                </c:pt>
                <c:pt idx="2572">
                  <c:v>0.89</c:v>
                </c:pt>
                <c:pt idx="2573">
                  <c:v>1.84</c:v>
                </c:pt>
                <c:pt idx="2574">
                  <c:v>1.31</c:v>
                </c:pt>
                <c:pt idx="2575">
                  <c:v>1.68</c:v>
                </c:pt>
                <c:pt idx="2576">
                  <c:v>1.06</c:v>
                </c:pt>
                <c:pt idx="2577">
                  <c:v>1.73</c:v>
                </c:pt>
                <c:pt idx="2578">
                  <c:v>1.03</c:v>
                </c:pt>
                <c:pt idx="2579">
                  <c:v>1.75</c:v>
                </c:pt>
                <c:pt idx="2580">
                  <c:v>1.1499999999999999</c:v>
                </c:pt>
                <c:pt idx="2581">
                  <c:v>1.75</c:v>
                </c:pt>
                <c:pt idx="2582">
                  <c:v>1.7</c:v>
                </c:pt>
                <c:pt idx="2583">
                  <c:v>1.6</c:v>
                </c:pt>
                <c:pt idx="2584">
                  <c:v>1.04</c:v>
                </c:pt>
                <c:pt idx="2585">
                  <c:v>1.06</c:v>
                </c:pt>
                <c:pt idx="2586">
                  <c:v>1.73</c:v>
                </c:pt>
                <c:pt idx="2587">
                  <c:v>1.84</c:v>
                </c:pt>
                <c:pt idx="2588">
                  <c:v>1.19</c:v>
                </c:pt>
                <c:pt idx="2589">
                  <c:v>1.37</c:v>
                </c:pt>
                <c:pt idx="2590">
                  <c:v>1.37</c:v>
                </c:pt>
                <c:pt idx="2591">
                  <c:v>1.04</c:v>
                </c:pt>
                <c:pt idx="2592">
                  <c:v>1.19</c:v>
                </c:pt>
                <c:pt idx="2593">
                  <c:v>1.6</c:v>
                </c:pt>
                <c:pt idx="2594">
                  <c:v>0.95</c:v>
                </c:pt>
                <c:pt idx="2595">
                  <c:v>1.44</c:v>
                </c:pt>
                <c:pt idx="2596">
                  <c:v>0.93</c:v>
                </c:pt>
              </c:numCache>
            </c:numRef>
          </c:yVal>
          <c:smooth val="0"/>
          <c:extLst>
            <c:ext xmlns:c16="http://schemas.microsoft.com/office/drawing/2014/chart" uri="{C3380CC4-5D6E-409C-BE32-E72D297353CC}">
              <c16:uniqueId val="{00000000-CE72-4E19-A79A-0DFC349DC63B}"/>
            </c:ext>
          </c:extLst>
        </c:ser>
        <c:dLbls>
          <c:showLegendKey val="0"/>
          <c:showVal val="0"/>
          <c:showCatName val="0"/>
          <c:showSerName val="0"/>
          <c:showPercent val="0"/>
          <c:showBubbleSize val="0"/>
        </c:dLbls>
        <c:axId val="1679251567"/>
        <c:axId val="1679252047"/>
      </c:scatterChart>
      <c:valAx>
        <c:axId val="167925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679252047"/>
        <c:crosses val="autoZero"/>
        <c:crossBetween val="midCat"/>
      </c:valAx>
      <c:valAx>
        <c:axId val="1679252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679251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 Ads Dashboard Excel.xlsx]Sheet1!PivotTable10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570516185476815"/>
          <c:y val="0.17171296296296296"/>
          <c:w val="0.44697222222222216"/>
          <c:h val="0.74495370370370362"/>
        </c:manualLayout>
      </c:layout>
      <c:doughnutChart>
        <c:varyColors val="1"/>
        <c:ser>
          <c:idx val="0"/>
          <c:order val="0"/>
          <c:tx>
            <c:strRef>
              <c:f>Sheet1!$AB$21</c:f>
              <c:strCache>
                <c:ptCount val="1"/>
                <c:pt idx="0">
                  <c:v>Total</c:v>
                </c:pt>
              </c:strCache>
            </c:strRef>
          </c:tx>
          <c:dPt>
            <c:idx val="0"/>
            <c:bubble3D val="0"/>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50-4BD3-B24F-159F2F690E7A}"/>
              </c:ext>
            </c:extLst>
          </c:dPt>
          <c:dPt>
            <c:idx val="1"/>
            <c:bubble3D val="0"/>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50-4BD3-B24F-159F2F690E7A}"/>
              </c:ext>
            </c:extLst>
          </c:dPt>
          <c:dPt>
            <c:idx val="2"/>
            <c:bubble3D val="0"/>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A50-4BD3-B24F-159F2F690E7A}"/>
              </c:ext>
            </c:extLst>
          </c:dPt>
          <c:dPt>
            <c:idx val="3"/>
            <c:bubble3D val="0"/>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A50-4BD3-B24F-159F2F690E7A}"/>
              </c:ext>
            </c:extLst>
          </c:dPt>
          <c:dPt>
            <c:idx val="4"/>
            <c:bubble3D val="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A50-4BD3-B24F-159F2F690E7A}"/>
              </c:ext>
            </c:extLst>
          </c:dPt>
          <c:dPt>
            <c:idx val="5"/>
            <c:bubble3D val="0"/>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A50-4BD3-B24F-159F2F690E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Sheet1!$AA$22:$AA$28</c:f>
              <c:strCache>
                <c:ptCount val="6"/>
                <c:pt idx="0">
                  <c:v>Analytics for data</c:v>
                </c:pt>
                <c:pt idx="1">
                  <c:v>Data analytics course</c:v>
                </c:pt>
                <c:pt idx="2">
                  <c:v>Data analytics online</c:v>
                </c:pt>
                <c:pt idx="3">
                  <c:v>Data analytics training</c:v>
                </c:pt>
                <c:pt idx="4">
                  <c:v>Learn data analytics</c:v>
                </c:pt>
                <c:pt idx="5">
                  <c:v>Online data analytics</c:v>
                </c:pt>
              </c:strCache>
            </c:strRef>
          </c:cat>
          <c:val>
            <c:numRef>
              <c:f>Sheet1!$AB$22:$AB$28</c:f>
              <c:numCache>
                <c:formatCode>General</c:formatCode>
                <c:ptCount val="6"/>
                <c:pt idx="0">
                  <c:v>2744</c:v>
                </c:pt>
                <c:pt idx="1">
                  <c:v>2899</c:v>
                </c:pt>
                <c:pt idx="2">
                  <c:v>2684</c:v>
                </c:pt>
                <c:pt idx="3">
                  <c:v>2728</c:v>
                </c:pt>
                <c:pt idx="4">
                  <c:v>2881</c:v>
                </c:pt>
                <c:pt idx="5">
                  <c:v>2990</c:v>
                </c:pt>
              </c:numCache>
            </c:numRef>
          </c:val>
          <c:extLst>
            <c:ext xmlns:c16="http://schemas.microsoft.com/office/drawing/2014/chart" uri="{C3380CC4-5D6E-409C-BE32-E72D297353CC}">
              <c16:uniqueId val="{00000000-EDE1-4F0B-B4B3-6618B16702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 Ads Dashboard Excel.xlsx]Sheet1!PivotTable11</c:name>
    <c:fmtId val="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Sheet1!$AE$21</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8E-4985-AFA1-B1092C2288EB}"/>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8E-4985-AFA1-B1092C2288EB}"/>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8E-4985-AFA1-B1092C2288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Sheet1!$AD$22:$AD$25</c:f>
              <c:strCache>
                <c:ptCount val="3"/>
                <c:pt idx="0">
                  <c:v>Desktop</c:v>
                </c:pt>
                <c:pt idx="1">
                  <c:v>Mobile</c:v>
                </c:pt>
                <c:pt idx="2">
                  <c:v>Tablet</c:v>
                </c:pt>
              </c:strCache>
            </c:strRef>
          </c:cat>
          <c:val>
            <c:numRef>
              <c:f>Sheet1!$AE$22:$AE$25</c:f>
              <c:numCache>
                <c:formatCode>General</c:formatCode>
                <c:ptCount val="3"/>
                <c:pt idx="0">
                  <c:v>5784</c:v>
                </c:pt>
                <c:pt idx="1">
                  <c:v>5796</c:v>
                </c:pt>
                <c:pt idx="2">
                  <c:v>5346</c:v>
                </c:pt>
              </c:numCache>
            </c:numRef>
          </c:val>
          <c:extLst>
            <c:ext xmlns:c16="http://schemas.microsoft.com/office/drawing/2014/chart" uri="{C3380CC4-5D6E-409C-BE32-E72D297353CC}">
              <c16:uniqueId val="{00000000-DBA2-4DAC-B90D-07B595ABCB6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12688015198784"/>
          <c:y val="0.24758542132157607"/>
          <c:w val="0.76890529308836397"/>
          <c:h val="0.72203927847410576"/>
        </c:manualLayout>
      </c:layout>
      <c:scatterChart>
        <c:scatterStyle val="lineMarker"/>
        <c:varyColors val="0"/>
        <c:ser>
          <c:idx val="4"/>
          <c:order val="4"/>
          <c:tx>
            <c:strRef>
              <c:f>Sheet1!$AL$19</c:f>
              <c:strCache>
                <c:ptCount val="1"/>
                <c:pt idx="0">
                  <c:v>Cost</c:v>
                </c:pt>
              </c:strCache>
            </c:strRef>
          </c:tx>
          <c:spPr>
            <a:ln w="38100" cap="rnd">
              <a:noFill/>
              <a:round/>
            </a:ln>
            <a:effectLst/>
          </c:spPr>
          <c:marker>
            <c:symbol val="circle"/>
            <c:size val="5"/>
            <c:spPr>
              <a:solidFill>
                <a:schemeClr val="accent5"/>
              </a:solidFill>
              <a:ln w="9525">
                <a:solidFill>
                  <a:schemeClr val="accent5"/>
                </a:solidFill>
              </a:ln>
              <a:effectLst/>
            </c:spPr>
          </c:marker>
          <c:dLbls>
            <c:dLbl>
              <c:idx val="0"/>
              <c:tx>
                <c:rich>
                  <a:bodyPr/>
                  <a:lstStyle/>
                  <a:p>
                    <a:fld id="{F1CEF90D-7341-4E4B-ADEB-542F8F55AD92}" type="CELLRANGE">
                      <a:rPr lang="en-US"/>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F66-4802-8681-EAB0EBA7CE3D}"/>
                </c:ext>
              </c:extLst>
            </c:dLbl>
            <c:dLbl>
              <c:idx val="1"/>
              <c:tx>
                <c:rich>
                  <a:bodyPr/>
                  <a:lstStyle/>
                  <a:p>
                    <a:fld id="{01D8574B-7424-4EE0-83C0-4CAA569A2D48}"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F66-4802-8681-EAB0EBA7CE3D}"/>
                </c:ext>
              </c:extLst>
            </c:dLbl>
            <c:dLbl>
              <c:idx val="2"/>
              <c:tx>
                <c:rich>
                  <a:bodyPr/>
                  <a:lstStyle/>
                  <a:p>
                    <a:fld id="{91034FE9-1D44-40B5-930A-61EFD0972C77}"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F66-4802-8681-EAB0EBA7CE3D}"/>
                </c:ext>
              </c:extLst>
            </c:dLbl>
            <c:dLbl>
              <c:idx val="3"/>
              <c:tx>
                <c:rich>
                  <a:bodyPr/>
                  <a:lstStyle/>
                  <a:p>
                    <a:fld id="{322D7D73-08A4-4F5B-B412-771AF6A367D8}"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F66-4802-8681-EAB0EBA7CE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Sheet1!$AG$20:$AG$23</c:f>
              <c:strCache>
                <c:ptCount val="4"/>
                <c:pt idx="0">
                  <c:v>Data Analytics Course: Advanced</c:v>
                </c:pt>
                <c:pt idx="1">
                  <c:v>Data Analytics Course: Basics</c:v>
                </c:pt>
                <c:pt idx="2">
                  <c:v>Data Analytics Course: ML</c:v>
                </c:pt>
                <c:pt idx="3">
                  <c:v>Data Analytics Course: Visualizations</c:v>
                </c:pt>
              </c:strCache>
            </c:strRef>
          </c:xVal>
          <c:yVal>
            <c:numRef>
              <c:f>Sheet1!$AL$20:$AL$23</c:f>
              <c:numCache>
                <c:formatCode>_-[$$-409]* #\ ##0_ ;_-[$$-409]* \-#\ ##0\ ;_-[$$-409]* "-"??_ ;_-@_ </c:formatCode>
                <c:ptCount val="4"/>
                <c:pt idx="0">
                  <c:v>146276</c:v>
                </c:pt>
                <c:pt idx="1">
                  <c:v>136338</c:v>
                </c:pt>
                <c:pt idx="2">
                  <c:v>139126</c:v>
                </c:pt>
                <c:pt idx="3">
                  <c:v>137039</c:v>
                </c:pt>
              </c:numCache>
            </c:numRef>
          </c:yVal>
          <c:smooth val="0"/>
          <c:extLst>
            <c:ext xmlns:c15="http://schemas.microsoft.com/office/drawing/2012/chart" uri="{02D57815-91ED-43cb-92C2-25804820EDAC}">
              <c15:datalabelsRange>
                <c15:f>Sheet1!$AG$20:$AG$23</c15:f>
                <c15:dlblRangeCache>
                  <c:ptCount val="4"/>
                  <c:pt idx="0">
                    <c:v>Data Analytics Course: Advanced</c:v>
                  </c:pt>
                  <c:pt idx="1">
                    <c:v>Data Analytics Course: Basics</c:v>
                  </c:pt>
                  <c:pt idx="2">
                    <c:v>Data Analytics Course: ML</c:v>
                  </c:pt>
                  <c:pt idx="3">
                    <c:v>Data Analytics Course: Visualizations</c:v>
                  </c:pt>
                </c15:dlblRangeCache>
              </c15:datalabelsRange>
            </c:ext>
            <c:ext xmlns:c16="http://schemas.microsoft.com/office/drawing/2014/chart" uri="{C3380CC4-5D6E-409C-BE32-E72D297353CC}">
              <c16:uniqueId val="{00000004-AF66-4802-8681-EAB0EBA7CE3D}"/>
            </c:ext>
          </c:extLst>
        </c:ser>
        <c:ser>
          <c:idx val="5"/>
          <c:order val="5"/>
          <c:tx>
            <c:strRef>
              <c:f>Sheet1!$AM$19</c:f>
              <c:strCache>
                <c:ptCount val="1"/>
                <c:pt idx="0">
                  <c:v>Revenue</c:v>
                </c:pt>
              </c:strCache>
            </c:strRef>
          </c:tx>
          <c:spPr>
            <a:ln w="38100" cap="rnd">
              <a:noFill/>
              <a:round/>
            </a:ln>
            <a:effectLst/>
          </c:spPr>
          <c:marker>
            <c:symbol val="circle"/>
            <c:size val="5"/>
            <c:spPr>
              <a:solidFill>
                <a:schemeClr val="accent6"/>
              </a:solidFill>
              <a:ln w="9525">
                <a:solidFill>
                  <a:schemeClr val="accent6"/>
                </a:solidFill>
              </a:ln>
              <a:effectLst/>
            </c:spPr>
          </c:marker>
          <c:dLbls>
            <c:delete val="1"/>
          </c:dLbls>
          <c:xVal>
            <c:strRef>
              <c:f>Sheet1!$AG$20:$AG$23</c:f>
              <c:strCache>
                <c:ptCount val="4"/>
                <c:pt idx="0">
                  <c:v>Data Analytics Course: Advanced</c:v>
                </c:pt>
                <c:pt idx="1">
                  <c:v>Data Analytics Course: Basics</c:v>
                </c:pt>
                <c:pt idx="2">
                  <c:v>Data Analytics Course: ML</c:v>
                </c:pt>
                <c:pt idx="3">
                  <c:v>Data Analytics Course: Visualizations</c:v>
                </c:pt>
              </c:strCache>
            </c:strRef>
          </c:xVal>
          <c:yVal>
            <c:numRef>
              <c:f>Sheet1!$AM$20:$AM$23</c:f>
              <c:numCache>
                <c:formatCode>_-[$$-409]* #\ ##0_ ;_-[$$-409]* \-#\ ##0\ ;_-[$$-409]* "-"??_ ;_-@_ </c:formatCode>
                <c:ptCount val="4"/>
                <c:pt idx="0">
                  <c:v>207886.10223214285</c:v>
                </c:pt>
                <c:pt idx="1">
                  <c:v>195553.96428571429</c:v>
                </c:pt>
                <c:pt idx="2">
                  <c:v>197485.57142857145</c:v>
                </c:pt>
                <c:pt idx="3">
                  <c:v>193280.71428571438</c:v>
                </c:pt>
              </c:numCache>
            </c:numRef>
          </c:yVal>
          <c:smooth val="0"/>
          <c:extLst>
            <c:ext xmlns:c16="http://schemas.microsoft.com/office/drawing/2014/chart" uri="{C3380CC4-5D6E-409C-BE32-E72D297353CC}">
              <c16:uniqueId val="{00000005-AF66-4802-8681-EAB0EBA7CE3D}"/>
            </c:ext>
          </c:extLst>
        </c:ser>
        <c:dLbls>
          <c:dLblPos val="t"/>
          <c:showLegendKey val="0"/>
          <c:showVal val="1"/>
          <c:showCatName val="0"/>
          <c:showSerName val="0"/>
          <c:showPercent val="0"/>
          <c:showBubbleSize val="0"/>
        </c:dLbls>
        <c:axId val="1930163663"/>
        <c:axId val="1930165583"/>
        <c:extLst>
          <c:ext xmlns:c15="http://schemas.microsoft.com/office/drawing/2012/chart" uri="{02D57815-91ED-43cb-92C2-25804820EDAC}">
            <c15:filteredScatterSeries>
              <c15:ser>
                <c:idx val="0"/>
                <c:order val="0"/>
                <c:tx>
                  <c:strRef>
                    <c:extLst>
                      <c:ext uri="{02D57815-91ED-43cb-92C2-25804820EDAC}">
                        <c15:formulaRef>
                          <c15:sqref>Sheet1!$AH$19</c15:sqref>
                        </c15:formulaRef>
                      </c:ext>
                    </c:extLst>
                    <c:strCache>
                      <c:ptCount val="1"/>
                      <c:pt idx="0">
                        <c:v>Покази</c:v>
                      </c:pt>
                    </c:strCache>
                  </c:strRef>
                </c:tx>
                <c:spPr>
                  <a:ln w="381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c:ex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c:ext uri="{02D57815-91ED-43cb-92C2-25804820EDAC}">
                        <c15:formulaRef>
                          <c15:sqref>Sheet1!$AH$20:$AH$23</c15:sqref>
                        </c15:formulaRef>
                      </c:ext>
                    </c:extLst>
                    <c:numCache>
                      <c:formatCode>General</c:formatCode>
                      <c:ptCount val="4"/>
                      <c:pt idx="0">
                        <c:v>3060295</c:v>
                      </c:pt>
                      <c:pt idx="1">
                        <c:v>2882552</c:v>
                      </c:pt>
                      <c:pt idx="2">
                        <c:v>2934820</c:v>
                      </c:pt>
                      <c:pt idx="3">
                        <c:v>2884322</c:v>
                      </c:pt>
                    </c:numCache>
                  </c:numRef>
                </c:yVal>
                <c:smooth val="0"/>
                <c:extLst>
                  <c:ext xmlns:c16="http://schemas.microsoft.com/office/drawing/2014/chart" uri="{C3380CC4-5D6E-409C-BE32-E72D297353CC}">
                    <c16:uniqueId val="{00000000-AF66-4802-8681-EAB0EBA7CE3D}"/>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Sheet1!$AI$19</c15:sqref>
                        </c15:formulaRef>
                      </c:ext>
                    </c:extLst>
                    <c:strCache>
                      <c:ptCount val="1"/>
                      <c:pt idx="0">
                        <c:v>Кліки</c:v>
                      </c:pt>
                    </c:strCache>
                  </c:strRef>
                </c:tx>
                <c:spPr>
                  <a:ln w="3810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Sheet1!$AI$20:$AI$23</c15:sqref>
                        </c15:formulaRef>
                      </c:ext>
                    </c:extLst>
                    <c:numCache>
                      <c:formatCode>General</c:formatCode>
                      <c:ptCount val="4"/>
                      <c:pt idx="0">
                        <c:v>93021</c:v>
                      </c:pt>
                      <c:pt idx="1">
                        <c:v>88102</c:v>
                      </c:pt>
                      <c:pt idx="2">
                        <c:v>91462</c:v>
                      </c:pt>
                      <c:pt idx="3">
                        <c:v>87945</c:v>
                      </c:pt>
                    </c:numCache>
                  </c:numRef>
                </c:yVal>
                <c:smooth val="0"/>
                <c:extLst xmlns:c15="http://schemas.microsoft.com/office/drawing/2012/chart">
                  <c:ext xmlns:c16="http://schemas.microsoft.com/office/drawing/2014/chart" uri="{C3380CC4-5D6E-409C-BE32-E72D297353CC}">
                    <c16:uniqueId val="{00000001-AF66-4802-8681-EAB0EBA7CE3D}"/>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Sheet1!$AJ$19</c15:sqref>
                        </c15:formulaRef>
                      </c:ext>
                    </c:extLst>
                    <c:strCache>
                      <c:ptCount val="1"/>
                      <c:pt idx="0">
                        <c:v>Ліди</c:v>
                      </c:pt>
                    </c:strCache>
                  </c:strRef>
                </c:tx>
                <c:spPr>
                  <a:ln w="381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Sheet1!$AJ$20:$AJ$23</c15:sqref>
                        </c15:formulaRef>
                      </c:ext>
                    </c:extLst>
                    <c:numCache>
                      <c:formatCode>General</c:formatCode>
                      <c:ptCount val="4"/>
                      <c:pt idx="0">
                        <c:v>13739</c:v>
                      </c:pt>
                      <c:pt idx="1">
                        <c:v>12617</c:v>
                      </c:pt>
                      <c:pt idx="2">
                        <c:v>12747</c:v>
                      </c:pt>
                      <c:pt idx="3">
                        <c:v>12744</c:v>
                      </c:pt>
                    </c:numCache>
                  </c:numRef>
                </c:yVal>
                <c:smooth val="0"/>
                <c:extLst xmlns:c15="http://schemas.microsoft.com/office/drawing/2012/chart">
                  <c:ext xmlns:c16="http://schemas.microsoft.com/office/drawing/2014/chart" uri="{C3380CC4-5D6E-409C-BE32-E72D297353CC}">
                    <c16:uniqueId val="{00000002-AF66-4802-8681-EAB0EBA7CE3D}"/>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Sheet1!$AK$19</c15:sqref>
                        </c15:formulaRef>
                      </c:ext>
                    </c:extLst>
                    <c:strCache>
                      <c:ptCount val="1"/>
                      <c:pt idx="0">
                        <c:v>Конверсії</c:v>
                      </c:pt>
                    </c:strCache>
                  </c:strRef>
                </c:tx>
                <c:spPr>
                  <a:ln w="38100" cap="rnd">
                    <a:no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Sheet1!$AK$20:$AK$23</c15:sqref>
                        </c15:formulaRef>
                      </c:ext>
                    </c:extLst>
                    <c:numCache>
                      <c:formatCode>General</c:formatCode>
                      <c:ptCount val="4"/>
                      <c:pt idx="0">
                        <c:v>4475</c:v>
                      </c:pt>
                      <c:pt idx="1">
                        <c:v>4133</c:v>
                      </c:pt>
                      <c:pt idx="2">
                        <c:v>4227</c:v>
                      </c:pt>
                      <c:pt idx="3">
                        <c:v>4091</c:v>
                      </c:pt>
                    </c:numCache>
                  </c:numRef>
                </c:yVal>
                <c:smooth val="0"/>
                <c:extLst xmlns:c15="http://schemas.microsoft.com/office/drawing/2012/chart">
                  <c:ext xmlns:c16="http://schemas.microsoft.com/office/drawing/2014/chart" uri="{C3380CC4-5D6E-409C-BE32-E72D297353CC}">
                    <c16:uniqueId val="{00000003-AF66-4802-8681-EAB0EBA7CE3D}"/>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Sheet1!$AN$19</c15:sqref>
                        </c15:formulaRef>
                      </c:ext>
                    </c:extLst>
                    <c:strCache>
                      <c:ptCount val="1"/>
                      <c:pt idx="0">
                        <c:v>CPC</c:v>
                      </c:pt>
                    </c:strCache>
                  </c:strRef>
                </c:tx>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Sheet1!$AN$20:$AN$23</c15:sqref>
                        </c15:formulaRef>
                      </c:ext>
                    </c:extLst>
                    <c:numCache>
                      <c:formatCode>#\ ##0.00\ "₴"</c:formatCode>
                      <c:ptCount val="4"/>
                      <c:pt idx="0">
                        <c:v>1.5725051332494813</c:v>
                      </c:pt>
                      <c:pt idx="1">
                        <c:v>1.5475017593244194</c:v>
                      </c:pt>
                      <c:pt idx="2">
                        <c:v>1.5211344602129846</c:v>
                      </c:pt>
                      <c:pt idx="3">
                        <c:v>1.5582352606742851</c:v>
                      </c:pt>
                    </c:numCache>
                  </c:numRef>
                </c:yVal>
                <c:smooth val="0"/>
                <c:extLst xmlns:c15="http://schemas.microsoft.com/office/drawing/2012/chart">
                  <c:ext xmlns:c16="http://schemas.microsoft.com/office/drawing/2014/chart" uri="{C3380CC4-5D6E-409C-BE32-E72D297353CC}">
                    <c16:uniqueId val="{00000006-AF66-4802-8681-EAB0EBA7CE3D}"/>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Sheet1!$AO$19</c15:sqref>
                        </c15:formulaRef>
                      </c:ext>
                    </c:extLst>
                    <c:strCache>
                      <c:ptCount val="1"/>
                      <c:pt idx="0">
                        <c:v>CTR</c:v>
                      </c:pt>
                    </c:strCache>
                  </c:strRef>
                </c:tx>
                <c:spPr>
                  <a:ln w="38100" cap="rnd">
                    <a:no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Sheet1!$AO$20:$AO$23</c15:sqref>
                        </c15:formulaRef>
                      </c:ext>
                    </c:extLst>
                    <c:numCache>
                      <c:formatCode>0.00</c:formatCode>
                      <c:ptCount val="4"/>
                      <c:pt idx="0">
                        <c:v>3.0396089265904105</c:v>
                      </c:pt>
                      <c:pt idx="1">
                        <c:v>3.056388922038527</c:v>
                      </c:pt>
                      <c:pt idx="2">
                        <c:v>3.1164432571673903</c:v>
                      </c:pt>
                      <c:pt idx="3">
                        <c:v>3.0490701107573979</c:v>
                      </c:pt>
                    </c:numCache>
                  </c:numRef>
                </c:yVal>
                <c:smooth val="0"/>
                <c:extLst xmlns:c15="http://schemas.microsoft.com/office/drawing/2012/chart">
                  <c:ext xmlns:c16="http://schemas.microsoft.com/office/drawing/2014/chart" uri="{C3380CC4-5D6E-409C-BE32-E72D297353CC}">
                    <c16:uniqueId val="{00000007-AF66-4802-8681-EAB0EBA7CE3D}"/>
                  </c:ext>
                </c:extLst>
              </c15:ser>
            </c15:filteredScatterSeries>
            <c15:filteredScatterSeries>
              <c15:ser>
                <c:idx val="8"/>
                <c:order val="8"/>
                <c:tx>
                  <c:strRef>
                    <c:extLst xmlns:c15="http://schemas.microsoft.com/office/drawing/2012/chart">
                      <c:ext xmlns:c15="http://schemas.microsoft.com/office/drawing/2012/chart" uri="{02D57815-91ED-43cb-92C2-25804820EDAC}">
                        <c15:formulaRef>
                          <c15:sqref>Sheet1!$AP$19</c15:sqref>
                        </c15:formulaRef>
                      </c:ext>
                    </c:extLst>
                    <c:strCache>
                      <c:ptCount val="1"/>
                      <c:pt idx="0">
                        <c:v>CPL</c:v>
                      </c:pt>
                    </c:strCache>
                  </c:strRef>
                </c:tx>
                <c:spPr>
                  <a:ln w="38100" cap="rnd">
                    <a:no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Sheet1!$AP$20:$AP$23</c15:sqref>
                        </c15:formulaRef>
                      </c:ext>
                    </c:extLst>
                    <c:numCache>
                      <c:formatCode>#\ ##0.00\ "₴"</c:formatCode>
                      <c:ptCount val="4"/>
                      <c:pt idx="0">
                        <c:v>10.646771963024966</c:v>
                      </c:pt>
                      <c:pt idx="1">
                        <c:v>10.805896805896806</c:v>
                      </c:pt>
                      <c:pt idx="2">
                        <c:v>10.914411234015846</c:v>
                      </c:pt>
                      <c:pt idx="3">
                        <c:v>10.753217200251099</c:v>
                      </c:pt>
                    </c:numCache>
                  </c:numRef>
                </c:yVal>
                <c:smooth val="0"/>
                <c:extLst xmlns:c15="http://schemas.microsoft.com/office/drawing/2012/chart">
                  <c:ext xmlns:c16="http://schemas.microsoft.com/office/drawing/2014/chart" uri="{C3380CC4-5D6E-409C-BE32-E72D297353CC}">
                    <c16:uniqueId val="{00000008-AF66-4802-8681-EAB0EBA7CE3D}"/>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Sheet1!$AQ$19</c15:sqref>
                        </c15:formulaRef>
                      </c:ext>
                    </c:extLst>
                    <c:strCache>
                      <c:ptCount val="1"/>
                      <c:pt idx="0">
                        <c:v>ROI</c:v>
                      </c:pt>
                    </c:strCache>
                  </c:strRef>
                </c:tx>
                <c:spPr>
                  <a:ln w="38100" cap="rnd">
                    <a:no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Sheet1!$AQ$20:$AQ$23</c15:sqref>
                        </c15:formulaRef>
                      </c:ext>
                    </c:extLst>
                    <c:numCache>
                      <c:formatCode>0.00</c:formatCode>
                      <c:ptCount val="4"/>
                      <c:pt idx="0">
                        <c:v>0.42119077792763576</c:v>
                      </c:pt>
                      <c:pt idx="1">
                        <c:v>0.43433205918903234</c:v>
                      </c:pt>
                      <c:pt idx="2">
                        <c:v>0.4194727903380493</c:v>
                      </c:pt>
                      <c:pt idx="3">
                        <c:v>0.41040663085482509</c:v>
                      </c:pt>
                    </c:numCache>
                  </c:numRef>
                </c:yVal>
                <c:smooth val="0"/>
                <c:extLst xmlns:c15="http://schemas.microsoft.com/office/drawing/2012/chart">
                  <c:ext xmlns:c16="http://schemas.microsoft.com/office/drawing/2014/chart" uri="{C3380CC4-5D6E-409C-BE32-E72D297353CC}">
                    <c16:uniqueId val="{00000009-AF66-4802-8681-EAB0EBA7CE3D}"/>
                  </c:ext>
                </c:extLst>
              </c15:ser>
            </c15:filteredScatterSeries>
            <c15:filteredScatterSeries>
              <c15:ser>
                <c:idx val="10"/>
                <c:order val="10"/>
                <c:tx>
                  <c:strRef>
                    <c:extLst xmlns:c15="http://schemas.microsoft.com/office/drawing/2012/chart">
                      <c:ext xmlns:c15="http://schemas.microsoft.com/office/drawing/2012/chart" uri="{02D57815-91ED-43cb-92C2-25804820EDAC}">
                        <c15:formulaRef>
                          <c15:sqref>Sheet1!$AR$19</c15:sqref>
                        </c15:formulaRef>
                      </c:ext>
                    </c:extLst>
                    <c:strCache>
                      <c:ptCount val="1"/>
                      <c:pt idx="0">
                        <c:v>ROAS</c:v>
                      </c:pt>
                    </c:strCache>
                  </c:strRef>
                </c:tx>
                <c:spPr>
                  <a:ln w="38100" cap="rnd">
                    <a:noFill/>
                    <a:round/>
                  </a:ln>
                  <a:effectLst/>
                </c:spPr>
                <c:marker>
                  <c:symbol val="circle"/>
                  <c:size val="5"/>
                  <c:spPr>
                    <a:solidFill>
                      <a:schemeClr val="accent5">
                        <a:lumMod val="60000"/>
                      </a:schemeClr>
                    </a:solidFill>
                    <a:ln w="9525">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Sheet1!$AR$20:$AR$23</c15:sqref>
                        </c15:formulaRef>
                      </c:ext>
                    </c:extLst>
                    <c:numCache>
                      <c:formatCode>0.00</c:formatCode>
                      <c:ptCount val="4"/>
                      <c:pt idx="0">
                        <c:v>1.4211907779276358</c:v>
                      </c:pt>
                      <c:pt idx="1">
                        <c:v>1.4343320591890323</c:v>
                      </c:pt>
                      <c:pt idx="2">
                        <c:v>1.4194727903380493</c:v>
                      </c:pt>
                      <c:pt idx="3">
                        <c:v>1.4104066308548251</c:v>
                      </c:pt>
                    </c:numCache>
                  </c:numRef>
                </c:yVal>
                <c:smooth val="0"/>
                <c:extLst xmlns:c15="http://schemas.microsoft.com/office/drawing/2012/chart">
                  <c:ext xmlns:c16="http://schemas.microsoft.com/office/drawing/2014/chart" uri="{C3380CC4-5D6E-409C-BE32-E72D297353CC}">
                    <c16:uniqueId val="{0000000A-AF66-4802-8681-EAB0EBA7CE3D}"/>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Sheet1!$AS$19</c15:sqref>
                        </c15:formulaRef>
                      </c:ext>
                    </c:extLst>
                    <c:strCache>
                      <c:ptCount val="1"/>
                      <c:pt idx="0">
                        <c:v>CPA</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Sheet1!$AS$20:$AS$23</c15:sqref>
                        </c15:formulaRef>
                      </c:ext>
                    </c:extLst>
                    <c:numCache>
                      <c:formatCode>#\ ##0.00\ "₴"</c:formatCode>
                      <c:ptCount val="4"/>
                      <c:pt idx="0">
                        <c:v>32.68737430167598</c:v>
                      </c:pt>
                      <c:pt idx="1">
                        <c:v>32.987660295185094</c:v>
                      </c:pt>
                      <c:pt idx="2">
                        <c:v>32.913650343032884</c:v>
                      </c:pt>
                      <c:pt idx="3">
                        <c:v>33.497677829381573</c:v>
                      </c:pt>
                    </c:numCache>
                  </c:numRef>
                </c:yVal>
                <c:smooth val="0"/>
                <c:extLst xmlns:c15="http://schemas.microsoft.com/office/drawing/2012/chart">
                  <c:ext xmlns:c16="http://schemas.microsoft.com/office/drawing/2014/chart" uri="{C3380CC4-5D6E-409C-BE32-E72D297353CC}">
                    <c16:uniqueId val="{0000000B-AF66-4802-8681-EAB0EBA7CE3D}"/>
                  </c:ext>
                </c:extLst>
              </c15:ser>
            </c15:filteredScatterSeries>
          </c:ext>
        </c:extLst>
      </c:scatterChart>
      <c:valAx>
        <c:axId val="1930163663"/>
        <c:scaling>
          <c:orientation val="minMax"/>
        </c:scaling>
        <c:delete val="1"/>
        <c:axPos val="b"/>
        <c:majorTickMark val="none"/>
        <c:minorTickMark val="none"/>
        <c:tickLblPos val="nextTo"/>
        <c:crossAx val="1930165583"/>
        <c:crosses val="autoZero"/>
        <c:crossBetween val="midCat"/>
      </c:valAx>
      <c:valAx>
        <c:axId val="1930165583"/>
        <c:scaling>
          <c:orientation val="minMax"/>
        </c:scaling>
        <c:delete val="0"/>
        <c:axPos val="l"/>
        <c:numFmt formatCode="_-[$$-409]* #\ ##0_ ;_-[$$-409]* \-#\ ##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9301636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 Ads Dashboard Excel.xlsx]Sheet1!PivotTable10</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0129222766646965E-2"/>
          <c:y val="6.7601469029955494E-2"/>
          <c:w val="0.51904207323238472"/>
          <c:h val="0.80700442818570606"/>
        </c:manualLayout>
      </c:layout>
      <c:doughnutChart>
        <c:varyColors val="1"/>
        <c:ser>
          <c:idx val="0"/>
          <c:order val="0"/>
          <c:tx>
            <c:strRef>
              <c:f>Sheet1!$AB$21</c:f>
              <c:strCache>
                <c:ptCount val="1"/>
                <c:pt idx="0">
                  <c:v>Total</c:v>
                </c:pt>
              </c:strCache>
            </c:strRef>
          </c:tx>
          <c:dPt>
            <c:idx val="0"/>
            <c:bubble3D val="0"/>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78-4A44-9C10-DD5D6CC51CDC}"/>
              </c:ext>
            </c:extLst>
          </c:dPt>
          <c:dPt>
            <c:idx val="1"/>
            <c:bubble3D val="0"/>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78-4A44-9C10-DD5D6CC51CDC}"/>
              </c:ext>
            </c:extLst>
          </c:dPt>
          <c:dPt>
            <c:idx val="2"/>
            <c:bubble3D val="0"/>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78-4A44-9C10-DD5D6CC51CDC}"/>
              </c:ext>
            </c:extLst>
          </c:dPt>
          <c:dPt>
            <c:idx val="3"/>
            <c:bubble3D val="0"/>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E78-4A44-9C10-DD5D6CC51CDC}"/>
              </c:ext>
            </c:extLst>
          </c:dPt>
          <c:dPt>
            <c:idx val="4"/>
            <c:bubble3D val="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E78-4A44-9C10-DD5D6CC51CDC}"/>
              </c:ext>
            </c:extLst>
          </c:dPt>
          <c:dPt>
            <c:idx val="5"/>
            <c:bubble3D val="0"/>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E78-4A44-9C10-DD5D6CC51C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Sheet1!$AA$22:$AA$28</c:f>
              <c:strCache>
                <c:ptCount val="6"/>
                <c:pt idx="0">
                  <c:v>Analytics for data</c:v>
                </c:pt>
                <c:pt idx="1">
                  <c:v>Data analytics course</c:v>
                </c:pt>
                <c:pt idx="2">
                  <c:v>Data analytics online</c:v>
                </c:pt>
                <c:pt idx="3">
                  <c:v>Data analytics training</c:v>
                </c:pt>
                <c:pt idx="4">
                  <c:v>Learn data analytics</c:v>
                </c:pt>
                <c:pt idx="5">
                  <c:v>Online data analytics</c:v>
                </c:pt>
              </c:strCache>
            </c:strRef>
          </c:cat>
          <c:val>
            <c:numRef>
              <c:f>Sheet1!$AB$22:$AB$28</c:f>
              <c:numCache>
                <c:formatCode>General</c:formatCode>
                <c:ptCount val="6"/>
                <c:pt idx="0">
                  <c:v>2744</c:v>
                </c:pt>
                <c:pt idx="1">
                  <c:v>2899</c:v>
                </c:pt>
                <c:pt idx="2">
                  <c:v>2684</c:v>
                </c:pt>
                <c:pt idx="3">
                  <c:v>2728</c:v>
                </c:pt>
                <c:pt idx="4">
                  <c:v>2881</c:v>
                </c:pt>
                <c:pt idx="5">
                  <c:v>2990</c:v>
                </c:pt>
              </c:numCache>
            </c:numRef>
          </c:val>
          <c:extLst>
            <c:ext xmlns:c16="http://schemas.microsoft.com/office/drawing/2014/chart" uri="{C3380CC4-5D6E-409C-BE32-E72D297353CC}">
              <c16:uniqueId val="{0000000C-1E78-4A44-9C10-DD5D6CC51CD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5304783139119096"/>
          <c:y val="9.765548079457359E-2"/>
          <c:w val="0.420479302832244"/>
          <c:h val="0.7849719379939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 Ads Dashboard Excel.xlsx]Sheet1!PivotTable11</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2.8153153153153152E-3"/>
              <c:y val="2.0833880139982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extLst>
            <c:ext xmlns:c15="http://schemas.microsoft.com/office/drawing/2012/chart" uri="{CE6537A1-D6FC-4f65-9D91-7224C49458BB}">
              <c15:layout>
                <c:manualLayout>
                  <c:w val="0.22103062708377669"/>
                  <c:h val="0.2496877734033246"/>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0042873790790277E-2"/>
          <c:y val="7.8102738948594569E-2"/>
          <c:w val="0.62136645533130719"/>
          <c:h val="0.78020122053297325"/>
        </c:manualLayout>
      </c:layout>
      <c:doughnutChart>
        <c:varyColors val="1"/>
        <c:ser>
          <c:idx val="0"/>
          <c:order val="0"/>
          <c:tx>
            <c:strRef>
              <c:f>Sheet1!$AE$21</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E00-46EA-B2BD-C31884C3052A}"/>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E00-46EA-B2BD-C31884C3052A}"/>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E00-46EA-B2BD-C31884C3052A}"/>
              </c:ext>
            </c:extLst>
          </c:dPt>
          <c:dLbls>
            <c:dLbl>
              <c:idx val="0"/>
              <c:layout>
                <c:manualLayout>
                  <c:x val="-2.8153153153153152E-3"/>
                  <c:y val="2.0833880139982504E-2"/>
                </c:manualLayout>
              </c:layout>
              <c:showLegendKey val="0"/>
              <c:showVal val="0"/>
              <c:showCatName val="1"/>
              <c:showSerName val="0"/>
              <c:showPercent val="1"/>
              <c:showBubbleSize val="0"/>
              <c:extLst>
                <c:ext xmlns:c15="http://schemas.microsoft.com/office/drawing/2012/chart" uri="{CE6537A1-D6FC-4f65-9D91-7224C49458BB}">
                  <c15:layout>
                    <c:manualLayout>
                      <c:w val="0.22103062708377669"/>
                      <c:h val="0.2496877734033246"/>
                    </c:manualLayout>
                  </c15:layout>
                </c:ext>
                <c:ext xmlns:c16="http://schemas.microsoft.com/office/drawing/2014/chart" uri="{C3380CC4-5D6E-409C-BE32-E72D297353CC}">
                  <c16:uniqueId val="{00000001-DE00-46EA-B2BD-C31884C305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k-UA"/>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Sheet1!$AD$22:$AD$25</c:f>
              <c:strCache>
                <c:ptCount val="3"/>
                <c:pt idx="0">
                  <c:v>Desktop</c:v>
                </c:pt>
                <c:pt idx="1">
                  <c:v>Mobile</c:v>
                </c:pt>
                <c:pt idx="2">
                  <c:v>Tablet</c:v>
                </c:pt>
              </c:strCache>
            </c:strRef>
          </c:cat>
          <c:val>
            <c:numRef>
              <c:f>Sheet1!$AE$22:$AE$25</c:f>
              <c:numCache>
                <c:formatCode>General</c:formatCode>
                <c:ptCount val="3"/>
                <c:pt idx="0">
                  <c:v>5784</c:v>
                </c:pt>
                <c:pt idx="1">
                  <c:v>5796</c:v>
                </c:pt>
                <c:pt idx="2">
                  <c:v>5346</c:v>
                </c:pt>
              </c:numCache>
            </c:numRef>
          </c:val>
          <c:extLst>
            <c:ext xmlns:c16="http://schemas.microsoft.com/office/drawing/2014/chart" uri="{C3380CC4-5D6E-409C-BE32-E72D297353CC}">
              <c16:uniqueId val="{00000006-DE00-46EA-B2BD-C31884C305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092686928954284"/>
          <c:y val="0.26005611367544573"/>
          <c:w val="0.26439914580046625"/>
          <c:h val="0.3879337496606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Dashboard Excel.xlsx]Sheet1!PivotTable9</c:name>
    <c:fmtId val="9"/>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4689413823273E-3"/>
          <c:y val="0.26856218751610744"/>
          <c:w val="0.98809743675810402"/>
          <c:h val="0.59441150738510629"/>
        </c:manualLayout>
      </c:layout>
      <c:lineChart>
        <c:grouping val="stacked"/>
        <c:varyColors val="0"/>
        <c:ser>
          <c:idx val="0"/>
          <c:order val="0"/>
          <c:tx>
            <c:strRef>
              <c:f>Sheet1!$Y$21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Sheet1!$X$22:$X$29</c:f>
              <c:strCache>
                <c:ptCount val="7"/>
                <c:pt idx="0">
                  <c:v>Monday</c:v>
                </c:pt>
                <c:pt idx="1">
                  <c:v>Tuesday</c:v>
                </c:pt>
                <c:pt idx="2">
                  <c:v>Wednesday</c:v>
                </c:pt>
                <c:pt idx="3">
                  <c:v>Thursday</c:v>
                </c:pt>
                <c:pt idx="4">
                  <c:v>Friday</c:v>
                </c:pt>
                <c:pt idx="5">
                  <c:v>Saturday</c:v>
                </c:pt>
                <c:pt idx="6">
                  <c:v>Sunday</c:v>
                </c:pt>
              </c:strCache>
            </c:strRef>
          </c:cat>
          <c:val>
            <c:numRef>
              <c:f>Sheet1!$Y$22:$Y$29</c:f>
              <c:numCache>
                <c:formatCode>General</c:formatCode>
                <c:ptCount val="7"/>
                <c:pt idx="0">
                  <c:v>2274</c:v>
                </c:pt>
                <c:pt idx="1">
                  <c:v>2277</c:v>
                </c:pt>
                <c:pt idx="2">
                  <c:v>2277</c:v>
                </c:pt>
                <c:pt idx="3">
                  <c:v>2425</c:v>
                </c:pt>
                <c:pt idx="4">
                  <c:v>2845</c:v>
                </c:pt>
                <c:pt idx="5">
                  <c:v>2749</c:v>
                </c:pt>
                <c:pt idx="6">
                  <c:v>2079</c:v>
                </c:pt>
              </c:numCache>
            </c:numRef>
          </c:val>
          <c:smooth val="0"/>
          <c:extLst>
            <c:ext xmlns:c16="http://schemas.microsoft.com/office/drawing/2014/chart" uri="{C3380CC4-5D6E-409C-BE32-E72D297353CC}">
              <c16:uniqueId val="{00000000-2E4A-43E1-B45B-0060D665F825}"/>
            </c:ext>
          </c:extLst>
        </c:ser>
        <c:dLbls>
          <c:showLegendKey val="0"/>
          <c:showVal val="0"/>
          <c:showCatName val="0"/>
          <c:showSerName val="0"/>
          <c:showPercent val="0"/>
          <c:showBubbleSize val="0"/>
        </c:dLbls>
        <c:marker val="1"/>
        <c:smooth val="0"/>
        <c:axId val="798471247"/>
        <c:axId val="798467407"/>
      </c:lineChart>
      <c:catAx>
        <c:axId val="798471247"/>
        <c:scaling>
          <c:orientation val="minMax"/>
        </c:scaling>
        <c:delete val="0"/>
        <c:axPos val="b"/>
        <c:numFmt formatCode="General" sourceLinked="1"/>
        <c:majorTickMark val="out"/>
        <c:minorTickMark val="none"/>
        <c:tickLblPos val="nextTo"/>
        <c:spPr>
          <a:noFill/>
          <a:ln w="9525" cap="flat" cmpd="sng" algn="ctr">
            <a:gradFill flip="none" rotWithShape="1">
              <a:gsLst>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crossAx val="798467407"/>
        <c:crosses val="autoZero"/>
        <c:auto val="1"/>
        <c:lblAlgn val="ctr"/>
        <c:lblOffset val="100"/>
        <c:noMultiLvlLbl val="0"/>
      </c:catAx>
      <c:valAx>
        <c:axId val="798467407"/>
        <c:scaling>
          <c:orientation val="minMax"/>
          <c:min val="1500"/>
        </c:scaling>
        <c:delete val="1"/>
        <c:axPos val="l"/>
        <c:numFmt formatCode="General" sourceLinked="1"/>
        <c:majorTickMark val="none"/>
        <c:minorTickMark val="none"/>
        <c:tickLblPos val="nextTo"/>
        <c:crossAx val="798471247"/>
        <c:crosses val="autoZero"/>
        <c:crossBetween val="between"/>
        <c:minorUnit val="5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08615949267489"/>
          <c:y val="0.1617832737868119"/>
          <c:w val="0.76890529308836397"/>
          <c:h val="0.74406558211060625"/>
        </c:manualLayout>
      </c:layout>
      <c:scatterChart>
        <c:scatterStyle val="lineMarker"/>
        <c:varyColors val="0"/>
        <c:ser>
          <c:idx val="4"/>
          <c:order val="4"/>
          <c:tx>
            <c:strRef>
              <c:f>Sheet1!$AL$19</c:f>
              <c:strCache>
                <c:ptCount val="1"/>
                <c:pt idx="0">
                  <c:v>Cost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cap="rnd">
                <a:solidFill>
                  <a:schemeClr val="accent3">
                    <a:lumMod val="60000"/>
                  </a:schemeClr>
                </a:solidFill>
                <a:round/>
              </a:ln>
              <a:effectLst>
                <a:outerShdw blurRad="57150" dist="19050" dir="5400000" algn="ctr" rotWithShape="0">
                  <a:srgbClr val="000000">
                    <a:alpha val="63000"/>
                  </a:srgbClr>
                </a:outerShdw>
              </a:effectLst>
            </c:spPr>
          </c:marker>
          <c:dLbls>
            <c:dLbl>
              <c:idx val="0"/>
              <c:tx>
                <c:rich>
                  <a:bodyPr/>
                  <a:lstStyle/>
                  <a:p>
                    <a:fld id="{39A24D89-521A-4329-8CFA-09ED11E6FDAC}" type="CELLRANGE">
                      <a:rPr lang="en-US"/>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B62-4C1D-B7B1-5B22849FA1E6}"/>
                </c:ext>
              </c:extLst>
            </c:dLbl>
            <c:dLbl>
              <c:idx val="1"/>
              <c:tx>
                <c:rich>
                  <a:bodyPr/>
                  <a:lstStyle/>
                  <a:p>
                    <a:fld id="{8580CB03-5CF9-45AD-BB60-8B5EF1DEFAC6}"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B62-4C1D-B7B1-5B22849FA1E6}"/>
                </c:ext>
              </c:extLst>
            </c:dLbl>
            <c:dLbl>
              <c:idx val="2"/>
              <c:tx>
                <c:rich>
                  <a:bodyPr/>
                  <a:lstStyle/>
                  <a:p>
                    <a:fld id="{7E06730E-A13D-4A0B-935A-F5813CEB10DA}"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B62-4C1D-B7B1-5B22849FA1E6}"/>
                </c:ext>
              </c:extLst>
            </c:dLbl>
            <c:dLbl>
              <c:idx val="3"/>
              <c:tx>
                <c:rich>
                  <a:bodyPr/>
                  <a:lstStyle/>
                  <a:p>
                    <a:fld id="{56D62979-B852-4908-A747-9862481FC8BF}" type="CELLRANGE">
                      <a:rPr lang="uk-UA"/>
                      <a:pPr/>
                      <a:t>[CELLRANGE]</a:t>
                    </a:fld>
                    <a:endParaRPr lang="uk-U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B62-4C1D-B7B1-5B22849FA1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Sheet1!$AG$20:$AG$23</c:f>
              <c:strCache>
                <c:ptCount val="4"/>
                <c:pt idx="0">
                  <c:v>Data Analytics Course: Advanced</c:v>
                </c:pt>
                <c:pt idx="1">
                  <c:v>Data Analytics Course: Basics</c:v>
                </c:pt>
                <c:pt idx="2">
                  <c:v>Data Analytics Course: ML</c:v>
                </c:pt>
                <c:pt idx="3">
                  <c:v>Data Analytics Course: Visualizations</c:v>
                </c:pt>
              </c:strCache>
            </c:strRef>
          </c:xVal>
          <c:yVal>
            <c:numRef>
              <c:f>Sheet1!$AL$20:$AL$23</c:f>
              <c:numCache>
                <c:formatCode>_-[$$-409]* #\ ##0_ ;_-[$$-409]* \-#\ ##0\ ;_-[$$-409]* "-"??_ ;_-@_ </c:formatCode>
                <c:ptCount val="4"/>
                <c:pt idx="0">
                  <c:v>146276</c:v>
                </c:pt>
                <c:pt idx="1">
                  <c:v>136338</c:v>
                </c:pt>
                <c:pt idx="2">
                  <c:v>139126</c:v>
                </c:pt>
                <c:pt idx="3">
                  <c:v>137039</c:v>
                </c:pt>
              </c:numCache>
            </c:numRef>
          </c:yVal>
          <c:smooth val="0"/>
          <c:extLst>
            <c:ext xmlns:c15="http://schemas.microsoft.com/office/drawing/2012/chart" uri="{02D57815-91ED-43cb-92C2-25804820EDAC}">
              <c15:datalabelsRange>
                <c15:f>Sheet1!$AG$20:$AG$23</c15:f>
                <c15:dlblRangeCache>
                  <c:ptCount val="4"/>
                  <c:pt idx="0">
                    <c:v>Data Analytics Course: Advanced</c:v>
                  </c:pt>
                  <c:pt idx="1">
                    <c:v>Data Analytics Course: Basics</c:v>
                  </c:pt>
                  <c:pt idx="2">
                    <c:v>Data Analytics Course: ML</c:v>
                  </c:pt>
                  <c:pt idx="3">
                    <c:v>Data Analytics Course: Visualizations</c:v>
                  </c:pt>
                </c15:dlblRangeCache>
              </c15:datalabelsRange>
            </c:ext>
            <c:ext xmlns:c16="http://schemas.microsoft.com/office/drawing/2014/chart" uri="{C3380CC4-5D6E-409C-BE32-E72D297353CC}">
              <c16:uniqueId val="{00000004-5B62-4C1D-B7B1-5B22849FA1E6}"/>
            </c:ext>
          </c:extLst>
        </c:ser>
        <c:ser>
          <c:idx val="5"/>
          <c:order val="5"/>
          <c:tx>
            <c:strRef>
              <c:f>Sheet1!$AM$19</c:f>
              <c:strCache>
                <c:ptCount val="1"/>
                <c:pt idx="0">
                  <c:v>Revenue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cap="rnd">
                <a:solidFill>
                  <a:schemeClr val="accent5">
                    <a:lumMod val="60000"/>
                  </a:schemeClr>
                </a:solidFill>
                <a:round/>
              </a:ln>
              <a:effectLst>
                <a:outerShdw blurRad="57150" dist="19050" dir="5400000" algn="ctr" rotWithShape="0">
                  <a:srgbClr val="000000">
                    <a:alpha val="63000"/>
                  </a:srgbClr>
                </a:outerShdw>
              </a:effectLst>
            </c:spPr>
          </c:marker>
          <c:dLbls>
            <c:delete val="1"/>
          </c:dLbls>
          <c:xVal>
            <c:strRef>
              <c:f>Sheet1!$AG$20:$AG$23</c:f>
              <c:strCache>
                <c:ptCount val="4"/>
                <c:pt idx="0">
                  <c:v>Data Analytics Course: Advanced</c:v>
                </c:pt>
                <c:pt idx="1">
                  <c:v>Data Analytics Course: Basics</c:v>
                </c:pt>
                <c:pt idx="2">
                  <c:v>Data Analytics Course: ML</c:v>
                </c:pt>
                <c:pt idx="3">
                  <c:v>Data Analytics Course: Visualizations</c:v>
                </c:pt>
              </c:strCache>
            </c:strRef>
          </c:xVal>
          <c:yVal>
            <c:numRef>
              <c:f>Sheet1!$AM$20:$AM$23</c:f>
              <c:numCache>
                <c:formatCode>_-[$$-409]* #\ ##0_ ;_-[$$-409]* \-#\ ##0\ ;_-[$$-409]* "-"??_ ;_-@_ </c:formatCode>
                <c:ptCount val="4"/>
                <c:pt idx="0">
                  <c:v>207886.10223214285</c:v>
                </c:pt>
                <c:pt idx="1">
                  <c:v>195553.96428571429</c:v>
                </c:pt>
                <c:pt idx="2">
                  <c:v>197485.57142857145</c:v>
                </c:pt>
                <c:pt idx="3">
                  <c:v>193280.71428571438</c:v>
                </c:pt>
              </c:numCache>
            </c:numRef>
          </c:yVal>
          <c:smooth val="0"/>
          <c:extLst>
            <c:ext xmlns:c16="http://schemas.microsoft.com/office/drawing/2014/chart" uri="{C3380CC4-5D6E-409C-BE32-E72D297353CC}">
              <c16:uniqueId val="{00000005-5B62-4C1D-B7B1-5B22849FA1E6}"/>
            </c:ext>
          </c:extLst>
        </c:ser>
        <c:dLbls>
          <c:dLblPos val="t"/>
          <c:showLegendKey val="0"/>
          <c:showVal val="1"/>
          <c:showCatName val="0"/>
          <c:showSerName val="0"/>
          <c:showPercent val="0"/>
          <c:showBubbleSize val="0"/>
        </c:dLbls>
        <c:axId val="1930163663"/>
        <c:axId val="1930165583"/>
        <c:extLst>
          <c:ext xmlns:c15="http://schemas.microsoft.com/office/drawing/2012/chart" uri="{02D57815-91ED-43cb-92C2-25804820EDAC}">
            <c15:filteredScatterSeries>
              <c15:ser>
                <c:idx val="0"/>
                <c:order val="0"/>
                <c:tx>
                  <c:strRef>
                    <c:extLst>
                      <c:ext uri="{02D57815-91ED-43cb-92C2-25804820EDAC}">
                        <c15:formulaRef>
                          <c15:sqref>Sheet1!$AH$19</c15:sqref>
                        </c15:formulaRef>
                      </c:ext>
                    </c:extLst>
                    <c:strCache>
                      <c:ptCount val="1"/>
                      <c:pt idx="0">
                        <c:v>Покази</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c:ex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c:ext uri="{02D57815-91ED-43cb-92C2-25804820EDAC}">
                        <c15:formulaRef>
                          <c15:sqref>Sheet1!$AH$20:$AH$23</c15:sqref>
                        </c15:formulaRef>
                      </c:ext>
                    </c:extLst>
                    <c:numCache>
                      <c:formatCode>General</c:formatCode>
                      <c:ptCount val="4"/>
                      <c:pt idx="0">
                        <c:v>3060295</c:v>
                      </c:pt>
                      <c:pt idx="1">
                        <c:v>2882552</c:v>
                      </c:pt>
                      <c:pt idx="2">
                        <c:v>2934820</c:v>
                      </c:pt>
                      <c:pt idx="3">
                        <c:v>2884322</c:v>
                      </c:pt>
                    </c:numCache>
                  </c:numRef>
                </c:yVal>
                <c:smooth val="0"/>
                <c:extLst>
                  <c:ext xmlns:c16="http://schemas.microsoft.com/office/drawing/2014/chart" uri="{C3380CC4-5D6E-409C-BE32-E72D297353CC}">
                    <c16:uniqueId val="{00000006-5B62-4C1D-B7B1-5B22849FA1E6}"/>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Sheet1!$AI$19</c15:sqref>
                        </c15:formulaRef>
                      </c:ext>
                    </c:extLst>
                    <c:strCache>
                      <c:ptCount val="1"/>
                      <c:pt idx="0">
                        <c:v>Кліки</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Sheet1!$AI$20:$AI$23</c15:sqref>
                        </c15:formulaRef>
                      </c:ext>
                    </c:extLst>
                    <c:numCache>
                      <c:formatCode>General</c:formatCode>
                      <c:ptCount val="4"/>
                      <c:pt idx="0">
                        <c:v>93021</c:v>
                      </c:pt>
                      <c:pt idx="1">
                        <c:v>88102</c:v>
                      </c:pt>
                      <c:pt idx="2">
                        <c:v>91462</c:v>
                      </c:pt>
                      <c:pt idx="3">
                        <c:v>87945</c:v>
                      </c:pt>
                    </c:numCache>
                  </c:numRef>
                </c:yVal>
                <c:smooth val="0"/>
                <c:extLst xmlns:c15="http://schemas.microsoft.com/office/drawing/2012/chart">
                  <c:ext xmlns:c16="http://schemas.microsoft.com/office/drawing/2014/chart" uri="{C3380CC4-5D6E-409C-BE32-E72D297353CC}">
                    <c16:uniqueId val="{00000007-5B62-4C1D-B7B1-5B22849FA1E6}"/>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Sheet1!$AJ$19</c15:sqref>
                        </c15:formulaRef>
                      </c:ext>
                    </c:extLst>
                    <c:strCache>
                      <c:ptCount val="1"/>
                      <c:pt idx="0">
                        <c:v>Ліди</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Sheet1!$AJ$20:$AJ$23</c15:sqref>
                        </c15:formulaRef>
                      </c:ext>
                    </c:extLst>
                    <c:numCache>
                      <c:formatCode>General</c:formatCode>
                      <c:ptCount val="4"/>
                      <c:pt idx="0">
                        <c:v>13739</c:v>
                      </c:pt>
                      <c:pt idx="1">
                        <c:v>12617</c:v>
                      </c:pt>
                      <c:pt idx="2">
                        <c:v>12747</c:v>
                      </c:pt>
                      <c:pt idx="3">
                        <c:v>12744</c:v>
                      </c:pt>
                    </c:numCache>
                  </c:numRef>
                </c:yVal>
                <c:smooth val="0"/>
                <c:extLst xmlns:c15="http://schemas.microsoft.com/office/drawing/2012/chart">
                  <c:ext xmlns:c16="http://schemas.microsoft.com/office/drawing/2014/chart" uri="{C3380CC4-5D6E-409C-BE32-E72D297353CC}">
                    <c16:uniqueId val="{00000008-5B62-4C1D-B7B1-5B22849FA1E6}"/>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Sheet1!$AK$19</c15:sqref>
                        </c15:formulaRef>
                      </c:ext>
                    </c:extLst>
                    <c:strCache>
                      <c:ptCount val="1"/>
                      <c:pt idx="0">
                        <c:v>Конверсії</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cap="rnd">
                      <a:solidFill>
                        <a:schemeClr val="accent1">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Sheet1!$AK$20:$AK$23</c15:sqref>
                        </c15:formulaRef>
                      </c:ext>
                    </c:extLst>
                    <c:numCache>
                      <c:formatCode>General</c:formatCode>
                      <c:ptCount val="4"/>
                      <c:pt idx="0">
                        <c:v>4475</c:v>
                      </c:pt>
                      <c:pt idx="1">
                        <c:v>4133</c:v>
                      </c:pt>
                      <c:pt idx="2">
                        <c:v>4227</c:v>
                      </c:pt>
                      <c:pt idx="3">
                        <c:v>4091</c:v>
                      </c:pt>
                    </c:numCache>
                  </c:numRef>
                </c:yVal>
                <c:smooth val="0"/>
                <c:extLst xmlns:c15="http://schemas.microsoft.com/office/drawing/2012/chart">
                  <c:ext xmlns:c16="http://schemas.microsoft.com/office/drawing/2014/chart" uri="{C3380CC4-5D6E-409C-BE32-E72D297353CC}">
                    <c16:uniqueId val="{00000009-5B62-4C1D-B7B1-5B22849FA1E6}"/>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Sheet1!$AN$19</c15:sqref>
                        </c15:formulaRef>
                      </c:ext>
                    </c:extLst>
                    <c:strCache>
                      <c:ptCount val="1"/>
                      <c:pt idx="0">
                        <c:v>CPC</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cap="rnd">
                      <a:solidFill>
                        <a:schemeClr val="accent1">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Sheet1!$AN$20:$AN$23</c15:sqref>
                        </c15:formulaRef>
                      </c:ext>
                    </c:extLst>
                    <c:numCache>
                      <c:formatCode>#\ ##0.00\ "₴"</c:formatCode>
                      <c:ptCount val="4"/>
                      <c:pt idx="0">
                        <c:v>1.5725051332494813</c:v>
                      </c:pt>
                      <c:pt idx="1">
                        <c:v>1.5475017593244194</c:v>
                      </c:pt>
                      <c:pt idx="2">
                        <c:v>1.5211344602129846</c:v>
                      </c:pt>
                      <c:pt idx="3">
                        <c:v>1.5582352606742851</c:v>
                      </c:pt>
                    </c:numCache>
                  </c:numRef>
                </c:yVal>
                <c:smooth val="0"/>
                <c:extLst xmlns:c15="http://schemas.microsoft.com/office/drawing/2012/chart">
                  <c:ext xmlns:c16="http://schemas.microsoft.com/office/drawing/2014/chart" uri="{C3380CC4-5D6E-409C-BE32-E72D297353CC}">
                    <c16:uniqueId val="{0000000A-5B62-4C1D-B7B1-5B22849FA1E6}"/>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Sheet1!$AO$19</c15:sqref>
                        </c15:formulaRef>
                      </c:ext>
                    </c:extLst>
                    <c:strCache>
                      <c:ptCount val="1"/>
                      <c:pt idx="0">
                        <c:v>CTR</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cap="rnd">
                      <a:solidFill>
                        <a:schemeClr val="accent3">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Sheet1!$AO$20:$AO$23</c15:sqref>
                        </c15:formulaRef>
                      </c:ext>
                    </c:extLst>
                    <c:numCache>
                      <c:formatCode>0.00</c:formatCode>
                      <c:ptCount val="4"/>
                      <c:pt idx="0">
                        <c:v>3.0396089265904105</c:v>
                      </c:pt>
                      <c:pt idx="1">
                        <c:v>3.056388922038527</c:v>
                      </c:pt>
                      <c:pt idx="2">
                        <c:v>3.1164432571673903</c:v>
                      </c:pt>
                      <c:pt idx="3">
                        <c:v>3.0490701107573979</c:v>
                      </c:pt>
                    </c:numCache>
                  </c:numRef>
                </c:yVal>
                <c:smooth val="0"/>
                <c:extLst xmlns:c15="http://schemas.microsoft.com/office/drawing/2012/chart">
                  <c:ext xmlns:c16="http://schemas.microsoft.com/office/drawing/2014/chart" uri="{C3380CC4-5D6E-409C-BE32-E72D297353CC}">
                    <c16:uniqueId val="{0000000B-5B62-4C1D-B7B1-5B22849FA1E6}"/>
                  </c:ext>
                </c:extLst>
              </c15:ser>
            </c15:filteredScatterSeries>
            <c15:filteredScatterSeries>
              <c15:ser>
                <c:idx val="8"/>
                <c:order val="8"/>
                <c:tx>
                  <c:strRef>
                    <c:extLst xmlns:c15="http://schemas.microsoft.com/office/drawing/2012/chart">
                      <c:ext xmlns:c15="http://schemas.microsoft.com/office/drawing/2012/chart" uri="{02D57815-91ED-43cb-92C2-25804820EDAC}">
                        <c15:formulaRef>
                          <c15:sqref>Sheet1!$AP$19</c15:sqref>
                        </c15:formulaRef>
                      </c:ext>
                    </c:extLst>
                    <c:strCache>
                      <c:ptCount val="1"/>
                      <c:pt idx="0">
                        <c:v>CPL</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cap="rnd">
                      <a:solidFill>
                        <a:schemeClr val="accent5">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Sheet1!$AP$20:$AP$23</c15:sqref>
                        </c15:formulaRef>
                      </c:ext>
                    </c:extLst>
                    <c:numCache>
                      <c:formatCode>#\ ##0.00\ "₴"</c:formatCode>
                      <c:ptCount val="4"/>
                      <c:pt idx="0">
                        <c:v>10.646771963024966</c:v>
                      </c:pt>
                      <c:pt idx="1">
                        <c:v>10.805896805896806</c:v>
                      </c:pt>
                      <c:pt idx="2">
                        <c:v>10.914411234015846</c:v>
                      </c:pt>
                      <c:pt idx="3">
                        <c:v>10.753217200251099</c:v>
                      </c:pt>
                    </c:numCache>
                  </c:numRef>
                </c:yVal>
                <c:smooth val="0"/>
                <c:extLst xmlns:c15="http://schemas.microsoft.com/office/drawing/2012/chart">
                  <c:ext xmlns:c16="http://schemas.microsoft.com/office/drawing/2014/chart" uri="{C3380CC4-5D6E-409C-BE32-E72D297353CC}">
                    <c16:uniqueId val="{0000000C-5B62-4C1D-B7B1-5B22849FA1E6}"/>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Sheet1!$AQ$19</c15:sqref>
                        </c15:formulaRef>
                      </c:ext>
                    </c:extLst>
                    <c:strCache>
                      <c:ptCount val="1"/>
                      <c:pt idx="0">
                        <c:v>ROI</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cap="rnd">
                      <a:solidFill>
                        <a:schemeClr val="accent1">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Sheet1!$AQ$20:$AQ$23</c15:sqref>
                        </c15:formulaRef>
                      </c:ext>
                    </c:extLst>
                    <c:numCache>
                      <c:formatCode>0.00</c:formatCode>
                      <c:ptCount val="4"/>
                      <c:pt idx="0">
                        <c:v>0.42119077792763576</c:v>
                      </c:pt>
                      <c:pt idx="1">
                        <c:v>0.43433205918903234</c:v>
                      </c:pt>
                      <c:pt idx="2">
                        <c:v>0.4194727903380493</c:v>
                      </c:pt>
                      <c:pt idx="3">
                        <c:v>0.41040663085482509</c:v>
                      </c:pt>
                    </c:numCache>
                  </c:numRef>
                </c:yVal>
                <c:smooth val="0"/>
                <c:extLst xmlns:c15="http://schemas.microsoft.com/office/drawing/2012/chart">
                  <c:ext xmlns:c16="http://schemas.microsoft.com/office/drawing/2014/chart" uri="{C3380CC4-5D6E-409C-BE32-E72D297353CC}">
                    <c16:uniqueId val="{0000000D-5B62-4C1D-B7B1-5B22849FA1E6}"/>
                  </c:ext>
                </c:extLst>
              </c15:ser>
            </c15:filteredScatterSeries>
            <c15:filteredScatterSeries>
              <c15:ser>
                <c:idx val="10"/>
                <c:order val="10"/>
                <c:tx>
                  <c:strRef>
                    <c:extLst xmlns:c15="http://schemas.microsoft.com/office/drawing/2012/chart">
                      <c:ext xmlns:c15="http://schemas.microsoft.com/office/drawing/2012/chart" uri="{02D57815-91ED-43cb-92C2-25804820EDAC}">
                        <c15:formulaRef>
                          <c15:sqref>Sheet1!$AR$19</c15:sqref>
                        </c15:formulaRef>
                      </c:ext>
                    </c:extLst>
                    <c:strCache>
                      <c:ptCount val="1"/>
                      <c:pt idx="0">
                        <c:v>ROAS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cap="rnd">
                      <a:solidFill>
                        <a:schemeClr val="accent3">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Sheet1!$AR$20:$AR$23</c15:sqref>
                        </c15:formulaRef>
                      </c:ext>
                    </c:extLst>
                    <c:numCache>
                      <c:formatCode>0.00</c:formatCode>
                      <c:ptCount val="4"/>
                      <c:pt idx="0">
                        <c:v>1.4211907779276358</c:v>
                      </c:pt>
                      <c:pt idx="1">
                        <c:v>1.4343320591890323</c:v>
                      </c:pt>
                      <c:pt idx="2">
                        <c:v>1.4194727903380493</c:v>
                      </c:pt>
                      <c:pt idx="3">
                        <c:v>1.4104066308548251</c:v>
                      </c:pt>
                    </c:numCache>
                  </c:numRef>
                </c:yVal>
                <c:smooth val="0"/>
                <c:extLst xmlns:c15="http://schemas.microsoft.com/office/drawing/2012/chart">
                  <c:ext xmlns:c16="http://schemas.microsoft.com/office/drawing/2014/chart" uri="{C3380CC4-5D6E-409C-BE32-E72D297353CC}">
                    <c16:uniqueId val="{0000000E-5B62-4C1D-B7B1-5B22849FA1E6}"/>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Sheet1!$AS$19</c15:sqref>
                        </c15:formulaRef>
                      </c:ext>
                    </c:extLst>
                    <c:strCache>
                      <c:ptCount val="1"/>
                      <c:pt idx="0">
                        <c:v>CPA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cap="rnd">
                      <a:solidFill>
                        <a:schemeClr val="accent5">
                          <a:lumMod val="8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extLst xmlns:c15="http://schemas.microsoft.com/office/drawing/2012/chart">
                      <c:ext xmlns:c15="http://schemas.microsoft.com/office/drawing/2012/chart" uri="{02D57815-91ED-43cb-92C2-25804820EDAC}">
                        <c15:formulaRef>
                          <c15:sqref>Sheet1!$AG$20:$AG$23</c15:sqref>
                        </c15:formulaRef>
                      </c:ext>
                    </c:extLst>
                    <c:strCache>
                      <c:ptCount val="4"/>
                      <c:pt idx="0">
                        <c:v>Data Analytics Course: Advanced</c:v>
                      </c:pt>
                      <c:pt idx="1">
                        <c:v>Data Analytics Course: Basics</c:v>
                      </c:pt>
                      <c:pt idx="2">
                        <c:v>Data Analytics Course: ML</c:v>
                      </c:pt>
                      <c:pt idx="3">
                        <c:v>Data Analytics Course: Visualizations</c:v>
                      </c:pt>
                    </c:strCache>
                  </c:strRef>
                </c:xVal>
                <c:yVal>
                  <c:numRef>
                    <c:extLst xmlns:c15="http://schemas.microsoft.com/office/drawing/2012/chart">
                      <c:ext xmlns:c15="http://schemas.microsoft.com/office/drawing/2012/chart" uri="{02D57815-91ED-43cb-92C2-25804820EDAC}">
                        <c15:formulaRef>
                          <c15:sqref>Sheet1!$AS$20:$AS$23</c15:sqref>
                        </c15:formulaRef>
                      </c:ext>
                    </c:extLst>
                    <c:numCache>
                      <c:formatCode>#\ ##0.00\ "₴"</c:formatCode>
                      <c:ptCount val="4"/>
                      <c:pt idx="0">
                        <c:v>32.68737430167598</c:v>
                      </c:pt>
                      <c:pt idx="1">
                        <c:v>32.987660295185094</c:v>
                      </c:pt>
                      <c:pt idx="2">
                        <c:v>32.913650343032884</c:v>
                      </c:pt>
                      <c:pt idx="3">
                        <c:v>33.497677829381573</c:v>
                      </c:pt>
                    </c:numCache>
                  </c:numRef>
                </c:yVal>
                <c:smooth val="0"/>
                <c:extLst xmlns:c15="http://schemas.microsoft.com/office/drawing/2012/chart">
                  <c:ext xmlns:c16="http://schemas.microsoft.com/office/drawing/2014/chart" uri="{C3380CC4-5D6E-409C-BE32-E72D297353CC}">
                    <c16:uniqueId val="{0000000F-5B62-4C1D-B7B1-5B22849FA1E6}"/>
                  </c:ext>
                </c:extLst>
              </c15:ser>
            </c15:filteredScatterSeries>
          </c:ext>
        </c:extLst>
      </c:scatterChart>
      <c:valAx>
        <c:axId val="1930163663"/>
        <c:scaling>
          <c:orientation val="minMax"/>
        </c:scaling>
        <c:delete val="1"/>
        <c:axPos val="b"/>
        <c:majorTickMark val="none"/>
        <c:minorTickMark val="none"/>
        <c:tickLblPos val="nextTo"/>
        <c:crossAx val="1930165583"/>
        <c:crosses val="autoZero"/>
        <c:crossBetween val="midCat"/>
      </c:valAx>
      <c:valAx>
        <c:axId val="1930165583"/>
        <c:scaling>
          <c:orientation val="minMax"/>
        </c:scaling>
        <c:delete val="0"/>
        <c:axPos val="l"/>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930163663"/>
        <c:crosses val="autoZero"/>
        <c:crossBetween val="midCat"/>
      </c:valAx>
      <c:spPr>
        <a:noFill/>
        <a:ln>
          <a:noFill/>
        </a:ln>
        <a:effectLst/>
      </c:spPr>
    </c:plotArea>
    <c:legend>
      <c:legendPos val="b"/>
      <c:layout>
        <c:manualLayout>
          <c:xMode val="edge"/>
          <c:yMode val="edge"/>
          <c:x val="0.39688520261186866"/>
          <c:y val="0.86141616659151088"/>
          <c:w val="0.23135565205311406"/>
          <c:h val="0.12389954559644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uk-UA"/>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DCE1FB0F-A056-4852-8095-E1AB9D89F75E}">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42</xdr:col>
      <xdr:colOff>586740</xdr:colOff>
      <xdr:row>0</xdr:row>
      <xdr:rowOff>68580</xdr:rowOff>
    </xdr:from>
    <xdr:to>
      <xdr:col>45</xdr:col>
      <xdr:colOff>586740</xdr:colOff>
      <xdr:row>14</xdr:row>
      <xdr:rowOff>89535</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C43DD7B6-4845-2AA7-DC97-F9191AFE219B}"/>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23751540" y="68580"/>
              <a:ext cx="1828800" cy="258127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579120</xdr:colOff>
      <xdr:row>29</xdr:row>
      <xdr:rowOff>156210</xdr:rowOff>
    </xdr:from>
    <xdr:to>
      <xdr:col>26</xdr:col>
      <xdr:colOff>1089660</xdr:colOff>
      <xdr:row>44</xdr:row>
      <xdr:rowOff>156210</xdr:rowOff>
    </xdr:to>
    <xdr:graphicFrame macro="">
      <xdr:nvGraphicFramePr>
        <xdr:cNvPr id="7" name="Chart 6">
          <a:extLst>
            <a:ext uri="{FF2B5EF4-FFF2-40B4-BE49-F238E27FC236}">
              <a16:creationId xmlns:a16="http://schemas.microsoft.com/office/drawing/2014/main" id="{38E1EBBF-E3B5-6446-B75F-4D5122128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36</xdr:col>
      <xdr:colOff>198120</xdr:colOff>
      <xdr:row>32</xdr:row>
      <xdr:rowOff>137161</xdr:rowOff>
    </xdr:from>
    <xdr:to>
      <xdr:col>38</xdr:col>
      <xdr:colOff>22860</xdr:colOff>
      <xdr:row>44</xdr:row>
      <xdr:rowOff>7621</xdr:rowOff>
    </xdr:to>
    <mc:AlternateContent xmlns:mc="http://schemas.openxmlformats.org/markup-compatibility/2006" xmlns:a14="http://schemas.microsoft.com/office/drawing/2010/main">
      <mc:Choice Requires="a14">
        <xdr:graphicFrame macro="">
          <xdr:nvGraphicFramePr>
            <xdr:cNvPr id="8" name="Keyword">
              <a:extLst>
                <a:ext uri="{FF2B5EF4-FFF2-40B4-BE49-F238E27FC236}">
                  <a16:creationId xmlns:a16="http://schemas.microsoft.com/office/drawing/2014/main" id="{7A2D3913-A915-B6DD-3D92-181B63144234}"/>
                </a:ext>
              </a:extLst>
            </xdr:cNvPr>
            <xdr:cNvGraphicFramePr/>
          </xdr:nvGraphicFramePr>
          <xdr:xfrm>
            <a:off x="0" y="0"/>
            <a:ext cx="0" cy="0"/>
          </xdr:xfrm>
          <a:graphic>
            <a:graphicData uri="http://schemas.microsoft.com/office/drawing/2010/slicer">
              <sle:slicer xmlns:sle="http://schemas.microsoft.com/office/drawing/2010/slicer" name="Keyword"/>
            </a:graphicData>
          </a:graphic>
        </xdr:graphicFrame>
      </mc:Choice>
      <mc:Fallback xmlns="">
        <xdr:sp macro="" textlink="">
          <xdr:nvSpPr>
            <xdr:cNvPr id="0" name=""/>
            <xdr:cNvSpPr>
              <a:spLocks noTextEdit="1"/>
            </xdr:cNvSpPr>
          </xdr:nvSpPr>
          <xdr:spPr>
            <a:xfrm>
              <a:off x="18547080" y="5989321"/>
              <a:ext cx="1828800" cy="206502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51</xdr:col>
      <xdr:colOff>521970</xdr:colOff>
      <xdr:row>2574</xdr:row>
      <xdr:rowOff>140970</xdr:rowOff>
    </xdr:from>
    <xdr:to>
      <xdr:col>59</xdr:col>
      <xdr:colOff>217170</xdr:colOff>
      <xdr:row>2589</xdr:row>
      <xdr:rowOff>140970</xdr:rowOff>
    </xdr:to>
    <xdr:graphicFrame macro="">
      <xdr:nvGraphicFramePr>
        <xdr:cNvPr id="11" name="Chart 10">
          <a:extLst>
            <a:ext uri="{FF2B5EF4-FFF2-40B4-BE49-F238E27FC236}">
              <a16:creationId xmlns:a16="http://schemas.microsoft.com/office/drawing/2014/main" id="{6CCACD05-8CA4-CEBD-ED66-208ADB649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304800</xdr:colOff>
      <xdr:row>31</xdr:row>
      <xdr:rowOff>45720</xdr:rowOff>
    </xdr:from>
    <xdr:to>
      <xdr:col>31</xdr:col>
      <xdr:colOff>106680</xdr:colOff>
      <xdr:row>43</xdr:row>
      <xdr:rowOff>129540</xdr:rowOff>
    </xdr:to>
    <xdr:graphicFrame macro="">
      <xdr:nvGraphicFramePr>
        <xdr:cNvPr id="13" name="Chart 12">
          <a:extLst>
            <a:ext uri="{FF2B5EF4-FFF2-40B4-BE49-F238E27FC236}">
              <a16:creationId xmlns:a16="http://schemas.microsoft.com/office/drawing/2014/main" id="{DCEA557F-CDCA-9B6B-ADD6-3B3CB2792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487680</xdr:colOff>
      <xdr:row>25</xdr:row>
      <xdr:rowOff>45720</xdr:rowOff>
    </xdr:from>
    <xdr:to>
      <xdr:col>46</xdr:col>
      <xdr:colOff>45720</xdr:colOff>
      <xdr:row>40</xdr:row>
      <xdr:rowOff>45720</xdr:rowOff>
    </xdr:to>
    <xdr:graphicFrame macro="">
      <xdr:nvGraphicFramePr>
        <xdr:cNvPr id="14" name="Chart 13">
          <a:extLst>
            <a:ext uri="{FF2B5EF4-FFF2-40B4-BE49-F238E27FC236}">
              <a16:creationId xmlns:a16="http://schemas.microsoft.com/office/drawing/2014/main" id="{3D58009E-2A0E-5156-1FD2-219D9EAA4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251460</xdr:colOff>
      <xdr:row>34</xdr:row>
      <xdr:rowOff>30480</xdr:rowOff>
    </xdr:from>
    <xdr:to>
      <xdr:col>34</xdr:col>
      <xdr:colOff>1493520</xdr:colOff>
      <xdr:row>47</xdr:row>
      <xdr:rowOff>163830</xdr:rowOff>
    </xdr:to>
    <xdr:graphicFrame macro="">
      <xdr:nvGraphicFramePr>
        <xdr:cNvPr id="17" name="Chart 16">
          <a:extLst>
            <a:ext uri="{FF2B5EF4-FFF2-40B4-BE49-F238E27FC236}">
              <a16:creationId xmlns:a16="http://schemas.microsoft.com/office/drawing/2014/main" id="{C8ED3853-9F88-18BF-FD27-4A65BEC8F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495300</xdr:colOff>
      <xdr:row>3</xdr:row>
      <xdr:rowOff>118110</xdr:rowOff>
    </xdr:from>
    <xdr:to>
      <xdr:col>18</xdr:col>
      <xdr:colOff>121920</xdr:colOff>
      <xdr:row>18</xdr:row>
      <xdr:rowOff>137160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02363FA-83DF-CA92-EF00-4FA9E9C300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66660" y="666750"/>
              <a:ext cx="3893820" cy="2762250"/>
            </a:xfrm>
            <a:prstGeom prst="rect">
              <a:avLst/>
            </a:prstGeom>
            <a:solidFill>
              <a:prstClr val="white"/>
            </a:solidFill>
            <a:ln w="1">
              <a:solidFill>
                <a:prstClr val="green"/>
              </a:solidFill>
            </a:ln>
          </xdr:spPr>
          <xdr:txBody>
            <a:bodyPr vertOverflow="clip" horzOverflow="clip"/>
            <a:lstStyle/>
            <a:p>
              <a:r>
                <a:rPr lang="uk-UA"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731520</xdr:colOff>
      <xdr:row>23</xdr:row>
      <xdr:rowOff>7621</xdr:rowOff>
    </xdr:from>
    <xdr:to>
      <xdr:col>17</xdr:col>
      <xdr:colOff>472440</xdr:colOff>
      <xdr:row>29</xdr:row>
      <xdr:rowOff>160021</xdr:rowOff>
    </xdr:to>
    <mc:AlternateContent xmlns:mc="http://schemas.openxmlformats.org/markup-compatibility/2006">
      <mc:Choice xmlns:a14="http://schemas.microsoft.com/office/drawing/2010/main" Requires="a14">
        <xdr:graphicFrame macro="">
          <xdr:nvGraphicFramePr>
            <xdr:cNvPr id="5" name="Device">
              <a:extLst>
                <a:ext uri="{FF2B5EF4-FFF2-40B4-BE49-F238E27FC236}">
                  <a16:creationId xmlns:a16="http://schemas.microsoft.com/office/drawing/2014/main" id="{60E5E208-AED3-F5F3-BE81-BC48265F818C}"/>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11094720" y="4213861"/>
              <a:ext cx="929640" cy="124968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30480</xdr:colOff>
      <xdr:row>5</xdr:row>
      <xdr:rowOff>175260</xdr:rowOff>
    </xdr:from>
    <xdr:to>
      <xdr:col>21</xdr:col>
      <xdr:colOff>167640</xdr:colOff>
      <xdr:row>13</xdr:row>
      <xdr:rowOff>228600</xdr:rowOff>
    </xdr:to>
    <xdr:grpSp>
      <xdr:nvGrpSpPr>
        <xdr:cNvPr id="46" name="Group 45">
          <a:extLst>
            <a:ext uri="{FF2B5EF4-FFF2-40B4-BE49-F238E27FC236}">
              <a16:creationId xmlns:a16="http://schemas.microsoft.com/office/drawing/2014/main" id="{4DFE4DF4-18D3-BA76-4E34-FD0A5748DB02}"/>
            </a:ext>
          </a:extLst>
        </xdr:cNvPr>
        <xdr:cNvGrpSpPr/>
      </xdr:nvGrpSpPr>
      <xdr:grpSpPr>
        <a:xfrm>
          <a:off x="9372600" y="1089660"/>
          <a:ext cx="4861560" cy="1866900"/>
          <a:chOff x="8810158" y="930262"/>
          <a:chExt cx="4989662" cy="2174231"/>
        </a:xfrm>
      </xdr:grpSpPr>
      <xdr:graphicFrame macro="">
        <xdr:nvGraphicFramePr>
          <xdr:cNvPr id="40" name="Chart 39">
            <a:extLst>
              <a:ext uri="{FF2B5EF4-FFF2-40B4-BE49-F238E27FC236}">
                <a16:creationId xmlns:a16="http://schemas.microsoft.com/office/drawing/2014/main" id="{F1D97DDE-DC79-4260-89D5-6EA12A670398}"/>
              </a:ext>
            </a:extLst>
          </xdr:cNvPr>
          <xdr:cNvGraphicFramePr>
            <a:graphicFrameLocks/>
          </xdr:cNvGraphicFramePr>
        </xdr:nvGraphicFramePr>
        <xdr:xfrm>
          <a:off x="8810158" y="1249680"/>
          <a:ext cx="2781300" cy="18211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1" name="Chart 40">
            <a:extLst>
              <a:ext uri="{FF2B5EF4-FFF2-40B4-BE49-F238E27FC236}">
                <a16:creationId xmlns:a16="http://schemas.microsoft.com/office/drawing/2014/main" id="{91908B5E-7D54-4B63-9C04-C5C3A003A5D6}"/>
              </a:ext>
            </a:extLst>
          </xdr:cNvPr>
          <xdr:cNvGraphicFramePr>
            <a:graphicFrameLocks/>
          </xdr:cNvGraphicFramePr>
        </xdr:nvGraphicFramePr>
        <xdr:xfrm>
          <a:off x="11544300" y="1226820"/>
          <a:ext cx="2255520" cy="187767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2" name="TextBox 41">
            <a:extLst>
              <a:ext uri="{FF2B5EF4-FFF2-40B4-BE49-F238E27FC236}">
                <a16:creationId xmlns:a16="http://schemas.microsoft.com/office/drawing/2014/main" id="{59C05227-ECAD-6C95-A210-FEDD1051EEA6}"/>
              </a:ext>
            </a:extLst>
          </xdr:cNvPr>
          <xdr:cNvSpPr txBox="1"/>
        </xdr:nvSpPr>
        <xdr:spPr>
          <a:xfrm>
            <a:off x="9138631" y="930262"/>
            <a:ext cx="4373235"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a:effectLst>
                  <a:outerShdw blurRad="50800" dist="38100" dir="2700000" algn="tl" rotWithShape="0">
                    <a:prstClr val="black">
                      <a:alpha val="40000"/>
                    </a:prstClr>
                  </a:outerShdw>
                </a:effectLst>
                <a:latin typeface="Segoe UI Variable Text Semibold" pitchFamily="2" charset="0"/>
              </a:rPr>
              <a:t>Відсоток</a:t>
            </a:r>
            <a:r>
              <a:rPr lang="uk-UA" sz="1200" baseline="0">
                <a:effectLst>
                  <a:outerShdw blurRad="50800" dist="38100" dir="2700000" algn="tl" rotWithShape="0">
                    <a:prstClr val="black">
                      <a:alpha val="40000"/>
                    </a:prstClr>
                  </a:outerShdw>
                </a:effectLst>
                <a:latin typeface="Segoe UI Variable Text Semibold" pitchFamily="2" charset="0"/>
              </a:rPr>
              <a:t> Конверсій по Ключовим Словам та Пристроям</a:t>
            </a:r>
            <a:endParaRPr lang="uk-UA" sz="1200">
              <a:effectLst>
                <a:outerShdw blurRad="50800" dist="38100" dir="2700000" algn="tl" rotWithShape="0">
                  <a:prstClr val="black">
                    <a:alpha val="40000"/>
                  </a:prstClr>
                </a:outerShdw>
              </a:effectLst>
              <a:latin typeface="Segoe UI Variable Text Semibold" pitchFamily="2" charset="0"/>
            </a:endParaRPr>
          </a:p>
        </xdr:txBody>
      </xdr:sp>
    </xdr:grpSp>
    <xdr:clientData/>
  </xdr:twoCellAnchor>
  <xdr:twoCellAnchor editAs="absolute">
    <xdr:from>
      <xdr:col>0</xdr:col>
      <xdr:colOff>76200</xdr:colOff>
      <xdr:row>0</xdr:row>
      <xdr:rowOff>76200</xdr:rowOff>
    </xdr:from>
    <xdr:to>
      <xdr:col>8</xdr:col>
      <xdr:colOff>495300</xdr:colOff>
      <xdr:row>5</xdr:row>
      <xdr:rowOff>68580</xdr:rowOff>
    </xdr:to>
    <xdr:sp macro="" textlink="">
      <xdr:nvSpPr>
        <xdr:cNvPr id="4" name="Rectangle: Rounded Corners 3">
          <a:extLst>
            <a:ext uri="{FF2B5EF4-FFF2-40B4-BE49-F238E27FC236}">
              <a16:creationId xmlns:a16="http://schemas.microsoft.com/office/drawing/2014/main" id="{8822575C-E5FC-2BB2-1790-6587DEF58BBB}"/>
            </a:ext>
          </a:extLst>
        </xdr:cNvPr>
        <xdr:cNvSpPr/>
      </xdr:nvSpPr>
      <xdr:spPr>
        <a:xfrm>
          <a:off x="76200" y="76200"/>
          <a:ext cx="5425440" cy="906780"/>
        </a:xfrm>
        <a:prstGeom prst="roundRect">
          <a:avLst/>
        </a:prstGeom>
        <a:solidFill>
          <a:schemeClr val="bg2">
            <a:lumMod val="90000"/>
          </a:schemeClr>
        </a:solidFill>
        <a:ln>
          <a:solidFill>
            <a:schemeClr val="bg2">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uk-UA" sz="14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ea typeface="ADLaM Display" panose="02010000000000000000" pitchFamily="2" charset="0"/>
              <a:cs typeface="Arial" panose="020B0604020202020204" pitchFamily="34" charset="0"/>
            </a:rPr>
            <a:t>Підсумковий дашборд ефективності рекламних кампаній</a:t>
          </a:r>
          <a:endParaRPr lang="en-US" sz="1400" b="1" cap="none" spc="0">
            <a:ln w="0"/>
            <a:solidFill>
              <a:schemeClr val="tx1"/>
            </a:solidFill>
            <a:effectLst>
              <a:outerShdw blurRad="38100" dist="19050" dir="2700000" algn="tl" rotWithShape="0">
                <a:schemeClr val="dk1">
                  <a:alpha val="40000"/>
                </a:schemeClr>
              </a:outerShdw>
            </a:effectLst>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editAs="absolute">
    <xdr:from>
      <xdr:col>8</xdr:col>
      <xdr:colOff>609600</xdr:colOff>
      <xdr:row>0</xdr:row>
      <xdr:rowOff>60123</xdr:rowOff>
    </xdr:from>
    <xdr:to>
      <xdr:col>11</xdr:col>
      <xdr:colOff>99060</xdr:colOff>
      <xdr:row>5</xdr:row>
      <xdr:rowOff>96088</xdr:rowOff>
    </xdr:to>
    <xdr:grpSp>
      <xdr:nvGrpSpPr>
        <xdr:cNvPr id="23" name="Group 22">
          <a:extLst>
            <a:ext uri="{FF2B5EF4-FFF2-40B4-BE49-F238E27FC236}">
              <a16:creationId xmlns:a16="http://schemas.microsoft.com/office/drawing/2014/main" id="{78576580-14FD-335E-C209-32C556C6328F}"/>
            </a:ext>
          </a:extLst>
        </xdr:cNvPr>
        <xdr:cNvGrpSpPr/>
      </xdr:nvGrpSpPr>
      <xdr:grpSpPr>
        <a:xfrm>
          <a:off x="5608320" y="60123"/>
          <a:ext cx="2004060" cy="950365"/>
          <a:chOff x="114300" y="144780"/>
          <a:chExt cx="1623060" cy="998220"/>
        </a:xfrm>
      </xdr:grpSpPr>
      <xdr:sp macro="" textlink="">
        <xdr:nvSpPr>
          <xdr:cNvPr id="7" name="Rectangle: Rounded Corners 6">
            <a:extLst>
              <a:ext uri="{FF2B5EF4-FFF2-40B4-BE49-F238E27FC236}">
                <a16:creationId xmlns:a16="http://schemas.microsoft.com/office/drawing/2014/main" id="{2EE0971A-F937-4906-B008-FD3148724B66}"/>
              </a:ext>
            </a:extLst>
          </xdr:cNvPr>
          <xdr:cNvSpPr/>
        </xdr:nvSpPr>
        <xdr:spPr>
          <a:xfrm>
            <a:off x="114300" y="144780"/>
            <a:ext cx="1623060" cy="998220"/>
          </a:xfrm>
          <a:prstGeom prst="round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sp macro="" textlink="">
        <xdr:nvSpPr>
          <xdr:cNvPr id="10" name="TextBox 9">
            <a:extLst>
              <a:ext uri="{FF2B5EF4-FFF2-40B4-BE49-F238E27FC236}">
                <a16:creationId xmlns:a16="http://schemas.microsoft.com/office/drawing/2014/main" id="{24C82487-F5D9-6FC1-82BC-07AB342FCC0D}"/>
              </a:ext>
            </a:extLst>
          </xdr:cNvPr>
          <xdr:cNvSpPr txBox="1"/>
        </xdr:nvSpPr>
        <xdr:spPr>
          <a:xfrm>
            <a:off x="213360" y="255270"/>
            <a:ext cx="1455420" cy="2667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a:effectLst>
                  <a:outerShdw blurRad="50800" dist="38100" dir="2700000" algn="tl" rotWithShape="0">
                    <a:prstClr val="black">
                      <a:alpha val="40000"/>
                    </a:prstClr>
                  </a:outerShdw>
                </a:effectLst>
                <a:latin typeface="Segoe UI Variable Text Semibold" pitchFamily="2" charset="0"/>
              </a:rPr>
              <a:t>Загальний</a:t>
            </a:r>
            <a:r>
              <a:rPr lang="uk-UA" sz="1200" baseline="0">
                <a:effectLst>
                  <a:outerShdw blurRad="50800" dist="38100" dir="2700000" algn="tl" rotWithShape="0">
                    <a:prstClr val="black">
                      <a:alpha val="40000"/>
                    </a:prstClr>
                  </a:outerShdw>
                </a:effectLst>
                <a:latin typeface="Segoe UI Variable Text Semibold" pitchFamily="2" charset="0"/>
              </a:rPr>
              <a:t> Дохід</a:t>
            </a:r>
          </a:p>
        </xdr:txBody>
      </xdr:sp>
      <xdr:sp macro="" textlink="Sheet1!Y10">
        <xdr:nvSpPr>
          <xdr:cNvPr id="14" name="TextBox 13">
            <a:extLst>
              <a:ext uri="{FF2B5EF4-FFF2-40B4-BE49-F238E27FC236}">
                <a16:creationId xmlns:a16="http://schemas.microsoft.com/office/drawing/2014/main" id="{B1117D5B-7C25-5C83-CB6F-A872C56D80A3}"/>
              </a:ext>
            </a:extLst>
          </xdr:cNvPr>
          <xdr:cNvSpPr txBox="1"/>
        </xdr:nvSpPr>
        <xdr:spPr>
          <a:xfrm>
            <a:off x="137160" y="567690"/>
            <a:ext cx="1577340" cy="4191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2AC4DA-0744-4CAF-877A-D10F8FAC5C88}" type="TxLink">
              <a:rPr lang="en-US" sz="2300" b="0" i="0" u="none" strike="noStrike">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rPr>
              <a:pPr algn="ctr"/>
              <a:t> $794 206 </a:t>
            </a:fld>
            <a:endParaRPr lang="uk-UA" sz="2300">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endParaRPr>
          </a:p>
        </xdr:txBody>
      </xdr:sp>
    </xdr:grpSp>
    <xdr:clientData/>
  </xdr:twoCellAnchor>
  <xdr:twoCellAnchor editAs="absolute">
    <xdr:from>
      <xdr:col>17</xdr:col>
      <xdr:colOff>228600</xdr:colOff>
      <xdr:row>0</xdr:row>
      <xdr:rowOff>57150</xdr:rowOff>
    </xdr:from>
    <xdr:to>
      <xdr:col>20</xdr:col>
      <xdr:colOff>548640</xdr:colOff>
      <xdr:row>5</xdr:row>
      <xdr:rowOff>160020</xdr:rowOff>
    </xdr:to>
    <xdr:grpSp>
      <xdr:nvGrpSpPr>
        <xdr:cNvPr id="26" name="Group 25">
          <a:extLst>
            <a:ext uri="{FF2B5EF4-FFF2-40B4-BE49-F238E27FC236}">
              <a16:creationId xmlns:a16="http://schemas.microsoft.com/office/drawing/2014/main" id="{7323A597-5ABD-EBBC-6FC7-1E0D784EEE1B}"/>
            </a:ext>
          </a:extLst>
        </xdr:cNvPr>
        <xdr:cNvGrpSpPr/>
      </xdr:nvGrpSpPr>
      <xdr:grpSpPr>
        <a:xfrm>
          <a:off x="12016740" y="57150"/>
          <a:ext cx="1988820" cy="1017270"/>
          <a:chOff x="12496800" y="144780"/>
          <a:chExt cx="1623060" cy="998220"/>
        </a:xfrm>
      </xdr:grpSpPr>
      <xdr:sp macro="" textlink="">
        <xdr:nvSpPr>
          <xdr:cNvPr id="9" name="Rectangle: Rounded Corners 8">
            <a:extLst>
              <a:ext uri="{FF2B5EF4-FFF2-40B4-BE49-F238E27FC236}">
                <a16:creationId xmlns:a16="http://schemas.microsoft.com/office/drawing/2014/main" id="{E2AC6037-64DB-4DA5-B4C4-1DDA17A5361F}"/>
              </a:ext>
            </a:extLst>
          </xdr:cNvPr>
          <xdr:cNvSpPr/>
        </xdr:nvSpPr>
        <xdr:spPr>
          <a:xfrm>
            <a:off x="12496800" y="144780"/>
            <a:ext cx="1623060" cy="998220"/>
          </a:xfrm>
          <a:prstGeom prst="round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sp macro="" textlink="">
        <xdr:nvSpPr>
          <xdr:cNvPr id="13" name="TextBox 12">
            <a:extLst>
              <a:ext uri="{FF2B5EF4-FFF2-40B4-BE49-F238E27FC236}">
                <a16:creationId xmlns:a16="http://schemas.microsoft.com/office/drawing/2014/main" id="{3ADEAA8D-C26E-42FF-8705-4DC4045C8041}"/>
              </a:ext>
            </a:extLst>
          </xdr:cNvPr>
          <xdr:cNvSpPr txBox="1"/>
        </xdr:nvSpPr>
        <xdr:spPr>
          <a:xfrm>
            <a:off x="12596299" y="255270"/>
            <a:ext cx="1386752" cy="2667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baseline="0">
                <a:effectLst>
                  <a:outerShdw blurRad="50800" dist="38100" dir="2700000" algn="tl" rotWithShape="0">
                    <a:prstClr val="black">
                      <a:alpha val="40000"/>
                    </a:prstClr>
                  </a:outerShdw>
                </a:effectLst>
                <a:latin typeface="Segoe UI Variable Text Semibold" pitchFamily="2" charset="0"/>
              </a:rPr>
              <a:t>Загальний</a:t>
            </a:r>
            <a:r>
              <a:rPr lang="en-US" sz="1200" baseline="0">
                <a:effectLst>
                  <a:outerShdw blurRad="50800" dist="38100" dir="2700000" algn="tl" rotWithShape="0">
                    <a:prstClr val="black">
                      <a:alpha val="40000"/>
                    </a:prstClr>
                  </a:outerShdw>
                </a:effectLst>
                <a:latin typeface="Segoe UI Variable Text Semibold" pitchFamily="2" charset="0"/>
              </a:rPr>
              <a:t> ROAS</a:t>
            </a:r>
            <a:endParaRPr lang="uk-UA" sz="1200">
              <a:effectLst>
                <a:outerShdw blurRad="50800" dist="38100" dir="2700000" algn="tl" rotWithShape="0">
                  <a:prstClr val="black">
                    <a:alpha val="40000"/>
                  </a:prstClr>
                </a:outerShdw>
              </a:effectLst>
              <a:latin typeface="Segoe UI Variable Text Semibold" pitchFamily="2" charset="0"/>
            </a:endParaRPr>
          </a:p>
        </xdr:txBody>
      </xdr:sp>
      <xdr:sp macro="" textlink="Sheet1!AR24">
        <xdr:nvSpPr>
          <xdr:cNvPr id="15" name="TextBox 14">
            <a:extLst>
              <a:ext uri="{FF2B5EF4-FFF2-40B4-BE49-F238E27FC236}">
                <a16:creationId xmlns:a16="http://schemas.microsoft.com/office/drawing/2014/main" id="{246AF2A8-22BE-461A-B355-EE90858FA50E}"/>
              </a:ext>
            </a:extLst>
          </xdr:cNvPr>
          <xdr:cNvSpPr txBox="1"/>
        </xdr:nvSpPr>
        <xdr:spPr>
          <a:xfrm>
            <a:off x="12534900" y="567690"/>
            <a:ext cx="1577340" cy="4191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56D027-12EA-42CB-9D86-5B99902935FE}" type="TxLink">
              <a:rPr lang="en-US" sz="2300" b="0" i="0" u="none" strike="noStrike">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rPr>
              <a:t>1,42</a:t>
            </a:fld>
            <a:endParaRPr lang="uk-UA" sz="2300">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endParaRPr>
          </a:p>
        </xdr:txBody>
      </xdr:sp>
    </xdr:grpSp>
    <xdr:clientData/>
  </xdr:twoCellAnchor>
  <xdr:twoCellAnchor editAs="absolute">
    <xdr:from>
      <xdr:col>13</xdr:col>
      <xdr:colOff>582506</xdr:colOff>
      <xdr:row>0</xdr:row>
      <xdr:rowOff>72390</xdr:rowOff>
    </xdr:from>
    <xdr:to>
      <xdr:col>17</xdr:col>
      <xdr:colOff>64346</xdr:colOff>
      <xdr:row>5</xdr:row>
      <xdr:rowOff>160020</xdr:rowOff>
    </xdr:to>
    <xdr:grpSp>
      <xdr:nvGrpSpPr>
        <xdr:cNvPr id="25" name="Group 24">
          <a:extLst>
            <a:ext uri="{FF2B5EF4-FFF2-40B4-BE49-F238E27FC236}">
              <a16:creationId xmlns:a16="http://schemas.microsoft.com/office/drawing/2014/main" id="{D1F84175-487A-3EDC-D80B-65DC5C710FDE}"/>
            </a:ext>
          </a:extLst>
        </xdr:cNvPr>
        <xdr:cNvGrpSpPr/>
      </xdr:nvGrpSpPr>
      <xdr:grpSpPr>
        <a:xfrm>
          <a:off x="9924626" y="72390"/>
          <a:ext cx="1927860" cy="1002030"/>
          <a:chOff x="10751820" y="144780"/>
          <a:chExt cx="1623060" cy="998220"/>
        </a:xfrm>
      </xdr:grpSpPr>
      <xdr:sp macro="" textlink="">
        <xdr:nvSpPr>
          <xdr:cNvPr id="8" name="Rectangle: Rounded Corners 7">
            <a:extLst>
              <a:ext uri="{FF2B5EF4-FFF2-40B4-BE49-F238E27FC236}">
                <a16:creationId xmlns:a16="http://schemas.microsoft.com/office/drawing/2014/main" id="{8FDCC200-3B7E-446F-BA48-07A429064D96}"/>
              </a:ext>
            </a:extLst>
          </xdr:cNvPr>
          <xdr:cNvSpPr/>
        </xdr:nvSpPr>
        <xdr:spPr>
          <a:xfrm>
            <a:off x="10751820" y="144780"/>
            <a:ext cx="1623060" cy="998220"/>
          </a:xfrm>
          <a:prstGeom prst="round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sp macro="" textlink="">
        <xdr:nvSpPr>
          <xdr:cNvPr id="12" name="TextBox 11">
            <a:extLst>
              <a:ext uri="{FF2B5EF4-FFF2-40B4-BE49-F238E27FC236}">
                <a16:creationId xmlns:a16="http://schemas.microsoft.com/office/drawing/2014/main" id="{83CBAAE3-EC58-4A1C-AC6F-145DE3BB0151}"/>
              </a:ext>
            </a:extLst>
          </xdr:cNvPr>
          <xdr:cNvSpPr txBox="1"/>
        </xdr:nvSpPr>
        <xdr:spPr>
          <a:xfrm>
            <a:off x="10828020" y="255270"/>
            <a:ext cx="1455420" cy="2667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baseline="0">
                <a:effectLst>
                  <a:outerShdw blurRad="50800" dist="38100" dir="2700000" algn="tl" rotWithShape="0">
                    <a:prstClr val="black">
                      <a:alpha val="40000"/>
                    </a:prstClr>
                  </a:outerShdw>
                </a:effectLst>
                <a:latin typeface="Segoe UI Variable Text Semibold" pitchFamily="2" charset="0"/>
              </a:rPr>
              <a:t>Загальні Витрати</a:t>
            </a:r>
            <a:endParaRPr lang="en-US" sz="1200" baseline="0">
              <a:effectLst>
                <a:outerShdw blurRad="50800" dist="38100" dir="2700000" algn="tl" rotWithShape="0">
                  <a:prstClr val="black">
                    <a:alpha val="40000"/>
                  </a:prstClr>
                </a:outerShdw>
              </a:effectLst>
              <a:latin typeface="Segoe UI Variable Text Semibold" pitchFamily="2" charset="0"/>
            </a:endParaRPr>
          </a:p>
        </xdr:txBody>
      </xdr:sp>
      <xdr:sp macro="" textlink="Sheet1!AB10">
        <xdr:nvSpPr>
          <xdr:cNvPr id="16" name="TextBox 15">
            <a:extLst>
              <a:ext uri="{FF2B5EF4-FFF2-40B4-BE49-F238E27FC236}">
                <a16:creationId xmlns:a16="http://schemas.microsoft.com/office/drawing/2014/main" id="{C0154713-0991-4F55-ACB6-04BE76C891CA}"/>
              </a:ext>
            </a:extLst>
          </xdr:cNvPr>
          <xdr:cNvSpPr txBox="1"/>
        </xdr:nvSpPr>
        <xdr:spPr>
          <a:xfrm>
            <a:off x="10774680" y="567690"/>
            <a:ext cx="1577340" cy="4191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D7E8E0-7B45-4134-B336-59C46EF78C84}" type="TxLink">
              <a:rPr lang="en-US" sz="2300" b="0" i="0" u="none" strike="noStrike">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rPr>
              <a:pPr algn="ctr"/>
              <a:t> $558 779 </a:t>
            </a:fld>
            <a:endParaRPr lang="uk-UA" sz="2300">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endParaRPr>
          </a:p>
        </xdr:txBody>
      </xdr:sp>
    </xdr:grpSp>
    <xdr:clientData/>
  </xdr:twoCellAnchor>
  <xdr:twoCellAnchor editAs="absolute">
    <xdr:from>
      <xdr:col>11</xdr:col>
      <xdr:colOff>263313</xdr:colOff>
      <xdr:row>0</xdr:row>
      <xdr:rowOff>57150</xdr:rowOff>
    </xdr:from>
    <xdr:to>
      <xdr:col>13</xdr:col>
      <xdr:colOff>418253</xdr:colOff>
      <xdr:row>5</xdr:row>
      <xdr:rowOff>129540</xdr:rowOff>
    </xdr:to>
    <xdr:grpSp>
      <xdr:nvGrpSpPr>
        <xdr:cNvPr id="24" name="Group 23">
          <a:extLst>
            <a:ext uri="{FF2B5EF4-FFF2-40B4-BE49-F238E27FC236}">
              <a16:creationId xmlns:a16="http://schemas.microsoft.com/office/drawing/2014/main" id="{2E70E18C-2CE1-681B-3616-4E612E45A504}"/>
            </a:ext>
          </a:extLst>
        </xdr:cNvPr>
        <xdr:cNvGrpSpPr/>
      </xdr:nvGrpSpPr>
      <xdr:grpSpPr>
        <a:xfrm>
          <a:off x="7776633" y="57150"/>
          <a:ext cx="1983740" cy="986790"/>
          <a:chOff x="1882140" y="129540"/>
          <a:chExt cx="1623060" cy="998220"/>
        </a:xfrm>
      </xdr:grpSpPr>
      <xdr:sp macro="" textlink="">
        <xdr:nvSpPr>
          <xdr:cNvPr id="5" name="Rectangle: Rounded Corners 4">
            <a:extLst>
              <a:ext uri="{FF2B5EF4-FFF2-40B4-BE49-F238E27FC236}">
                <a16:creationId xmlns:a16="http://schemas.microsoft.com/office/drawing/2014/main" id="{11C7786D-38F7-D723-ABE1-B48CD9EA426C}"/>
              </a:ext>
            </a:extLst>
          </xdr:cNvPr>
          <xdr:cNvSpPr/>
        </xdr:nvSpPr>
        <xdr:spPr>
          <a:xfrm>
            <a:off x="1882140" y="129540"/>
            <a:ext cx="1623060" cy="998220"/>
          </a:xfrm>
          <a:prstGeom prst="round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sp macro="" textlink="">
        <xdr:nvSpPr>
          <xdr:cNvPr id="11" name="TextBox 10">
            <a:extLst>
              <a:ext uri="{FF2B5EF4-FFF2-40B4-BE49-F238E27FC236}">
                <a16:creationId xmlns:a16="http://schemas.microsoft.com/office/drawing/2014/main" id="{71B9DB06-AFAB-4FAD-A429-DA22F6F1396C}"/>
              </a:ext>
            </a:extLst>
          </xdr:cNvPr>
          <xdr:cNvSpPr txBox="1"/>
        </xdr:nvSpPr>
        <xdr:spPr>
          <a:xfrm>
            <a:off x="2004060" y="255270"/>
            <a:ext cx="1363980" cy="2667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baseline="0">
                <a:effectLst>
                  <a:outerShdw blurRad="50800" dist="38100" dir="2700000" algn="tl" rotWithShape="0">
                    <a:prstClr val="black">
                      <a:alpha val="40000"/>
                    </a:prstClr>
                  </a:outerShdw>
                </a:effectLst>
                <a:latin typeface="Segoe UI Variable Text Semibold" pitchFamily="2" charset="0"/>
              </a:rPr>
              <a:t>Загальний</a:t>
            </a:r>
            <a:r>
              <a:rPr lang="en-US" sz="1200" baseline="0">
                <a:effectLst>
                  <a:outerShdw blurRad="50800" dist="38100" dir="2700000" algn="tl" rotWithShape="0">
                    <a:prstClr val="black">
                      <a:alpha val="40000"/>
                    </a:prstClr>
                  </a:outerShdw>
                </a:effectLst>
                <a:latin typeface="Segoe UI Variable Text Semibold" pitchFamily="2" charset="0"/>
              </a:rPr>
              <a:t> ROI</a:t>
            </a:r>
            <a:endParaRPr lang="uk-UA" sz="1200">
              <a:effectLst>
                <a:outerShdw blurRad="50800" dist="38100" dir="2700000" algn="tl" rotWithShape="0">
                  <a:prstClr val="black">
                    <a:alpha val="40000"/>
                  </a:prstClr>
                </a:outerShdw>
              </a:effectLst>
              <a:latin typeface="Segoe UI Variable Text Semibold" pitchFamily="2" charset="0"/>
            </a:endParaRPr>
          </a:p>
        </xdr:txBody>
      </xdr:sp>
      <xdr:sp macro="" textlink="Sheet1!AQ25">
        <xdr:nvSpPr>
          <xdr:cNvPr id="17" name="TextBox 16">
            <a:extLst>
              <a:ext uri="{FF2B5EF4-FFF2-40B4-BE49-F238E27FC236}">
                <a16:creationId xmlns:a16="http://schemas.microsoft.com/office/drawing/2014/main" id="{3104424F-BA91-410F-AE8C-C2310DFF7FD9}"/>
              </a:ext>
            </a:extLst>
          </xdr:cNvPr>
          <xdr:cNvSpPr txBox="1"/>
        </xdr:nvSpPr>
        <xdr:spPr>
          <a:xfrm>
            <a:off x="1905000" y="571500"/>
            <a:ext cx="1577340" cy="419100"/>
          </a:xfrm>
          <a:prstGeom prst="rect">
            <a:avLst/>
          </a:prstGeom>
          <a:solidFill>
            <a:schemeClr val="tx2">
              <a:lumMod val="25000"/>
              <a:lumOff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452A97-1AC8-4881-8206-BDA17FA59C05}" type="TxLink">
              <a:rPr lang="en-US" sz="2300" b="0" i="0" u="none" strike="noStrike">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rPr>
              <a:t>42,13%</a:t>
            </a:fld>
            <a:endParaRPr lang="uk-UA" sz="2300" b="0" i="0" u="none" strike="noStrike">
              <a:solidFill>
                <a:schemeClr val="accent6">
                  <a:lumMod val="50000"/>
                </a:schemeClr>
              </a:solidFill>
              <a:effectLst>
                <a:outerShdw blurRad="50800" dist="38100" dir="2700000" algn="tl" rotWithShape="0">
                  <a:prstClr val="black">
                    <a:alpha val="40000"/>
                  </a:prstClr>
                </a:outerShdw>
              </a:effectLst>
              <a:latin typeface="Segoe UI Black" panose="020B0A02040204020203" pitchFamily="34" charset="0"/>
              <a:ea typeface="Segoe UI Black" panose="020B0A02040204020203" pitchFamily="34" charset="0"/>
            </a:endParaRPr>
          </a:p>
        </xdr:txBody>
      </xdr:sp>
    </xdr:grpSp>
    <xdr:clientData/>
  </xdr:twoCellAnchor>
  <xdr:twoCellAnchor>
    <xdr:from>
      <xdr:col>1</xdr:col>
      <xdr:colOff>45720</xdr:colOff>
      <xdr:row>2</xdr:row>
      <xdr:rowOff>129540</xdr:rowOff>
    </xdr:from>
    <xdr:to>
      <xdr:col>2</xdr:col>
      <xdr:colOff>754380</xdr:colOff>
      <xdr:row>4</xdr:row>
      <xdr:rowOff>30480</xdr:rowOff>
    </xdr:to>
    <xdr:sp macro="" textlink="">
      <xdr:nvSpPr>
        <xdr:cNvPr id="28" name="TextBox 27">
          <a:extLst>
            <a:ext uri="{FF2B5EF4-FFF2-40B4-BE49-F238E27FC236}">
              <a16:creationId xmlns:a16="http://schemas.microsoft.com/office/drawing/2014/main" id="{F6B28A79-5F33-0355-046B-E20E6D7E1C37}"/>
            </a:ext>
          </a:extLst>
        </xdr:cNvPr>
        <xdr:cNvSpPr txBox="1"/>
      </xdr:nvSpPr>
      <xdr:spPr>
        <a:xfrm>
          <a:off x="160020" y="495300"/>
          <a:ext cx="1386840" cy="26670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uk-UA" sz="1200">
              <a:latin typeface="Segoe UI Variable Text Semibold" pitchFamily="2" charset="0"/>
            </a:rPr>
            <a:t>Листопад</a:t>
          </a:r>
          <a:r>
            <a:rPr lang="uk-UA" sz="1200" baseline="0">
              <a:latin typeface="Segoe UI Variable Text Semibold" pitchFamily="2" charset="0"/>
            </a:rPr>
            <a:t> 2024</a:t>
          </a:r>
          <a:endParaRPr lang="uk-UA" sz="1200">
            <a:latin typeface="Segoe UI Variable Text Semibold" pitchFamily="2" charset="0"/>
          </a:endParaRPr>
        </a:p>
      </xdr:txBody>
    </xdr:sp>
    <xdr:clientData/>
  </xdr:twoCellAnchor>
  <xdr:twoCellAnchor editAs="absolute">
    <xdr:from>
      <xdr:col>7</xdr:col>
      <xdr:colOff>1287780</xdr:colOff>
      <xdr:row>6</xdr:row>
      <xdr:rowOff>0</xdr:rowOff>
    </xdr:from>
    <xdr:to>
      <xdr:col>13</xdr:col>
      <xdr:colOff>0</xdr:colOff>
      <xdr:row>8</xdr:row>
      <xdr:rowOff>0</xdr:rowOff>
    </xdr:to>
    <xdr:sp macro="" textlink="">
      <xdr:nvSpPr>
        <xdr:cNvPr id="29" name="Rectangle: Top Corners Rounded 28">
          <a:extLst>
            <a:ext uri="{FF2B5EF4-FFF2-40B4-BE49-F238E27FC236}">
              <a16:creationId xmlns:a16="http://schemas.microsoft.com/office/drawing/2014/main" id="{1F8CC22A-FFDE-4947-94A9-9A8E32C4585D}"/>
            </a:ext>
          </a:extLst>
        </xdr:cNvPr>
        <xdr:cNvSpPr/>
      </xdr:nvSpPr>
      <xdr:spPr>
        <a:xfrm>
          <a:off x="4983480" y="1143000"/>
          <a:ext cx="4358640" cy="381000"/>
        </a:xfrm>
        <a:prstGeom prst="round2SameRect">
          <a:avLst/>
        </a:prstGeom>
        <a:solidFill>
          <a:schemeClr val="bg1">
            <a:lumMod val="8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uk-UA" sz="1200" b="0" i="0" cap="none" spc="0">
              <a:ln w="0"/>
              <a:solidFill>
                <a:schemeClr val="tx1"/>
              </a:solidFill>
              <a:effectLst>
                <a:outerShdw blurRad="50800" dist="38100" dir="2700000" algn="tl" rotWithShape="0">
                  <a:prstClr val="black">
                    <a:alpha val="40000"/>
                  </a:prstClr>
                </a:outerShdw>
              </a:effectLst>
              <a:latin typeface="Segoe UI Variable Text Semibold" pitchFamily="2" charset="0"/>
              <a:ea typeface="ADLaM Display" panose="02010000000000000000" pitchFamily="2" charset="0"/>
              <a:cs typeface="Arial" panose="020B0604020202020204" pitchFamily="34" charset="0"/>
            </a:rPr>
            <a:t>Загальні метрики по Кожній</a:t>
          </a:r>
          <a:r>
            <a:rPr lang="uk-UA" sz="1200" b="0" i="0" cap="none" spc="0" baseline="0">
              <a:ln w="0"/>
              <a:solidFill>
                <a:schemeClr val="tx1"/>
              </a:solidFill>
              <a:effectLst>
                <a:outerShdw blurRad="50800" dist="38100" dir="2700000" algn="tl" rotWithShape="0">
                  <a:prstClr val="black">
                    <a:alpha val="40000"/>
                  </a:prstClr>
                </a:outerShdw>
              </a:effectLst>
              <a:latin typeface="Segoe UI Variable Text Semibold" pitchFamily="2" charset="0"/>
              <a:ea typeface="ADLaM Display" panose="02010000000000000000" pitchFamily="2" charset="0"/>
              <a:cs typeface="Arial" panose="020B0604020202020204" pitchFamily="34" charset="0"/>
            </a:rPr>
            <a:t> Кампанії</a:t>
          </a:r>
        </a:p>
        <a:p>
          <a:pPr lvl="0" algn="ctr"/>
          <a:endParaRPr lang="en-US" sz="1200" b="0" i="0" cap="none" spc="0">
            <a:ln w="0"/>
            <a:solidFill>
              <a:schemeClr val="tx1"/>
            </a:solidFill>
            <a:effectLst/>
            <a:latin typeface="Segoe UI Variable Text Semibold" pitchFamily="2" charset="0"/>
            <a:ea typeface="ADLaM Display" panose="02010000000000000000" pitchFamily="2" charset="0"/>
            <a:cs typeface="Arial" panose="020B0604020202020204" pitchFamily="34" charset="0"/>
          </a:endParaRPr>
        </a:p>
      </xdr:txBody>
    </xdr:sp>
    <xdr:clientData/>
  </xdr:twoCellAnchor>
  <xdr:twoCellAnchor editAs="absolute">
    <xdr:from>
      <xdr:col>0</xdr:col>
      <xdr:colOff>60959</xdr:colOff>
      <xdr:row>14</xdr:row>
      <xdr:rowOff>60960</xdr:rowOff>
    </xdr:from>
    <xdr:to>
      <xdr:col>7</xdr:col>
      <xdr:colOff>1219199</xdr:colOff>
      <xdr:row>21</xdr:row>
      <xdr:rowOff>38101</xdr:rowOff>
    </xdr:to>
    <xdr:grpSp>
      <xdr:nvGrpSpPr>
        <xdr:cNvPr id="36" name="Group 35">
          <a:extLst>
            <a:ext uri="{FF2B5EF4-FFF2-40B4-BE49-F238E27FC236}">
              <a16:creationId xmlns:a16="http://schemas.microsoft.com/office/drawing/2014/main" id="{267BD14B-C223-6D58-D7FD-5FA628F62539}"/>
            </a:ext>
          </a:extLst>
        </xdr:cNvPr>
        <xdr:cNvGrpSpPr/>
      </xdr:nvGrpSpPr>
      <xdr:grpSpPr>
        <a:xfrm>
          <a:off x="60959" y="3070860"/>
          <a:ext cx="4853940" cy="1950721"/>
          <a:chOff x="125449" y="2770425"/>
          <a:chExt cx="5341620" cy="2141220"/>
        </a:xfrm>
        <a:effectLst>
          <a:outerShdw blurRad="50800" dist="38100" dir="2700000" algn="tl" rotWithShape="0">
            <a:prstClr val="black">
              <a:alpha val="40000"/>
            </a:prstClr>
          </a:outerShdw>
        </a:effectLst>
      </xdr:grpSpPr>
      <xdr:grpSp>
        <xdr:nvGrpSpPr>
          <xdr:cNvPr id="32" name="Group 31">
            <a:extLst>
              <a:ext uri="{FF2B5EF4-FFF2-40B4-BE49-F238E27FC236}">
                <a16:creationId xmlns:a16="http://schemas.microsoft.com/office/drawing/2014/main" id="{3A30C41D-C3AF-4F34-8CF2-86A60A0FCF9D}"/>
              </a:ext>
            </a:extLst>
          </xdr:cNvPr>
          <xdr:cNvGrpSpPr/>
        </xdr:nvGrpSpPr>
        <xdr:grpSpPr>
          <a:xfrm>
            <a:off x="125449" y="2770425"/>
            <a:ext cx="5341620" cy="2141220"/>
            <a:chOff x="75108" y="1406578"/>
            <a:chExt cx="4327717" cy="3124200"/>
          </a:xfrm>
          <a:solidFill>
            <a:schemeClr val="bg2"/>
          </a:solidFill>
        </xdr:grpSpPr>
        <xdr:sp macro="" textlink="">
          <xdr:nvSpPr>
            <xdr:cNvPr id="33" name="Rectangle: Rounded Corners 32">
              <a:extLst>
                <a:ext uri="{FF2B5EF4-FFF2-40B4-BE49-F238E27FC236}">
                  <a16:creationId xmlns:a16="http://schemas.microsoft.com/office/drawing/2014/main" id="{055197DC-C4CF-DABC-2E68-28E01F09E783}"/>
                </a:ext>
              </a:extLst>
            </xdr:cNvPr>
            <xdr:cNvSpPr/>
          </xdr:nvSpPr>
          <xdr:spPr>
            <a:xfrm>
              <a:off x="75108" y="1406578"/>
              <a:ext cx="4327717" cy="31242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sp macro="" textlink="">
          <xdr:nvSpPr>
            <xdr:cNvPr id="35" name="TextBox 34">
              <a:extLst>
                <a:ext uri="{FF2B5EF4-FFF2-40B4-BE49-F238E27FC236}">
                  <a16:creationId xmlns:a16="http://schemas.microsoft.com/office/drawing/2014/main" id="{9B7A2102-4B65-64AF-66DB-9E366B523563}"/>
                </a:ext>
              </a:extLst>
            </xdr:cNvPr>
            <xdr:cNvSpPr txBox="1"/>
          </xdr:nvSpPr>
          <xdr:spPr>
            <a:xfrm>
              <a:off x="757026" y="1446947"/>
              <a:ext cx="3083498" cy="420224"/>
            </a:xfrm>
            <a:prstGeom prst="round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uk-UA" sz="1200">
                  <a:effectLst>
                    <a:outerShdw blurRad="50800" dist="38100" dir="2700000" algn="tl" rotWithShape="0">
                      <a:prstClr val="black">
                        <a:alpha val="40000"/>
                      </a:prstClr>
                    </a:outerShdw>
                  </a:effectLst>
                  <a:latin typeface="Segoe UI Variable Small Semibol" pitchFamily="2" charset="0"/>
                  <a:ea typeface="Segoe UI Black" panose="020B0A02040204020203" pitchFamily="34" charset="0"/>
                </a:rPr>
                <a:t>Кількість</a:t>
              </a:r>
              <a:r>
                <a:rPr lang="uk-UA" sz="1200" baseline="0">
                  <a:effectLst>
                    <a:outerShdw blurRad="50800" dist="38100" dir="2700000" algn="tl" rotWithShape="0">
                      <a:prstClr val="black">
                        <a:alpha val="40000"/>
                      </a:prstClr>
                    </a:outerShdw>
                  </a:effectLst>
                  <a:latin typeface="Segoe UI Variable Small Semibol" pitchFamily="2" charset="0"/>
                  <a:ea typeface="Segoe UI Black" panose="020B0A02040204020203" pitchFamily="34" charset="0"/>
                </a:rPr>
                <a:t> Конверсій по Днях Тижня</a:t>
              </a:r>
              <a:endParaRPr lang="uk-UA" sz="1200">
                <a:effectLst>
                  <a:outerShdw blurRad="50800" dist="38100" dir="2700000" algn="tl" rotWithShape="0">
                    <a:prstClr val="black">
                      <a:alpha val="40000"/>
                    </a:prstClr>
                  </a:outerShdw>
                </a:effectLst>
                <a:latin typeface="Segoe UI Variable Small Semibol" pitchFamily="2" charset="0"/>
                <a:ea typeface="Segoe UI Black" panose="020B0A02040204020203" pitchFamily="34" charset="0"/>
              </a:endParaRPr>
            </a:p>
          </xdr:txBody>
        </xdr:sp>
      </xdr:grpSp>
      <xdr:graphicFrame macro="">
        <xdr:nvGraphicFramePr>
          <xdr:cNvPr id="31" name="Chart 30">
            <a:extLst>
              <a:ext uri="{FF2B5EF4-FFF2-40B4-BE49-F238E27FC236}">
                <a16:creationId xmlns:a16="http://schemas.microsoft.com/office/drawing/2014/main" id="{716E2AB2-79BB-4A4D-90C5-51DD56606E86}"/>
              </a:ext>
            </a:extLst>
          </xdr:cNvPr>
          <xdr:cNvGraphicFramePr>
            <a:graphicFrameLocks/>
          </xdr:cNvGraphicFramePr>
        </xdr:nvGraphicFramePr>
        <xdr:xfrm>
          <a:off x="217692" y="3067863"/>
          <a:ext cx="5131980" cy="170364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0</xdr:col>
      <xdr:colOff>76200</xdr:colOff>
      <xdr:row>5</xdr:row>
      <xdr:rowOff>137160</xdr:rowOff>
    </xdr:from>
    <xdr:to>
      <xdr:col>7</xdr:col>
      <xdr:colOff>1196340</xdr:colOff>
      <xdr:row>13</xdr:row>
      <xdr:rowOff>251460</xdr:rowOff>
    </xdr:to>
    <xdr:grpSp>
      <xdr:nvGrpSpPr>
        <xdr:cNvPr id="47" name="Group 46">
          <a:extLst>
            <a:ext uri="{FF2B5EF4-FFF2-40B4-BE49-F238E27FC236}">
              <a16:creationId xmlns:a16="http://schemas.microsoft.com/office/drawing/2014/main" id="{C68ABC3D-B0BE-7984-89C5-40913C667D5F}"/>
            </a:ext>
          </a:extLst>
        </xdr:cNvPr>
        <xdr:cNvGrpSpPr/>
      </xdr:nvGrpSpPr>
      <xdr:grpSpPr>
        <a:xfrm>
          <a:off x="76200" y="1051560"/>
          <a:ext cx="4815840" cy="1927860"/>
          <a:chOff x="8706875" y="3070860"/>
          <a:chExt cx="5402580" cy="1927860"/>
        </a:xfrm>
        <a:effectLst>
          <a:outerShdw blurRad="50800" dist="38100" dir="2700000" algn="tl" rotWithShape="0">
            <a:prstClr val="black">
              <a:alpha val="40000"/>
            </a:prstClr>
          </a:outerShdw>
        </a:effectLst>
      </xdr:grpSpPr>
      <xdr:sp macro="" textlink="">
        <xdr:nvSpPr>
          <xdr:cNvPr id="44" name="Rectangle: Rounded Corners 43">
            <a:extLst>
              <a:ext uri="{FF2B5EF4-FFF2-40B4-BE49-F238E27FC236}">
                <a16:creationId xmlns:a16="http://schemas.microsoft.com/office/drawing/2014/main" id="{686B6350-AFE0-4530-D673-6A71C23C40E0}"/>
              </a:ext>
            </a:extLst>
          </xdr:cNvPr>
          <xdr:cNvSpPr/>
        </xdr:nvSpPr>
        <xdr:spPr>
          <a:xfrm>
            <a:off x="8706875" y="3070860"/>
            <a:ext cx="5402580" cy="19278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uk-UA" sz="1100"/>
          </a:p>
        </xdr:txBody>
      </xdr:sp>
      <xdr:graphicFrame macro="">
        <xdr:nvGraphicFramePr>
          <xdr:cNvPr id="43" name="Chart 42">
            <a:extLst>
              <a:ext uri="{FF2B5EF4-FFF2-40B4-BE49-F238E27FC236}">
                <a16:creationId xmlns:a16="http://schemas.microsoft.com/office/drawing/2014/main" id="{5C6EE4E0-3539-4198-89E1-CE535304E583}"/>
              </a:ext>
            </a:extLst>
          </xdr:cNvPr>
          <xdr:cNvGraphicFramePr>
            <a:graphicFrameLocks/>
          </xdr:cNvGraphicFramePr>
        </xdr:nvGraphicFramePr>
        <xdr:xfrm>
          <a:off x="8907473" y="3246120"/>
          <a:ext cx="4998720" cy="17297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5" name="TextBox 44">
            <a:extLst>
              <a:ext uri="{FF2B5EF4-FFF2-40B4-BE49-F238E27FC236}">
                <a16:creationId xmlns:a16="http://schemas.microsoft.com/office/drawing/2014/main" id="{D9D613C9-75B6-A3EE-53DE-4E1D4F40C50E}"/>
              </a:ext>
            </a:extLst>
          </xdr:cNvPr>
          <xdr:cNvSpPr txBox="1"/>
        </xdr:nvSpPr>
        <xdr:spPr>
          <a:xfrm>
            <a:off x="9334500" y="3093720"/>
            <a:ext cx="4389120" cy="35052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uk-UA" sz="1200">
                <a:effectLst>
                  <a:outerShdw blurRad="50800" dist="38100" dir="2700000" algn="tl" rotWithShape="0">
                    <a:prstClr val="black">
                      <a:alpha val="40000"/>
                    </a:prstClr>
                  </a:outerShdw>
                </a:effectLst>
                <a:latin typeface="Segoe UI Variable Text Semibold" pitchFamily="2" charset="0"/>
              </a:rPr>
              <a:t>Порівняння</a:t>
            </a:r>
            <a:r>
              <a:rPr lang="uk-UA" sz="1200" baseline="0">
                <a:effectLst>
                  <a:outerShdw blurRad="50800" dist="38100" dir="2700000" algn="tl" rotWithShape="0">
                    <a:prstClr val="black">
                      <a:alpha val="40000"/>
                    </a:prstClr>
                  </a:outerShdw>
                </a:effectLst>
                <a:latin typeface="Segoe UI Variable Text Semibold" pitchFamily="2" charset="0"/>
              </a:rPr>
              <a:t> Ціни та Доходу Кожної Кампанії</a:t>
            </a:r>
            <a:endParaRPr lang="uk-UA" sz="1200">
              <a:effectLst>
                <a:outerShdw blurRad="50800" dist="38100" dir="2700000" algn="tl" rotWithShape="0">
                  <a:prstClr val="black">
                    <a:alpha val="40000"/>
                  </a:prstClr>
                </a:outerShdw>
              </a:effectLst>
              <a:latin typeface="Segoe UI Variable Text Semibold" pitchFamily="2" charset="0"/>
            </a:endParaRPr>
          </a:p>
        </xdr:txBody>
      </xdr:sp>
    </xdr:grpSp>
    <xdr:clientData/>
  </xdr:twoCellAnchor>
  <xdr:twoCellAnchor editAs="oneCell">
    <xdr:from>
      <xdr:col>7</xdr:col>
      <xdr:colOff>1272540</xdr:colOff>
      <xdr:row>7</xdr:row>
      <xdr:rowOff>152400</xdr:rowOff>
    </xdr:from>
    <xdr:to>
      <xdr:col>8</xdr:col>
      <xdr:colOff>655320</xdr:colOff>
      <xdr:row>11</xdr:row>
      <xdr:rowOff>0</xdr:rowOff>
    </xdr:to>
    <xdr:pic>
      <xdr:nvPicPr>
        <xdr:cNvPr id="49" name="Graphic 48" descr="Basic Shapes with solid fill">
          <a:extLst>
            <a:ext uri="{FF2B5EF4-FFF2-40B4-BE49-F238E27FC236}">
              <a16:creationId xmlns:a16="http://schemas.microsoft.com/office/drawing/2014/main" id="{C0F8CF76-BE4B-630D-391A-067E1BA1AE9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68240" y="1478280"/>
          <a:ext cx="685800" cy="685800"/>
        </a:xfrm>
        <a:prstGeom prst="rect">
          <a:avLst/>
        </a:prstGeom>
      </xdr:spPr>
    </xdr:pic>
    <xdr:clientData/>
  </xdr:twoCellAnchor>
  <xdr:twoCellAnchor>
    <xdr:from>
      <xdr:col>13</xdr:col>
      <xdr:colOff>22860</xdr:colOff>
      <xdr:row>13</xdr:row>
      <xdr:rowOff>68580</xdr:rowOff>
    </xdr:from>
    <xdr:to>
      <xdr:col>21</xdr:col>
      <xdr:colOff>152400</xdr:colOff>
      <xdr:row>21</xdr:row>
      <xdr:rowOff>15240</xdr:rowOff>
    </xdr:to>
    <xdr:sp macro="" textlink="">
      <xdr:nvSpPr>
        <xdr:cNvPr id="50" name="TextBox 49">
          <a:extLst>
            <a:ext uri="{FF2B5EF4-FFF2-40B4-BE49-F238E27FC236}">
              <a16:creationId xmlns:a16="http://schemas.microsoft.com/office/drawing/2014/main" id="{CD38470D-DF3F-847A-4F95-B4D86331DFF1}"/>
            </a:ext>
          </a:extLst>
        </xdr:cNvPr>
        <xdr:cNvSpPr txBox="1"/>
      </xdr:nvSpPr>
      <xdr:spPr>
        <a:xfrm>
          <a:off x="9364980" y="2796540"/>
          <a:ext cx="4853940" cy="22021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uk-UA" sz="1200" b="1">
              <a:effectLst>
                <a:outerShdw blurRad="50800" dist="38100" dir="2700000" algn="tl" rotWithShape="0">
                  <a:prstClr val="black">
                    <a:alpha val="40000"/>
                  </a:prstClr>
                </a:outerShdw>
              </a:effectLst>
            </a:rPr>
            <a:t>Ключові моменти</a:t>
          </a:r>
          <a:r>
            <a:rPr lang="uk-UA" sz="1200" b="1" baseline="0">
              <a:effectLst>
                <a:outerShdw blurRad="50800" dist="38100" dir="2700000" algn="tl" rotWithShape="0">
                  <a:prstClr val="black">
                    <a:alpha val="40000"/>
                  </a:prstClr>
                </a:outerShdw>
              </a:effectLst>
            </a:rPr>
            <a:t> аналізу</a:t>
          </a:r>
          <a:r>
            <a:rPr lang="uk-UA" sz="1100" baseline="0"/>
            <a:t>:</a:t>
          </a:r>
        </a:p>
        <a:p>
          <a:r>
            <a:rPr lang="uk-UA" sz="1100" baseline="0"/>
            <a:t>1. Загальний дохід за місяць склав $794 206, при витратах $558 779, що забезпечило позитивні </a:t>
          </a:r>
          <a:r>
            <a:rPr lang="en-US" sz="1100" baseline="0"/>
            <a:t>ROAS</a:t>
          </a:r>
          <a:r>
            <a:rPr lang="uk-UA" sz="1100" baseline="0"/>
            <a:t> -</a:t>
          </a:r>
          <a:r>
            <a:rPr lang="en-US" sz="1100" baseline="0"/>
            <a:t> 1.4</a:t>
          </a:r>
          <a:r>
            <a:rPr lang="uk-UA" sz="1100" baseline="0"/>
            <a:t>2</a:t>
          </a:r>
          <a:r>
            <a:rPr lang="en-US" sz="1100" baseline="0"/>
            <a:t> </a:t>
          </a:r>
          <a:r>
            <a:rPr lang="uk-UA" sz="1100" baseline="0"/>
            <a:t>та </a:t>
          </a:r>
          <a:r>
            <a:rPr lang="en-US" sz="1100" baseline="0"/>
            <a:t>ROI </a:t>
          </a:r>
          <a:r>
            <a:rPr lang="uk-UA" sz="1100" baseline="0"/>
            <a:t>- </a:t>
          </a:r>
          <a:r>
            <a:rPr lang="en-US" sz="1100" baseline="0"/>
            <a:t>4</a:t>
          </a:r>
          <a:r>
            <a:rPr lang="uk-UA" sz="1100" baseline="0"/>
            <a:t>2</a:t>
          </a:r>
          <a:r>
            <a:rPr lang="en-US" sz="1100" baseline="0"/>
            <a:t>.</a:t>
          </a:r>
          <a:r>
            <a:rPr lang="uk-UA" sz="1100" baseline="0"/>
            <a:t>13</a:t>
          </a:r>
          <a:r>
            <a:rPr lang="en-US" sz="1100" baseline="0"/>
            <a:t>%</a:t>
          </a:r>
          <a:r>
            <a:rPr lang="uk-UA" sz="1100" baseline="0"/>
            <a:t>. Загалом кампанії є прибутковими, це додатково підтверджує діаграма </a:t>
          </a:r>
          <a:r>
            <a:rPr lang="en-US" sz="1100" baseline="0"/>
            <a:t>"</a:t>
          </a:r>
          <a:r>
            <a:rPr lang="uk-UA" sz="1100" baseline="0"/>
            <a:t>Порівняння Ціни та Доходу</a:t>
          </a:r>
          <a:r>
            <a:rPr lang="en-US" sz="1100" baseline="0"/>
            <a:t>"</a:t>
          </a:r>
          <a:r>
            <a:rPr lang="uk-UA" sz="1100" baseline="0"/>
            <a:t>, проте не завадить додаткова оптимізація.</a:t>
          </a:r>
        </a:p>
        <a:p>
          <a:r>
            <a:rPr lang="uk-UA" sz="1100" baseline="0"/>
            <a:t>2. Найвигідніший курс з направленням </a:t>
          </a:r>
          <a:r>
            <a:rPr lang="en-US" sz="1100" baseline="0"/>
            <a:t>Basic - </a:t>
          </a:r>
          <a:r>
            <a:rPr lang="uk-UA" sz="1100" baseline="0"/>
            <a:t> він має найвищий </a:t>
          </a:r>
          <a:r>
            <a:rPr lang="en-US" sz="1100" baseline="0"/>
            <a:t>ROI </a:t>
          </a:r>
          <a:r>
            <a:rPr lang="uk-UA" sz="1100" baseline="0"/>
            <a:t>та майже найнижчу ціну за клік. Найменш вигідний курс </a:t>
          </a:r>
          <a:r>
            <a:rPr lang="en-US" sz="1100" baseline="0"/>
            <a:t>Visualizations - </a:t>
          </a:r>
          <a:r>
            <a:rPr lang="uk-UA" sz="1100" baseline="0"/>
            <a:t>має високу ціну на конверсію та кліки та при цьому найменшу кількість конверсій і найнижчий </a:t>
          </a:r>
          <a:r>
            <a:rPr lang="en-US" sz="1100" baseline="0"/>
            <a:t>ROI. </a:t>
          </a:r>
        </a:p>
        <a:p>
          <a:r>
            <a:rPr lang="uk-UA" sz="1100" baseline="0"/>
            <a:t>3. Конверсії рівномірно розподілені між ключовими словами та пристроями, тож додаткової оптимізації поки не потребують. </a:t>
          </a:r>
        </a:p>
        <a:p>
          <a:r>
            <a:rPr lang="uk-UA" sz="1100" u="sng" baseline="0">
              <a:solidFill>
                <a:schemeClr val="bg2">
                  <a:lumMod val="50000"/>
                </a:schemeClr>
              </a:solidFill>
            </a:rPr>
            <a:t>Примітка</a:t>
          </a:r>
          <a:r>
            <a:rPr lang="uk-UA" sz="1100" baseline="0"/>
            <a:t>: датасет скоріше за все згенерований і різниця між числами дуже незначна, тому я не робила на цьому акцент.</a:t>
          </a:r>
          <a:endParaRPr lang="uk-U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21.262722453706" createdVersion="8" refreshedVersion="8" minRefreshableVersion="3" recordCount="2597" xr:uid="{E8F4FA24-96DE-4A32-9AE1-32D60A608542}">
  <cacheSource type="worksheet">
    <worksheetSource name="ads_dataset"/>
  </cacheSource>
  <cacheFields count="23">
    <cacheField name="Column1" numFmtId="0">
      <sharedItems containsSemiMixedTypes="0" containsString="0" containsNumber="1" containsInteger="1" minValue="0" maxValue="2599"/>
    </cacheField>
    <cacheField name="Ad_ID" numFmtId="0">
      <sharedItems/>
    </cacheField>
    <cacheField name="Campaign_Name" numFmtId="0">
      <sharedItems count="4">
        <s v="Data Analytics Course: Basics"/>
        <s v="Data Analytics Course: Visualizations"/>
        <s v="Data Analytics Course: Advanced"/>
        <s v="Data Analytics Course: ML"/>
      </sharedItems>
    </cacheField>
    <cacheField name="Clicks" numFmtId="0">
      <sharedItems containsSemiMixedTypes="0" containsString="0" containsNumber="1" containsInteger="1" minValue="80" maxValue="199"/>
    </cacheField>
    <cacheField name="Impressions" numFmtId="0">
      <sharedItems containsSemiMixedTypes="0" containsString="0" containsNumber="1" containsInteger="1" minValue="2638" maxValue="6562" count="1734">
        <n v="4498"/>
        <n v="5107"/>
        <n v="4544"/>
        <n v="3185"/>
        <n v="3361"/>
        <n v="3776"/>
        <n v="4480"/>
        <n v="5060"/>
        <n v="5434"/>
        <n v="3355"/>
        <n v="5399"/>
        <n v="3613"/>
        <n v="3259"/>
        <n v="3742"/>
        <n v="4311"/>
        <n v="5461"/>
        <n v="5159"/>
        <n v="4431"/>
        <n v="3113"/>
        <n v="5278"/>
        <n v="4143"/>
        <n v="4154"/>
        <n v="5187"/>
        <n v="5798"/>
        <n v="3718"/>
        <n v="3349"/>
        <n v="5323"/>
        <n v="5286"/>
        <n v="5469"/>
        <n v="3351"/>
        <n v="4834"/>
        <n v="5065"/>
        <n v="3872"/>
        <n v="5509"/>
        <n v="5610"/>
        <n v="5275"/>
        <n v="5939"/>
        <n v="5131"/>
        <n v="5786"/>
        <n v="4304"/>
        <n v="5549"/>
        <n v="4271"/>
        <n v="4418"/>
        <n v="3721"/>
        <n v="5783"/>
        <n v="4866"/>
        <n v="5857"/>
        <n v="5103"/>
        <n v="4653"/>
        <n v="3524"/>
        <n v="5938"/>
        <n v="3942"/>
        <n v="3315"/>
        <n v="4945"/>
        <n v="3166"/>
        <n v="4223"/>
        <n v="4798"/>
        <n v="5655"/>
        <n v="5140"/>
        <n v="3025"/>
        <n v="5223"/>
        <n v="5089"/>
        <n v="5016"/>
        <n v="3617"/>
        <n v="3764"/>
        <n v="4489"/>
        <n v="4441"/>
        <n v="5751"/>
        <n v="4036"/>
        <n v="4942"/>
        <n v="4989"/>
        <n v="3006"/>
        <n v="3728"/>
        <n v="3734"/>
        <n v="4621"/>
        <n v="3212"/>
        <n v="4225"/>
        <n v="4779"/>
        <n v="5352"/>
        <n v="5405"/>
        <n v="5430"/>
        <n v="4808"/>
        <n v="3587"/>
        <n v="4683"/>
        <n v="5814"/>
        <n v="3292"/>
        <n v="4305"/>
        <n v="4368"/>
        <n v="5935"/>
        <n v="5847"/>
        <n v="4851"/>
        <n v="4710"/>
        <n v="3345"/>
        <n v="5903"/>
        <n v="5004"/>
        <n v="3947"/>
        <n v="3690"/>
        <n v="5943"/>
        <n v="5357"/>
        <n v="3596"/>
        <n v="5162"/>
        <n v="3747"/>
        <n v="4822"/>
        <n v="5800"/>
        <n v="3594"/>
        <n v="4765"/>
        <n v="4128"/>
        <n v="5127"/>
        <n v="5674"/>
        <n v="3793"/>
        <n v="4315"/>
        <n v="4704"/>
        <n v="3501"/>
        <n v="3001"/>
        <n v="3425"/>
        <n v="5263"/>
        <n v="3889"/>
        <n v="3327"/>
        <n v="3858"/>
        <n v="5471"/>
        <n v="3550"/>
        <n v="3178"/>
        <n v="4673"/>
        <n v="4254"/>
        <n v="3658"/>
        <n v="5319"/>
        <n v="3755"/>
        <n v="4580"/>
        <n v="3809"/>
        <n v="5118"/>
        <n v="5766"/>
        <n v="3934"/>
        <n v="4724"/>
        <n v="5895"/>
        <n v="4048"/>
        <n v="3169"/>
        <n v="4535"/>
        <n v="3849"/>
        <n v="4259"/>
        <n v="3628"/>
        <n v="3269"/>
        <n v="3724"/>
        <n v="4838"/>
        <n v="4524"/>
        <n v="4694"/>
        <n v="4326"/>
        <n v="4235"/>
        <n v="4367"/>
        <n v="3748"/>
        <n v="3901"/>
        <n v="3335"/>
        <n v="5671"/>
        <n v="3408"/>
        <n v="4422"/>
        <n v="3097"/>
        <n v="3621"/>
        <n v="4806"/>
        <n v="5276"/>
        <n v="3542"/>
        <n v="4347"/>
        <n v="5014"/>
        <n v="4185"/>
        <n v="5964"/>
        <n v="5124"/>
        <n v="4162"/>
        <n v="4330"/>
        <n v="3268"/>
        <n v="3483"/>
        <n v="4519"/>
        <n v="3605"/>
        <n v="5076"/>
        <n v="5503"/>
        <n v="4308"/>
        <n v="3555"/>
        <n v="5615"/>
        <n v="4743"/>
        <n v="3337"/>
        <n v="3234"/>
        <n v="3913"/>
        <n v="3208"/>
        <n v="5972"/>
        <n v="3662"/>
        <n v="3359"/>
        <n v="3700"/>
        <n v="3835"/>
        <n v="5638"/>
        <n v="5825"/>
        <n v="5428"/>
        <n v="3571"/>
        <n v="3638"/>
        <n v="4505"/>
        <n v="3071"/>
        <n v="5682"/>
        <n v="5067"/>
        <n v="3971"/>
        <n v="4481"/>
        <n v="5476"/>
        <n v="4426"/>
        <n v="4080"/>
        <n v="4113"/>
        <n v="5119"/>
        <n v="3422"/>
        <n v="6562"/>
        <n v="3241"/>
        <n v="3970"/>
        <n v="5734"/>
        <n v="4001"/>
        <n v="4206"/>
        <n v="4745"/>
        <n v="4042"/>
        <n v="4883"/>
        <n v="3480"/>
        <n v="3007"/>
        <n v="3380"/>
        <n v="4823"/>
        <n v="4490"/>
        <n v="5149"/>
        <n v="4290"/>
        <n v="5643"/>
        <n v="3916"/>
        <n v="4551"/>
        <n v="3344"/>
        <n v="3331"/>
        <n v="5977"/>
        <n v="4562"/>
        <n v="5099"/>
        <n v="5852"/>
        <n v="3823"/>
        <n v="4612"/>
        <n v="5881"/>
        <n v="5204"/>
        <n v="5130"/>
        <n v="5231"/>
        <n v="5980"/>
        <n v="3202"/>
        <n v="4359"/>
        <n v="5592"/>
        <n v="5062"/>
        <n v="5830"/>
        <n v="4629"/>
        <n v="4780"/>
        <n v="3800"/>
        <n v="4096"/>
        <n v="3562"/>
        <n v="3910"/>
        <n v="5411"/>
        <n v="4026"/>
        <n v="3716"/>
        <n v="3859"/>
        <n v="3350"/>
        <n v="5340"/>
        <n v="3124"/>
        <n v="5017"/>
        <n v="3424"/>
        <n v="4060"/>
        <n v="5688"/>
        <n v="5029"/>
        <n v="5000"/>
        <n v="4141"/>
        <n v="4791"/>
        <n v="4168"/>
        <n v="3741"/>
        <n v="3577"/>
        <n v="4469"/>
        <n v="3611"/>
        <n v="4239"/>
        <n v="5973"/>
        <n v="4525"/>
        <n v="4395"/>
        <n v="3047"/>
        <n v="5348"/>
        <n v="3101"/>
        <n v="3693"/>
        <n v="5590"/>
        <n v="5277"/>
        <n v="3513"/>
        <n v="5772"/>
        <n v="5840"/>
        <n v="2968"/>
        <n v="5158"/>
        <n v="3489"/>
        <n v="3977"/>
        <n v="3397"/>
        <n v="5194"/>
        <n v="5721"/>
        <n v="3546"/>
        <n v="3670"/>
        <n v="5915"/>
        <n v="4450"/>
        <n v="5782"/>
        <n v="4339"/>
        <n v="5870"/>
        <n v="5662"/>
        <n v="4608"/>
        <n v="5290"/>
        <n v="4961"/>
        <n v="5664"/>
        <n v="3757"/>
        <n v="3410"/>
        <n v="3384"/>
        <n v="3842"/>
        <n v="4022"/>
        <n v="4423"/>
        <n v="4228"/>
        <n v="5120"/>
        <n v="3600"/>
        <n v="5771"/>
        <n v="4615"/>
        <n v="3115"/>
        <n v="5886"/>
        <n v="4929"/>
        <n v="4357"/>
        <n v="5612"/>
        <n v="3251"/>
        <n v="3360"/>
        <n v="5891"/>
        <n v="5835"/>
        <n v="4928"/>
        <n v="4049"/>
        <n v="4114"/>
        <n v="3705"/>
        <n v="5365"/>
        <n v="5213"/>
        <n v="3951"/>
        <n v="3405"/>
        <n v="5367"/>
        <n v="3602"/>
        <n v="3917"/>
        <n v="5019"/>
        <n v="3569"/>
        <n v="3420"/>
        <n v="3064"/>
        <n v="3730"/>
        <n v="4011"/>
        <n v="4636"/>
        <n v="3087"/>
        <n v="5872"/>
        <n v="5762"/>
        <n v="3396"/>
        <n v="3092"/>
        <n v="4240"/>
        <n v="4297"/>
        <n v="5518"/>
        <n v="5039"/>
        <n v="4845"/>
        <n v="4618"/>
        <n v="3941"/>
        <n v="5096"/>
        <n v="5537"/>
        <n v="4208"/>
        <n v="5358"/>
        <n v="5583"/>
        <n v="3069"/>
        <n v="3738"/>
        <n v="4852"/>
        <n v="5618"/>
        <n v="4700"/>
        <n v="5874"/>
        <n v="5965"/>
        <n v="5774"/>
        <n v="4079"/>
        <n v="3394"/>
        <n v="5730"/>
        <n v="3761"/>
        <n v="3975"/>
        <n v="5375"/>
        <n v="5883"/>
        <n v="3760"/>
        <n v="3217"/>
        <n v="5386"/>
        <n v="5381"/>
        <n v="5536"/>
        <n v="3165"/>
        <n v="5217"/>
        <n v="4301"/>
        <n v="5971"/>
        <n v="5160"/>
        <n v="5947"/>
        <n v="4150"/>
        <n v="4040"/>
        <n v="5956"/>
        <n v="4769"/>
        <n v="3822"/>
        <n v="3147"/>
        <n v="4613"/>
        <n v="4919"/>
        <n v="5205"/>
        <n v="3497"/>
        <n v="4057"/>
        <n v="5018"/>
        <n v="4012"/>
        <n v="3013"/>
        <n v="3824"/>
        <n v="3804"/>
        <n v="3791"/>
        <n v="5198"/>
        <n v="5329"/>
        <n v="5435"/>
        <n v="4977"/>
        <n v="3850"/>
        <n v="5976"/>
        <n v="4693"/>
        <n v="5481"/>
        <n v="4109"/>
        <n v="3887"/>
        <n v="4633"/>
        <n v="5353"/>
        <n v="5380"/>
        <n v="5104"/>
        <n v="4782"/>
        <n v="4345"/>
        <n v="3527"/>
        <n v="3330"/>
        <n v="4597"/>
        <n v="3008"/>
        <n v="5318"/>
        <n v="5244"/>
        <n v="4804"/>
        <n v="5920"/>
        <n v="5280"/>
        <n v="4532"/>
        <n v="4125"/>
        <n v="5571"/>
        <n v="4309"/>
        <n v="5538"/>
        <n v="3162"/>
        <n v="5811"/>
        <n v="3112"/>
        <n v="4492"/>
        <n v="5969"/>
        <n v="4255"/>
        <n v="2737"/>
        <n v="5619"/>
        <n v="5157"/>
        <n v="4871"/>
        <n v="5863"/>
        <n v="3205"/>
        <n v="5463"/>
        <n v="5667"/>
        <n v="4666"/>
        <n v="3632"/>
        <n v="3834"/>
        <n v="5724"/>
        <n v="4763"/>
        <n v="3095"/>
        <n v="5554"/>
        <n v="3407"/>
        <n v="4465"/>
        <n v="3311"/>
        <n v="3265"/>
        <n v="4969"/>
        <n v="5368"/>
        <n v="5851"/>
        <n v="4884"/>
        <n v="5719"/>
        <n v="5828"/>
        <n v="4935"/>
        <n v="4491"/>
        <n v="3659"/>
        <n v="4809"/>
        <n v="5844"/>
        <n v="5559"/>
        <n v="4630"/>
        <n v="3340"/>
        <n v="3117"/>
        <n v="5144"/>
        <n v="4375"/>
        <n v="3328"/>
        <n v="4336"/>
        <n v="5063"/>
        <n v="5993"/>
        <n v="3926"/>
        <n v="5570"/>
        <n v="5700"/>
        <n v="4646"/>
        <n v="4725"/>
        <n v="4230"/>
        <n v="3880"/>
        <n v="3143"/>
        <n v="5781"/>
        <n v="3790"/>
        <n v="4250"/>
        <n v="4675"/>
        <n v="5711"/>
        <n v="3022"/>
        <n v="5407"/>
        <n v="5095"/>
        <n v="5524"/>
        <n v="3777"/>
        <n v="4200"/>
        <n v="5384"/>
        <n v="4766"/>
        <n v="3322"/>
        <n v="4625"/>
        <n v="4689"/>
        <n v="3365"/>
        <n v="3392"/>
        <n v="5978"/>
        <n v="4407"/>
        <n v="3180"/>
        <n v="4947"/>
        <n v="5595"/>
        <n v="3382"/>
        <n v="4643"/>
        <n v="5400"/>
        <n v="3400"/>
        <n v="6464"/>
        <n v="3864"/>
        <n v="3838"/>
        <n v="5659"/>
        <n v="4794"/>
        <n v="5214"/>
        <n v="5026"/>
        <n v="3883"/>
        <n v="4605"/>
        <n v="4848"/>
        <n v="5454"/>
        <n v="4957"/>
        <n v="5705"/>
        <n v="4747"/>
        <n v="4730"/>
        <n v="5341"/>
        <n v="4327"/>
        <n v="6332"/>
        <n v="4484"/>
        <n v="3009"/>
        <n v="3110"/>
        <n v="3274"/>
        <n v="3231"/>
        <n v="3440"/>
        <n v="5196"/>
        <n v="5321"/>
        <n v="5841"/>
        <n v="5738"/>
        <n v="5776"/>
        <n v="4729"/>
        <n v="5371"/>
        <n v="5268"/>
        <n v="4432"/>
        <n v="3031"/>
        <n v="5999"/>
        <n v="5889"/>
        <n v="5601"/>
        <n v="4295"/>
        <n v="5135"/>
        <n v="5233"/>
        <n v="5727"/>
        <n v="4691"/>
        <n v="3409"/>
        <n v="4333"/>
        <n v="4430"/>
        <n v="4860"/>
        <n v="4396"/>
        <n v="3487"/>
        <n v="4236"/>
        <n v="5349"/>
        <n v="5678"/>
        <n v="5247"/>
        <n v="3685"/>
        <n v="5862"/>
        <n v="5040"/>
        <n v="3423"/>
        <n v="5981"/>
        <n v="3495"/>
        <n v="3702"/>
        <n v="3370"/>
        <n v="4455"/>
        <n v="4670"/>
        <n v="4287"/>
        <n v="4740"/>
        <n v="5642"/>
        <n v="4161"/>
        <n v="4241"/>
        <n v="5875"/>
        <n v="5457"/>
        <n v="5922"/>
        <n v="3454"/>
        <n v="3449"/>
        <n v="3437"/>
        <n v="3475"/>
        <n v="4889"/>
        <n v="3639"/>
        <n v="3959"/>
        <n v="5528"/>
        <n v="5456"/>
        <n v="3245"/>
        <n v="3339"/>
        <n v="4231"/>
        <n v="4506"/>
        <n v="4869"/>
        <n v="5716"/>
        <n v="3243"/>
        <n v="3911"/>
        <n v="3982"/>
        <n v="5299"/>
        <n v="5925"/>
        <n v="4010"/>
        <n v="5767"/>
        <n v="3787"/>
        <n v="3754"/>
        <n v="3281"/>
        <n v="4910"/>
        <n v="5091"/>
        <n v="5622"/>
        <n v="4538"/>
        <n v="3509"/>
        <n v="3346"/>
        <n v="4706"/>
        <n v="3896"/>
        <n v="3332"/>
        <n v="5346"/>
        <n v="4836"/>
        <n v="5291"/>
        <n v="4840"/>
        <n v="4246"/>
        <n v="5824"/>
        <n v="5952"/>
        <n v="3691"/>
        <n v="4350"/>
        <n v="5656"/>
        <n v="4566"/>
        <n v="4245"/>
        <n v="5053"/>
        <n v="5093"/>
        <n v="5336"/>
        <n v="4963"/>
        <n v="4901"/>
        <n v="5225"/>
        <n v="4857"/>
        <n v="5310"/>
        <n v="5855"/>
        <n v="5916"/>
        <n v="3952"/>
        <n v="5517"/>
        <n v="5460"/>
        <n v="3159"/>
        <n v="5545"/>
        <n v="3668"/>
        <n v="5663"/>
        <n v="3123"/>
        <n v="4436"/>
        <n v="5555"/>
        <n v="4972"/>
        <n v="3461"/>
        <n v="4025"/>
        <n v="5293"/>
        <n v="3565"/>
        <n v="4296"/>
        <n v="3567"/>
        <n v="4854"/>
        <n v="4749"/>
        <n v="3448"/>
        <n v="5297"/>
        <n v="3818"/>
        <n v="3713"/>
        <n v="3634"/>
        <n v="5868"/>
        <n v="3050"/>
        <n v="5301"/>
        <n v="3042"/>
        <n v="5272"/>
        <n v="4279"/>
        <n v="4816"/>
        <n v="3874"/>
        <n v="5221"/>
        <n v="5859"/>
        <n v="5055"/>
        <n v="4373"/>
        <n v="3547"/>
        <n v="3128"/>
        <n v="5201"/>
        <n v="5510"/>
        <n v="5628"/>
        <n v="5445"/>
        <n v="5936"/>
        <n v="5808"/>
        <n v="3282"/>
        <n v="3334"/>
        <n v="5546"/>
        <n v="4964"/>
        <n v="4774"/>
        <n v="5351"/>
        <n v="5506"/>
        <n v="5763"/>
        <n v="3271"/>
        <n v="4402"/>
        <n v="4281"/>
        <n v="4353"/>
        <n v="5161"/>
        <n v="5332"/>
        <n v="3620"/>
        <n v="4117"/>
        <n v="5220"/>
        <n v="4023"/>
        <n v="4081"/>
        <n v="3367"/>
        <n v="5166"/>
        <n v="3452"/>
        <n v="6200"/>
        <n v="5073"/>
        <n v="5757"/>
        <n v="3323"/>
        <n v="5417"/>
        <n v="5173"/>
        <n v="3643"/>
        <n v="3863"/>
        <n v="3661"/>
        <n v="3459"/>
        <n v="3906"/>
        <n v="4645"/>
        <n v="3317"/>
        <n v="3235"/>
        <n v="4403"/>
        <n v="3530"/>
        <n v="4679"/>
        <n v="5396"/>
        <n v="3976"/>
        <n v="4772"/>
        <n v="4941"/>
        <n v="4369"/>
        <n v="5526"/>
        <n v="5302"/>
        <n v="4424"/>
        <n v="3733"/>
        <n v="3190"/>
        <n v="4880"/>
        <n v="4103"/>
        <n v="4414"/>
        <n v="3320"/>
        <n v="4146"/>
        <n v="4720"/>
        <n v="3557"/>
        <n v="5899"/>
        <n v="4968"/>
        <n v="5934"/>
        <n v="4078"/>
        <n v="4163"/>
        <n v="5882"/>
        <n v="5645"/>
        <n v="3848"/>
        <n v="5609"/>
        <n v="4390"/>
        <n v="5787"/>
        <n v="5192"/>
        <n v="3146"/>
        <n v="3988"/>
        <n v="5343"/>
        <n v="5170"/>
        <n v="4958"/>
        <n v="5309"/>
        <n v="4539"/>
        <n v="4622"/>
        <n v="4992"/>
        <n v="3015"/>
        <n v="4662"/>
        <n v="3766"/>
        <n v="4542"/>
        <n v="5179"/>
        <n v="5265"/>
        <n v="3347"/>
        <n v="5960"/>
        <n v="5143"/>
        <n v="4381"/>
        <n v="3965"/>
        <n v="3366"/>
        <n v="5560"/>
        <n v="4500"/>
        <n v="3851"/>
        <n v="3464"/>
        <n v="3248"/>
        <n v="5768"/>
        <n v="4408"/>
        <n v="3623"/>
        <n v="3057"/>
        <n v="3144"/>
        <n v="3989"/>
        <n v="3619"/>
        <n v="4696"/>
        <n v="5684"/>
        <n v="4197"/>
        <n v="5949"/>
        <n v="3784"/>
        <n v="3570"/>
        <n v="4632"/>
        <n v="3457"/>
        <n v="4850"/>
        <n v="4938"/>
        <n v="5748"/>
        <n v="5596"/>
        <n v="5308"/>
        <n v="4221"/>
        <n v="4514"/>
        <n v="3468"/>
        <n v="5436"/>
        <n v="4575"/>
        <n v="3471"/>
        <n v="4499"/>
        <n v="3285"/>
        <n v="3431"/>
        <n v="4600"/>
        <n v="5472"/>
        <n v="5493"/>
        <n v="3188"/>
        <n v="3579"/>
        <n v="4198"/>
        <n v="4224"/>
        <n v="3199"/>
        <n v="5588"/>
        <n v="4846"/>
        <n v="3441"/>
        <n v="3719"/>
        <n v="3694"/>
        <n v="5641"/>
        <n v="3992"/>
        <n v="3411"/>
        <n v="3099"/>
        <n v="3017"/>
        <n v="4419"/>
        <n v="4476"/>
        <n v="4771"/>
        <n v="4786"/>
        <n v="3964"/>
        <n v="5317"/>
        <n v="3273"/>
        <n v="5866"/>
        <n v="3102"/>
        <n v="4856"/>
        <n v="4054"/>
        <n v="4074"/>
        <n v="5356"/>
        <n v="4898"/>
        <n v="3024"/>
        <n v="3021"/>
        <n v="5335"/>
        <n v="4738"/>
        <n v="4181"/>
        <n v="5813"/>
        <n v="4303"/>
        <n v="4603"/>
        <n v="4051"/>
        <n v="4140"/>
        <n v="3333"/>
        <n v="3689"/>
        <n v="4665"/>
        <n v="4497"/>
        <n v="5849"/>
        <n v="5283"/>
        <n v="5203"/>
        <n v="4243"/>
        <n v="3646"/>
        <n v="4101"/>
        <n v="3381"/>
        <n v="5003"/>
        <n v="5415"/>
        <n v="3002"/>
        <n v="3958"/>
        <n v="3060"/>
        <n v="5514"/>
        <n v="5373"/>
        <n v="4365"/>
        <n v="3500"/>
        <n v="4155"/>
        <n v="5437"/>
        <n v="5392"/>
        <n v="5403"/>
        <n v="5054"/>
        <n v="4485"/>
        <n v="4053"/>
        <n v="5733"/>
        <n v="3225"/>
        <n v="4170"/>
        <n v="4039"/>
        <n v="3150"/>
        <n v="5620"/>
        <n v="3063"/>
        <n v="4314"/>
        <n v="5945"/>
        <n v="5227"/>
        <n v="5314"/>
        <n v="4394"/>
        <n v="5820"/>
        <n v="5328"/>
        <n v="4050"/>
        <n v="3575"/>
        <n v="4753"/>
        <n v="5653"/>
        <n v="5750"/>
        <n v="5043"/>
        <n v="4529"/>
        <n v="4518"/>
        <n v="4735"/>
        <n v="3014"/>
        <n v="3758"/>
        <n v="4460"/>
        <n v="5542"/>
        <n v="5448"/>
        <n v="5261"/>
        <n v="4320"/>
        <n v="4157"/>
        <n v="4068"/>
        <n v="3072"/>
        <n v="5379"/>
        <n v="4885"/>
        <n v="4574"/>
        <n v="5911"/>
        <n v="4319"/>
        <n v="3956"/>
        <n v="4220"/>
        <n v="3692"/>
        <n v="4188"/>
        <n v="6398"/>
        <n v="3401"/>
        <n v="5366"/>
        <n v="4611"/>
        <n v="4447"/>
        <n v="4075"/>
        <n v="3729"/>
        <n v="3833"/>
        <n v="4833"/>
        <n v="3131"/>
        <n v="5147"/>
        <n v="5288"/>
        <n v="3908"/>
        <n v="3948"/>
        <n v="5836"/>
        <n v="4707"/>
        <n v="5611"/>
        <n v="3174"/>
        <n v="5942"/>
        <n v="4234"/>
        <n v="3963"/>
        <n v="4349"/>
        <n v="5294"/>
        <n v="3052"/>
        <n v="4634"/>
        <n v="5564"/>
        <n v="5749"/>
        <n v="5483"/>
        <n v="4093"/>
        <n v="4459"/>
        <n v="5937"/>
        <n v="4475"/>
        <n v="4212"/>
        <n v="4387"/>
        <n v="5948"/>
        <n v="4855"/>
        <n v="4674"/>
        <n v="3336"/>
        <n v="5839"/>
        <n v="3943"/>
        <n v="4196"/>
        <n v="4982"/>
        <n v="3797"/>
        <n v="5064"/>
        <n v="4217"/>
        <n v="4017"/>
        <n v="5094"/>
        <n v="5507"/>
        <n v="5449"/>
        <n v="5732"/>
        <n v="4678"/>
        <n v="4088"/>
        <n v="4528"/>
        <n v="3946"/>
        <n v="4486"/>
        <n v="5163"/>
        <n v="3978"/>
        <n v="5907"/>
        <n v="5970"/>
        <n v="5142"/>
        <n v="3715"/>
        <n v="4192"/>
        <n v="5121"/>
        <n v="5984"/>
        <n v="3220"/>
        <n v="5761"/>
        <n v="5683"/>
        <n v="5238"/>
        <n v="5116"/>
        <n v="5080"/>
        <n v="5552"/>
        <n v="3647"/>
        <n v="3626"/>
        <n v="5650"/>
        <n v="5219"/>
        <n v="4435"/>
        <n v="3856"/>
        <n v="4773"/>
        <n v="5360"/>
        <n v="3870"/>
        <n v="5066"/>
        <n v="4286"/>
        <n v="5228"/>
        <n v="3666"/>
        <n v="5957"/>
        <n v="3085"/>
        <n v="3341"/>
        <n v="5521"/>
        <n v="3696"/>
        <n v="3765"/>
        <n v="5455"/>
        <n v="5260"/>
        <n v="4404"/>
        <n v="3068"/>
        <n v="5837"/>
        <n v="3751"/>
        <n v="5010"/>
        <n v="5843"/>
        <n v="5369"/>
        <n v="4047"/>
        <n v="4463"/>
        <n v="4610"/>
        <n v="5704"/>
        <n v="5451"/>
        <n v="3770"/>
        <n v="3573"/>
        <n v="4092"/>
        <n v="3999"/>
        <n v="3354"/>
        <n v="4801"/>
        <n v="4799"/>
        <n v="3753"/>
        <n v="4698"/>
        <n v="3522"/>
        <n v="3363"/>
        <n v="5924"/>
        <n v="3558"/>
        <n v="3607"/>
        <n v="6365"/>
        <n v="5522"/>
        <n v="3682"/>
        <n v="4549"/>
        <n v="3122"/>
        <n v="3650"/>
        <n v="5485"/>
        <n v="3778"/>
        <n v="3051"/>
        <n v="3533"/>
        <n v="5125"/>
        <n v="3155"/>
        <n v="3444"/>
        <n v="4253"/>
        <n v="4925"/>
        <n v="3576"/>
        <n v="5831"/>
        <n v="4242"/>
        <n v="5530"/>
        <n v="4614"/>
        <n v="5072"/>
        <n v="4805"/>
        <n v="4474"/>
        <n v="5151"/>
        <n v="4515"/>
        <n v="4269"/>
        <n v="3759"/>
        <n v="3687"/>
        <n v="4939"/>
        <n v="3981"/>
        <n v="3160"/>
        <n v="4699"/>
        <n v="3299"/>
        <n v="5634"/>
        <n v="5991"/>
        <n v="4550"/>
        <n v="5805"/>
        <n v="5156"/>
        <n v="5178"/>
        <n v="3076"/>
        <n v="3218"/>
        <n v="4682"/>
        <n v="3592"/>
        <n v="3506"/>
        <n v="3953"/>
        <n v="4891"/>
        <n v="4976"/>
        <n v="5728"/>
        <n v="4070"/>
        <n v="3698"/>
        <n v="4082"/>
        <n v="4464"/>
        <n v="4371"/>
        <n v="3657"/>
        <n v="5833"/>
        <n v="3077"/>
        <n v="3139"/>
        <n v="4005"/>
        <n v="3876"/>
        <n v="5550"/>
        <n v="3526"/>
        <n v="3192"/>
        <n v="4132"/>
        <n v="5826"/>
        <n v="5997"/>
        <n v="4541"/>
        <n v="4642"/>
        <n v="5209"/>
        <n v="5443"/>
        <n v="5326"/>
        <n v="5565"/>
        <n v="3312"/>
        <n v="5736"/>
        <n v="5921"/>
        <n v="5334"/>
        <n v="4647"/>
        <n v="3485"/>
        <n v="5720"/>
        <n v="3540"/>
        <n v="4035"/>
        <n v="4334"/>
        <n v="4038"/>
        <n v="5803"/>
        <n v="4182"/>
        <n v="5640"/>
        <n v="5561"/>
        <n v="5871"/>
        <n v="5954"/>
        <n v="3808"/>
        <n v="4721"/>
        <n v="4768"/>
        <n v="5494"/>
        <n v="5573"/>
        <n v="6101"/>
        <n v="3458"/>
        <n v="5432"/>
        <n v="5718"/>
        <n v="4762"/>
        <n v="4953"/>
        <n v="3067"/>
        <n v="5860"/>
        <n v="4169"/>
        <n v="5269"/>
        <n v="5793"/>
        <n v="3338"/>
        <n v="3961"/>
        <n v="5635"/>
        <n v="4312"/>
        <n v="3302"/>
        <n v="3118"/>
        <n v="5271"/>
        <n v="4881"/>
        <n v="5250"/>
        <n v="4405"/>
        <n v="3296"/>
        <n v="3499"/>
        <n v="5050"/>
        <n v="5652"/>
        <n v="5085"/>
        <n v="5070"/>
        <n v="5879"/>
        <n v="3815"/>
        <n v="5741"/>
        <n v="4272"/>
        <n v="4974"/>
        <n v="3215"/>
        <n v="3723"/>
        <n v="3933"/>
        <n v="4360"/>
        <n v="3909"/>
        <n v="3554"/>
        <n v="3541"/>
        <n v="5878"/>
        <n v="4764"/>
        <n v="5212"/>
        <n v="5285"/>
        <n v="3177"/>
        <n v="3237"/>
        <n v="4452"/>
        <n v="3920"/>
        <n v="4072"/>
        <n v="5953"/>
        <n v="3104"/>
        <n v="4882"/>
        <n v="4973"/>
        <n v="3300"/>
        <n v="4019"/>
        <n v="5495"/>
        <n v="5218"/>
        <n v="5996"/>
        <n v="4932"/>
        <n v="4164"/>
        <n v="4329"/>
        <n v="5764"/>
        <n v="5707"/>
        <n v="3263"/>
        <n v="5075"/>
        <n v="4473"/>
        <n v="3979"/>
        <n v="4134"/>
        <n v="4654"/>
        <n v="3091"/>
        <n v="5389"/>
        <n v="4444"/>
        <n v="5869"/>
        <n v="4172"/>
        <n v="5926"/>
        <n v="5785"/>
        <n v="5930"/>
        <n v="3656"/>
        <n v="5078"/>
        <n v="5257"/>
        <n v="5582"/>
        <n v="3198"/>
        <n v="4896"/>
        <n v="5756"/>
        <n v="5696"/>
        <n v="4669"/>
        <n v="3807"/>
        <n v="3163"/>
        <n v="3732"/>
        <n v="3860"/>
        <n v="3196"/>
        <n v="3890"/>
        <n v="4671"/>
        <n v="5438"/>
        <n v="4726"/>
        <n v="3722"/>
        <n v="3944"/>
        <n v="5123"/>
        <n v="4127"/>
        <n v="4944"/>
        <n v="4534"/>
        <n v="5894"/>
        <n v="3039"/>
        <n v="3556"/>
        <n v="4920"/>
        <n v="3187"/>
        <n v="3238"/>
        <n v="4507"/>
        <n v="3606"/>
        <n v="3711"/>
        <n v="4841"/>
        <n v="3520"/>
        <n v="3460"/>
        <n v="3404"/>
        <n v="4994"/>
        <n v="5758"/>
        <n v="3652"/>
        <n v="4120"/>
        <n v="3142"/>
        <n v="5726"/>
        <n v="4813"/>
        <n v="4300"/>
        <n v="4094"/>
        <n v="4263"/>
        <n v="3472"/>
        <n v="4411"/>
        <n v="4787"/>
        <n v="4111"/>
        <n v="3305"/>
        <n v="3510"/>
        <n v="5409"/>
        <n v="5523"/>
        <n v="5421"/>
        <n v="5181"/>
        <n v="5484"/>
        <n v="3805"/>
        <n v="4561"/>
        <n v="5865"/>
        <n v="5292"/>
        <n v="5568"/>
        <n v="4849"/>
        <n v="5706"/>
        <n v="3438"/>
        <n v="3610"/>
        <n v="3828"/>
        <n v="5431"/>
        <n v="3829"/>
        <n v="4165"/>
        <n v="3717"/>
        <n v="5190"/>
        <n v="3921"/>
        <n v="5414"/>
        <n v="3984"/>
        <n v="4716"/>
        <n v="5273"/>
        <n v="3149"/>
        <n v="5799"/>
        <n v="3629"/>
        <n v="5531"/>
        <n v="5406"/>
        <n v="5904"/>
        <n v="5979"/>
        <n v="4950"/>
        <n v="5540"/>
        <n v="4624"/>
        <n v="5241"/>
        <n v="3246"/>
        <n v="5858"/>
        <n v="4002"/>
        <n v="4907"/>
        <n v="5680"/>
        <n v="4558"/>
        <n v="5992"/>
        <n v="5069"/>
        <n v="4340"/>
        <n v="5139"/>
        <n v="4232"/>
        <n v="5580"/>
        <n v="3972"/>
        <n v="4521"/>
        <n v="3924"/>
        <n v="3319"/>
        <n v="5141"/>
        <n v="3529"/>
        <n v="3794"/>
        <n v="6134"/>
        <n v="3473"/>
        <n v="4341"/>
        <n v="3310"/>
        <n v="3633"/>
        <n v="2803"/>
        <n v="5282"/>
        <n v="5877"/>
        <n v="3061"/>
        <n v="4569"/>
        <n v="4627"/>
        <n v="4264"/>
        <n v="5815"/>
        <n v="3597"/>
        <n v="3430"/>
        <n v="4906"/>
        <n v="5082"/>
        <n v="4661"/>
        <n v="4466"/>
        <n v="3120"/>
        <n v="3261"/>
        <n v="3844"/>
        <n v="4298"/>
        <n v="4998"/>
        <n v="5110"/>
        <n v="5155"/>
        <n v="4362"/>
        <n v="5464"/>
        <n v="3560"/>
        <n v="3278"/>
        <n v="5215"/>
        <n v="4912"/>
        <n v="5136"/>
        <n v="5402"/>
        <n v="5876"/>
        <n v="3249"/>
        <n v="4351"/>
        <n v="5685"/>
        <n v="3490"/>
        <n v="3584"/>
        <n v="3029"/>
        <n v="3372"/>
        <n v="5452"/>
        <n v="3011"/>
        <n v="3371"/>
        <n v="5126"/>
        <n v="5447"/>
        <n v="3272"/>
        <n v="4229"/>
        <n v="3960"/>
        <n v="3865"/>
        <n v="3433"/>
        <n v="4817"/>
        <n v="4870"/>
        <n v="5133"/>
        <n v="3181"/>
        <n v="4153"/>
        <n v="5804"/>
        <n v="2638"/>
        <n v="3792"/>
        <n v="5919"/>
        <n v="4593"/>
        <n v="4676"/>
        <n v="5832"/>
        <n v="3637"/>
        <n v="5533"/>
        <n v="5962"/>
        <n v="4477"/>
        <n v="3207"/>
        <n v="4512"/>
        <n v="5249"/>
        <n v="5385"/>
        <n v="4149"/>
        <n v="4517"/>
        <n v="3903"/>
        <n v="3253"/>
        <n v="3869"/>
        <n v="4537"/>
        <n v="4425"/>
        <n v="4213"/>
        <n v="4045"/>
        <n v="5145"/>
        <n v="3725"/>
        <n v="4962"/>
        <n v="3055"/>
        <n v="4832"/>
        <n v="3224"/>
        <n v="5809"/>
        <n v="4027"/>
        <n v="5900"/>
        <n v="3518"/>
        <n v="4238"/>
        <n v="4415"/>
        <n v="3931"/>
        <n v="4409"/>
        <n v="3905"/>
        <n v="3027"/>
        <n v="4540"/>
        <n v="4865"/>
        <n v="5890"/>
        <n v="4641"/>
        <n v="5669"/>
        <n v="3000"/>
        <n v="5049"/>
        <n v="5822"/>
        <n v="3762"/>
        <n v="3752"/>
        <n v="5487"/>
        <n v="4864"/>
        <n v="4428"/>
        <n v="5649"/>
        <n v="4116"/>
        <n v="4790"/>
        <n v="4818"/>
        <n v="3855"/>
        <n v="3781"/>
        <n v="3309"/>
        <n v="4930"/>
        <n v="4830"/>
        <n v="5422"/>
        <n v="4658"/>
        <n v="4393"/>
        <n v="5208"/>
        <n v="3508"/>
        <n v="4488"/>
        <n v="5363"/>
        <n v="4788"/>
        <n v="4121"/>
        <n v="5030"/>
        <n v="3314"/>
        <n v="5567"/>
        <n v="4966"/>
        <n v="3991"/>
        <n v="3306"/>
        <n v="3432"/>
        <n v="3635"/>
        <n v="4638"/>
        <n v="4824"/>
        <n v="3779"/>
        <n v="5827"/>
        <n v="4922"/>
        <n v="4277"/>
        <n v="3418"/>
        <n v="4828"/>
        <n v="4135"/>
        <n v="5254"/>
        <n v="4439"/>
        <n v="3053"/>
        <n v="3036"/>
        <n v="5057"/>
        <n v="3726"/>
        <n v="4599"/>
        <n v="3521"/>
        <n v="5823"/>
        <n v="5569"/>
        <n v="5675"/>
        <n v="5790"/>
        <n v="4594"/>
        <n v="4352"/>
        <n v="4909"/>
        <n v="3148"/>
        <n v="3105"/>
        <n v="4283"/>
        <n v="4189"/>
        <n v="5256"/>
        <n v="3980"/>
        <n v="5614"/>
        <n v="3746"/>
        <n v="5608"/>
        <n v="4582"/>
        <n v="4438"/>
        <n v="5011"/>
        <n v="5864"/>
        <n v="5114"/>
        <n v="5658"/>
        <n v="4876"/>
        <n v="5470"/>
        <n v="4089"/>
        <n v="4266"/>
        <n v="5102"/>
        <n v="4598"/>
        <n v="5404"/>
        <n v="4016"/>
        <n v="5092"/>
        <n v="3745"/>
        <n v="5046"/>
        <n v="4032"/>
        <n v="3879"/>
        <n v="3058"/>
        <n v="3109"/>
        <n v="5633"/>
        <n v="4059"/>
        <n v="3172"/>
        <n v="4258"/>
        <n v="5661"/>
        <n v="4914"/>
        <n v="5382"/>
        <n v="5898"/>
        <n v="3967"/>
        <n v="3089"/>
        <n v="3219"/>
        <n v="5270"/>
        <n v="3239"/>
        <n v="3937"/>
        <n v="4175"/>
        <n v="5780"/>
        <n v="3684"/>
        <n v="3226"/>
        <n v="4978"/>
        <n v="5041"/>
        <n v="4124"/>
        <n v="3736"/>
        <n v="5022"/>
        <n v="5491"/>
        <n v="3708"/>
        <n v="3566"/>
        <n v="4839"/>
        <n v="5697"/>
        <n v="3096"/>
        <n v="5150"/>
        <n v="3126"/>
        <n v="5551"/>
        <n v="5712"/>
        <n v="2704"/>
        <n v="3161"/>
        <n v="3385"/>
        <n v="5600"/>
        <n v="4218"/>
        <n v="3358"/>
        <n v="4073"/>
        <n v="5172"/>
        <n v="5896"/>
        <n v="3427"/>
        <n v="4176"/>
        <n v="4936"/>
        <n v="5468"/>
        <n v="4377"/>
        <n v="5648"/>
        <n v="5117"/>
        <n v="3861"/>
        <n v="3303"/>
        <n v="3720"/>
        <n v="5789"/>
        <n v="5113"/>
        <n v="3088"/>
        <n v="4445"/>
        <n v="3583"/>
        <n v="3832"/>
        <n v="4261"/>
        <n v="4796"/>
        <n v="5229"/>
        <n v="5676"/>
        <n v="4677"/>
        <n v="3548"/>
        <n v="5944"/>
        <n v="4453"/>
        <n v="5052"/>
        <n v="4457"/>
        <n v="5129"/>
        <n v="5210"/>
        <n v="3456"/>
        <n v="3026"/>
        <n v="3957"/>
        <n v="5446"/>
        <n v="5388"/>
        <n v="5138"/>
        <n v="3534"/>
        <n v="4302"/>
        <n v="4126"/>
        <n v="4275"/>
        <n v="4332"/>
        <n v="5746"/>
        <n v="4933"/>
        <n v="5180"/>
        <n v="4988"/>
        <n v="3788"/>
        <n v="4382"/>
        <n v="3712"/>
        <n v="5739"/>
        <n v="4556"/>
        <n v="5765"/>
        <n v="4379"/>
        <n v="5812"/>
        <n v="4904"/>
        <n v="4708"/>
        <n v="3945"/>
        <n v="4470"/>
        <n v="4041"/>
        <n v="4195"/>
        <n v="3854"/>
        <n v="5597"/>
        <n v="5488"/>
        <n v="3676"/>
        <n v="4307"/>
        <n v="4204"/>
        <n v="3589"/>
        <n v="3048"/>
        <n v="4631"/>
        <n v="5624"/>
        <n v="5931"/>
        <n v="4577"/>
        <n v="4483"/>
        <n v="5754"/>
        <n v="4067"/>
        <n v="4021"/>
        <n v="3816"/>
        <n v="3154"/>
        <n v="5105"/>
        <n v="3559"/>
        <n v="3005"/>
        <n v="4151"/>
        <n v="4819"/>
        <n v="4472"/>
        <n v="3186"/>
        <n v="5035"/>
        <n v="5686"/>
        <n v="4062"/>
        <n v="4226"/>
        <n v="3469"/>
        <n v="3389"/>
        <n v="4814"/>
        <n v="4107"/>
        <n v="3221"/>
        <n v="3588"/>
        <n v="4927"/>
        <n v="5742"/>
        <n v="4322"/>
        <n v="4144"/>
        <n v="5007"/>
        <n v="5001"/>
        <n v="3802"/>
        <n v="5584"/>
        <n v="5714"/>
        <n v="5025"/>
        <n v="3318"/>
        <n v="3939"/>
        <n v="5845"/>
        <n v="3580"/>
        <n v="4413"/>
        <n v="5083"/>
        <n v="3286"/>
        <n v="5689"/>
        <n v="3814"/>
        <n v="4252"/>
        <n v="4793"/>
        <n v="4853"/>
        <n v="3915"/>
        <n v="3996"/>
        <n v="5740"/>
        <n v="5354"/>
        <n v="4587"/>
        <n v="3455"/>
        <n v="3153"/>
        <n v="5963"/>
        <n v="3938"/>
        <n v="6035"/>
        <n v="5466"/>
        <n v="3390"/>
        <n v="3532"/>
        <n v="3683"/>
        <n v="5031"/>
        <n v="5660"/>
        <n v="3450"/>
        <n v="5983"/>
        <n v="5051"/>
        <n v="5370"/>
        <n v="4451"/>
        <n v="5613"/>
        <n v="4821"/>
        <n v="3289"/>
        <n v="4156"/>
        <n v="4655"/>
        <n v="5246"/>
        <n v="4069"/>
        <n v="3907"/>
        <n v="5137"/>
        <n v="3836"/>
        <n v="4727"/>
        <n v="3699"/>
        <n v="5955"/>
        <n v="5520"/>
        <n v="3884"/>
        <n v="5361"/>
        <n v="4388"/>
        <n v="5699"/>
        <n v="3256"/>
        <n v="4723"/>
        <n v="4960"/>
        <n v="4803"/>
        <n v="3164"/>
        <n v="3343"/>
        <n v="5068"/>
        <n v="3003"/>
        <n v="3348"/>
        <n v="4400"/>
        <n v="4955"/>
        <n v="5171"/>
        <n v="4878"/>
        <n v="3240"/>
        <n v="3030"/>
        <n v="5616"/>
        <n v="3641"/>
        <n v="5429"/>
        <n v="3612"/>
        <n v="5968"/>
        <n v="4701"/>
        <n v="5295"/>
        <n v="5630"/>
        <n v="5036"/>
        <n v="5245"/>
        <n v="5474"/>
        <n v="4913"/>
        <n v="5975"/>
        <n v="4285"/>
        <n v="5168"/>
        <n v="3482"/>
        <n v="4893"/>
        <n v="3075"/>
        <n v="3383"/>
        <n v="5629"/>
        <n v="5914"/>
        <n v="5262"/>
        <n v="5743"/>
        <n v="5061"/>
        <n v="4446"/>
        <n v="5344"/>
        <n v="3211"/>
        <n v="5853"/>
        <n v="5453"/>
      </sharedItems>
    </cacheField>
    <cacheField name="Cost" numFmtId="165">
      <sharedItems containsSemiMixedTypes="0" containsString="0" containsNumber="1" containsInteger="1" minValue="125" maxValue="308"/>
    </cacheField>
    <cacheField name="Leads" numFmtId="0">
      <sharedItems containsSemiMixedTypes="0" containsString="0" containsNumber="1" containsInteger="1" minValue="10" maxValue="30"/>
    </cacheField>
    <cacheField name="Conversions" numFmtId="0">
      <sharedItems containsSemiMixedTypes="0" containsString="0" containsNumber="1" containsInteger="1" minValue="3" maxValue="10"/>
    </cacheField>
    <cacheField name="Conversion Rate" numFmtId="166">
      <sharedItems containsSemiMixedTypes="0" containsString="0" containsNumber="1" minValue="1.5075376884422099E-2" maxValue="0.125"/>
    </cacheField>
    <cacheField name="Revenue" numFmtId="165">
      <sharedItems containsSemiMixedTypes="0" containsString="0" containsNumber="1" minValue="140.142857142857" maxValue="467.142857142857" count="216">
        <n v="386"/>
        <n v="343"/>
        <n v="331"/>
        <n v="250"/>
        <n v="223"/>
        <n v="268"/>
        <n v="335"/>
        <n v="308"/>
        <n v="278"/>
        <n v="210"/>
        <n v="388"/>
        <n v="231"/>
        <n v="400"/>
        <n v="314"/>
        <n v="358"/>
        <n v="329"/>
        <n v="346"/>
        <n v="364"/>
        <n v="309"/>
        <n v="354"/>
        <n v="368"/>
        <n v="270"/>
        <n v="296"/>
        <n v="337"/>
        <n v="297"/>
        <n v="338"/>
        <n v="344"/>
        <n v="403"/>
        <n v="324"/>
        <n v="227"/>
        <n v="212"/>
        <n v="349"/>
        <n v="373.71428571428498"/>
        <n v="372"/>
        <n v="374"/>
        <n v="267"/>
        <n v="348"/>
        <n v="291"/>
        <n v="377"/>
        <n v="247"/>
        <n v="333"/>
        <n v="353"/>
        <n v="323"/>
        <n v="266"/>
        <n v="279"/>
        <n v="311"/>
        <n v="220"/>
        <n v="356"/>
        <n v="209"/>
        <n v="319"/>
        <n v="259"/>
        <n v="273"/>
        <n v="345"/>
        <n v="215"/>
        <n v="140.142857142857"/>
        <n v="249"/>
        <n v="397"/>
        <n v="401"/>
        <n v="275"/>
        <n v="258"/>
        <n v="361"/>
        <n v="263"/>
        <n v="392"/>
        <n v="318"/>
        <n v="467.142857142857"/>
        <n v="317"/>
        <n v="407"/>
        <n v="330"/>
        <n v="222"/>
        <n v="375"/>
        <n v="394"/>
        <n v="271"/>
        <n v="299"/>
        <n v="240"/>
        <n v="216"/>
        <n v="245"/>
        <n v="244"/>
        <n v="379"/>
        <n v="242"/>
        <n v="305"/>
        <n v="336"/>
        <n v="391"/>
        <n v="211"/>
        <n v="390"/>
        <n v="233.57142857142799"/>
        <n v="381"/>
        <n v="307"/>
        <n v="376"/>
        <n v="228"/>
        <n v="306"/>
        <n v="387"/>
        <n v="241"/>
        <n v="274"/>
        <n v="293"/>
        <n v="360"/>
        <n v="229"/>
        <n v="404"/>
        <n v="233"/>
        <n v="239"/>
        <n v="347"/>
        <n v="290"/>
        <n v="265"/>
        <n v="255"/>
        <n v="207"/>
        <n v="420.42857142857099"/>
        <n v="254"/>
        <n v="214"/>
        <n v="320"/>
        <n v="326"/>
        <n v="382"/>
        <n v="370"/>
        <n v="303"/>
        <n v="281"/>
        <n v="327"/>
        <n v="280.28571428571399"/>
        <n v="282"/>
        <n v="232"/>
        <n v="357"/>
        <n v="252"/>
        <n v="367"/>
        <n v="334"/>
        <n v="256"/>
        <n v="213"/>
        <n v="312"/>
        <n v="288"/>
        <n v="295"/>
        <n v="351"/>
        <n v="257"/>
        <n v="289"/>
        <n v="340"/>
        <n v="292"/>
        <n v="408"/>
        <n v="285"/>
        <n v="294"/>
        <n v="342"/>
        <n v="205"/>
        <n v="339"/>
        <n v="243"/>
        <n v="385"/>
        <n v="253"/>
        <n v="321"/>
        <n v="236"/>
        <n v="362"/>
        <n v="316"/>
        <n v="284"/>
        <n v="234"/>
        <n v="251"/>
        <n v="301"/>
        <n v="217"/>
        <n v="383"/>
        <n v="230"/>
        <n v="262"/>
        <n v="248"/>
        <n v="280"/>
        <n v="272"/>
        <n v="398"/>
        <n v="208"/>
        <n v="369"/>
        <n v="218"/>
        <n v="186.85714285714201"/>
        <n v="219"/>
        <n v="264"/>
        <n v="226"/>
        <n v="378"/>
        <n v="322"/>
        <n v="286"/>
        <n v="206"/>
        <n v="396"/>
        <n v="380"/>
        <n v="302"/>
        <n v="406"/>
        <n v="298"/>
        <n v="355"/>
        <n v="276"/>
        <n v="310"/>
        <n v="225"/>
        <n v="352"/>
        <n v="221"/>
        <n v="393"/>
        <n v="371"/>
        <n v="304"/>
        <n v="359"/>
        <n v="313"/>
        <n v="389"/>
        <n v="315"/>
        <n v="273.71651785714198"/>
        <n v="332"/>
        <n v="325"/>
        <n v="204"/>
        <n v="384"/>
        <n v="237"/>
        <n v="405"/>
        <n v="283"/>
        <n v="287"/>
        <n v="341"/>
        <n v="350"/>
        <n v="365"/>
        <n v="260"/>
        <n v="300"/>
        <n v="373"/>
        <n v="246"/>
        <n v="224"/>
        <n v="328"/>
        <n v="366"/>
        <n v="277"/>
        <n v="235"/>
        <n v="269"/>
        <n v="399"/>
        <n v="395"/>
        <n v="363"/>
        <n v="261"/>
        <n v="402"/>
        <n v="238"/>
        <n v="181.74776785714201"/>
        <n v="325.10223214285702"/>
        <n v="350.35714285714198"/>
      </sharedItems>
    </cacheField>
    <cacheField name="Date" numFmtId="14">
      <sharedItems containsSemiMixedTypes="0" containsNonDate="0" containsDate="1" containsString="0" minDate="2024-11-01T00:00:00" maxDate="2024-12-01T00:00:00"/>
    </cacheField>
    <cacheField name="Location" numFmtId="0">
      <sharedItems/>
    </cacheField>
    <cacheField name="Device" numFmtId="0">
      <sharedItems count="3">
        <s v="Desktop"/>
        <s v="Mobile"/>
        <s v="Tablet"/>
      </sharedItems>
    </cacheField>
    <cacheField name="Keyword" numFmtId="0">
      <sharedItems count="6">
        <s v="Learn data analytics"/>
        <s v="Data analytics course"/>
        <s v="Data analytics online"/>
        <s v="Data analytics training"/>
        <s v="Online data analytics"/>
        <s v="Analytics for data"/>
      </sharedItems>
    </cacheField>
    <cacheField name="Month" numFmtId="0">
      <sharedItems/>
    </cacheField>
    <cacheField name="Weekday" numFmtId="0">
      <sharedItems count="7">
        <s v="Saturday"/>
        <s v="Wednesday"/>
        <s v="Tuesday"/>
        <s v="Friday"/>
        <s v="Sunday"/>
        <s v="Thursday"/>
        <s v="Monday"/>
      </sharedItems>
    </cacheField>
    <cacheField name="CPC" numFmtId="2">
      <sharedItems containsSemiMixedTypes="0" containsString="0" containsNumber="1" minValue="0.90939393939393898" maxValue="3.0895000000000001"/>
    </cacheField>
    <cacheField name="CTR" numFmtId="0">
      <sharedItems containsSemiMixedTypes="0" containsString="0" containsNumber="1" minValue="1.36" maxValue="6.55"/>
    </cacheField>
    <cacheField name="CPL" numFmtId="0">
      <sharedItems containsSemiMixedTypes="0" containsString="0" containsNumber="1" minValue="4.28" maxValue="26.52"/>
    </cacheField>
    <cacheField name="CPA" numFmtId="0">
      <sharedItems containsSemiMixedTypes="0" containsString="0" containsNumber="1" minValue="12.65" maxValue="98.75"/>
    </cacheField>
    <cacheField name="ROI" numFmtId="0">
      <sharedItems containsSemiMixedTypes="0" containsString="0" containsNumber="1" minValue="-43.74" maxValue="185.48"/>
    </cacheField>
    <cacheField name="AOV" numFmtId="0">
      <sharedItems containsSemiMixedTypes="0" containsString="0" containsNumber="1" minValue="20.399999999999999" maxValue="135.33000000000001"/>
    </cacheField>
    <cacheField name="ROAS" numFmtId="0">
      <sharedItems containsSemiMixedTypes="0" containsString="0" containsNumber="1" minValue="0.56000000000000005" maxValue="2.85"/>
    </cacheField>
  </cacheFields>
  <extLst>
    <ext xmlns:x14="http://schemas.microsoft.com/office/spreadsheetml/2009/9/main" uri="{725AE2AE-9491-48be-B2B4-4EB974FC3084}">
      <x14:pivotCacheDefinition pivotCacheId="1295112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7">
  <r>
    <n v="0"/>
    <s v="A1000"/>
    <x v="0"/>
    <n v="104"/>
    <x v="0"/>
    <n v="232"/>
    <n v="14"/>
    <n v="7"/>
    <n v="6.7307692307692304E-2"/>
    <x v="0"/>
    <d v="2024-11-16T00:00:00"/>
    <s v="Hyderabad"/>
    <x v="0"/>
    <x v="0"/>
    <s v="November"/>
    <x v="0"/>
    <n v="2.2296153846153799"/>
    <n v="2.31"/>
    <n v="16.559999999999999"/>
    <n v="33.130000000000003"/>
    <n v="66.47"/>
    <n v="55.14"/>
    <n v="1.66"/>
  </r>
  <r>
    <n v="1"/>
    <s v="A1001"/>
    <x v="0"/>
    <n v="173"/>
    <x v="1"/>
    <n v="217"/>
    <n v="10"/>
    <n v="8"/>
    <n v="4.6242774566473903E-2"/>
    <x v="1"/>
    <d v="2024-11-20T00:00:00"/>
    <s v="Hyderabad"/>
    <x v="1"/>
    <x v="1"/>
    <s v="November"/>
    <x v="1"/>
    <n v="1.25341040462427"/>
    <n v="3.39"/>
    <n v="21.68"/>
    <n v="27.1"/>
    <n v="58.18"/>
    <n v="42.88"/>
    <n v="1.58"/>
  </r>
  <r>
    <n v="2"/>
    <s v="A1002"/>
    <x v="1"/>
    <n v="90"/>
    <x v="2"/>
    <n v="204"/>
    <n v="26"/>
    <n v="9"/>
    <n v="0.1"/>
    <x v="2"/>
    <d v="2024-11-16T00:00:00"/>
    <s v="Hyderabad"/>
    <x v="0"/>
    <x v="2"/>
    <s v="November"/>
    <x v="0"/>
    <n v="2.2628888888888801"/>
    <n v="1.98"/>
    <n v="7.83"/>
    <n v="22.63"/>
    <n v="62.53"/>
    <n v="36.78"/>
    <n v="1.63"/>
  </r>
  <r>
    <n v="3"/>
    <s v="A1003"/>
    <x v="2"/>
    <n v="142"/>
    <x v="3"/>
    <n v="238"/>
    <n v="17"/>
    <n v="6"/>
    <n v="4.22535211267605E-2"/>
    <x v="3"/>
    <d v="2024-11-26T00:00:00"/>
    <s v="Hyderabad"/>
    <x v="2"/>
    <x v="3"/>
    <s v="November"/>
    <x v="2"/>
    <n v="1.67366197183098"/>
    <n v="4.46"/>
    <n v="13.98"/>
    <n v="39.61"/>
    <n v="5.19"/>
    <n v="41.67"/>
    <n v="1.05"/>
  </r>
  <r>
    <n v="4"/>
    <s v="A1004"/>
    <x v="3"/>
    <n v="156"/>
    <x v="4"/>
    <n v="196"/>
    <n v="30"/>
    <n v="8"/>
    <n v="5.1282051282051197E-2"/>
    <x v="4"/>
    <d v="2024-11-22T00:00:00"/>
    <s v="Hyderabad"/>
    <x v="0"/>
    <x v="4"/>
    <s v="November"/>
    <x v="3"/>
    <n v="1.2557692307692301"/>
    <n v="4.6399999999999997"/>
    <n v="6.53"/>
    <n v="24.49"/>
    <n v="13.83"/>
    <n v="27.88"/>
    <n v="1.1399999999999999"/>
  </r>
  <r>
    <n v="5"/>
    <s v="A1005"/>
    <x v="0"/>
    <n v="195"/>
    <x v="5"/>
    <n v="244"/>
    <n v="10"/>
    <n v="8"/>
    <n v="4.1025641025640998E-2"/>
    <x v="5"/>
    <d v="2024-11-16T00:00:00"/>
    <s v="Hyderabad"/>
    <x v="1"/>
    <x v="3"/>
    <s v="November"/>
    <x v="0"/>
    <n v="1.2490769230769201"/>
    <n v="5.16"/>
    <n v="24.36"/>
    <n v="30.45"/>
    <n v="10.029999999999999"/>
    <n v="33.5"/>
    <n v="1.1000000000000001"/>
  </r>
  <r>
    <n v="6"/>
    <s v="A1006"/>
    <x v="3"/>
    <n v="116"/>
    <x v="6"/>
    <n v="238"/>
    <n v="17"/>
    <n v="5"/>
    <n v="4.3103448275862002E-2"/>
    <x v="6"/>
    <d v="2024-11-06T00:00:00"/>
    <s v="Hyderabad"/>
    <x v="2"/>
    <x v="1"/>
    <s v="November"/>
    <x v="1"/>
    <n v="2.0499137931034399"/>
    <n v="2.59"/>
    <n v="13.99"/>
    <n v="47.56"/>
    <n v="40.880000000000003"/>
    <n v="67"/>
    <n v="1.41"/>
  </r>
  <r>
    <n v="7"/>
    <s v="A1007"/>
    <x v="3"/>
    <n v="184"/>
    <x v="7"/>
    <n v="230"/>
    <n v="23"/>
    <n v="3"/>
    <n v="1.6304347826086901E-2"/>
    <x v="7"/>
    <d v="2024-11-24T00:00:00"/>
    <s v="Hyderabad"/>
    <x v="2"/>
    <x v="5"/>
    <s v="November"/>
    <x v="4"/>
    <n v="1.2478804347826"/>
    <n v="3.64"/>
    <n v="9.98"/>
    <n v="76.540000000000006"/>
    <n v="34.14"/>
    <n v="102.67"/>
    <n v="1.34"/>
  </r>
  <r>
    <n v="8"/>
    <s v="A1008"/>
    <x v="3"/>
    <n v="113"/>
    <x v="8"/>
    <n v="175"/>
    <n v="27"/>
    <n v="4"/>
    <n v="3.5398230088495498E-2"/>
    <x v="8"/>
    <d v="2024-11-24T00:00:00"/>
    <s v="Hyderabad"/>
    <x v="2"/>
    <x v="3"/>
    <s v="November"/>
    <x v="4"/>
    <n v="1.5454545454545401"/>
    <n v="2.08"/>
    <n v="6.47"/>
    <n v="43.66"/>
    <n v="59.19"/>
    <n v="69.5"/>
    <n v="1.59"/>
  </r>
  <r>
    <n v="9"/>
    <s v="A1009"/>
    <x v="2"/>
    <n v="166"/>
    <x v="9"/>
    <n v="187"/>
    <n v="24"/>
    <n v="9"/>
    <n v="5.4216867469879498E-2"/>
    <x v="9"/>
    <d v="2024-11-12T00:00:00"/>
    <s v="Hyderabad"/>
    <x v="1"/>
    <x v="4"/>
    <s v="November"/>
    <x v="2"/>
    <n v="1.12518072289156"/>
    <n v="4.95"/>
    <n v="7.78"/>
    <n v="20.75"/>
    <n v="12.43"/>
    <n v="23.33"/>
    <n v="1.1200000000000001"/>
  </r>
  <r>
    <n v="10"/>
    <s v="A1010"/>
    <x v="0"/>
    <n v="101"/>
    <x v="10"/>
    <n v="237"/>
    <n v="20"/>
    <n v="6"/>
    <n v="5.9405940594059403E-2"/>
    <x v="10"/>
    <d v="2024-11-14T00:00:00"/>
    <s v="Hyderabad"/>
    <x v="0"/>
    <x v="0"/>
    <s v="November"/>
    <x v="5"/>
    <n v="2.3444554455445501"/>
    <n v="1.87"/>
    <n v="11.84"/>
    <n v="39.46"/>
    <n v="63.86"/>
    <n v="64.67"/>
    <n v="1.64"/>
  </r>
  <r>
    <n v="11"/>
    <s v="A1011"/>
    <x v="3"/>
    <n v="101"/>
    <x v="11"/>
    <n v="208"/>
    <n v="24"/>
    <n v="5"/>
    <n v="4.95049504950495E-2"/>
    <x v="11"/>
    <d v="2024-11-22T00:00:00"/>
    <s v="Hyderabad"/>
    <x v="0"/>
    <x v="4"/>
    <s v="November"/>
    <x v="3"/>
    <n v="2.0605940594059402"/>
    <n v="2.8"/>
    <n v="8.67"/>
    <n v="41.62"/>
    <n v="10.99"/>
    <n v="46.2"/>
    <n v="1.1100000000000001"/>
  </r>
  <r>
    <n v="12"/>
    <s v="A1012"/>
    <x v="2"/>
    <n v="125"/>
    <x v="12"/>
    <n v="191"/>
    <n v="18"/>
    <n v="3"/>
    <n v="2.4E-2"/>
    <x v="12"/>
    <d v="2024-11-27T00:00:00"/>
    <s v="Hyderabad"/>
    <x v="0"/>
    <x v="2"/>
    <s v="November"/>
    <x v="1"/>
    <n v="1.5304"/>
    <n v="3.84"/>
    <n v="10.63"/>
    <n v="63.77"/>
    <n v="109.1"/>
    <n v="133.33000000000001"/>
    <n v="2.09"/>
  </r>
  <r>
    <n v="13"/>
    <s v="A1013"/>
    <x v="3"/>
    <n v="196"/>
    <x v="13"/>
    <n v="207"/>
    <n v="10"/>
    <n v="7"/>
    <n v="3.5714285714285698E-2"/>
    <x v="2"/>
    <d v="2024-11-12T00:00:00"/>
    <s v="Hyderabad"/>
    <x v="1"/>
    <x v="3"/>
    <s v="November"/>
    <x v="2"/>
    <n v="1.0584693877550999"/>
    <n v="5.24"/>
    <n v="20.75"/>
    <n v="29.64"/>
    <n v="59.55"/>
    <n v="47.29"/>
    <n v="1.6"/>
  </r>
  <r>
    <n v="14"/>
    <s v="A1014"/>
    <x v="2"/>
    <n v="181"/>
    <x v="14"/>
    <n v="185"/>
    <n v="11"/>
    <n v="9"/>
    <n v="4.9723756906077297E-2"/>
    <x v="13"/>
    <d v="2024-11-04T00:00:00"/>
    <s v="Hyderabad"/>
    <x v="0"/>
    <x v="3"/>
    <s v="November"/>
    <x v="6"/>
    <n v="1.02259668508287"/>
    <n v="4.2"/>
    <n v="16.829999999999998"/>
    <n v="20.57"/>
    <n v="69.650000000000006"/>
    <n v="34.89"/>
    <n v="1.7"/>
  </r>
  <r>
    <n v="15"/>
    <s v="A1015"/>
    <x v="2"/>
    <n v="102"/>
    <x v="15"/>
    <n v="202"/>
    <n v="22"/>
    <n v="8"/>
    <n v="7.8431372549019607E-2"/>
    <x v="14"/>
    <d v="2024-11-29T00:00:00"/>
    <s v="Hyderabad"/>
    <x v="0"/>
    <x v="1"/>
    <s v="November"/>
    <x v="3"/>
    <n v="1.9773529411764701"/>
    <n v="1.87"/>
    <n v="9.17"/>
    <n v="25.21"/>
    <n v="77.5"/>
    <n v="44.75"/>
    <n v="1.78"/>
  </r>
  <r>
    <n v="16"/>
    <s v="A1016"/>
    <x v="2"/>
    <n v="193"/>
    <x v="16"/>
    <n v="294"/>
    <n v="15"/>
    <n v="9"/>
    <n v="4.6632124352331598E-2"/>
    <x v="15"/>
    <d v="2024-11-10T00:00:00"/>
    <s v="Hyderabad"/>
    <x v="1"/>
    <x v="0"/>
    <s v="November"/>
    <x v="4"/>
    <n v="1.5243795620437901"/>
    <n v="3.74"/>
    <n v="19.61"/>
    <n v="32.69"/>
    <n v="11.83"/>
    <n v="36.56"/>
    <n v="1.1200000000000001"/>
  </r>
  <r>
    <n v="17"/>
    <s v="A1017"/>
    <x v="1"/>
    <n v="149"/>
    <x v="17"/>
    <n v="207"/>
    <n v="19"/>
    <n v="9"/>
    <n v="6.0402684563758302E-2"/>
    <x v="16"/>
    <d v="2024-11-12T00:00:00"/>
    <s v="Hyderabad"/>
    <x v="1"/>
    <x v="0"/>
    <s v="November"/>
    <x v="2"/>
    <n v="1.3919463087248301"/>
    <n v="3.36"/>
    <n v="10.92"/>
    <n v="23.04"/>
    <n v="66.83"/>
    <n v="38.44"/>
    <n v="1.67"/>
  </r>
  <r>
    <n v="18"/>
    <s v="A1018"/>
    <x v="3"/>
    <n v="150"/>
    <x v="18"/>
    <n v="217"/>
    <n v="20"/>
    <n v="5"/>
    <n v="3.3333333333333298E-2"/>
    <x v="17"/>
    <d v="2024-11-07T00:00:00"/>
    <s v="Hyderabad"/>
    <x v="1"/>
    <x v="5"/>
    <s v="November"/>
    <x v="5"/>
    <n v="1.4494"/>
    <n v="4.82"/>
    <n v="10.87"/>
    <n v="43.48"/>
    <n v="67.430000000000007"/>
    <n v="72.8"/>
    <n v="1.67"/>
  </r>
  <r>
    <n v="19"/>
    <s v="A1019"/>
    <x v="2"/>
    <n v="145"/>
    <x v="19"/>
    <n v="227"/>
    <n v="25"/>
    <n v="6"/>
    <n v="4.1379310344827502E-2"/>
    <x v="18"/>
    <d v="2024-11-05T00:00:00"/>
    <s v="Hyderabad"/>
    <x v="0"/>
    <x v="1"/>
    <s v="November"/>
    <x v="2"/>
    <n v="1.56753061615001"/>
    <n v="2.75"/>
    <n v="9.09"/>
    <n v="37.880000000000003"/>
    <n v="35.950000000000003"/>
    <n v="51.5"/>
    <n v="1.36"/>
  </r>
  <r>
    <n v="20"/>
    <s v="A1020"/>
    <x v="2"/>
    <n v="184"/>
    <x v="20"/>
    <n v="223"/>
    <n v="10"/>
    <n v="10"/>
    <n v="5.4347826086956499E-2"/>
    <x v="19"/>
    <d v="2024-11-21T00:00:00"/>
    <s v="Hyderabad"/>
    <x v="2"/>
    <x v="0"/>
    <s v="November"/>
    <x v="5"/>
    <n v="1.2135869565217301"/>
    <n v="4.4400000000000004"/>
    <n v="22.33"/>
    <n v="22.33"/>
    <n v="58.53"/>
    <n v="35.4"/>
    <n v="1.59"/>
  </r>
  <r>
    <n v="21"/>
    <s v="A1021"/>
    <x v="3"/>
    <n v="171"/>
    <x v="21"/>
    <n v="184"/>
    <n v="30"/>
    <n v="7"/>
    <n v="4.0935672514619798E-2"/>
    <x v="20"/>
    <d v="2024-11-08T00:00:00"/>
    <s v="Hyderabad"/>
    <x v="2"/>
    <x v="2"/>
    <s v="November"/>
    <x v="3"/>
    <n v="1.07736842105263"/>
    <n v="4.12"/>
    <n v="6.14"/>
    <n v="26.32"/>
    <n v="99.75"/>
    <n v="52.57"/>
    <n v="2"/>
  </r>
  <r>
    <n v="22"/>
    <s v="A1022"/>
    <x v="2"/>
    <n v="122"/>
    <x v="22"/>
    <n v="211"/>
    <n v="27"/>
    <n v="6"/>
    <n v="4.9180327868852403E-2"/>
    <x v="21"/>
    <d v="2024-11-20T00:00:00"/>
    <s v="Hyderabad"/>
    <x v="0"/>
    <x v="4"/>
    <s v="November"/>
    <x v="1"/>
    <n v="1.7314754098360601"/>
    <n v="2.35"/>
    <n v="7.82"/>
    <n v="35.21"/>
    <n v="27.82"/>
    <n v="45"/>
    <n v="1.28"/>
  </r>
  <r>
    <n v="23"/>
    <s v="A1023"/>
    <x v="1"/>
    <n v="188"/>
    <x v="23"/>
    <n v="230"/>
    <n v="28"/>
    <n v="5"/>
    <n v="2.6595744680851002E-2"/>
    <x v="22"/>
    <d v="2024-11-30T00:00:00"/>
    <s v="Hyderabad"/>
    <x v="2"/>
    <x v="1"/>
    <s v="November"/>
    <x v="0"/>
    <n v="1.22430851063829"/>
    <n v="3.24"/>
    <n v="8.2200000000000006"/>
    <n v="46.03"/>
    <n v="28.6"/>
    <n v="59.2"/>
    <n v="1.29"/>
  </r>
  <r>
    <n v="24"/>
    <s v="A1024"/>
    <x v="0"/>
    <n v="87"/>
    <x v="24"/>
    <n v="134"/>
    <n v="12"/>
    <n v="3"/>
    <n v="3.4482758620689599E-2"/>
    <x v="23"/>
    <d v="2024-11-20T00:00:00"/>
    <s v="Hyderabad"/>
    <x v="2"/>
    <x v="0"/>
    <s v="November"/>
    <x v="1"/>
    <n v="1.5454545454545401"/>
    <n v="2.34"/>
    <n v="11.2"/>
    <n v="44.82"/>
    <n v="150.63999999999999"/>
    <n v="112.33"/>
    <n v="2.5099999999999998"/>
  </r>
  <r>
    <n v="25"/>
    <s v="A1025"/>
    <x v="0"/>
    <n v="88"/>
    <x v="25"/>
    <n v="182"/>
    <n v="22"/>
    <n v="8"/>
    <n v="9.0909090909090898E-2"/>
    <x v="24"/>
    <d v="2024-11-20T00:00:00"/>
    <s v="Hyderabad"/>
    <x v="2"/>
    <x v="0"/>
    <s v="November"/>
    <x v="1"/>
    <n v="2.0672727272727198"/>
    <n v="2.63"/>
    <n v="8.27"/>
    <n v="22.74"/>
    <n v="63.26"/>
    <n v="37.119999999999997"/>
    <n v="1.63"/>
  </r>
  <r>
    <n v="26"/>
    <s v="A1026"/>
    <x v="1"/>
    <n v="119"/>
    <x v="26"/>
    <n v="206"/>
    <n v="17"/>
    <n v="10"/>
    <n v="8.4033613445378103E-2"/>
    <x v="25"/>
    <d v="2024-11-02T00:00:00"/>
    <s v="Hyderabad"/>
    <x v="0"/>
    <x v="4"/>
    <s v="November"/>
    <x v="0"/>
    <n v="1.73042016806722"/>
    <n v="2.2400000000000002"/>
    <n v="12.11"/>
    <n v="20.59"/>
    <n v="64.14"/>
    <n v="33.799999999999997"/>
    <n v="1.64"/>
  </r>
  <r>
    <n v="27"/>
    <s v="A1027"/>
    <x v="3"/>
    <n v="160"/>
    <x v="27"/>
    <n v="235"/>
    <n v="22"/>
    <n v="10"/>
    <n v="6.25E-2"/>
    <x v="26"/>
    <d v="2024-11-21T00:00:00"/>
    <s v="Hyderabad"/>
    <x v="0"/>
    <x v="3"/>
    <s v="November"/>
    <x v="5"/>
    <n v="1.4680624999999901"/>
    <n v="3.03"/>
    <n v="10.68"/>
    <n v="23.49"/>
    <n v="46.45"/>
    <n v="34.4"/>
    <n v="1.46"/>
  </r>
  <r>
    <n v="28"/>
    <s v="A1028"/>
    <x v="1"/>
    <n v="128"/>
    <x v="28"/>
    <n v="188"/>
    <n v="16"/>
    <n v="3"/>
    <n v="2.34375E-2"/>
    <x v="17"/>
    <d v="2024-11-23T00:00:00"/>
    <s v="Hyderabad"/>
    <x v="1"/>
    <x v="0"/>
    <s v="November"/>
    <x v="0"/>
    <n v="1.4725781250000001"/>
    <n v="2.34"/>
    <n v="11.78"/>
    <n v="62.83"/>
    <n v="93.11"/>
    <n v="121.33"/>
    <n v="1.93"/>
  </r>
  <r>
    <n v="29"/>
    <s v="A1029"/>
    <x v="2"/>
    <n v="86"/>
    <x v="29"/>
    <n v="238"/>
    <n v="21"/>
    <n v="9"/>
    <n v="0.104651162790697"/>
    <x v="27"/>
    <d v="2024-11-13T00:00:00"/>
    <s v="Hyderabad"/>
    <x v="1"/>
    <x v="5"/>
    <s v="November"/>
    <x v="1"/>
    <n v="2.76453488372093"/>
    <n v="2.57"/>
    <n v="11.32"/>
    <n v="26.42"/>
    <n v="69.510000000000005"/>
    <n v="44.78"/>
    <n v="1.7"/>
  </r>
  <r>
    <n v="30"/>
    <s v="A1030"/>
    <x v="3"/>
    <n v="188"/>
    <x v="30"/>
    <n v="214"/>
    <n v="15"/>
    <n v="4"/>
    <n v="2.1276595744680799E-2"/>
    <x v="28"/>
    <d v="2024-11-08T00:00:00"/>
    <s v="Hyderabad"/>
    <x v="2"/>
    <x v="4"/>
    <s v="November"/>
    <x v="3"/>
    <n v="1.1360638297872301"/>
    <n v="3.89"/>
    <n v="14.24"/>
    <n v="53.4"/>
    <n v="51.7"/>
    <n v="81"/>
    <n v="1.52"/>
  </r>
  <r>
    <n v="31"/>
    <s v="A1031"/>
    <x v="0"/>
    <n v="113"/>
    <x v="31"/>
    <n v="212"/>
    <n v="11"/>
    <n v="5"/>
    <n v="4.4247787610619399E-2"/>
    <x v="29"/>
    <d v="2024-11-22T00:00:00"/>
    <s v="Hyderabad"/>
    <x v="0"/>
    <x v="4"/>
    <s v="November"/>
    <x v="3"/>
    <n v="1.8793805309734499"/>
    <n v="2.23"/>
    <n v="19.309999999999999"/>
    <n v="42.47"/>
    <n v="6.89"/>
    <n v="45.4"/>
    <n v="1.07"/>
  </r>
  <r>
    <n v="32"/>
    <s v="A1032"/>
    <x v="2"/>
    <n v="117"/>
    <x v="32"/>
    <n v="244"/>
    <n v="20"/>
    <n v="4"/>
    <n v="3.4188034188034101E-2"/>
    <x v="30"/>
    <d v="2024-11-12T00:00:00"/>
    <s v="Hyderabad"/>
    <x v="2"/>
    <x v="2"/>
    <s v="November"/>
    <x v="2"/>
    <n v="2.0887179487179401"/>
    <n v="3.02"/>
    <n v="12.22"/>
    <n v="61.1"/>
    <n v="-13.25"/>
    <n v="53"/>
    <n v="0.87"/>
  </r>
  <r>
    <n v="33"/>
    <s v="A1033"/>
    <x v="3"/>
    <n v="176"/>
    <x v="33"/>
    <n v="235"/>
    <n v="19"/>
    <n v="7"/>
    <n v="3.9772727272727203E-2"/>
    <x v="31"/>
    <d v="2024-11-03T00:00:00"/>
    <s v="Hyderabad"/>
    <x v="2"/>
    <x v="1"/>
    <s v="November"/>
    <x v="4"/>
    <n v="1.33289772727272"/>
    <n v="3.19"/>
    <n v="12.35"/>
    <n v="33.51"/>
    <n v="48.77"/>
    <n v="49.86"/>
    <n v="1.49"/>
  </r>
  <r>
    <n v="34"/>
    <s v="A1034"/>
    <x v="2"/>
    <n v="121"/>
    <x v="34"/>
    <n v="215"/>
    <n v="23"/>
    <n v="8"/>
    <n v="6.6115702479338803E-2"/>
    <x v="32"/>
    <d v="2024-11-25T00:00:00"/>
    <s v="Hyderabad"/>
    <x v="1"/>
    <x v="1"/>
    <s v="November"/>
    <x v="6"/>
    <n v="1.77652892561983"/>
    <n v="2.16"/>
    <n v="9.35"/>
    <n v="26.87"/>
    <n v="73.849999999999994"/>
    <n v="46.71"/>
    <n v="1.74"/>
  </r>
  <r>
    <n v="35"/>
    <s v="A1035"/>
    <x v="0"/>
    <n v="104"/>
    <x v="35"/>
    <n v="236"/>
    <n v="16"/>
    <n v="9"/>
    <n v="8.6538461538461495E-2"/>
    <x v="33"/>
    <d v="2024-11-01T00:00:00"/>
    <s v="Hyderabad"/>
    <x v="0"/>
    <x v="3"/>
    <s v="November"/>
    <x v="3"/>
    <n v="2.2738461538461499"/>
    <n v="1.97"/>
    <n v="14.78"/>
    <n v="26.28"/>
    <n v="57.31"/>
    <n v="41.33"/>
    <n v="1.57"/>
  </r>
  <r>
    <n v="36"/>
    <s v="A1036"/>
    <x v="1"/>
    <n v="146"/>
    <x v="36"/>
    <n v="243"/>
    <n v="11"/>
    <n v="8"/>
    <n v="5.4794520547945202E-2"/>
    <x v="34"/>
    <d v="2024-11-07T00:00:00"/>
    <s v="Hyderabad"/>
    <x v="0"/>
    <x v="3"/>
    <s v="November"/>
    <x v="5"/>
    <n v="1.6636986301369801"/>
    <n v="2.46"/>
    <n v="22.08"/>
    <n v="30.36"/>
    <n v="53.97"/>
    <n v="46.75"/>
    <n v="1.54"/>
  </r>
  <r>
    <n v="37"/>
    <s v="A1037"/>
    <x v="2"/>
    <n v="123"/>
    <x v="37"/>
    <n v="187"/>
    <n v="19"/>
    <n v="5"/>
    <n v="4.0650406504064998E-2"/>
    <x v="35"/>
    <d v="2024-11-09T00:00:00"/>
    <s v="Hyderabad"/>
    <x v="1"/>
    <x v="0"/>
    <s v="November"/>
    <x v="0"/>
    <n v="1.5243795620437901"/>
    <n v="2.4"/>
    <n v="9.8699999999999992"/>
    <n v="37.5"/>
    <n v="42.4"/>
    <n v="53.4"/>
    <n v="1.42"/>
  </r>
  <r>
    <n v="38"/>
    <s v="A1038"/>
    <x v="2"/>
    <n v="90"/>
    <x v="38"/>
    <n v="198"/>
    <n v="11"/>
    <n v="6"/>
    <n v="6.6666666666666596E-2"/>
    <x v="36"/>
    <d v="2024-11-16T00:00:00"/>
    <s v="Hyderabad"/>
    <x v="1"/>
    <x v="4"/>
    <s v="November"/>
    <x v="0"/>
    <n v="2.1949999999999998"/>
    <n v="1.56"/>
    <n v="17.96"/>
    <n v="32.93"/>
    <n v="76.16"/>
    <n v="58"/>
    <n v="1.76"/>
  </r>
  <r>
    <n v="39"/>
    <s v="A1039"/>
    <x v="2"/>
    <n v="171"/>
    <x v="39"/>
    <n v="193"/>
    <n v="17"/>
    <n v="10"/>
    <n v="5.8479532163742597E-2"/>
    <x v="37"/>
    <d v="2024-11-26T00:00:00"/>
    <s v="Hyderabad"/>
    <x v="1"/>
    <x v="0"/>
    <s v="November"/>
    <x v="2"/>
    <n v="1.12637426900584"/>
    <n v="3.97"/>
    <n v="11.33"/>
    <n v="19.260000000000002"/>
    <n v="51.08"/>
    <n v="29.1"/>
    <n v="1.51"/>
  </r>
  <r>
    <n v="40"/>
    <s v="A1040"/>
    <x v="3"/>
    <n v="94"/>
    <x v="40"/>
    <n v="231"/>
    <n v="25"/>
    <n v="9"/>
    <n v="9.5744680851063801E-2"/>
    <x v="38"/>
    <d v="2024-11-12T00:00:00"/>
    <s v="Hyderabad"/>
    <x v="1"/>
    <x v="3"/>
    <s v="November"/>
    <x v="2"/>
    <n v="2.4598936170212702"/>
    <n v="1.69"/>
    <n v="9.25"/>
    <n v="25.69"/>
    <n v="63.04"/>
    <n v="41.89"/>
    <n v="1.63"/>
  </r>
  <r>
    <n v="41"/>
    <s v="A1041"/>
    <x v="3"/>
    <n v="112"/>
    <x v="41"/>
    <n v="196"/>
    <n v="27"/>
    <n v="6"/>
    <n v="5.3571428571428499E-2"/>
    <x v="39"/>
    <d v="2024-11-14T00:00:00"/>
    <s v="Hyderabad"/>
    <x v="0"/>
    <x v="2"/>
    <s v="November"/>
    <x v="5"/>
    <n v="1.7506249999999901"/>
    <n v="2.62"/>
    <n v="7.26"/>
    <n v="32.68"/>
    <n v="25.98"/>
    <n v="41.17"/>
    <n v="1.26"/>
  </r>
  <r>
    <n v="42"/>
    <s v="A1042"/>
    <x v="2"/>
    <n v="113"/>
    <x v="42"/>
    <n v="192"/>
    <n v="27"/>
    <n v="10"/>
    <n v="8.8495575221238895E-2"/>
    <x v="40"/>
    <d v="2024-11-09T00:00:00"/>
    <s v="Hyderabad"/>
    <x v="1"/>
    <x v="1"/>
    <s v="November"/>
    <x v="0"/>
    <n v="1.69513274336283"/>
    <n v="2.56"/>
    <n v="7.09"/>
    <n v="19.16"/>
    <n v="73.84"/>
    <n v="33.299999999999997"/>
    <n v="1.74"/>
  </r>
  <r>
    <n v="43"/>
    <s v="A1043"/>
    <x v="1"/>
    <n v="145"/>
    <x v="43"/>
    <n v="181"/>
    <n v="21"/>
    <n v="7"/>
    <n v="4.8275862068965503E-2"/>
    <x v="12"/>
    <d v="2024-11-29T00:00:00"/>
    <s v="Hyderabad"/>
    <x v="0"/>
    <x v="2"/>
    <s v="November"/>
    <x v="3"/>
    <n v="1.2479310344827499"/>
    <n v="3.9"/>
    <n v="8.6199999999999992"/>
    <n v="25.85"/>
    <n v="121.06"/>
    <n v="57.14"/>
    <n v="2.21"/>
  </r>
  <r>
    <n v="44"/>
    <s v="A1044"/>
    <x v="0"/>
    <n v="197"/>
    <x v="44"/>
    <n v="204"/>
    <n v="23"/>
    <n v="6"/>
    <n v="3.0456852791878101E-2"/>
    <x v="41"/>
    <d v="2024-11-01T00:00:00"/>
    <s v="Hyderabad"/>
    <x v="2"/>
    <x v="3"/>
    <s v="November"/>
    <x v="3"/>
    <n v="1.03786802030456"/>
    <n v="3.41"/>
    <n v="8.89"/>
    <n v="34.08"/>
    <n v="72.650000000000006"/>
    <n v="58.83"/>
    <n v="1.73"/>
  </r>
  <r>
    <n v="45"/>
    <s v="A1045"/>
    <x v="0"/>
    <n v="109"/>
    <x v="45"/>
    <n v="237"/>
    <n v="27"/>
    <n v="5"/>
    <n v="4.5871559633027498E-2"/>
    <x v="42"/>
    <d v="2024-11-15T00:00:00"/>
    <s v="Hyderabad"/>
    <x v="1"/>
    <x v="4"/>
    <s v="November"/>
    <x v="3"/>
    <n v="2.1722935779816499"/>
    <n v="2.2400000000000002"/>
    <n v="8.77"/>
    <n v="47.36"/>
    <n v="36.409999999999997"/>
    <n v="64.599999999999994"/>
    <n v="1.36"/>
  </r>
  <r>
    <n v="46"/>
    <s v="A1046"/>
    <x v="1"/>
    <n v="188"/>
    <x v="46"/>
    <n v="223"/>
    <n v="20"/>
    <n v="4"/>
    <n v="2.1276595744680799E-2"/>
    <x v="43"/>
    <d v="2024-11-11T00:00:00"/>
    <s v="Hyderabad"/>
    <x v="0"/>
    <x v="3"/>
    <s v="November"/>
    <x v="6"/>
    <n v="1.1860638297872299"/>
    <n v="3.21"/>
    <n v="11.15"/>
    <n v="55.74"/>
    <n v="19.29"/>
    <n v="66.5"/>
    <n v="1.19"/>
  </r>
  <r>
    <n v="47"/>
    <s v="A1047"/>
    <x v="3"/>
    <n v="142"/>
    <x v="47"/>
    <n v="234"/>
    <n v="24"/>
    <n v="3"/>
    <n v="2.1126760563380202E-2"/>
    <x v="34"/>
    <d v="2024-11-08T00:00:00"/>
    <s v="Hyderabad"/>
    <x v="1"/>
    <x v="5"/>
    <s v="November"/>
    <x v="3"/>
    <n v="1.6485915492957699"/>
    <n v="2.78"/>
    <n v="9.75"/>
    <n v="78.03"/>
    <n v="59.76"/>
    <n v="124.67"/>
    <n v="1.6"/>
  </r>
  <r>
    <n v="48"/>
    <s v="A1048"/>
    <x v="2"/>
    <n v="168"/>
    <x v="48"/>
    <n v="241"/>
    <n v="27"/>
    <n v="9"/>
    <n v="5.3571428571428499E-2"/>
    <x v="44"/>
    <d v="2024-11-24T00:00:00"/>
    <s v="Hyderabad"/>
    <x v="1"/>
    <x v="4"/>
    <s v="November"/>
    <x v="4"/>
    <n v="1.4335714285714201"/>
    <n v="3.61"/>
    <n v="8.92"/>
    <n v="26.76"/>
    <n v="15.84"/>
    <n v="31"/>
    <n v="1.1599999999999999"/>
  </r>
  <r>
    <n v="49"/>
    <s v="A1049"/>
    <x v="2"/>
    <n v="110"/>
    <x v="49"/>
    <n v="249"/>
    <n v="19"/>
    <n v="10"/>
    <n v="9.0909090909090898E-2"/>
    <x v="45"/>
    <d v="2024-11-21T00:00:00"/>
    <s v="Hyderabad"/>
    <x v="1"/>
    <x v="0"/>
    <s v="November"/>
    <x v="5"/>
    <n v="2.2623636363636299"/>
    <n v="3.12"/>
    <n v="13.1"/>
    <n v="24.89"/>
    <n v="24.97"/>
    <n v="31.1"/>
    <n v="1.25"/>
  </r>
  <r>
    <n v="50"/>
    <s v="A1050"/>
    <x v="2"/>
    <n v="192"/>
    <x v="50"/>
    <n v="183"/>
    <n v="26"/>
    <n v="5"/>
    <n v="2.6041666666666598E-2"/>
    <x v="46"/>
    <d v="2024-11-12T00:00:00"/>
    <s v="Hyderabad"/>
    <x v="1"/>
    <x v="5"/>
    <s v="November"/>
    <x v="2"/>
    <n v="0.95229166666666598"/>
    <n v="3.23"/>
    <n v="7.03"/>
    <n v="36.57"/>
    <n v="20.32"/>
    <n v="44"/>
    <n v="1.2"/>
  </r>
  <r>
    <n v="51"/>
    <s v="A1051"/>
    <x v="3"/>
    <n v="101"/>
    <x v="51"/>
    <n v="207"/>
    <n v="16"/>
    <n v="5"/>
    <n v="4.95049504950495E-2"/>
    <x v="47"/>
    <d v="2024-11-24T00:00:00"/>
    <s v="Hyderabad"/>
    <x v="2"/>
    <x v="5"/>
    <s v="November"/>
    <x v="4"/>
    <n v="2.04574257425742"/>
    <n v="2.56"/>
    <n v="12.91"/>
    <n v="41.32"/>
    <n v="72.3"/>
    <n v="71.2"/>
    <n v="1.72"/>
  </r>
  <r>
    <n v="52"/>
    <s v="A1052"/>
    <x v="3"/>
    <n v="157"/>
    <x v="52"/>
    <n v="190"/>
    <n v="15"/>
    <n v="10"/>
    <n v="6.3694267515923497E-2"/>
    <x v="48"/>
    <d v="2024-11-25T00:00:00"/>
    <s v="Hyderabad"/>
    <x v="1"/>
    <x v="4"/>
    <s v="November"/>
    <x v="6"/>
    <n v="1.2073885350318401"/>
    <n v="4.74"/>
    <n v="12.64"/>
    <n v="18.96"/>
    <n v="10.26"/>
    <n v="20.9"/>
    <n v="1.1000000000000001"/>
  </r>
  <r>
    <n v="53"/>
    <s v="A1053"/>
    <x v="1"/>
    <n v="113"/>
    <x v="53"/>
    <n v="188"/>
    <n v="15"/>
    <n v="10"/>
    <n v="8.8495575221238895E-2"/>
    <x v="49"/>
    <d v="2024-11-26T00:00:00"/>
    <s v="Hyderabad"/>
    <x v="2"/>
    <x v="0"/>
    <s v="November"/>
    <x v="2"/>
    <n v="1.6607079646017699"/>
    <n v="2.29"/>
    <n v="12.51"/>
    <n v="18.77"/>
    <n v="69.989999999999995"/>
    <n v="31.9"/>
    <n v="1.7"/>
  </r>
  <r>
    <n v="54"/>
    <s v="A1054"/>
    <x v="2"/>
    <n v="96"/>
    <x v="54"/>
    <n v="196"/>
    <n v="29"/>
    <n v="7"/>
    <n v="7.2916666666666602E-2"/>
    <x v="10"/>
    <d v="2024-11-26T00:00:00"/>
    <s v="Hyderabad"/>
    <x v="0"/>
    <x v="0"/>
    <s v="November"/>
    <x v="2"/>
    <n v="2.0432291666666602"/>
    <n v="3.03"/>
    <n v="6.76"/>
    <n v="28.02"/>
    <n v="97.81"/>
    <n v="55.43"/>
    <n v="1.98"/>
  </r>
  <r>
    <n v="55"/>
    <s v="A1055"/>
    <x v="2"/>
    <n v="125"/>
    <x v="55"/>
    <n v="184"/>
    <n v="15"/>
    <n v="6"/>
    <n v="4.8000000000000001E-2"/>
    <x v="50"/>
    <d v="2024-11-05T00:00:00"/>
    <s v="Hyderabad"/>
    <x v="0"/>
    <x v="2"/>
    <s v="November"/>
    <x v="2"/>
    <n v="1.4694400000000001"/>
    <n v="2.96"/>
    <n v="12.25"/>
    <n v="30.61"/>
    <n v="41.01"/>
    <n v="43.17"/>
    <n v="1.41"/>
  </r>
  <r>
    <n v="56"/>
    <s v="A1056"/>
    <x v="2"/>
    <n v="104"/>
    <x v="56"/>
    <n v="210"/>
    <n v="18"/>
    <n v="3"/>
    <n v="2.8846153846153799E-2"/>
    <x v="51"/>
    <d v="2024-11-21T00:00:00"/>
    <s v="Hyderabad"/>
    <x v="0"/>
    <x v="5"/>
    <s v="November"/>
    <x v="5"/>
    <n v="2.0201923076922998"/>
    <n v="2.17"/>
    <n v="11.67"/>
    <n v="70.03"/>
    <n v="29.94"/>
    <n v="91"/>
    <n v="1.3"/>
  </r>
  <r>
    <n v="57"/>
    <s v="A1057"/>
    <x v="1"/>
    <n v="194"/>
    <x v="57"/>
    <n v="209"/>
    <n v="13"/>
    <n v="6"/>
    <n v="3.0927835051546299E-2"/>
    <x v="52"/>
    <d v="2024-11-16T00:00:00"/>
    <s v="Hyderabad"/>
    <x v="1"/>
    <x v="3"/>
    <s v="November"/>
    <x v="0"/>
    <n v="1.07515463917525"/>
    <n v="3.43"/>
    <n v="16.04"/>
    <n v="34.76"/>
    <n v="65.400000000000006"/>
    <n v="57.5"/>
    <n v="1.65"/>
  </r>
  <r>
    <n v="58"/>
    <s v="A1058"/>
    <x v="0"/>
    <n v="144"/>
    <x v="58"/>
    <n v="219"/>
    <n v="19"/>
    <n v="8"/>
    <n v="5.5555555555555497E-2"/>
    <x v="53"/>
    <d v="2024-11-18T00:00:00"/>
    <s v="Hyderabad"/>
    <x v="0"/>
    <x v="2"/>
    <s v="November"/>
    <x v="6"/>
    <n v="1.52416666666666"/>
    <n v="2.8"/>
    <n v="11.55"/>
    <n v="27.44"/>
    <n v="-2.04"/>
    <n v="26.88"/>
    <n v="0.98"/>
  </r>
  <r>
    <n v="59"/>
    <s v="A1059"/>
    <x v="3"/>
    <n v="179"/>
    <x v="59"/>
    <n v="239"/>
    <n v="17"/>
    <n v="3"/>
    <n v="1.67597765363128E-2"/>
    <x v="54"/>
    <d v="2024-11-11T00:00:00"/>
    <s v="Hyderabad"/>
    <x v="1"/>
    <x v="2"/>
    <s v="November"/>
    <x v="6"/>
    <n v="1.3341340782122899"/>
    <n v="5.92"/>
    <n v="14.05"/>
    <n v="79.599999999999994"/>
    <n v="-41.32"/>
    <n v="46.71"/>
    <n v="0.59"/>
  </r>
  <r>
    <n v="60"/>
    <s v="A1060"/>
    <x v="3"/>
    <n v="166"/>
    <x v="60"/>
    <n v="190"/>
    <n v="18"/>
    <n v="7"/>
    <n v="4.2168674698795101E-2"/>
    <x v="55"/>
    <d v="2024-11-16T00:00:00"/>
    <s v="Hyderabad"/>
    <x v="2"/>
    <x v="1"/>
    <s v="November"/>
    <x v="0"/>
    <n v="1.14313253012048"/>
    <n v="3.18"/>
    <n v="10.54"/>
    <n v="27.11"/>
    <n v="31.22"/>
    <n v="35.57"/>
    <n v="1.31"/>
  </r>
  <r>
    <n v="61"/>
    <s v="A1061"/>
    <x v="2"/>
    <n v="166"/>
    <x v="61"/>
    <n v="257"/>
    <n v="26"/>
    <n v="7"/>
    <n v="4.2168674698795101E-2"/>
    <x v="56"/>
    <d v="2024-11-11T00:00:00"/>
    <s v="Hyderabad"/>
    <x v="2"/>
    <x v="5"/>
    <s v="November"/>
    <x v="6"/>
    <n v="1.5454545454545401"/>
    <n v="3.26"/>
    <n v="9.8699999999999992"/>
    <n v="36.65"/>
    <n v="54.75"/>
    <n v="56.71"/>
    <n v="1.55"/>
  </r>
  <r>
    <n v="62"/>
    <s v="A1062"/>
    <x v="1"/>
    <n v="118"/>
    <x v="62"/>
    <n v="204"/>
    <n v="19"/>
    <n v="9"/>
    <n v="7.6271186440677902E-2"/>
    <x v="34"/>
    <d v="2024-11-08T00:00:00"/>
    <s v="Hyderabad"/>
    <x v="0"/>
    <x v="5"/>
    <s v="November"/>
    <x v="3"/>
    <n v="1.7314406779661"/>
    <n v="2.35"/>
    <n v="10.75"/>
    <n v="22.7"/>
    <n v="83.06"/>
    <n v="41.56"/>
    <n v="1.83"/>
  </r>
  <r>
    <n v="63"/>
    <s v="A1063"/>
    <x v="0"/>
    <n v="185"/>
    <x v="63"/>
    <n v="222"/>
    <n v="24"/>
    <n v="7"/>
    <n v="3.7837837837837798E-2"/>
    <x v="57"/>
    <d v="2024-11-23T00:00:00"/>
    <s v="Hyderabad"/>
    <x v="1"/>
    <x v="1"/>
    <s v="November"/>
    <x v="0"/>
    <n v="1.20172972972972"/>
    <n v="5.1100000000000003"/>
    <n v="9.26"/>
    <n v="31.76"/>
    <n v="80.37"/>
    <n v="57.29"/>
    <n v="1.8"/>
  </r>
  <r>
    <n v="64"/>
    <s v="A1064"/>
    <x v="2"/>
    <n v="116"/>
    <x v="64"/>
    <n v="232"/>
    <n v="28"/>
    <n v="10"/>
    <n v="8.6206896551724102E-2"/>
    <x v="58"/>
    <d v="2024-11-20T00:00:00"/>
    <s v="Hyderabad"/>
    <x v="2"/>
    <x v="1"/>
    <s v="November"/>
    <x v="1"/>
    <n v="2.00025862068965"/>
    <n v="3.08"/>
    <n v="8.2899999999999991"/>
    <n v="23.2"/>
    <n v="18.52"/>
    <n v="27.5"/>
    <n v="1.19"/>
  </r>
  <r>
    <n v="65"/>
    <s v="A1065"/>
    <x v="3"/>
    <n v="99"/>
    <x v="65"/>
    <n v="184"/>
    <n v="15"/>
    <n v="6"/>
    <n v="6.0606060606060601E-2"/>
    <x v="59"/>
    <d v="2024-11-05T00:00:00"/>
    <s v="Hyderabad"/>
    <x v="0"/>
    <x v="4"/>
    <s v="November"/>
    <x v="2"/>
    <n v="1.8558585858585801"/>
    <n v="2.21"/>
    <n v="12.25"/>
    <n v="30.62"/>
    <n v="40.42"/>
    <n v="43"/>
    <n v="1.4"/>
  </r>
  <r>
    <n v="66"/>
    <s v="A1066"/>
    <x v="0"/>
    <n v="172"/>
    <x v="66"/>
    <n v="221"/>
    <n v="14"/>
    <n v="8"/>
    <n v="4.6511627906976702E-2"/>
    <x v="60"/>
    <d v="2024-11-27T00:00:00"/>
    <s v="Hyderabad"/>
    <x v="1"/>
    <x v="5"/>
    <s v="November"/>
    <x v="1"/>
    <n v="1.2859302325581301"/>
    <n v="3.87"/>
    <n v="15.8"/>
    <n v="27.65"/>
    <n v="63.22"/>
    <n v="45.12"/>
    <n v="1.63"/>
  </r>
  <r>
    <n v="67"/>
    <s v="A1067"/>
    <x v="2"/>
    <n v="138"/>
    <x v="67"/>
    <n v="199"/>
    <n v="26"/>
    <n v="9"/>
    <n v="6.5217391304347797E-2"/>
    <x v="51"/>
    <d v="2024-11-10T00:00:00"/>
    <s v="Hyderabad"/>
    <x v="0"/>
    <x v="2"/>
    <s v="November"/>
    <x v="4"/>
    <n v="1.4428260869565199"/>
    <n v="2.4"/>
    <n v="7.66"/>
    <n v="22.12"/>
    <n v="37.11"/>
    <n v="30.33"/>
    <n v="1.37"/>
  </r>
  <r>
    <n v="68"/>
    <s v="A1068"/>
    <x v="2"/>
    <n v="84"/>
    <x v="68"/>
    <n v="234"/>
    <n v="23"/>
    <n v="10"/>
    <n v="0.119047619047619"/>
    <x v="61"/>
    <d v="2024-11-04T00:00:00"/>
    <s v="Hyderabad"/>
    <x v="0"/>
    <x v="0"/>
    <s v="November"/>
    <x v="6"/>
    <n v="2.78833333333333"/>
    <n v="2.08"/>
    <n v="10.18"/>
    <n v="23.42"/>
    <n v="12.29"/>
    <n v="26.3"/>
    <n v="1.1200000000000001"/>
  </r>
  <r>
    <n v="69"/>
    <s v="A1069"/>
    <x v="0"/>
    <n v="124"/>
    <x v="69"/>
    <n v="241"/>
    <n v="18"/>
    <n v="3"/>
    <n v="2.4193548387096701E-2"/>
    <x v="62"/>
    <d v="2024-11-16T00:00:00"/>
    <s v="Hyderabad"/>
    <x v="0"/>
    <x v="0"/>
    <s v="November"/>
    <x v="0"/>
    <n v="1.94024193548387"/>
    <n v="2.5099999999999998"/>
    <n v="13.37"/>
    <n v="80.2"/>
    <n v="62.93"/>
    <n v="130.66999999999999"/>
    <n v="1.63"/>
  </r>
  <r>
    <n v="70"/>
    <s v="A1070"/>
    <x v="2"/>
    <n v="122"/>
    <x v="70"/>
    <n v="215"/>
    <n v="12"/>
    <n v="5"/>
    <n v="4.0983606557376998E-2"/>
    <x v="27"/>
    <d v="2024-11-06T00:00:00"/>
    <s v="Hyderabad"/>
    <x v="1"/>
    <x v="2"/>
    <s v="November"/>
    <x v="1"/>
    <n v="1.7662295081967201"/>
    <n v="2.4500000000000002"/>
    <n v="17.96"/>
    <n v="43.1"/>
    <n v="87.02"/>
    <n v="80.599999999999994"/>
    <n v="1.87"/>
  </r>
  <r>
    <n v="71"/>
    <s v="A1071"/>
    <x v="3"/>
    <n v="180"/>
    <x v="71"/>
    <n v="228"/>
    <n v="22"/>
    <n v="7"/>
    <n v="3.8888888888888799E-2"/>
    <x v="63"/>
    <d v="2024-11-04T00:00:00"/>
    <s v="Hyderabad"/>
    <x v="2"/>
    <x v="0"/>
    <s v="November"/>
    <x v="6"/>
    <n v="1.2674444444444399"/>
    <n v="5.99"/>
    <n v="10.37"/>
    <n v="32.590000000000003"/>
    <n v="39.39"/>
    <n v="45.43"/>
    <n v="1.39"/>
  </r>
  <r>
    <n v="72"/>
    <s v="A1072"/>
    <x v="0"/>
    <n v="133"/>
    <x v="72"/>
    <n v="199"/>
    <n v="11"/>
    <n v="10"/>
    <n v="7.5187969924811998E-2"/>
    <x v="64"/>
    <d v="2024-11-09T00:00:00"/>
    <s v="Hyderabad"/>
    <x v="0"/>
    <x v="2"/>
    <s v="November"/>
    <x v="0"/>
    <n v="1.4972180451127799"/>
    <n v="3.57"/>
    <n v="18.100000000000001"/>
    <n v="19.91"/>
    <n v="134.59"/>
    <n v="46.71"/>
    <n v="2.35"/>
  </r>
  <r>
    <n v="73"/>
    <s v="A1073"/>
    <x v="0"/>
    <n v="164"/>
    <x v="73"/>
    <n v="225"/>
    <n v="27"/>
    <n v="8"/>
    <n v="4.8780487804878002E-2"/>
    <x v="41"/>
    <d v="2024-11-12T00:00:00"/>
    <s v="Hyderabad"/>
    <x v="2"/>
    <x v="0"/>
    <s v="November"/>
    <x v="2"/>
    <n v="1.37432926829268"/>
    <n v="4.3899999999999997"/>
    <n v="8.35"/>
    <n v="28.17"/>
    <n v="56.62"/>
    <n v="44.12"/>
    <n v="1.57"/>
  </r>
  <r>
    <n v="74"/>
    <s v="A1074"/>
    <x v="3"/>
    <n v="150"/>
    <x v="74"/>
    <n v="246"/>
    <n v="15"/>
    <n v="6"/>
    <n v="0.04"/>
    <x v="65"/>
    <d v="2024-11-09T00:00:00"/>
    <s v="Hyderabad"/>
    <x v="0"/>
    <x v="2"/>
    <s v="November"/>
    <x v="0"/>
    <n v="1.6419999999999999"/>
    <n v="3.25"/>
    <n v="16.420000000000002"/>
    <n v="41.05"/>
    <n v="28.7"/>
    <n v="52.83"/>
    <n v="1.29"/>
  </r>
  <r>
    <n v="75"/>
    <s v="A1075"/>
    <x v="2"/>
    <n v="97"/>
    <x v="75"/>
    <n v="213"/>
    <n v="27"/>
    <n v="10"/>
    <n v="0.103092783505154"/>
    <x v="66"/>
    <d v="2024-11-23T00:00:00"/>
    <s v="Hyderabad"/>
    <x v="0"/>
    <x v="5"/>
    <s v="November"/>
    <x v="0"/>
    <n v="2.1912371134020598"/>
    <n v="3.02"/>
    <n v="7.87"/>
    <n v="21.26"/>
    <n v="91.48"/>
    <n v="40.700000000000003"/>
    <n v="1.91"/>
  </r>
  <r>
    <n v="76"/>
    <s v="A1076"/>
    <x v="1"/>
    <n v="128"/>
    <x v="76"/>
    <n v="228"/>
    <n v="30"/>
    <n v="4"/>
    <n v="3.125E-2"/>
    <x v="67"/>
    <d v="2024-11-08T00:00:00"/>
    <s v="Hyderabad"/>
    <x v="1"/>
    <x v="0"/>
    <s v="November"/>
    <x v="3"/>
    <n v="1.7831250000000001"/>
    <n v="3.03"/>
    <n v="7.61"/>
    <n v="57.06"/>
    <n v="44.58"/>
    <n v="82.5"/>
    <n v="1.45"/>
  </r>
  <r>
    <n v="77"/>
    <s v="A1077"/>
    <x v="3"/>
    <n v="99"/>
    <x v="77"/>
    <n v="234"/>
    <n v="26"/>
    <n v="10"/>
    <n v="0.10101010101010099"/>
    <x v="68"/>
    <d v="2024-11-05T00:00:00"/>
    <s v="Hyderabad"/>
    <x v="0"/>
    <x v="4"/>
    <s v="November"/>
    <x v="2"/>
    <n v="2.3614141414141399"/>
    <n v="2.0699999999999998"/>
    <n v="8.99"/>
    <n v="23.38"/>
    <n v="-5.04"/>
    <n v="22.2"/>
    <n v="0.95"/>
  </r>
  <r>
    <n v="78"/>
    <s v="A1078"/>
    <x v="1"/>
    <n v="86"/>
    <x v="78"/>
    <n v="234"/>
    <n v="11"/>
    <n v="5"/>
    <n v="5.8139534883720902E-2"/>
    <x v="8"/>
    <d v="2024-11-09T00:00:00"/>
    <s v="Hyderabad"/>
    <x v="2"/>
    <x v="4"/>
    <s v="November"/>
    <x v="0"/>
    <n v="2.72151162790697"/>
    <n v="1.61"/>
    <n v="21.28"/>
    <n v="46.81"/>
    <n v="18.78"/>
    <n v="55.6"/>
    <n v="1.19"/>
  </r>
  <r>
    <n v="79"/>
    <s v="A1079"/>
    <x v="2"/>
    <n v="118"/>
    <x v="79"/>
    <n v="187"/>
    <n v="25"/>
    <n v="7"/>
    <n v="5.9322033898305003E-2"/>
    <x v="69"/>
    <d v="2024-11-05T00:00:00"/>
    <s v="Hyderabad"/>
    <x v="2"/>
    <x v="5"/>
    <s v="November"/>
    <x v="2"/>
    <n v="1.58711864406779"/>
    <n v="2.1800000000000002"/>
    <n v="7.49"/>
    <n v="26.75"/>
    <n v="100.23"/>
    <n v="53.57"/>
    <n v="2"/>
  </r>
  <r>
    <n v="80"/>
    <s v="A1080"/>
    <x v="2"/>
    <n v="127"/>
    <x v="80"/>
    <n v="199"/>
    <n v="14"/>
    <n v="6"/>
    <n v="4.7244094488188899E-2"/>
    <x v="70"/>
    <d v="2024-11-25T00:00:00"/>
    <s v="Hyderabad"/>
    <x v="1"/>
    <x v="5"/>
    <s v="November"/>
    <x v="6"/>
    <n v="1.56795275590551"/>
    <n v="2.34"/>
    <n v="14.22"/>
    <n v="33.19"/>
    <n v="97.86"/>
    <n v="65.67"/>
    <n v="1.98"/>
  </r>
  <r>
    <n v="81"/>
    <s v="A1081"/>
    <x v="3"/>
    <n v="83"/>
    <x v="81"/>
    <n v="241"/>
    <n v="20"/>
    <n v="7"/>
    <n v="8.43373493975903E-2"/>
    <x v="30"/>
    <d v="2024-11-30T00:00:00"/>
    <s v="Hyderabad"/>
    <x v="1"/>
    <x v="0"/>
    <s v="November"/>
    <x v="0"/>
    <n v="2.9078313253012"/>
    <n v="1.73"/>
    <n v="12.07"/>
    <n v="34.479999999999997"/>
    <n v="-12.16"/>
    <n v="30.29"/>
    <n v="0.88"/>
  </r>
  <r>
    <n v="82"/>
    <s v="A1082"/>
    <x v="2"/>
    <n v="149"/>
    <x v="82"/>
    <n v="218"/>
    <n v="23"/>
    <n v="8"/>
    <n v="5.3691275167785199E-2"/>
    <x v="32"/>
    <d v="2024-11-17T00:00:00"/>
    <s v="Hyderabad"/>
    <x v="1"/>
    <x v="2"/>
    <s v="November"/>
    <x v="4"/>
    <n v="1.4599328859060401"/>
    <n v="4.1500000000000004"/>
    <n v="9.4600000000000009"/>
    <n v="27.19"/>
    <n v="71.8"/>
    <n v="46.71"/>
    <n v="1.72"/>
  </r>
  <r>
    <n v="83"/>
    <s v="A1083"/>
    <x v="0"/>
    <n v="168"/>
    <x v="83"/>
    <n v="215"/>
    <n v="30"/>
    <n v="8"/>
    <n v="4.7619047619047603E-2"/>
    <x v="71"/>
    <d v="2024-11-28T00:00:00"/>
    <s v="Hyderabad"/>
    <x v="1"/>
    <x v="2"/>
    <s v="November"/>
    <x v="5"/>
    <n v="1.28142857142857"/>
    <n v="3.59"/>
    <n v="7.18"/>
    <n v="26.91"/>
    <n v="25.88"/>
    <n v="33.880000000000003"/>
    <n v="1.26"/>
  </r>
  <r>
    <n v="84"/>
    <s v="A1084"/>
    <x v="0"/>
    <n v="112"/>
    <x v="84"/>
    <n v="227"/>
    <n v="11"/>
    <n v="8"/>
    <n v="7.1428571428571397E-2"/>
    <x v="72"/>
    <d v="2024-11-03T00:00:00"/>
    <s v="Hyderabad"/>
    <x v="2"/>
    <x v="5"/>
    <s v="November"/>
    <x v="4"/>
    <n v="2.0301785714285701"/>
    <n v="1.93"/>
    <n v="20.67"/>
    <n v="28.42"/>
    <n v="31.5"/>
    <n v="37.380000000000003"/>
    <n v="1.31"/>
  </r>
  <r>
    <n v="85"/>
    <s v="A1085"/>
    <x v="0"/>
    <n v="123"/>
    <x v="85"/>
    <n v="233"/>
    <n v="28"/>
    <n v="6"/>
    <n v="4.8780487804878002E-2"/>
    <x v="73"/>
    <d v="2024-11-19T00:00:00"/>
    <s v="Hyderabad"/>
    <x v="0"/>
    <x v="3"/>
    <s v="November"/>
    <x v="2"/>
    <n v="1.89593495934959"/>
    <n v="3.74"/>
    <n v="8.33"/>
    <n v="38.869999999999997"/>
    <n v="2.92"/>
    <n v="40"/>
    <n v="1.03"/>
  </r>
  <r>
    <n v="86"/>
    <s v="A1086"/>
    <x v="1"/>
    <n v="174"/>
    <x v="86"/>
    <n v="206"/>
    <n v="20"/>
    <n v="3"/>
    <n v="1.72413793103448E-2"/>
    <x v="74"/>
    <d v="2024-11-23T00:00:00"/>
    <s v="Hyderabad"/>
    <x v="0"/>
    <x v="0"/>
    <s v="November"/>
    <x v="0"/>
    <n v="1.1840229885057401"/>
    <n v="4.04"/>
    <n v="10.3"/>
    <n v="68.67"/>
    <n v="4.84"/>
    <n v="72"/>
    <n v="1.05"/>
  </r>
  <r>
    <n v="87"/>
    <s v="A1087"/>
    <x v="3"/>
    <n v="143"/>
    <x v="87"/>
    <n v="221"/>
    <n v="27"/>
    <n v="7"/>
    <n v="4.8951048951048903E-2"/>
    <x v="75"/>
    <d v="2024-11-03T00:00:00"/>
    <s v="Hyderabad"/>
    <x v="2"/>
    <x v="5"/>
    <s v="November"/>
    <x v="4"/>
    <n v="1.5454545454545401"/>
    <n v="3.27"/>
    <n v="8.19"/>
    <n v="31.57"/>
    <n v="10.86"/>
    <n v="35"/>
    <n v="1.1100000000000001"/>
  </r>
  <r>
    <n v="88"/>
    <s v="A1088"/>
    <x v="2"/>
    <n v="195"/>
    <x v="88"/>
    <n v="210"/>
    <n v="23"/>
    <n v="9"/>
    <n v="4.6153846153846101E-2"/>
    <x v="57"/>
    <d v="2024-11-07T00:00:00"/>
    <s v="Hyderabad"/>
    <x v="2"/>
    <x v="4"/>
    <s v="November"/>
    <x v="5"/>
    <n v="1.07528205128205"/>
    <n v="3.29"/>
    <n v="9.1199999999999992"/>
    <n v="23.3"/>
    <n v="91.24"/>
    <n v="44.56"/>
    <n v="1.91"/>
  </r>
  <r>
    <n v="89"/>
    <s v="A1089"/>
    <x v="0"/>
    <n v="176"/>
    <x v="89"/>
    <n v="241"/>
    <n v="13"/>
    <n v="6"/>
    <n v="3.4090909090908998E-2"/>
    <x v="76"/>
    <d v="2024-11-02T00:00:00"/>
    <s v="Hyderabad"/>
    <x v="0"/>
    <x v="4"/>
    <s v="November"/>
    <x v="0"/>
    <n v="1.36954545454545"/>
    <n v="3.01"/>
    <n v="18.54"/>
    <n v="40.17"/>
    <n v="1.23"/>
    <n v="40.67"/>
    <n v="1.01"/>
  </r>
  <r>
    <n v="90"/>
    <s v="A1090"/>
    <x v="1"/>
    <n v="141"/>
    <x v="90"/>
    <n v="227"/>
    <n v="28"/>
    <n v="5"/>
    <n v="3.54609929078014E-2"/>
    <x v="33"/>
    <d v="2024-11-15T00:00:00"/>
    <s v="Hyderabad"/>
    <x v="0"/>
    <x v="5"/>
    <s v="November"/>
    <x v="3"/>
    <n v="1.6126950354609899"/>
    <n v="2.91"/>
    <n v="8.1199999999999992"/>
    <n v="45.48"/>
    <n v="63.6"/>
    <n v="74.400000000000006"/>
    <n v="1.64"/>
  </r>
  <r>
    <n v="91"/>
    <s v="A1091"/>
    <x v="3"/>
    <n v="108"/>
    <x v="91"/>
    <n v="204"/>
    <n v="19"/>
    <n v="10"/>
    <n v="9.2592592592592504E-2"/>
    <x v="41"/>
    <d v="2024-11-20T00:00:00"/>
    <s v="Hyderabad"/>
    <x v="2"/>
    <x v="2"/>
    <s v="November"/>
    <x v="1"/>
    <n v="1.89037037037037"/>
    <n v="2.29"/>
    <n v="10.75"/>
    <n v="20.420000000000002"/>
    <n v="72.900000000000006"/>
    <n v="35.299999999999997"/>
    <n v="1.73"/>
  </r>
  <r>
    <n v="92"/>
    <s v="A1092"/>
    <x v="1"/>
    <n v="112"/>
    <x v="92"/>
    <n v="173"/>
    <n v="11"/>
    <n v="6"/>
    <n v="5.3571428571428499E-2"/>
    <x v="77"/>
    <d v="2024-11-23T00:00:00"/>
    <s v="Hyderabad"/>
    <x v="2"/>
    <x v="5"/>
    <s v="November"/>
    <x v="0"/>
    <n v="1.5454545454545401"/>
    <n v="3.35"/>
    <n v="15.74"/>
    <n v="28.85"/>
    <n v="118.96"/>
    <n v="63.17"/>
    <n v="2.19"/>
  </r>
  <r>
    <n v="93"/>
    <s v="A1093"/>
    <x v="0"/>
    <n v="179"/>
    <x v="93"/>
    <n v="184"/>
    <n v="23"/>
    <n v="9"/>
    <n v="5.0279329608938501E-2"/>
    <x v="78"/>
    <d v="2024-11-20T00:00:00"/>
    <s v="Hyderabad"/>
    <x v="2"/>
    <x v="4"/>
    <s v="November"/>
    <x v="1"/>
    <n v="1.0302234636871499"/>
    <n v="3.03"/>
    <n v="8.02"/>
    <n v="20.49"/>
    <n v="31.23"/>
    <n v="26.89"/>
    <n v="1.31"/>
  </r>
  <r>
    <n v="94"/>
    <s v="A1094"/>
    <x v="2"/>
    <n v="145"/>
    <x v="94"/>
    <n v="216"/>
    <n v="22"/>
    <n v="5"/>
    <n v="3.4482758620689599E-2"/>
    <x v="79"/>
    <d v="2024-11-01T00:00:00"/>
    <s v="Hyderabad"/>
    <x v="2"/>
    <x v="2"/>
    <s v="November"/>
    <x v="3"/>
    <n v="1.4927586206896499"/>
    <n v="2.9"/>
    <n v="9.84"/>
    <n v="43.29"/>
    <n v="40.909999999999997"/>
    <n v="61"/>
    <n v="1.41"/>
  </r>
  <r>
    <n v="95"/>
    <s v="A1095"/>
    <x v="1"/>
    <n v="183"/>
    <x v="95"/>
    <n v="197"/>
    <n v="15"/>
    <n v="8"/>
    <n v="4.3715846994535498E-2"/>
    <x v="80"/>
    <d v="2024-11-14T00:00:00"/>
    <s v="Hyderabad"/>
    <x v="0"/>
    <x v="3"/>
    <s v="November"/>
    <x v="5"/>
    <n v="1.0781420765027301"/>
    <n v="4.6399999999999997"/>
    <n v="13.15"/>
    <n v="24.66"/>
    <n v="70.3"/>
    <n v="42"/>
    <n v="1.7"/>
  </r>
  <r>
    <n v="96"/>
    <s v="A1096"/>
    <x v="0"/>
    <n v="113"/>
    <x v="96"/>
    <n v="229"/>
    <n v="20"/>
    <n v="5"/>
    <n v="4.4247787610619399E-2"/>
    <x v="81"/>
    <d v="2024-11-28T00:00:00"/>
    <s v="Hyderabad"/>
    <x v="2"/>
    <x v="0"/>
    <s v="November"/>
    <x v="5"/>
    <n v="2.0302654867256602"/>
    <n v="3.06"/>
    <n v="11.47"/>
    <n v="45.88"/>
    <n v="70.430000000000007"/>
    <n v="78.2"/>
    <n v="1.7"/>
  </r>
  <r>
    <n v="97"/>
    <s v="A1097"/>
    <x v="2"/>
    <n v="101"/>
    <x v="97"/>
    <n v="187"/>
    <n v="27"/>
    <n v="6"/>
    <n v="5.9405940594059403E-2"/>
    <x v="15"/>
    <d v="2024-11-15T00:00:00"/>
    <s v="Hyderabad"/>
    <x v="2"/>
    <x v="2"/>
    <s v="November"/>
    <x v="3"/>
    <n v="1.8546534653465301"/>
    <n v="1.7"/>
    <n v="6.94"/>
    <n v="31.22"/>
    <n v="75.64"/>
    <n v="54.83"/>
    <n v="1.76"/>
  </r>
  <r>
    <n v="98"/>
    <s v="A1098"/>
    <x v="0"/>
    <n v="189"/>
    <x v="98"/>
    <n v="222"/>
    <n v="24"/>
    <n v="3"/>
    <n v="1.5873015873015799E-2"/>
    <x v="69"/>
    <d v="2024-11-25T00:00:00"/>
    <s v="Hyderabad"/>
    <x v="2"/>
    <x v="1"/>
    <s v="November"/>
    <x v="6"/>
    <n v="1.1772486772486701"/>
    <n v="3.53"/>
    <n v="9.27"/>
    <n v="74.17"/>
    <n v="68.540000000000006"/>
    <n v="125"/>
    <n v="1.69"/>
  </r>
  <r>
    <n v="99"/>
    <s v="A1099"/>
    <x v="1"/>
    <n v="154"/>
    <x v="99"/>
    <n v="236"/>
    <n v="30"/>
    <n v="9"/>
    <n v="5.8441558441558399E-2"/>
    <x v="82"/>
    <d v="2024-11-06T00:00:00"/>
    <s v="Hyderabad"/>
    <x v="2"/>
    <x v="4"/>
    <s v="November"/>
    <x v="1"/>
    <n v="1.53337662337662"/>
    <n v="4.28"/>
    <n v="7.87"/>
    <n v="26.24"/>
    <n v="-10.65"/>
    <n v="23.44"/>
    <n v="0.89"/>
  </r>
  <r>
    <n v="100"/>
    <s v="A1100"/>
    <x v="1"/>
    <n v="179"/>
    <x v="100"/>
    <n v="247"/>
    <n v="16"/>
    <n v="5"/>
    <n v="2.7932960893854698E-2"/>
    <x v="53"/>
    <d v="2024-11-29T00:00:00"/>
    <s v="Hyderabad"/>
    <x v="0"/>
    <x v="4"/>
    <s v="November"/>
    <x v="3"/>
    <n v="1.3785474860335101"/>
    <n v="3.47"/>
    <n v="15.42"/>
    <n v="49.35"/>
    <n v="-12.87"/>
    <n v="43"/>
    <n v="0.87"/>
  </r>
  <r>
    <n v="101"/>
    <s v="A1101"/>
    <x v="3"/>
    <n v="148"/>
    <x v="101"/>
    <n v="244"/>
    <n v="18"/>
    <n v="8"/>
    <n v="5.4054054054054002E-2"/>
    <x v="4"/>
    <d v="2024-11-17T00:00:00"/>
    <s v="Hyderabad"/>
    <x v="2"/>
    <x v="0"/>
    <s v="November"/>
    <x v="4"/>
    <n v="1.6514189189189099"/>
    <n v="3.95"/>
    <n v="13.58"/>
    <n v="30.55"/>
    <n v="-8.76"/>
    <n v="27.88"/>
    <n v="0.91"/>
  </r>
  <r>
    <n v="102"/>
    <s v="A1102"/>
    <x v="1"/>
    <n v="177"/>
    <x v="102"/>
    <n v="197"/>
    <n v="26"/>
    <n v="9"/>
    <n v="5.0847457627118599E-2"/>
    <x v="83"/>
    <d v="2024-11-04T00:00:00"/>
    <s v="Hyderabad"/>
    <x v="1"/>
    <x v="4"/>
    <s v="November"/>
    <x v="6"/>
    <n v="1.1131638418079"/>
    <n v="3.67"/>
    <n v="7.58"/>
    <n v="21.89"/>
    <n v="97.94"/>
    <n v="43.33"/>
    <n v="1.98"/>
  </r>
  <r>
    <n v="103"/>
    <s v="A1103"/>
    <x v="2"/>
    <n v="119"/>
    <x v="103"/>
    <n v="221"/>
    <n v="11"/>
    <n v="8"/>
    <n v="6.7226890756302504E-2"/>
    <x v="32"/>
    <d v="2024-11-29T00:00:00"/>
    <s v="Hyderabad"/>
    <x v="0"/>
    <x v="5"/>
    <s v="November"/>
    <x v="3"/>
    <n v="1.8601680672268901"/>
    <n v="2.0499999999999998"/>
    <n v="20.12"/>
    <n v="27.67"/>
    <n v="68.83"/>
    <n v="46.71"/>
    <n v="1.69"/>
  </r>
  <r>
    <n v="104"/>
    <s v="A1104"/>
    <x v="2"/>
    <n v="89"/>
    <x v="104"/>
    <n v="138"/>
    <n v="14"/>
    <n v="6"/>
    <n v="6.7415730337078594E-2"/>
    <x v="48"/>
    <d v="2024-11-15T00:00:00"/>
    <s v="Hyderabad"/>
    <x v="2"/>
    <x v="1"/>
    <s v="November"/>
    <x v="3"/>
    <n v="1.5454545454545401"/>
    <n v="2.48"/>
    <n v="9.82"/>
    <n v="22.92"/>
    <n v="51.95"/>
    <n v="34.83"/>
    <n v="1.52"/>
  </r>
  <r>
    <n v="105"/>
    <s v="A1105"/>
    <x v="2"/>
    <n v="146"/>
    <x v="105"/>
    <n v="230"/>
    <n v="23"/>
    <n v="5"/>
    <n v="3.4246575342465703E-2"/>
    <x v="56"/>
    <d v="2024-11-28T00:00:00"/>
    <s v="Hyderabad"/>
    <x v="2"/>
    <x v="5"/>
    <s v="November"/>
    <x v="5"/>
    <n v="1.5768493150684899"/>
    <n v="3.06"/>
    <n v="10.01"/>
    <n v="46.04"/>
    <n v="72.44"/>
    <n v="79.400000000000006"/>
    <n v="1.72"/>
  </r>
  <r>
    <n v="106"/>
    <s v="A1106"/>
    <x v="3"/>
    <n v="109"/>
    <x v="106"/>
    <n v="184"/>
    <n v="12"/>
    <n v="5"/>
    <n v="4.5871559633027498E-2"/>
    <x v="84"/>
    <d v="2024-11-30T00:00:00"/>
    <s v="Hyderabad"/>
    <x v="0"/>
    <x v="2"/>
    <s v="November"/>
    <x v="0"/>
    <n v="1.6848623853211"/>
    <n v="2.64"/>
    <n v="15.3"/>
    <n v="36.729999999999997"/>
    <n v="27.18"/>
    <n v="46.71"/>
    <n v="1.27"/>
  </r>
  <r>
    <n v="107"/>
    <s v="A1107"/>
    <x v="1"/>
    <n v="159"/>
    <x v="107"/>
    <n v="197"/>
    <n v="21"/>
    <n v="4"/>
    <n v="2.51572327044025E-2"/>
    <x v="85"/>
    <d v="2024-11-03T00:00:00"/>
    <s v="Hyderabad"/>
    <x v="2"/>
    <x v="0"/>
    <s v="November"/>
    <x v="4"/>
    <n v="1.24"/>
    <n v="3.1"/>
    <n v="9.39"/>
    <n v="49.29"/>
    <n v="93.24"/>
    <n v="95.25"/>
    <n v="1.93"/>
  </r>
  <r>
    <n v="108"/>
    <s v="A1108"/>
    <x v="1"/>
    <n v="144"/>
    <x v="108"/>
    <n v="235"/>
    <n v="12"/>
    <n v="3"/>
    <n v="2.0833333333333301E-2"/>
    <x v="86"/>
    <d v="2024-11-22T00:00:00"/>
    <s v="Hyderabad"/>
    <x v="0"/>
    <x v="5"/>
    <s v="November"/>
    <x v="3"/>
    <n v="1.6344444444444399"/>
    <n v="2.54"/>
    <n v="19.61"/>
    <n v="78.45"/>
    <n v="30.44"/>
    <n v="102.33"/>
    <n v="1.3"/>
  </r>
  <r>
    <n v="109"/>
    <s v="A1109"/>
    <x v="1"/>
    <n v="122"/>
    <x v="109"/>
    <n v="237"/>
    <n v="19"/>
    <n v="8"/>
    <n v="6.5573770491803199E-2"/>
    <x v="87"/>
    <d v="2024-11-20T00:00:00"/>
    <s v="Hyderabad"/>
    <x v="2"/>
    <x v="4"/>
    <s v="November"/>
    <x v="1"/>
    <n v="1.94442622950819"/>
    <n v="3.22"/>
    <n v="12.49"/>
    <n v="29.65"/>
    <n v="58.5"/>
    <n v="47"/>
    <n v="1.59"/>
  </r>
  <r>
    <n v="110"/>
    <s v="A1110"/>
    <x v="3"/>
    <n v="112"/>
    <x v="110"/>
    <n v="235"/>
    <n v="28"/>
    <n v="9"/>
    <n v="8.0357142857142794E-2"/>
    <x v="88"/>
    <d v="2024-11-08T00:00:00"/>
    <s v="Hyderabad"/>
    <x v="1"/>
    <x v="1"/>
    <s v="November"/>
    <x v="3"/>
    <n v="2.1011607142857098"/>
    <n v="2.6"/>
    <n v="8.4"/>
    <n v="26.15"/>
    <n v="-3.11"/>
    <n v="25.33"/>
    <n v="0.97"/>
  </r>
  <r>
    <n v="111"/>
    <s v="A1111"/>
    <x v="0"/>
    <n v="174"/>
    <x v="111"/>
    <n v="192"/>
    <n v="21"/>
    <n v="10"/>
    <n v="5.7471264367816001E-2"/>
    <x v="89"/>
    <d v="2024-11-24T00:00:00"/>
    <s v="Hyderabad"/>
    <x v="1"/>
    <x v="0"/>
    <s v="November"/>
    <x v="4"/>
    <n v="1.10528735632183"/>
    <n v="3.7"/>
    <n v="9.16"/>
    <n v="19.23"/>
    <n v="59.11"/>
    <n v="30.6"/>
    <n v="1.59"/>
  </r>
  <r>
    <n v="112"/>
    <s v="A1112"/>
    <x v="3"/>
    <n v="168"/>
    <x v="25"/>
    <n v="236"/>
    <n v="23"/>
    <n v="9"/>
    <n v="5.3571428571428499E-2"/>
    <x v="90"/>
    <d v="2024-11-09T00:00:00"/>
    <s v="Hyderabad"/>
    <x v="1"/>
    <x v="4"/>
    <s v="November"/>
    <x v="0"/>
    <n v="1.4023809523809501"/>
    <n v="5.0199999999999996"/>
    <n v="10.24"/>
    <n v="26.18"/>
    <n v="64.260000000000005"/>
    <n v="43"/>
    <n v="1.64"/>
  </r>
  <r>
    <n v="113"/>
    <s v="A1113"/>
    <x v="0"/>
    <n v="173"/>
    <x v="112"/>
    <n v="224"/>
    <n v="28"/>
    <n v="10"/>
    <n v="5.7803468208092401E-2"/>
    <x v="91"/>
    <d v="2024-11-25T00:00:00"/>
    <s v="Hyderabad"/>
    <x v="1"/>
    <x v="1"/>
    <s v="November"/>
    <x v="6"/>
    <n v="1.2942196531791901"/>
    <n v="4.9400000000000004"/>
    <n v="8"/>
    <n v="22.39"/>
    <n v="7.64"/>
    <n v="24.1"/>
    <n v="1.08"/>
  </r>
  <r>
    <n v="114"/>
    <s v="A1114"/>
    <x v="3"/>
    <n v="91"/>
    <x v="113"/>
    <n v="204"/>
    <n v="13"/>
    <n v="9"/>
    <n v="9.8901098901098897E-2"/>
    <x v="69"/>
    <d v="2024-11-20T00:00:00"/>
    <s v="Hyderabad"/>
    <x v="0"/>
    <x v="1"/>
    <s v="November"/>
    <x v="1"/>
    <n v="2.23648351648351"/>
    <n v="3.03"/>
    <n v="15.66"/>
    <n v="22.61"/>
    <n v="84.26"/>
    <n v="41.67"/>
    <n v="1.84"/>
  </r>
  <r>
    <n v="115"/>
    <s v="A1115"/>
    <x v="2"/>
    <n v="140"/>
    <x v="79"/>
    <n v="196"/>
    <n v="21"/>
    <n v="8"/>
    <n v="5.7142857142857099E-2"/>
    <x v="4"/>
    <d v="2024-11-21T00:00:00"/>
    <s v="Hyderabad"/>
    <x v="0"/>
    <x v="3"/>
    <s v="November"/>
    <x v="5"/>
    <n v="1.39778571428571"/>
    <n v="2.59"/>
    <n v="9.32"/>
    <n v="24.46"/>
    <n v="13.96"/>
    <n v="27.88"/>
    <n v="1.1399999999999999"/>
  </r>
  <r>
    <n v="116"/>
    <s v="A1116"/>
    <x v="0"/>
    <n v="93"/>
    <x v="114"/>
    <n v="230"/>
    <n v="26"/>
    <n v="4"/>
    <n v="4.3010752688171998E-2"/>
    <x v="92"/>
    <d v="2024-11-24T00:00:00"/>
    <s v="Hyderabad"/>
    <x v="1"/>
    <x v="4"/>
    <s v="November"/>
    <x v="4"/>
    <n v="2.4705376344086001"/>
    <n v="2.72"/>
    <n v="8.84"/>
    <n v="57.44"/>
    <n v="19.25"/>
    <n v="68.5"/>
    <n v="1.19"/>
  </r>
  <r>
    <n v="117"/>
    <s v="A1117"/>
    <x v="2"/>
    <n v="114"/>
    <x v="115"/>
    <n v="189"/>
    <n v="23"/>
    <n v="5"/>
    <n v="4.3859649122807001E-2"/>
    <x v="93"/>
    <d v="2024-11-05T00:00:00"/>
    <s v="Hyderabad"/>
    <x v="1"/>
    <x v="1"/>
    <s v="November"/>
    <x v="2"/>
    <n v="1.6590350877192901"/>
    <n v="2.17"/>
    <n v="8.2200000000000006"/>
    <n v="37.83"/>
    <n v="54.92"/>
    <n v="58.6"/>
    <n v="1.55"/>
  </r>
  <r>
    <n v="118"/>
    <s v="A1118"/>
    <x v="1"/>
    <n v="172"/>
    <x v="116"/>
    <n v="266"/>
    <n v="21"/>
    <n v="10"/>
    <n v="5.8139534883720902E-2"/>
    <x v="94"/>
    <d v="2024-11-16T00:00:00"/>
    <s v="Hyderabad"/>
    <x v="2"/>
    <x v="4"/>
    <s v="November"/>
    <x v="0"/>
    <n v="1.5454545454545401"/>
    <n v="4.42"/>
    <n v="12.66"/>
    <n v="26.58"/>
    <n v="35.43"/>
    <n v="36"/>
    <n v="1.35"/>
  </r>
  <r>
    <n v="119"/>
    <s v="A1119"/>
    <x v="2"/>
    <n v="188"/>
    <x v="117"/>
    <n v="194"/>
    <n v="24"/>
    <n v="6"/>
    <n v="3.1914893617021198E-2"/>
    <x v="55"/>
    <d v="2024-11-03T00:00:00"/>
    <s v="Hyderabad"/>
    <x v="2"/>
    <x v="4"/>
    <s v="November"/>
    <x v="4"/>
    <n v="1.0306382978723401"/>
    <n v="5.65"/>
    <n v="8.07"/>
    <n v="32.29"/>
    <n v="28.51"/>
    <n v="41.5"/>
    <n v="1.29"/>
  </r>
  <r>
    <n v="120"/>
    <s v="A1120"/>
    <x v="1"/>
    <n v="117"/>
    <x v="118"/>
    <n v="214"/>
    <n v="29"/>
    <n v="4"/>
    <n v="3.4188034188034101E-2"/>
    <x v="58"/>
    <d v="2024-11-23T00:00:00"/>
    <s v="Hyderabad"/>
    <x v="1"/>
    <x v="0"/>
    <s v="November"/>
    <x v="0"/>
    <n v="1.83059829059829"/>
    <n v="3.03"/>
    <n v="7.39"/>
    <n v="53.54"/>
    <n v="28.4"/>
    <n v="68.75"/>
    <n v="1.28"/>
  </r>
  <r>
    <n v="121"/>
    <s v="A1121"/>
    <x v="0"/>
    <n v="113"/>
    <x v="119"/>
    <n v="216"/>
    <n v="27"/>
    <n v="9"/>
    <n v="7.9646017699115002E-2"/>
    <x v="95"/>
    <d v="2024-11-23T00:00:00"/>
    <s v="Hyderabad"/>
    <x v="1"/>
    <x v="5"/>
    <s v="November"/>
    <x v="0"/>
    <n v="1.9076991150442399"/>
    <n v="2.0699999999999998"/>
    <n v="7.98"/>
    <n v="23.95"/>
    <n v="6.23"/>
    <n v="25.44"/>
    <n v="1.06"/>
  </r>
  <r>
    <n v="122"/>
    <s v="A1122"/>
    <x v="3"/>
    <n v="109"/>
    <x v="120"/>
    <n v="240"/>
    <n v="14"/>
    <n v="8"/>
    <n v="7.3394495412843999E-2"/>
    <x v="96"/>
    <d v="2024-11-24T00:00:00"/>
    <s v="Hyderabad"/>
    <x v="2"/>
    <x v="0"/>
    <s v="November"/>
    <x v="4"/>
    <n v="2.2048623853210998"/>
    <n v="3.07"/>
    <n v="17.170000000000002"/>
    <n v="30.04"/>
    <n v="68.099999999999994"/>
    <n v="50.5"/>
    <n v="1.68"/>
  </r>
  <r>
    <n v="123"/>
    <s v="A1123"/>
    <x v="1"/>
    <n v="174"/>
    <x v="121"/>
    <n v="226"/>
    <n v="18"/>
    <n v="10"/>
    <n v="5.7471264367816001E-2"/>
    <x v="97"/>
    <d v="2024-11-20T00:00:00"/>
    <s v="Hyderabad"/>
    <x v="0"/>
    <x v="2"/>
    <s v="November"/>
    <x v="1"/>
    <n v="1.2969540229884999"/>
    <n v="5.48"/>
    <n v="12.54"/>
    <n v="22.57"/>
    <n v="3.25"/>
    <n v="23.3"/>
    <n v="1.03"/>
  </r>
  <r>
    <n v="124"/>
    <s v="A1124"/>
    <x v="0"/>
    <n v="96"/>
    <x v="122"/>
    <n v="193"/>
    <n v="24"/>
    <n v="5"/>
    <n v="5.2083333333333301E-2"/>
    <x v="12"/>
    <d v="2024-11-10T00:00:00"/>
    <s v="Hyderabad"/>
    <x v="1"/>
    <x v="0"/>
    <s v="November"/>
    <x v="4"/>
    <n v="2.0091666666666601"/>
    <n v="2.0499999999999998"/>
    <n v="8.0399999999999991"/>
    <n v="38.58"/>
    <n v="107.38"/>
    <n v="80"/>
    <n v="2.0699999999999998"/>
  </r>
  <r>
    <n v="125"/>
    <s v="A1125"/>
    <x v="2"/>
    <n v="110"/>
    <x v="123"/>
    <n v="188"/>
    <n v="11"/>
    <n v="4"/>
    <n v="3.6363636363636299E-2"/>
    <x v="98"/>
    <d v="2024-11-04T00:00:00"/>
    <s v="Hyderabad"/>
    <x v="1"/>
    <x v="3"/>
    <s v="November"/>
    <x v="6"/>
    <n v="1.7079090909090899"/>
    <n v="2.59"/>
    <n v="17.079999999999998"/>
    <n v="46.97"/>
    <n v="27.22"/>
    <n v="59.75"/>
    <n v="1.27"/>
  </r>
  <r>
    <n v="126"/>
    <s v="A1126"/>
    <x v="1"/>
    <n v="163"/>
    <x v="124"/>
    <n v="238"/>
    <n v="23"/>
    <n v="7"/>
    <n v="4.2944785276073601E-2"/>
    <x v="99"/>
    <d v="2024-11-23T00:00:00"/>
    <s v="Hyderabad"/>
    <x v="2"/>
    <x v="4"/>
    <s v="November"/>
    <x v="0"/>
    <n v="1.45785276073619"/>
    <n v="4.46"/>
    <n v="10.33"/>
    <n v="33.950000000000003"/>
    <n v="46.03"/>
    <n v="49.57"/>
    <n v="1.46"/>
  </r>
  <r>
    <n v="127"/>
    <s v="A1127"/>
    <x v="0"/>
    <n v="161"/>
    <x v="125"/>
    <n v="236"/>
    <n v="13"/>
    <n v="4"/>
    <n v="2.4844720496894401E-2"/>
    <x v="100"/>
    <d v="2024-11-18T00:00:00"/>
    <s v="Hyderabad"/>
    <x v="1"/>
    <x v="0"/>
    <s v="November"/>
    <x v="6"/>
    <n v="1.46571428571428"/>
    <n v="3.03"/>
    <n v="18.149999999999999"/>
    <n v="59"/>
    <n v="22.89"/>
    <n v="72.5"/>
    <n v="1.23"/>
  </r>
  <r>
    <n v="128"/>
    <s v="A1128"/>
    <x v="0"/>
    <n v="195"/>
    <x v="19"/>
    <n v="193"/>
    <n v="30"/>
    <n v="7"/>
    <n v="3.5897435897435798E-2"/>
    <x v="24"/>
    <d v="2024-11-04T00:00:00"/>
    <s v="Hyderabad"/>
    <x v="1"/>
    <x v="1"/>
    <s v="November"/>
    <x v="6"/>
    <n v="0.99225641025640998"/>
    <n v="3.69"/>
    <n v="6.45"/>
    <n v="27.64"/>
    <n v="53.5"/>
    <n v="42.43"/>
    <n v="1.53"/>
  </r>
  <r>
    <n v="129"/>
    <s v="A1129"/>
    <x v="1"/>
    <n v="84"/>
    <x v="126"/>
    <n v="219"/>
    <n v="14"/>
    <n v="9"/>
    <n v="0.107142857142857"/>
    <x v="101"/>
    <d v="2024-11-05T00:00:00"/>
    <s v="Hyderabad"/>
    <x v="2"/>
    <x v="5"/>
    <s v="November"/>
    <x v="2"/>
    <n v="2.6057142857142801"/>
    <n v="2.2400000000000002"/>
    <n v="15.63"/>
    <n v="24.32"/>
    <n v="21.07"/>
    <n v="29.44"/>
    <n v="1.21"/>
  </r>
  <r>
    <n v="130"/>
    <s v="A1130"/>
    <x v="1"/>
    <n v="113"/>
    <x v="127"/>
    <n v="195"/>
    <n v="11"/>
    <n v="6"/>
    <n v="5.30973451327433E-2"/>
    <x v="102"/>
    <d v="2024-11-28T00:00:00"/>
    <s v="Hyderabad"/>
    <x v="2"/>
    <x v="1"/>
    <s v="November"/>
    <x v="5"/>
    <n v="1.72407079646017"/>
    <n v="2.4700000000000002"/>
    <n v="17.71"/>
    <n v="32.47"/>
    <n v="30.89"/>
    <n v="42.5"/>
    <n v="1.31"/>
  </r>
  <r>
    <n v="131"/>
    <s v="A1131"/>
    <x v="3"/>
    <n v="117"/>
    <x v="128"/>
    <n v="225"/>
    <n v="12"/>
    <n v="5"/>
    <n v="4.2735042735042701E-2"/>
    <x v="79"/>
    <d v="2024-11-09T00:00:00"/>
    <s v="Hyderabad"/>
    <x v="0"/>
    <x v="3"/>
    <s v="November"/>
    <x v="0"/>
    <n v="1.9242735042735"/>
    <n v="3.07"/>
    <n v="18.760000000000002"/>
    <n v="45.03"/>
    <n v="35.47"/>
    <n v="61"/>
    <n v="1.35"/>
  </r>
  <r>
    <n v="132"/>
    <s v="A1132"/>
    <x v="0"/>
    <n v="135"/>
    <x v="129"/>
    <n v="220"/>
    <n v="27"/>
    <n v="6"/>
    <n v="4.4444444444444398E-2"/>
    <x v="68"/>
    <d v="2024-11-20T00:00:00"/>
    <s v="Hyderabad"/>
    <x v="1"/>
    <x v="4"/>
    <s v="November"/>
    <x v="1"/>
    <n v="1.6295555555555501"/>
    <n v="2.64"/>
    <n v="8.15"/>
    <n v="36.659999999999997"/>
    <n v="0.91"/>
    <n v="37"/>
    <n v="1.01"/>
  </r>
  <r>
    <n v="133"/>
    <s v="A1133"/>
    <x v="1"/>
    <n v="92"/>
    <x v="130"/>
    <n v="186"/>
    <n v="28"/>
    <n v="7"/>
    <n v="7.6086956521739094E-2"/>
    <x v="103"/>
    <d v="2024-11-27T00:00:00"/>
    <s v="Hyderabad"/>
    <x v="2"/>
    <x v="3"/>
    <s v="November"/>
    <x v="1"/>
    <n v="2.0232608695652101"/>
    <n v="1.6"/>
    <n v="6.65"/>
    <n v="26.59"/>
    <n v="11.21"/>
    <n v="29.57"/>
    <n v="1.1100000000000001"/>
  </r>
  <r>
    <n v="134"/>
    <s v="A1134"/>
    <x v="2"/>
    <n v="188"/>
    <x v="131"/>
    <n v="206"/>
    <n v="16"/>
    <n v="9"/>
    <n v="4.7872340425531901E-2"/>
    <x v="104"/>
    <d v="2024-11-04T00:00:00"/>
    <s v="Hyderabad"/>
    <x v="0"/>
    <x v="1"/>
    <s v="November"/>
    <x v="6"/>
    <n v="1.0968617021276501"/>
    <n v="4.78"/>
    <n v="12.89"/>
    <n v="22.91"/>
    <n v="103.88"/>
    <n v="46.71"/>
    <n v="2.04"/>
  </r>
  <r>
    <n v="135"/>
    <s v="A1135"/>
    <x v="2"/>
    <n v="101"/>
    <x v="132"/>
    <n v="228"/>
    <n v="13"/>
    <n v="7"/>
    <n v="6.9306930693069299E-2"/>
    <x v="105"/>
    <d v="2024-11-20T00:00:00"/>
    <s v="Hyderabad"/>
    <x v="0"/>
    <x v="0"/>
    <s v="November"/>
    <x v="1"/>
    <n v="2.2611881188118801"/>
    <n v="2.14"/>
    <n v="17.57"/>
    <n v="32.630000000000003"/>
    <n v="11.22"/>
    <n v="36.29"/>
    <n v="1.1100000000000001"/>
  </r>
  <r>
    <n v="136"/>
    <s v="A1136"/>
    <x v="1"/>
    <n v="111"/>
    <x v="133"/>
    <n v="205"/>
    <n v="29"/>
    <n v="4"/>
    <n v="3.6036036036036001E-2"/>
    <x v="16"/>
    <d v="2024-11-04T00:00:00"/>
    <s v="Hyderabad"/>
    <x v="1"/>
    <x v="1"/>
    <s v="November"/>
    <x v="6"/>
    <n v="1.8490990990990901"/>
    <n v="1.88"/>
    <n v="7.08"/>
    <n v="51.31"/>
    <n v="68.569999999999993"/>
    <n v="86.5"/>
    <n v="1.69"/>
  </r>
  <r>
    <n v="137"/>
    <s v="A1137"/>
    <x v="3"/>
    <n v="122"/>
    <x v="134"/>
    <n v="202"/>
    <n v="28"/>
    <n v="10"/>
    <n v="8.1967213114753995E-2"/>
    <x v="64"/>
    <d v="2024-11-26T00:00:00"/>
    <s v="Hyderabad"/>
    <x v="1"/>
    <x v="4"/>
    <s v="November"/>
    <x v="2"/>
    <n v="1.65762295081967"/>
    <n v="3.01"/>
    <n v="7.22"/>
    <n v="20.22"/>
    <n v="131"/>
    <n v="46.71"/>
    <n v="2.31"/>
  </r>
  <r>
    <n v="138"/>
    <s v="A1138"/>
    <x v="2"/>
    <n v="99"/>
    <x v="135"/>
    <n v="238"/>
    <n v="21"/>
    <n v="6"/>
    <n v="6.0606060606060601E-2"/>
    <x v="7"/>
    <d v="2024-11-22T00:00:00"/>
    <s v="Hyderabad"/>
    <x v="1"/>
    <x v="4"/>
    <s v="November"/>
    <x v="3"/>
    <n v="2.4008080808080798"/>
    <n v="3.12"/>
    <n v="11.32"/>
    <n v="39.61"/>
    <n v="29.59"/>
    <n v="51.33"/>
    <n v="1.3"/>
  </r>
  <r>
    <n v="139"/>
    <s v="A1139"/>
    <x v="0"/>
    <n v="154"/>
    <x v="136"/>
    <n v="229"/>
    <n v="11"/>
    <n v="3"/>
    <n v="1.94805194805194E-2"/>
    <x v="93"/>
    <d v="2024-11-01T00:00:00"/>
    <s v="Hyderabad"/>
    <x v="2"/>
    <x v="3"/>
    <s v="November"/>
    <x v="3"/>
    <n v="1.4888961038960999"/>
    <n v="3.4"/>
    <n v="20.84"/>
    <n v="76.430000000000007"/>
    <n v="27.79"/>
    <n v="97.67"/>
    <n v="1.28"/>
  </r>
  <r>
    <n v="140"/>
    <s v="A1140"/>
    <x v="1"/>
    <n v="129"/>
    <x v="137"/>
    <n v="249"/>
    <n v="22"/>
    <n v="10"/>
    <n v="7.7519379844961198E-2"/>
    <x v="60"/>
    <d v="2024-11-11T00:00:00"/>
    <s v="Hyderabad"/>
    <x v="0"/>
    <x v="5"/>
    <s v="November"/>
    <x v="6"/>
    <n v="1.93248062015503"/>
    <n v="3.35"/>
    <n v="11.33"/>
    <n v="24.93"/>
    <n v="44.81"/>
    <n v="36.1"/>
    <n v="1.45"/>
  </r>
  <r>
    <n v="141"/>
    <s v="A1141"/>
    <x v="2"/>
    <n v="129"/>
    <x v="138"/>
    <n v="183"/>
    <n v="10"/>
    <n v="10"/>
    <n v="7.7519379844961198E-2"/>
    <x v="106"/>
    <d v="2024-11-16T00:00:00"/>
    <s v="Hyderabad"/>
    <x v="1"/>
    <x v="5"/>
    <s v="November"/>
    <x v="0"/>
    <n v="1.4184496124031001"/>
    <n v="3.03"/>
    <n v="18.3"/>
    <n v="18.3"/>
    <n v="16.95"/>
    <n v="21.4"/>
    <n v="1.17"/>
  </r>
  <r>
    <n v="142"/>
    <s v="A1142"/>
    <x v="0"/>
    <n v="143"/>
    <x v="139"/>
    <n v="221"/>
    <n v="18"/>
    <n v="9"/>
    <n v="6.2937062937062901E-2"/>
    <x v="107"/>
    <d v="2024-11-17T00:00:00"/>
    <s v="Hyderabad"/>
    <x v="2"/>
    <x v="1"/>
    <s v="November"/>
    <x v="4"/>
    <n v="1.5454545454545401"/>
    <n v="3.94"/>
    <n v="12.28"/>
    <n v="24.56"/>
    <n v="44.8"/>
    <n v="35.56"/>
    <n v="1.45"/>
  </r>
  <r>
    <n v="143"/>
    <s v="A1143"/>
    <x v="3"/>
    <n v="80"/>
    <x v="140"/>
    <n v="125"/>
    <n v="12"/>
    <n v="4"/>
    <n v="0.05"/>
    <x v="14"/>
    <d v="2024-11-23T00:00:00"/>
    <s v="Hyderabad"/>
    <x v="0"/>
    <x v="2"/>
    <s v="November"/>
    <x v="0"/>
    <n v="1.56753061615001"/>
    <n v="2.4500000000000002"/>
    <n v="10.45"/>
    <n v="31.35"/>
    <n v="185.48"/>
    <n v="89.5"/>
    <n v="2.85"/>
  </r>
  <r>
    <n v="144"/>
    <s v="A1144"/>
    <x v="1"/>
    <n v="134"/>
    <x v="141"/>
    <n v="188"/>
    <n v="26"/>
    <n v="9"/>
    <n v="6.7164179104477598E-2"/>
    <x v="0"/>
    <d v="2024-11-07T00:00:00"/>
    <s v="Hyderabad"/>
    <x v="0"/>
    <x v="4"/>
    <s v="November"/>
    <x v="5"/>
    <n v="1.4031343283582001"/>
    <n v="3.6"/>
    <n v="7.23"/>
    <n v="20.89"/>
    <n v="105.3"/>
    <n v="42.89"/>
    <n v="2.0499999999999998"/>
  </r>
  <r>
    <n v="145"/>
    <s v="A1145"/>
    <x v="1"/>
    <n v="174"/>
    <x v="142"/>
    <n v="242"/>
    <n v="21"/>
    <n v="3"/>
    <n v="1.72413793103448E-2"/>
    <x v="108"/>
    <d v="2024-11-22T00:00:00"/>
    <s v="Hyderabad"/>
    <x v="0"/>
    <x v="2"/>
    <s v="November"/>
    <x v="3"/>
    <n v="1.39281609195402"/>
    <n v="3.6"/>
    <n v="11.54"/>
    <n v="80.78"/>
    <n v="34.520000000000003"/>
    <n v="108.67"/>
    <n v="1.35"/>
  </r>
  <r>
    <n v="146"/>
    <s v="A1146"/>
    <x v="3"/>
    <n v="196"/>
    <x v="143"/>
    <n v="192"/>
    <n v="15"/>
    <n v="8"/>
    <n v="4.08163265306122E-2"/>
    <x v="106"/>
    <d v="2024-11-13T00:00:00"/>
    <s v="Hyderabad"/>
    <x v="0"/>
    <x v="1"/>
    <s v="November"/>
    <x v="1"/>
    <n v="0.97964285714285704"/>
    <n v="4.33"/>
    <n v="12.8"/>
    <n v="24"/>
    <n v="11.45"/>
    <n v="26.75"/>
    <n v="1.1100000000000001"/>
  </r>
  <r>
    <n v="147"/>
    <s v="A1147"/>
    <x v="3"/>
    <n v="194"/>
    <x v="144"/>
    <n v="228"/>
    <n v="17"/>
    <n v="7"/>
    <n v="3.60824742268041E-2"/>
    <x v="109"/>
    <d v="2024-11-14T00:00:00"/>
    <s v="Hyderabad"/>
    <x v="2"/>
    <x v="0"/>
    <s v="November"/>
    <x v="5"/>
    <n v="1.17603092783505"/>
    <n v="4.13"/>
    <n v="13.42"/>
    <n v="32.590000000000003"/>
    <n v="67.430000000000007"/>
    <n v="54.57"/>
    <n v="1.67"/>
  </r>
  <r>
    <n v="148"/>
    <s v="A1148"/>
    <x v="3"/>
    <n v="180"/>
    <x v="145"/>
    <n v="222"/>
    <n v="13"/>
    <n v="8"/>
    <n v="4.4444444444444398E-2"/>
    <x v="37"/>
    <d v="2024-11-06T00:00:00"/>
    <s v="Hyderabad"/>
    <x v="2"/>
    <x v="4"/>
    <s v="November"/>
    <x v="1"/>
    <n v="1.2315"/>
    <n v="4.16"/>
    <n v="17.05"/>
    <n v="27.71"/>
    <n v="31.28"/>
    <n v="36.380000000000003"/>
    <n v="1.31"/>
  </r>
  <r>
    <n v="149"/>
    <s v="A1149"/>
    <x v="2"/>
    <n v="100"/>
    <x v="146"/>
    <n v="223"/>
    <n v="10"/>
    <n v="8"/>
    <n v="0.08"/>
    <x v="110"/>
    <d v="2024-11-01T00:00:00"/>
    <s v="Hyderabad"/>
    <x v="0"/>
    <x v="3"/>
    <s v="November"/>
    <x v="3"/>
    <n v="2.2261000000000002"/>
    <n v="2.36"/>
    <n v="22.26"/>
    <n v="27.83"/>
    <n v="66.209999999999994"/>
    <n v="46.25"/>
    <n v="1.66"/>
  </r>
  <r>
    <n v="150"/>
    <s v="A1150"/>
    <x v="1"/>
    <n v="153"/>
    <x v="147"/>
    <n v="185"/>
    <n v="29"/>
    <n v="9"/>
    <n v="5.8823529411764698E-2"/>
    <x v="7"/>
    <d v="2024-11-13T00:00:00"/>
    <s v="Hyderabad"/>
    <x v="1"/>
    <x v="5"/>
    <s v="November"/>
    <x v="1"/>
    <n v="1.2059477124183"/>
    <n v="3.5"/>
    <n v="6.36"/>
    <n v="20.5"/>
    <n v="66.930000000000007"/>
    <n v="34.22"/>
    <n v="1.67"/>
  </r>
  <r>
    <n v="151"/>
    <s v="A1151"/>
    <x v="1"/>
    <n v="110"/>
    <x v="148"/>
    <n v="199"/>
    <n v="24"/>
    <n v="9"/>
    <n v="8.1818181818181804E-2"/>
    <x v="30"/>
    <d v="2024-11-05T00:00:00"/>
    <s v="Hyderabad"/>
    <x v="2"/>
    <x v="3"/>
    <s v="November"/>
    <x v="2"/>
    <n v="1.8061818181818099"/>
    <n v="2.93"/>
    <n v="8.2799999999999994"/>
    <n v="22.08"/>
    <n v="6.7"/>
    <n v="23.56"/>
    <n v="1.07"/>
  </r>
  <r>
    <n v="152"/>
    <s v="A1152"/>
    <x v="3"/>
    <n v="116"/>
    <x v="149"/>
    <n v="179"/>
    <n v="21"/>
    <n v="4"/>
    <n v="3.4482758620689599E-2"/>
    <x v="111"/>
    <d v="2024-11-13T00:00:00"/>
    <s v="Hyderabad"/>
    <x v="2"/>
    <x v="4"/>
    <s v="November"/>
    <x v="1"/>
    <n v="1.5454545454545401"/>
    <n v="2.97"/>
    <n v="8.5399999999999991"/>
    <n v="44.82"/>
    <n v="69.02"/>
    <n v="75.75"/>
    <n v="1.69"/>
  </r>
  <r>
    <n v="153"/>
    <s v="A1153"/>
    <x v="3"/>
    <n v="156"/>
    <x v="150"/>
    <n v="237"/>
    <n v="29"/>
    <n v="7"/>
    <n v="4.4871794871794803E-2"/>
    <x v="97"/>
    <d v="2024-11-14T00:00:00"/>
    <s v="Hyderabad"/>
    <x v="0"/>
    <x v="1"/>
    <s v="November"/>
    <x v="5"/>
    <n v="1.5191025641025599"/>
    <n v="4.68"/>
    <n v="8.17"/>
    <n v="33.85"/>
    <n v="-1.68"/>
    <n v="33.29"/>
    <n v="0.98"/>
  </r>
  <r>
    <n v="154"/>
    <s v="A1154"/>
    <x v="3"/>
    <n v="177"/>
    <x v="151"/>
    <n v="211"/>
    <n v="19"/>
    <n v="6"/>
    <n v="3.38983050847457E-2"/>
    <x v="98"/>
    <d v="2024-11-25T00:00:00"/>
    <s v="Hyderabad"/>
    <x v="2"/>
    <x v="1"/>
    <s v="November"/>
    <x v="6"/>
    <n v="1.19062146892655"/>
    <n v="3.12"/>
    <n v="11.09"/>
    <n v="35.119999999999997"/>
    <n v="13.41"/>
    <n v="39.83"/>
    <n v="1.1299999999999999"/>
  </r>
  <r>
    <n v="155"/>
    <s v="A1155"/>
    <x v="0"/>
    <n v="89"/>
    <x v="152"/>
    <n v="215"/>
    <n v="25"/>
    <n v="9"/>
    <n v="0.101123595505617"/>
    <x v="90"/>
    <d v="2024-11-15T00:00:00"/>
    <s v="Hyderabad"/>
    <x v="1"/>
    <x v="1"/>
    <s v="November"/>
    <x v="3"/>
    <n v="2.4132584269662898"/>
    <n v="2.61"/>
    <n v="8.59"/>
    <n v="23.86"/>
    <n v="80.180000000000007"/>
    <n v="43"/>
    <n v="1.8"/>
  </r>
  <r>
    <n v="156"/>
    <s v="A1156"/>
    <x v="0"/>
    <n v="155"/>
    <x v="153"/>
    <n v="184"/>
    <n v="14"/>
    <n v="8"/>
    <n v="5.1612903225806403E-2"/>
    <x v="97"/>
    <d v="2024-11-15T00:00:00"/>
    <s v="Hyderabad"/>
    <x v="1"/>
    <x v="5"/>
    <s v="November"/>
    <x v="3"/>
    <n v="1.18683870967741"/>
    <n v="3.51"/>
    <n v="13.14"/>
    <n v="23"/>
    <n v="26.66"/>
    <n v="29.12"/>
    <n v="1.27"/>
  </r>
  <r>
    <n v="157"/>
    <s v="A1157"/>
    <x v="2"/>
    <n v="123"/>
    <x v="154"/>
    <n v="191"/>
    <n v="20"/>
    <n v="8"/>
    <n v="6.5040650406504003E-2"/>
    <x v="6"/>
    <d v="2024-11-22T00:00:00"/>
    <s v="Hyderabad"/>
    <x v="2"/>
    <x v="1"/>
    <s v="November"/>
    <x v="3"/>
    <n v="1.5491869918699099"/>
    <n v="3.97"/>
    <n v="9.5299999999999994"/>
    <n v="23.82"/>
    <n v="75.81"/>
    <n v="41.88"/>
    <n v="1.76"/>
  </r>
  <r>
    <n v="158"/>
    <s v="A1158"/>
    <x v="3"/>
    <n v="102"/>
    <x v="155"/>
    <n v="245"/>
    <n v="10"/>
    <n v="5"/>
    <n v="4.9019607843137199E-2"/>
    <x v="112"/>
    <d v="2024-11-12T00:00:00"/>
    <s v="Hyderabad"/>
    <x v="1"/>
    <x v="0"/>
    <s v="November"/>
    <x v="2"/>
    <n v="2.4001960784313701"/>
    <n v="2.82"/>
    <n v="24.48"/>
    <n v="48.96"/>
    <n v="14.78"/>
    <n v="56.2"/>
    <n v="1.1499999999999999"/>
  </r>
  <r>
    <n v="159"/>
    <s v="A1159"/>
    <x v="3"/>
    <n v="150"/>
    <x v="156"/>
    <n v="245"/>
    <n v="15"/>
    <n v="9"/>
    <n v="0.06"/>
    <x v="113"/>
    <d v="2024-11-07T00:00:00"/>
    <s v="Hyderabad"/>
    <x v="1"/>
    <x v="2"/>
    <s v="November"/>
    <x v="5"/>
    <n v="1.6302000000000001"/>
    <n v="3.12"/>
    <n v="16.3"/>
    <n v="27.17"/>
    <n v="33.729999999999997"/>
    <n v="36.33"/>
    <n v="1.34"/>
  </r>
  <r>
    <n v="160"/>
    <s v="A1160"/>
    <x v="1"/>
    <n v="160"/>
    <x v="157"/>
    <n v="246"/>
    <n v="11"/>
    <n v="6"/>
    <n v="3.7499999999999999E-2"/>
    <x v="114"/>
    <d v="2024-11-05T00:00:00"/>
    <s v="Hyderabad"/>
    <x v="0"/>
    <x v="5"/>
    <s v="November"/>
    <x v="2"/>
    <n v="1.5366875"/>
    <n v="3.03"/>
    <n v="22.35"/>
    <n v="40.98"/>
    <n v="14"/>
    <n v="46.71"/>
    <n v="1.1399999999999999"/>
  </r>
  <r>
    <n v="161"/>
    <s v="A1161"/>
    <x v="1"/>
    <n v="143"/>
    <x v="149"/>
    <n v="191"/>
    <n v="29"/>
    <n v="4"/>
    <n v="2.7972027972027899E-2"/>
    <x v="17"/>
    <d v="2024-11-24T00:00:00"/>
    <s v="Hyderabad"/>
    <x v="1"/>
    <x v="0"/>
    <s v="November"/>
    <x v="4"/>
    <n v="1.33832167832167"/>
    <n v="3.67"/>
    <n v="6.6"/>
    <n v="47.84"/>
    <n v="90.2"/>
    <n v="91"/>
    <n v="1.9"/>
  </r>
  <r>
    <n v="162"/>
    <s v="A1162"/>
    <x v="1"/>
    <n v="178"/>
    <x v="122"/>
    <n v="222"/>
    <n v="29"/>
    <n v="6"/>
    <n v="3.3707865168539297E-2"/>
    <x v="55"/>
    <d v="2024-11-04T00:00:00"/>
    <s v="Hyderabad"/>
    <x v="2"/>
    <x v="4"/>
    <s v="November"/>
    <x v="6"/>
    <n v="1.24977528089887"/>
    <n v="3.81"/>
    <n v="7.67"/>
    <n v="37.08"/>
    <n v="11.93"/>
    <n v="41.5"/>
    <n v="1.1200000000000001"/>
  </r>
  <r>
    <n v="163"/>
    <s v="A1163"/>
    <x v="0"/>
    <n v="152"/>
    <x v="158"/>
    <n v="209"/>
    <n v="13"/>
    <n v="9"/>
    <n v="5.9210526315789401E-2"/>
    <x v="19"/>
    <d v="2024-11-13T00:00:00"/>
    <s v="Hyderabad"/>
    <x v="0"/>
    <x v="1"/>
    <s v="November"/>
    <x v="1"/>
    <n v="1.3747368421052599"/>
    <n v="4.29"/>
    <n v="16.07"/>
    <n v="23.22"/>
    <n v="69.41"/>
    <n v="39.33"/>
    <n v="1.69"/>
  </r>
  <r>
    <n v="164"/>
    <s v="A1164"/>
    <x v="0"/>
    <n v="139"/>
    <x v="159"/>
    <n v="238"/>
    <n v="26"/>
    <n v="5"/>
    <n v="3.5971223021582698E-2"/>
    <x v="115"/>
    <d v="2024-11-13T00:00:00"/>
    <s v="Hyderabad"/>
    <x v="2"/>
    <x v="5"/>
    <s v="November"/>
    <x v="1"/>
    <n v="1.71359712230215"/>
    <n v="3.2"/>
    <n v="9.16"/>
    <n v="47.64"/>
    <n v="18.39"/>
    <n v="56.4"/>
    <n v="1.18"/>
  </r>
  <r>
    <n v="165"/>
    <s v="A1165"/>
    <x v="2"/>
    <n v="175"/>
    <x v="160"/>
    <n v="247"/>
    <n v="25"/>
    <n v="7"/>
    <n v="0.04"/>
    <x v="89"/>
    <d v="2024-11-15T00:00:00"/>
    <s v="Hyderabad"/>
    <x v="1"/>
    <x v="0"/>
    <s v="November"/>
    <x v="3"/>
    <n v="1.4128000000000001"/>
    <n v="3.49"/>
    <n v="9.89"/>
    <n v="35.32"/>
    <n v="23.77"/>
    <n v="43.71"/>
    <n v="1.24"/>
  </r>
  <r>
    <n v="166"/>
    <s v="A1166"/>
    <x v="3"/>
    <n v="92"/>
    <x v="161"/>
    <n v="218"/>
    <n v="21"/>
    <n v="9"/>
    <n v="9.7826086956521702E-2"/>
    <x v="107"/>
    <d v="2024-11-03T00:00:00"/>
    <s v="Hyderabad"/>
    <x v="1"/>
    <x v="2"/>
    <s v="November"/>
    <x v="4"/>
    <n v="2.3745652173913001"/>
    <n v="2.2000000000000002"/>
    <n v="10.4"/>
    <n v="24.27"/>
    <n v="46.48"/>
    <n v="35.56"/>
    <n v="1.46"/>
  </r>
  <r>
    <n v="167"/>
    <s v="A1167"/>
    <x v="0"/>
    <n v="123"/>
    <x v="162"/>
    <n v="193"/>
    <n v="17"/>
    <n v="6"/>
    <n v="4.8780487804878002E-2"/>
    <x v="8"/>
    <d v="2024-11-03T00:00:00"/>
    <s v="Hyderabad"/>
    <x v="0"/>
    <x v="3"/>
    <s v="November"/>
    <x v="4"/>
    <n v="1.56753061615001"/>
    <n v="2.06"/>
    <n v="11.34"/>
    <n v="32.130000000000003"/>
    <n v="44.19"/>
    <n v="46.33"/>
    <n v="1.44"/>
  </r>
  <r>
    <n v="168"/>
    <s v="A1168"/>
    <x v="2"/>
    <n v="86"/>
    <x v="163"/>
    <n v="184"/>
    <n v="13"/>
    <n v="10"/>
    <n v="0.116279069767441"/>
    <x v="116"/>
    <d v="2024-11-20T00:00:00"/>
    <s v="Hyderabad"/>
    <x v="1"/>
    <x v="3"/>
    <s v="November"/>
    <x v="1"/>
    <n v="2.1361627906976701"/>
    <n v="1.68"/>
    <n v="14.13"/>
    <n v="18.37"/>
    <n v="26.29"/>
    <n v="23.2"/>
    <n v="1.26"/>
  </r>
  <r>
    <n v="169"/>
    <s v="A1169"/>
    <x v="1"/>
    <n v="117"/>
    <x v="164"/>
    <n v="238"/>
    <n v="28"/>
    <n v="10"/>
    <n v="8.5470085470085402E-2"/>
    <x v="78"/>
    <d v="2024-11-22T00:00:00"/>
    <s v="Hyderabad"/>
    <x v="1"/>
    <x v="4"/>
    <s v="November"/>
    <x v="3"/>
    <n v="2.03487179487179"/>
    <n v="2.81"/>
    <n v="8.5"/>
    <n v="23.81"/>
    <n v="1.65"/>
    <n v="24.2"/>
    <n v="1.02"/>
  </r>
  <r>
    <n v="170"/>
    <s v="A1170"/>
    <x v="2"/>
    <n v="146"/>
    <x v="165"/>
    <n v="192"/>
    <n v="20"/>
    <n v="3"/>
    <n v="2.0547945205479399E-2"/>
    <x v="117"/>
    <d v="2024-11-09T00:00:00"/>
    <s v="Hyderabad"/>
    <x v="1"/>
    <x v="4"/>
    <s v="November"/>
    <x v="0"/>
    <n v="1.31438356164383"/>
    <n v="3.37"/>
    <n v="9.6"/>
    <n v="63.97"/>
    <n v="86.03"/>
    <n v="119"/>
    <n v="1.86"/>
  </r>
  <r>
    <n v="171"/>
    <s v="A1171"/>
    <x v="2"/>
    <n v="89"/>
    <x v="166"/>
    <n v="140"/>
    <n v="17"/>
    <n v="4"/>
    <n v="4.49438202247191E-2"/>
    <x v="118"/>
    <d v="2024-11-13T00:00:00"/>
    <s v="Hyderabad"/>
    <x v="0"/>
    <x v="4"/>
    <s v="November"/>
    <x v="1"/>
    <n v="1.56753061615001"/>
    <n v="2.72"/>
    <n v="8.2100000000000009"/>
    <n v="34.880000000000003"/>
    <n v="80.63"/>
    <n v="63"/>
    <n v="1.81"/>
  </r>
  <r>
    <n v="172"/>
    <s v="A1172"/>
    <x v="0"/>
    <n v="195"/>
    <x v="167"/>
    <n v="214"/>
    <n v="27"/>
    <n v="7"/>
    <n v="3.5897435897435798E-2"/>
    <x v="119"/>
    <d v="2024-11-23T00:00:00"/>
    <s v="Hyderabad"/>
    <x v="0"/>
    <x v="0"/>
    <s v="November"/>
    <x v="0"/>
    <n v="1.0973846153846101"/>
    <n v="5.6"/>
    <n v="7.93"/>
    <n v="30.57"/>
    <n v="71.5"/>
    <n v="52.43"/>
    <n v="1.72"/>
  </r>
  <r>
    <n v="173"/>
    <s v="A1173"/>
    <x v="2"/>
    <n v="170"/>
    <x v="168"/>
    <n v="241"/>
    <n v="22"/>
    <n v="7"/>
    <n v="4.1176470588235203E-2"/>
    <x v="103"/>
    <d v="2024-11-27T00:00:00"/>
    <s v="Hyderabad"/>
    <x v="1"/>
    <x v="5"/>
    <s v="November"/>
    <x v="1"/>
    <n v="1.41547058823529"/>
    <n v="3.76"/>
    <n v="10.94"/>
    <n v="34.380000000000003"/>
    <n v="-13.98"/>
    <n v="29.57"/>
    <n v="0.86"/>
  </r>
  <r>
    <n v="174"/>
    <s v="A1174"/>
    <x v="2"/>
    <n v="97"/>
    <x v="169"/>
    <n v="240"/>
    <n v="21"/>
    <n v="7"/>
    <n v="7.2164948453608199E-2"/>
    <x v="1"/>
    <d v="2024-11-10T00:00:00"/>
    <s v="Hyderabad"/>
    <x v="0"/>
    <x v="2"/>
    <s v="November"/>
    <x v="4"/>
    <n v="2.4772164948453601"/>
    <n v="2.69"/>
    <n v="11.44"/>
    <n v="34.33"/>
    <n v="42.74"/>
    <n v="49"/>
    <n v="1.43"/>
  </r>
  <r>
    <n v="175"/>
    <s v="A1175"/>
    <x v="1"/>
    <n v="159"/>
    <x v="170"/>
    <n v="205"/>
    <n v="15"/>
    <n v="10"/>
    <n v="6.2893081761006206E-2"/>
    <x v="120"/>
    <d v="2024-11-17T00:00:00"/>
    <s v="Hyderabad"/>
    <x v="2"/>
    <x v="1"/>
    <s v="November"/>
    <x v="4"/>
    <n v="1.2891194968553401"/>
    <n v="3.13"/>
    <n v="13.66"/>
    <n v="20.5"/>
    <n v="62.95"/>
    <n v="33.4"/>
    <n v="1.63"/>
  </r>
  <r>
    <n v="176"/>
    <s v="A1176"/>
    <x v="1"/>
    <n v="131"/>
    <x v="78"/>
    <n v="226"/>
    <n v="24"/>
    <n v="10"/>
    <n v="7.6335877862595394E-2"/>
    <x v="12"/>
    <d v="2024-11-20T00:00:00"/>
    <s v="Hyderabad"/>
    <x v="1"/>
    <x v="4"/>
    <s v="November"/>
    <x v="1"/>
    <n v="1.7241221374045801"/>
    <n v="2.4500000000000002"/>
    <n v="9.41"/>
    <n v="22.59"/>
    <n v="77.099999999999994"/>
    <n v="40"/>
    <n v="1.77"/>
  </r>
  <r>
    <n v="177"/>
    <s v="A1177"/>
    <x v="3"/>
    <n v="108"/>
    <x v="171"/>
    <n v="185"/>
    <n v="11"/>
    <n v="7"/>
    <n v="6.4814814814814797E-2"/>
    <x v="62"/>
    <d v="2024-11-06T00:00:00"/>
    <s v="Hyderabad"/>
    <x v="1"/>
    <x v="2"/>
    <s v="November"/>
    <x v="1"/>
    <n v="1.71537037037037"/>
    <n v="1.96"/>
    <n v="16.84"/>
    <n v="26.47"/>
    <n v="111.59"/>
    <n v="56"/>
    <n v="2.12"/>
  </r>
  <r>
    <n v="178"/>
    <s v="A1178"/>
    <x v="0"/>
    <n v="93"/>
    <x v="172"/>
    <n v="210"/>
    <n v="19"/>
    <n v="9"/>
    <n v="9.6774193548387094E-2"/>
    <x v="16"/>
    <d v="2024-11-20T00:00:00"/>
    <s v="Hyderabad"/>
    <x v="1"/>
    <x v="1"/>
    <s v="November"/>
    <x v="1"/>
    <n v="2.2562365591397802"/>
    <n v="2.16"/>
    <n v="11.04"/>
    <n v="23.31"/>
    <n v="64.900000000000006"/>
    <n v="38.44"/>
    <n v="1.65"/>
  </r>
  <r>
    <n v="179"/>
    <s v="A1179"/>
    <x v="2"/>
    <n v="137"/>
    <x v="173"/>
    <n v="214"/>
    <n v="29"/>
    <n v="3"/>
    <n v="2.18978102189781E-2"/>
    <x v="54"/>
    <d v="2024-11-06T00:00:00"/>
    <s v="Hyderabad"/>
    <x v="0"/>
    <x v="1"/>
    <s v="November"/>
    <x v="1"/>
    <n v="1.55839416058394"/>
    <n v="3.85"/>
    <n v="7.36"/>
    <n v="71.17"/>
    <n v="-34.36"/>
    <n v="46.71"/>
    <n v="0.66"/>
  </r>
  <r>
    <n v="180"/>
    <s v="A1180"/>
    <x v="3"/>
    <n v="81"/>
    <x v="174"/>
    <n v="193"/>
    <n v="30"/>
    <n v="6"/>
    <n v="7.4074074074074001E-2"/>
    <x v="121"/>
    <d v="2024-11-28T00:00:00"/>
    <s v="Hyderabad"/>
    <x v="1"/>
    <x v="5"/>
    <s v="November"/>
    <x v="5"/>
    <n v="2.3844444444444401"/>
    <n v="1.44"/>
    <n v="6.44"/>
    <n v="32.19"/>
    <n v="32.549999999999997"/>
    <n v="42.67"/>
    <n v="1.33"/>
  </r>
  <r>
    <n v="181"/>
    <s v="A1181"/>
    <x v="2"/>
    <n v="160"/>
    <x v="175"/>
    <n v="206"/>
    <n v="23"/>
    <n v="10"/>
    <n v="6.25E-2"/>
    <x v="33"/>
    <d v="2024-11-20T00:00:00"/>
    <s v="Hyderabad"/>
    <x v="1"/>
    <x v="0"/>
    <s v="November"/>
    <x v="1"/>
    <n v="1.288875"/>
    <n v="3.37"/>
    <n v="8.9700000000000006"/>
    <n v="20.62"/>
    <n v="80.39"/>
    <n v="37.200000000000003"/>
    <n v="1.8"/>
  </r>
  <r>
    <n v="182"/>
    <s v="A1182"/>
    <x v="1"/>
    <n v="186"/>
    <x v="176"/>
    <n v="184"/>
    <n v="16"/>
    <n v="8"/>
    <n v="4.3010752688171998E-2"/>
    <x v="122"/>
    <d v="2024-11-30T00:00:00"/>
    <s v="Hyderabad"/>
    <x v="0"/>
    <x v="4"/>
    <s v="November"/>
    <x v="0"/>
    <n v="0.98698924731182802"/>
    <n v="5.57"/>
    <n v="11.47"/>
    <n v="22.95"/>
    <n v="16.03"/>
    <n v="26.62"/>
    <n v="1.1599999999999999"/>
  </r>
  <r>
    <n v="183"/>
    <s v="A1183"/>
    <x v="2"/>
    <n v="105"/>
    <x v="177"/>
    <n v="239"/>
    <n v="27"/>
    <n v="10"/>
    <n v="9.5238095238095205E-2"/>
    <x v="102"/>
    <d v="2024-11-06T00:00:00"/>
    <s v="Hyderabad"/>
    <x v="0"/>
    <x v="4"/>
    <s v="November"/>
    <x v="1"/>
    <n v="2.27428571428571"/>
    <n v="3.25"/>
    <n v="8.84"/>
    <n v="23.88"/>
    <n v="6.78"/>
    <n v="25.5"/>
    <n v="1.07"/>
  </r>
  <r>
    <n v="184"/>
    <s v="A1184"/>
    <x v="2"/>
    <n v="131"/>
    <x v="178"/>
    <n v="204"/>
    <n v="14"/>
    <n v="10"/>
    <n v="7.6335877862595394E-2"/>
    <x v="46"/>
    <d v="2024-11-25T00:00:00"/>
    <s v="Hyderabad"/>
    <x v="0"/>
    <x v="3"/>
    <s v="November"/>
    <x v="6"/>
    <n v="1.5548854961831999"/>
    <n v="3.35"/>
    <n v="14.55"/>
    <n v="20.37"/>
    <n v="8.01"/>
    <n v="22"/>
    <n v="1.08"/>
  </r>
  <r>
    <n v="185"/>
    <s v="A1185"/>
    <x v="2"/>
    <n v="129"/>
    <x v="179"/>
    <n v="204"/>
    <n v="18"/>
    <n v="8"/>
    <n v="6.2015503875968901E-2"/>
    <x v="24"/>
    <d v="2024-11-29T00:00:00"/>
    <s v="Hyderabad"/>
    <x v="0"/>
    <x v="0"/>
    <s v="November"/>
    <x v="3"/>
    <n v="1.5829457364341"/>
    <n v="4.0199999999999996"/>
    <n v="11.34"/>
    <n v="25.52"/>
    <n v="45.45"/>
    <n v="37.119999999999997"/>
    <n v="1.45"/>
  </r>
  <r>
    <n v="186"/>
    <s v="A1186"/>
    <x v="1"/>
    <n v="187"/>
    <x v="180"/>
    <n v="221"/>
    <n v="30"/>
    <n v="7"/>
    <n v="3.7433155080213901E-2"/>
    <x v="96"/>
    <d v="2024-11-14T00:00:00"/>
    <s v="Hyderabad"/>
    <x v="0"/>
    <x v="1"/>
    <s v="November"/>
    <x v="5"/>
    <n v="1.1798930481283401"/>
    <n v="3.13"/>
    <n v="7.35"/>
    <n v="31.52"/>
    <n v="83.1"/>
    <n v="57.71"/>
    <n v="1.83"/>
  </r>
  <r>
    <n v="187"/>
    <s v="A1187"/>
    <x v="3"/>
    <n v="167"/>
    <x v="181"/>
    <n v="235"/>
    <n v="10"/>
    <n v="7"/>
    <n v="4.1916167664670601E-2"/>
    <x v="26"/>
    <d v="2024-11-25T00:00:00"/>
    <s v="Hyderabad"/>
    <x v="1"/>
    <x v="3"/>
    <s v="November"/>
    <x v="6"/>
    <n v="1.40976047904191"/>
    <n v="4.5599999999999996"/>
    <n v="23.54"/>
    <n v="33.630000000000003"/>
    <n v="46.12"/>
    <n v="49.14"/>
    <n v="1.46"/>
  </r>
  <r>
    <n v="188"/>
    <s v="A1188"/>
    <x v="0"/>
    <n v="140"/>
    <x v="182"/>
    <n v="182"/>
    <n v="29"/>
    <n v="7"/>
    <n v="0.05"/>
    <x v="27"/>
    <d v="2024-11-28T00:00:00"/>
    <s v="Hyderabad"/>
    <x v="0"/>
    <x v="2"/>
    <s v="November"/>
    <x v="5"/>
    <n v="1.3009285714285701"/>
    <n v="4.17"/>
    <n v="6.28"/>
    <n v="26.02"/>
    <n v="121.27"/>
    <n v="57.57"/>
    <n v="2.21"/>
  </r>
  <r>
    <n v="189"/>
    <s v="A1189"/>
    <x v="3"/>
    <n v="198"/>
    <x v="183"/>
    <n v="221"/>
    <n v="14"/>
    <n v="5"/>
    <n v="2.52525252525252E-2"/>
    <x v="123"/>
    <d v="2024-11-10T00:00:00"/>
    <s v="Hyderabad"/>
    <x v="1"/>
    <x v="5"/>
    <s v="November"/>
    <x v="4"/>
    <n v="1.1144949494949401"/>
    <n v="5.35"/>
    <n v="15.76"/>
    <n v="44.13"/>
    <n v="41.39"/>
    <n v="62.4"/>
    <n v="1.41"/>
  </r>
  <r>
    <n v="190"/>
    <s v="A1190"/>
    <x v="1"/>
    <n v="196"/>
    <x v="184"/>
    <n v="218"/>
    <n v="10"/>
    <n v="9"/>
    <n v="4.5918367346938702E-2"/>
    <x v="109"/>
    <d v="2024-11-04T00:00:00"/>
    <s v="Hyderabad"/>
    <x v="2"/>
    <x v="4"/>
    <s v="November"/>
    <x v="6"/>
    <n v="1.11260204081632"/>
    <n v="5.1100000000000003"/>
    <n v="21.81"/>
    <n v="24.23"/>
    <n v="75.17"/>
    <n v="42.44"/>
    <n v="1.75"/>
  </r>
  <r>
    <n v="191"/>
    <s v="A1191"/>
    <x v="3"/>
    <n v="140"/>
    <x v="185"/>
    <n v="208"/>
    <n v="22"/>
    <n v="5"/>
    <n v="3.5714285714285698E-2"/>
    <x v="23"/>
    <d v="2024-11-18T00:00:00"/>
    <s v="Hyderabad"/>
    <x v="0"/>
    <x v="3"/>
    <s v="November"/>
    <x v="6"/>
    <n v="1.4858571428571401"/>
    <n v="2.48"/>
    <n v="9.4600000000000009"/>
    <n v="41.6"/>
    <n v="62"/>
    <n v="67.400000000000006"/>
    <n v="1.62"/>
  </r>
  <r>
    <n v="192"/>
    <s v="A1192"/>
    <x v="3"/>
    <n v="157"/>
    <x v="186"/>
    <n v="231"/>
    <n v="16"/>
    <n v="3"/>
    <n v="1.9108280254777E-2"/>
    <x v="30"/>
    <d v="2024-11-16T00:00:00"/>
    <s v="Hyderabad"/>
    <x v="0"/>
    <x v="3"/>
    <s v="November"/>
    <x v="0"/>
    <n v="1.46878980891719"/>
    <n v="2.7"/>
    <n v="14.41"/>
    <n v="76.87"/>
    <n v="-8.07"/>
    <n v="70.67"/>
    <n v="0.92"/>
  </r>
  <r>
    <n v="193"/>
    <s v="A1193"/>
    <x v="3"/>
    <n v="91"/>
    <x v="187"/>
    <n v="248"/>
    <n v="11"/>
    <n v="3"/>
    <n v="3.2967032967032898E-2"/>
    <x v="34"/>
    <d v="2024-11-22T00:00:00"/>
    <s v="Hyderabad"/>
    <x v="2"/>
    <x v="0"/>
    <s v="November"/>
    <x v="3"/>
    <n v="2.7294505494505401"/>
    <n v="1.68"/>
    <n v="22.58"/>
    <n v="82.79"/>
    <n v="50.58"/>
    <n v="124.67"/>
    <n v="1.51"/>
  </r>
  <r>
    <n v="194"/>
    <s v="A1194"/>
    <x v="2"/>
    <n v="140"/>
    <x v="188"/>
    <n v="238"/>
    <n v="21"/>
    <n v="9"/>
    <n v="6.4285714285714196E-2"/>
    <x v="94"/>
    <d v="2024-11-16T00:00:00"/>
    <s v="Hyderabad"/>
    <x v="0"/>
    <x v="0"/>
    <s v="November"/>
    <x v="0"/>
    <n v="1.70085714285714"/>
    <n v="3.92"/>
    <n v="11.34"/>
    <n v="26.46"/>
    <n v="51.18"/>
    <n v="40"/>
    <n v="1.51"/>
  </r>
  <r>
    <n v="195"/>
    <s v="A1195"/>
    <x v="0"/>
    <n v="154"/>
    <x v="189"/>
    <n v="182"/>
    <n v="11"/>
    <n v="8"/>
    <n v="5.1948051948051903E-2"/>
    <x v="124"/>
    <d v="2024-11-04T00:00:00"/>
    <s v="Hyderabad"/>
    <x v="1"/>
    <x v="4"/>
    <s v="November"/>
    <x v="6"/>
    <n v="1.1829220779220699"/>
    <n v="4.2300000000000004"/>
    <n v="16.559999999999999"/>
    <n v="22.77"/>
    <n v="58.09"/>
    <n v="36"/>
    <n v="1.58"/>
  </r>
  <r>
    <n v="196"/>
    <s v="A1196"/>
    <x v="1"/>
    <n v="133"/>
    <x v="190"/>
    <n v="201"/>
    <n v="23"/>
    <n v="3"/>
    <n v="2.2556390977443601E-2"/>
    <x v="49"/>
    <d v="2024-11-26T00:00:00"/>
    <s v="Hyderabad"/>
    <x v="2"/>
    <x v="5"/>
    <s v="November"/>
    <x v="2"/>
    <n v="1.5076691729323299"/>
    <n v="2.95"/>
    <n v="8.7200000000000006"/>
    <n v="66.84"/>
    <n v="59.09"/>
    <n v="106.33"/>
    <n v="1.59"/>
  </r>
  <r>
    <n v="197"/>
    <s v="A1197"/>
    <x v="2"/>
    <n v="152"/>
    <x v="62"/>
    <n v="239"/>
    <n v="26"/>
    <n v="9"/>
    <n v="5.9210526315789401E-2"/>
    <x v="2"/>
    <d v="2024-11-20T00:00:00"/>
    <s v="Hyderabad"/>
    <x v="1"/>
    <x v="2"/>
    <s v="November"/>
    <x v="1"/>
    <n v="1.56967105263157"/>
    <n v="3.03"/>
    <n v="9.18"/>
    <n v="26.51"/>
    <n v="38.729999999999997"/>
    <n v="36.78"/>
    <n v="1.39"/>
  </r>
  <r>
    <n v="198"/>
    <s v="A1198"/>
    <x v="1"/>
    <n v="141"/>
    <x v="191"/>
    <n v="208"/>
    <n v="10"/>
    <n v="6"/>
    <n v="4.2553191489361701E-2"/>
    <x v="80"/>
    <d v="2024-11-18T00:00:00"/>
    <s v="Hyderabad"/>
    <x v="2"/>
    <x v="2"/>
    <s v="November"/>
    <x v="6"/>
    <n v="1.47659574468085"/>
    <n v="4.59"/>
    <n v="20.82"/>
    <n v="34.700000000000003"/>
    <n v="61.38"/>
    <n v="56"/>
    <n v="1.61"/>
  </r>
  <r>
    <n v="199"/>
    <s v="A1199"/>
    <x v="1"/>
    <n v="135"/>
    <x v="192"/>
    <n v="209"/>
    <n v="30"/>
    <n v="3"/>
    <n v="2.2222222222222199E-2"/>
    <x v="125"/>
    <d v="2024-11-15T00:00:00"/>
    <s v="Hyderabad"/>
    <x v="2"/>
    <x v="3"/>
    <s v="November"/>
    <x v="3"/>
    <n v="1.5454545454545401"/>
    <n v="2.38"/>
    <n v="6.95"/>
    <n v="69.55"/>
    <n v="41.39"/>
    <n v="98.33"/>
    <n v="1.41"/>
  </r>
  <r>
    <n v="200"/>
    <s v="A1200"/>
    <x v="3"/>
    <n v="199"/>
    <x v="193"/>
    <n v="247"/>
    <n v="24"/>
    <n v="8"/>
    <n v="4.0201005025125601E-2"/>
    <x v="44"/>
    <d v="2024-11-19T00:00:00"/>
    <s v="Hyderabad"/>
    <x v="1"/>
    <x v="5"/>
    <s v="November"/>
    <x v="2"/>
    <n v="1.24311557788944"/>
    <n v="3.93"/>
    <n v="10.31"/>
    <n v="30.92"/>
    <n v="12.78"/>
    <n v="34.880000000000003"/>
    <n v="1.1299999999999999"/>
  </r>
  <r>
    <n v="201"/>
    <s v="A1201"/>
    <x v="2"/>
    <n v="138"/>
    <x v="194"/>
    <n v="185"/>
    <n v="28"/>
    <n v="3"/>
    <n v="2.1739130434782601E-2"/>
    <x v="126"/>
    <d v="2024-11-07T00:00:00"/>
    <s v="Hyderabad"/>
    <x v="2"/>
    <x v="0"/>
    <s v="November"/>
    <x v="5"/>
    <n v="1.3396376811594199"/>
    <n v="3.48"/>
    <n v="6.6"/>
    <n v="61.62"/>
    <n v="89.86"/>
    <n v="117"/>
    <n v="1.9"/>
  </r>
  <r>
    <n v="202"/>
    <s v="A1202"/>
    <x v="2"/>
    <n v="175"/>
    <x v="195"/>
    <n v="236"/>
    <n v="21"/>
    <n v="10"/>
    <n v="5.7142857142857099E-2"/>
    <x v="127"/>
    <d v="2024-11-20T00:00:00"/>
    <s v="Hyderabad"/>
    <x v="0"/>
    <x v="1"/>
    <s v="November"/>
    <x v="1"/>
    <n v="1.3507428571428499"/>
    <n v="3.91"/>
    <n v="11.26"/>
    <n v="23.64"/>
    <n v="8.7200000000000006"/>
    <n v="25.7"/>
    <n v="1.0900000000000001"/>
  </r>
  <r>
    <n v="203"/>
    <s v="A1203"/>
    <x v="1"/>
    <n v="170"/>
    <x v="196"/>
    <n v="186"/>
    <n v="25"/>
    <n v="4"/>
    <n v="2.3529411764705799E-2"/>
    <x v="41"/>
    <d v="2024-11-08T00:00:00"/>
    <s v="Hyderabad"/>
    <x v="1"/>
    <x v="5"/>
    <s v="November"/>
    <x v="3"/>
    <n v="1.09582352941176"/>
    <n v="3.1"/>
    <n v="7.45"/>
    <n v="46.57"/>
    <n v="89.49"/>
    <n v="88.25"/>
    <n v="1.89"/>
  </r>
  <r>
    <n v="204"/>
    <s v="A1204"/>
    <x v="2"/>
    <n v="138"/>
    <x v="197"/>
    <n v="204"/>
    <n v="24"/>
    <n v="10"/>
    <n v="7.2463768115942004E-2"/>
    <x v="69"/>
    <d v="2024-11-05T00:00:00"/>
    <s v="Hyderabad"/>
    <x v="1"/>
    <x v="1"/>
    <s v="November"/>
    <x v="2"/>
    <n v="1.47644927536231"/>
    <n v="3.12"/>
    <n v="8.49"/>
    <n v="20.38"/>
    <n v="84.05"/>
    <n v="37.5"/>
    <n v="1.84"/>
  </r>
  <r>
    <n v="205"/>
    <s v="A1205"/>
    <x v="0"/>
    <n v="108"/>
    <x v="198"/>
    <n v="248"/>
    <n v="18"/>
    <n v="4"/>
    <n v="3.7037037037037E-2"/>
    <x v="8"/>
    <d v="2024-11-30T00:00:00"/>
    <s v="Hyderabad"/>
    <x v="2"/>
    <x v="4"/>
    <s v="November"/>
    <x v="0"/>
    <n v="2.2944444444444398"/>
    <n v="2.65"/>
    <n v="13.77"/>
    <n v="61.95"/>
    <n v="12.19"/>
    <n v="69.5"/>
    <n v="1.1200000000000001"/>
  </r>
  <r>
    <n v="206"/>
    <s v="A1206"/>
    <x v="1"/>
    <n v="150"/>
    <x v="199"/>
    <n v="220"/>
    <n v="12"/>
    <n v="7"/>
    <n v="4.6666666666666599E-2"/>
    <x v="76"/>
    <d v="2024-11-22T00:00:00"/>
    <s v="Hyderabad"/>
    <x v="1"/>
    <x v="0"/>
    <s v="November"/>
    <x v="3"/>
    <n v="1.4644666666666599"/>
    <n v="3.65"/>
    <n v="18.309999999999999"/>
    <n v="31.38"/>
    <n v="11.08"/>
    <n v="34.86"/>
    <n v="1.1100000000000001"/>
  </r>
  <r>
    <n v="207"/>
    <s v="A1207"/>
    <x v="0"/>
    <n v="90"/>
    <x v="200"/>
    <n v="227"/>
    <n v="14"/>
    <n v="10"/>
    <n v="0.11111111111111099"/>
    <x v="58"/>
    <d v="2024-11-07T00:00:00"/>
    <s v="Hyderabad"/>
    <x v="0"/>
    <x v="5"/>
    <s v="November"/>
    <x v="5"/>
    <n v="2.5175555555555502"/>
    <n v="1.76"/>
    <n v="16.18"/>
    <n v="22.66"/>
    <n v="21.37"/>
    <n v="27.5"/>
    <n v="1.21"/>
  </r>
  <r>
    <n v="208"/>
    <s v="A1208"/>
    <x v="3"/>
    <n v="98"/>
    <x v="201"/>
    <n v="224"/>
    <n v="17"/>
    <n v="7"/>
    <n v="7.1428571428571397E-2"/>
    <x v="128"/>
    <d v="2024-11-19T00:00:00"/>
    <s v="Hyderabad"/>
    <x v="2"/>
    <x v="4"/>
    <s v="November"/>
    <x v="2"/>
    <n v="2.2811224489795898"/>
    <n v="2.86"/>
    <n v="13.15"/>
    <n v="31.94"/>
    <n v="29.28"/>
    <n v="41.29"/>
    <n v="1.29"/>
  </r>
  <r>
    <n v="209"/>
    <s v="A1209"/>
    <x v="2"/>
    <n v="130"/>
    <x v="117"/>
    <n v="225"/>
    <n v="13"/>
    <n v="3"/>
    <n v="2.3076923076922998E-2"/>
    <x v="129"/>
    <d v="2024-11-16T00:00:00"/>
    <s v="Hyderabad"/>
    <x v="1"/>
    <x v="4"/>
    <s v="November"/>
    <x v="0"/>
    <n v="1.7294615384615299"/>
    <n v="3.91"/>
    <n v="17.29"/>
    <n v="74.94"/>
    <n v="51.23"/>
    <n v="113.33"/>
    <n v="1.51"/>
  </r>
  <r>
    <n v="210"/>
    <s v="A1210"/>
    <x v="2"/>
    <n v="199"/>
    <x v="202"/>
    <n v="200"/>
    <n v="15"/>
    <n v="8"/>
    <n v="4.0201005025125601E-2"/>
    <x v="72"/>
    <d v="2024-11-08T00:00:00"/>
    <s v="Hyderabad"/>
    <x v="2"/>
    <x v="3"/>
    <s v="November"/>
    <x v="3"/>
    <n v="1.00492462311557"/>
    <n v="3.03"/>
    <n v="13.33"/>
    <n v="25"/>
    <n v="49.51"/>
    <n v="37.380000000000003"/>
    <n v="1.5"/>
  </r>
  <r>
    <n v="211"/>
    <s v="A1211"/>
    <x v="0"/>
    <n v="101"/>
    <x v="203"/>
    <n v="183"/>
    <n v="24"/>
    <n v="5"/>
    <n v="4.95049504950495E-2"/>
    <x v="111"/>
    <d v="2024-11-10T00:00:00"/>
    <s v="Hyderabad"/>
    <x v="2"/>
    <x v="3"/>
    <s v="November"/>
    <x v="4"/>
    <n v="1.81524752475247"/>
    <n v="3.12"/>
    <n v="7.64"/>
    <n v="36.67"/>
    <n v="65.27"/>
    <n v="60.6"/>
    <n v="1.65"/>
  </r>
  <r>
    <n v="212"/>
    <s v="A1212"/>
    <x v="1"/>
    <n v="118"/>
    <x v="204"/>
    <n v="185"/>
    <n v="27"/>
    <n v="9"/>
    <n v="7.6271186440677902E-2"/>
    <x v="82"/>
    <d v="2024-11-19T00:00:00"/>
    <s v="Hyderabad"/>
    <x v="0"/>
    <x v="1"/>
    <s v="November"/>
    <x v="2"/>
    <n v="1.56753061615001"/>
    <n v="2.97"/>
    <n v="6.85"/>
    <n v="20.55"/>
    <n v="14.07"/>
    <n v="23.44"/>
    <n v="1.1399999999999999"/>
  </r>
  <r>
    <n v="213"/>
    <s v="A1213"/>
    <x v="3"/>
    <n v="199"/>
    <x v="205"/>
    <n v="248"/>
    <n v="18"/>
    <n v="9"/>
    <n v="4.5226130653266298E-2"/>
    <x v="24"/>
    <d v="2024-11-11T00:00:00"/>
    <s v="Hyderabad"/>
    <x v="0"/>
    <x v="2"/>
    <s v="November"/>
    <x v="6"/>
    <n v="1.24618090452261"/>
    <n v="3.47"/>
    <n v="13.78"/>
    <n v="27.55"/>
    <n v="19.760000000000002"/>
    <n v="33"/>
    <n v="1.2"/>
  </r>
  <r>
    <n v="214"/>
    <s v="A1214"/>
    <x v="0"/>
    <n v="183"/>
    <x v="206"/>
    <n v="238"/>
    <n v="23"/>
    <n v="4"/>
    <n v="2.1857923497267701E-2"/>
    <x v="130"/>
    <d v="2024-11-21T00:00:00"/>
    <s v="Hyderabad"/>
    <x v="1"/>
    <x v="4"/>
    <s v="November"/>
    <x v="5"/>
    <n v="1.2997267759562801"/>
    <n v="4.57"/>
    <n v="10.34"/>
    <n v="59.46"/>
    <n v="22.77"/>
    <n v="73"/>
    <n v="1.23"/>
  </r>
  <r>
    <n v="215"/>
    <s v="A1215"/>
    <x v="1"/>
    <n v="126"/>
    <x v="207"/>
    <n v="234"/>
    <n v="29"/>
    <n v="10"/>
    <n v="7.9365079365079305E-2"/>
    <x v="131"/>
    <d v="2024-11-06T00:00:00"/>
    <s v="Hyderabad"/>
    <x v="2"/>
    <x v="4"/>
    <s v="November"/>
    <x v="1"/>
    <n v="1.85523809523809"/>
    <n v="3"/>
    <n v="8.06"/>
    <n v="23.38"/>
    <n v="74.540000000000006"/>
    <n v="40.799999999999997"/>
    <n v="1.75"/>
  </r>
  <r>
    <n v="216"/>
    <s v="A1216"/>
    <x v="1"/>
    <n v="199"/>
    <x v="208"/>
    <n v="308"/>
    <n v="13"/>
    <n v="9"/>
    <n v="4.5226130653266298E-2"/>
    <x v="119"/>
    <d v="2024-11-28T00:00:00"/>
    <s v="Hyderabad"/>
    <x v="2"/>
    <x v="5"/>
    <s v="November"/>
    <x v="5"/>
    <n v="1.5454545454545401"/>
    <n v="4.1900000000000004"/>
    <n v="23.66"/>
    <n v="34.17"/>
    <n v="19.329999999999998"/>
    <n v="40.78"/>
    <n v="1.19"/>
  </r>
  <r>
    <n v="217"/>
    <s v="A1217"/>
    <x v="0"/>
    <n v="92"/>
    <x v="209"/>
    <n v="201"/>
    <n v="15"/>
    <n v="7"/>
    <n v="7.6086956521739094E-2"/>
    <x v="118"/>
    <d v="2024-11-24T00:00:00"/>
    <s v="Hyderabad"/>
    <x v="2"/>
    <x v="0"/>
    <s v="November"/>
    <x v="4"/>
    <n v="2.1820652173913002"/>
    <n v="2.2799999999999998"/>
    <n v="13.38"/>
    <n v="28.68"/>
    <n v="25.53"/>
    <n v="36"/>
    <n v="1.26"/>
  </r>
  <r>
    <n v="218"/>
    <s v="A1218"/>
    <x v="1"/>
    <n v="148"/>
    <x v="210"/>
    <n v="250"/>
    <n v="10"/>
    <n v="3"/>
    <n v="2.0270270270270199E-2"/>
    <x v="72"/>
    <d v="2024-11-12T00:00:00"/>
    <s v="Hyderabad"/>
    <x v="2"/>
    <x v="4"/>
    <s v="November"/>
    <x v="2"/>
    <n v="1.68655405405405"/>
    <n v="3.03"/>
    <n v="24.96"/>
    <n v="83.2"/>
    <n v="19.79"/>
    <n v="99.67"/>
    <n v="1.2"/>
  </r>
  <r>
    <n v="219"/>
    <s v="A1219"/>
    <x v="0"/>
    <n v="92"/>
    <x v="148"/>
    <n v="208"/>
    <n v="14"/>
    <n v="8"/>
    <n v="8.6956521739130405E-2"/>
    <x v="101"/>
    <d v="2024-11-02T00:00:00"/>
    <s v="Hyderabad"/>
    <x v="0"/>
    <x v="5"/>
    <s v="November"/>
    <x v="0"/>
    <n v="2.2625000000000002"/>
    <n v="2.4500000000000002"/>
    <n v="14.87"/>
    <n v="26.02"/>
    <n v="27.31"/>
    <n v="33.119999999999997"/>
    <n v="1.27"/>
  </r>
  <r>
    <n v="220"/>
    <s v="A1220"/>
    <x v="1"/>
    <n v="135"/>
    <x v="211"/>
    <n v="225"/>
    <n v="11"/>
    <n v="4"/>
    <n v="2.96296296296296E-2"/>
    <x v="132"/>
    <d v="2024-11-23T00:00:00"/>
    <s v="Hyderabad"/>
    <x v="2"/>
    <x v="2"/>
    <s v="November"/>
    <x v="0"/>
    <n v="1.6662222222222201"/>
    <n v="3.88"/>
    <n v="20.45"/>
    <n v="56.24"/>
    <n v="26.7"/>
    <n v="71.25"/>
    <n v="1.27"/>
  </r>
  <r>
    <n v="221"/>
    <s v="A1221"/>
    <x v="0"/>
    <n v="177"/>
    <x v="212"/>
    <n v="223"/>
    <n v="30"/>
    <n v="8"/>
    <n v="4.5197740112994302E-2"/>
    <x v="94"/>
    <d v="2024-11-02T00:00:00"/>
    <s v="Hyderabad"/>
    <x v="1"/>
    <x v="2"/>
    <s v="November"/>
    <x v="0"/>
    <n v="1.26112994350282"/>
    <n v="5.89"/>
    <n v="7.44"/>
    <n v="27.9"/>
    <n v="61.28"/>
    <n v="45"/>
    <n v="1.61"/>
  </r>
  <r>
    <n v="222"/>
    <s v="A1222"/>
    <x v="3"/>
    <n v="117"/>
    <x v="213"/>
    <n v="187"/>
    <n v="21"/>
    <n v="10"/>
    <n v="8.5470085470085402E-2"/>
    <x v="12"/>
    <d v="2024-11-19T00:00:00"/>
    <s v="Hyderabad"/>
    <x v="0"/>
    <x v="3"/>
    <s v="November"/>
    <x v="2"/>
    <n v="1.5959829059829"/>
    <n v="3.46"/>
    <n v="8.89"/>
    <n v="18.670000000000002"/>
    <n v="114.21"/>
    <n v="40"/>
    <n v="2.14"/>
  </r>
  <r>
    <n v="223"/>
    <s v="A1223"/>
    <x v="0"/>
    <n v="127"/>
    <x v="214"/>
    <n v="195"/>
    <n v="11"/>
    <n v="10"/>
    <n v="7.8740157480314904E-2"/>
    <x v="79"/>
    <d v="2024-11-15T00:00:00"/>
    <s v="Hyderabad"/>
    <x v="0"/>
    <x v="1"/>
    <s v="November"/>
    <x v="3"/>
    <n v="1.5329921259842501"/>
    <n v="2.63"/>
    <n v="17.7"/>
    <n v="19.47"/>
    <n v="56.66"/>
    <n v="30.5"/>
    <n v="1.57"/>
  </r>
  <r>
    <n v="224"/>
    <s v="A1224"/>
    <x v="2"/>
    <n v="132"/>
    <x v="215"/>
    <n v="202"/>
    <n v="10"/>
    <n v="7"/>
    <n v="5.3030303030302997E-2"/>
    <x v="133"/>
    <d v="2024-11-10T00:00:00"/>
    <s v="Hyderabad"/>
    <x v="1"/>
    <x v="2"/>
    <s v="November"/>
    <x v="4"/>
    <n v="1.5337121212121201"/>
    <n v="2.94"/>
    <n v="20.239999999999998"/>
    <n v="28.92"/>
    <n v="45.22"/>
    <n v="42"/>
    <n v="1.45"/>
  </r>
  <r>
    <n v="225"/>
    <s v="A1225"/>
    <x v="0"/>
    <n v="102"/>
    <x v="216"/>
    <n v="229"/>
    <n v="27"/>
    <n v="9"/>
    <n v="8.8235294117646995E-2"/>
    <x v="116"/>
    <d v="2024-11-26T00:00:00"/>
    <s v="Hyderabad"/>
    <x v="0"/>
    <x v="0"/>
    <s v="November"/>
    <x v="2"/>
    <n v="2.2498039215686201"/>
    <n v="1.98"/>
    <n v="8.5"/>
    <n v="25.5"/>
    <n v="1.1000000000000001"/>
    <n v="25.78"/>
    <n v="1.01"/>
  </r>
  <r>
    <n v="226"/>
    <s v="A1226"/>
    <x v="1"/>
    <n v="91"/>
    <x v="217"/>
    <n v="214"/>
    <n v="13"/>
    <n v="10"/>
    <n v="0.109890109890109"/>
    <x v="119"/>
    <d v="2024-11-16T00:00:00"/>
    <s v="Hyderabad"/>
    <x v="1"/>
    <x v="4"/>
    <s v="November"/>
    <x v="0"/>
    <n v="2.3487912087912002"/>
    <n v="2.12"/>
    <n v="16.440000000000001"/>
    <n v="21.37"/>
    <n v="71.7"/>
    <n v="36.700000000000003"/>
    <n v="1.72"/>
  </r>
  <r>
    <n v="227"/>
    <s v="A1227"/>
    <x v="1"/>
    <n v="163"/>
    <x v="218"/>
    <n v="217"/>
    <n v="30"/>
    <n v="6"/>
    <n v="3.6809815950920199E-2"/>
    <x v="134"/>
    <d v="2024-11-01T00:00:00"/>
    <s v="Hyderabad"/>
    <x v="0"/>
    <x v="2"/>
    <s v="November"/>
    <x v="3"/>
    <n v="1.3337423312883401"/>
    <n v="2.89"/>
    <n v="7.25"/>
    <n v="36.229999999999997"/>
    <n v="57.31"/>
    <n v="57"/>
    <n v="1.57"/>
  </r>
  <r>
    <n v="228"/>
    <s v="A1228"/>
    <x v="3"/>
    <n v="92"/>
    <x v="219"/>
    <n v="188"/>
    <n v="13"/>
    <n v="6"/>
    <n v="6.5217391304347797E-2"/>
    <x v="135"/>
    <d v="2024-11-14T00:00:00"/>
    <s v="Hyderabad"/>
    <x v="0"/>
    <x v="4"/>
    <s v="November"/>
    <x v="5"/>
    <n v="2.0445652173913"/>
    <n v="2.35"/>
    <n v="14.47"/>
    <n v="31.35"/>
    <n v="8.98"/>
    <n v="34.17"/>
    <n v="1.0900000000000001"/>
  </r>
  <r>
    <n v="229"/>
    <s v="A1229"/>
    <x v="1"/>
    <n v="165"/>
    <x v="220"/>
    <n v="185"/>
    <n v="30"/>
    <n v="8"/>
    <n v="4.8484848484848402E-2"/>
    <x v="136"/>
    <d v="2024-11-06T00:00:00"/>
    <s v="Hyderabad"/>
    <x v="0"/>
    <x v="2"/>
    <s v="November"/>
    <x v="1"/>
    <n v="1.12333333333333"/>
    <n v="3.63"/>
    <n v="6.18"/>
    <n v="23.17"/>
    <n v="82.9"/>
    <n v="42.38"/>
    <n v="1.83"/>
  </r>
  <r>
    <n v="230"/>
    <s v="A1230"/>
    <x v="3"/>
    <n v="127"/>
    <x v="221"/>
    <n v="202"/>
    <n v="10"/>
    <n v="8"/>
    <n v="6.2992125984251898E-2"/>
    <x v="137"/>
    <d v="2024-11-11T00:00:00"/>
    <s v="Hyderabad"/>
    <x v="0"/>
    <x v="5"/>
    <s v="November"/>
    <x v="6"/>
    <n v="1.58818897637795"/>
    <n v="3.8"/>
    <n v="20.170000000000002"/>
    <n v="25.21"/>
    <n v="20.48"/>
    <n v="30.38"/>
    <n v="1.2"/>
  </r>
  <r>
    <n v="231"/>
    <s v="A1231"/>
    <x v="3"/>
    <n v="178"/>
    <x v="66"/>
    <n v="232"/>
    <n v="22"/>
    <n v="4"/>
    <n v="2.2471910112359501E-2"/>
    <x v="138"/>
    <d v="2024-11-24T00:00:00"/>
    <s v="Hyderabad"/>
    <x v="1"/>
    <x v="5"/>
    <s v="November"/>
    <x v="4"/>
    <n v="1.3032022471910101"/>
    <n v="4.01"/>
    <n v="10.54"/>
    <n v="57.99"/>
    <n v="65.97"/>
    <n v="96.25"/>
    <n v="1.66"/>
  </r>
  <r>
    <n v="232"/>
    <s v="A1232"/>
    <x v="1"/>
    <n v="101"/>
    <x v="222"/>
    <n v="234"/>
    <n v="29"/>
    <n v="5"/>
    <n v="4.95049504950495E-2"/>
    <x v="107"/>
    <d v="2024-11-27T00:00:00"/>
    <s v="Hyderabad"/>
    <x v="1"/>
    <x v="3"/>
    <s v="November"/>
    <x v="1"/>
    <n v="2.3185148514851401"/>
    <n v="3.03"/>
    <n v="8.07"/>
    <n v="46.83"/>
    <n v="36.65"/>
    <n v="64"/>
    <n v="1.37"/>
  </r>
  <r>
    <n v="233"/>
    <s v="A1233"/>
    <x v="1"/>
    <n v="161"/>
    <x v="223"/>
    <n v="193"/>
    <n v="24"/>
    <n v="8"/>
    <n v="4.9689440993788803E-2"/>
    <x v="44"/>
    <d v="2024-11-13T00:00:00"/>
    <s v="Hyderabad"/>
    <x v="0"/>
    <x v="4"/>
    <s v="November"/>
    <x v="1"/>
    <n v="1.2004347826086901"/>
    <n v="2.69"/>
    <n v="8.0500000000000007"/>
    <n v="24.16"/>
    <n v="44.36"/>
    <n v="34.880000000000003"/>
    <n v="1.44"/>
  </r>
  <r>
    <n v="234"/>
    <s v="A1234"/>
    <x v="1"/>
    <n v="95"/>
    <x v="224"/>
    <n v="188"/>
    <n v="24"/>
    <n v="9"/>
    <n v="9.4736842105263105E-2"/>
    <x v="139"/>
    <d v="2024-11-26T00:00:00"/>
    <s v="Hyderabad"/>
    <x v="0"/>
    <x v="3"/>
    <s v="November"/>
    <x v="2"/>
    <n v="1.9749473684210499"/>
    <n v="2.08"/>
    <n v="7.82"/>
    <n v="20.85"/>
    <n v="34.85"/>
    <n v="28.11"/>
    <n v="1.35"/>
  </r>
  <r>
    <n v="235"/>
    <s v="A1235"/>
    <x v="2"/>
    <n v="85"/>
    <x v="225"/>
    <n v="233"/>
    <n v="28"/>
    <n v="9"/>
    <n v="0.105882352941176"/>
    <x v="45"/>
    <d v="2024-11-02T00:00:00"/>
    <s v="Hyderabad"/>
    <x v="1"/>
    <x v="3"/>
    <s v="November"/>
    <x v="0"/>
    <n v="2.7360000000000002"/>
    <n v="1.67"/>
    <n v="8.31"/>
    <n v="25.84"/>
    <n v="33.729999999999997"/>
    <n v="34.56"/>
    <n v="1.34"/>
  </r>
  <r>
    <n v="236"/>
    <s v="A1236"/>
    <x v="3"/>
    <n v="192"/>
    <x v="226"/>
    <n v="181"/>
    <n v="16"/>
    <n v="8"/>
    <n v="4.1666666666666602E-2"/>
    <x v="113"/>
    <d v="2024-11-21T00:00:00"/>
    <s v="Hyderabad"/>
    <x v="0"/>
    <x v="5"/>
    <s v="November"/>
    <x v="5"/>
    <n v="0.94296875000000002"/>
    <n v="3.28"/>
    <n v="11.32"/>
    <n v="22.63"/>
    <n v="80.61"/>
    <n v="40.880000000000003"/>
    <n v="1.81"/>
  </r>
  <r>
    <n v="237"/>
    <s v="A1237"/>
    <x v="1"/>
    <n v="80"/>
    <x v="227"/>
    <n v="182"/>
    <n v="13"/>
    <n v="4"/>
    <n v="0.05"/>
    <x v="49"/>
    <d v="2024-11-13T00:00:00"/>
    <s v="Hyderabad"/>
    <x v="0"/>
    <x v="4"/>
    <s v="November"/>
    <x v="1"/>
    <n v="2.269625"/>
    <n v="2.09"/>
    <n v="13.97"/>
    <n v="45.39"/>
    <n v="75.69"/>
    <n v="79.75"/>
    <n v="1.76"/>
  </r>
  <r>
    <n v="238"/>
    <s v="A1238"/>
    <x v="0"/>
    <n v="191"/>
    <x v="228"/>
    <n v="238"/>
    <n v="20"/>
    <n v="10"/>
    <n v="5.23560209424083E-2"/>
    <x v="123"/>
    <d v="2024-11-01T00:00:00"/>
    <s v="Hyderabad"/>
    <x v="1"/>
    <x v="0"/>
    <s v="November"/>
    <x v="3"/>
    <n v="1.2472774869109899"/>
    <n v="4.1399999999999997"/>
    <n v="11.91"/>
    <n v="23.82"/>
    <n v="30.97"/>
    <n v="31.2"/>
    <n v="1.31"/>
  </r>
  <r>
    <n v="239"/>
    <s v="A1239"/>
    <x v="0"/>
    <n v="147"/>
    <x v="229"/>
    <n v="196"/>
    <n v="23"/>
    <n v="7"/>
    <n v="4.7619047619047603E-2"/>
    <x v="15"/>
    <d v="2024-11-18T00:00:00"/>
    <s v="Hyderabad"/>
    <x v="0"/>
    <x v="3"/>
    <s v="November"/>
    <x v="6"/>
    <n v="1.3356462585033999"/>
    <n v="2.5"/>
    <n v="8.5399999999999991"/>
    <n v="28.05"/>
    <n v="67.569999999999993"/>
    <n v="47"/>
    <n v="1.68"/>
  </r>
  <r>
    <n v="240"/>
    <s v="A1240"/>
    <x v="3"/>
    <n v="100"/>
    <x v="230"/>
    <n v="198"/>
    <n v="26"/>
    <n v="4"/>
    <n v="0.04"/>
    <x v="134"/>
    <d v="2024-11-24T00:00:00"/>
    <s v="Hyderabad"/>
    <x v="2"/>
    <x v="1"/>
    <s v="November"/>
    <x v="4"/>
    <n v="1.9753000000000001"/>
    <n v="1.92"/>
    <n v="7.6"/>
    <n v="49.38"/>
    <n v="73.14"/>
    <n v="85.5"/>
    <n v="1.73"/>
  </r>
  <r>
    <n v="241"/>
    <s v="A1241"/>
    <x v="2"/>
    <n v="82"/>
    <x v="231"/>
    <n v="234"/>
    <n v="12"/>
    <n v="9"/>
    <n v="0.109756097560975"/>
    <x v="104"/>
    <d v="2024-11-15T00:00:00"/>
    <s v="Hyderabad"/>
    <x v="1"/>
    <x v="2"/>
    <s v="November"/>
    <x v="3"/>
    <n v="2.8506097560975601"/>
    <n v="1.6"/>
    <n v="19.48"/>
    <n v="25.97"/>
    <n v="79.86"/>
    <n v="46.71"/>
    <n v="1.8"/>
  </r>
  <r>
    <n v="242"/>
    <s v="A1242"/>
    <x v="0"/>
    <n v="123"/>
    <x v="232"/>
    <n v="203"/>
    <n v="30"/>
    <n v="10"/>
    <n v="8.1300813008129996E-2"/>
    <x v="65"/>
    <d v="2024-11-23T00:00:00"/>
    <s v="Hyderabad"/>
    <x v="0"/>
    <x v="4"/>
    <s v="November"/>
    <x v="0"/>
    <n v="1.64983739837398"/>
    <n v="2.35"/>
    <n v="6.76"/>
    <n v="20.29"/>
    <n v="56.21"/>
    <n v="31.7"/>
    <n v="1.56"/>
  </r>
  <r>
    <n v="243"/>
    <s v="A1243"/>
    <x v="1"/>
    <n v="165"/>
    <x v="233"/>
    <n v="248"/>
    <n v="17"/>
    <n v="3"/>
    <n v="1.8181818181818101E-2"/>
    <x v="20"/>
    <d v="2024-11-06T00:00:00"/>
    <s v="Hyderabad"/>
    <x v="2"/>
    <x v="4"/>
    <s v="November"/>
    <x v="1"/>
    <n v="1.5055151515151499"/>
    <n v="2.76"/>
    <n v="14.61"/>
    <n v="82.8"/>
    <n v="48.14"/>
    <n v="122.67"/>
    <n v="1.48"/>
  </r>
  <r>
    <n v="244"/>
    <s v="A1244"/>
    <x v="0"/>
    <n v="167"/>
    <x v="234"/>
    <n v="215"/>
    <n v="26"/>
    <n v="6"/>
    <n v="3.59281437125748E-2"/>
    <x v="140"/>
    <d v="2024-11-12T00:00:00"/>
    <s v="Hyderabad"/>
    <x v="0"/>
    <x v="2"/>
    <s v="November"/>
    <x v="2"/>
    <n v="1.2866467065868199"/>
    <n v="5.22"/>
    <n v="8.26"/>
    <n v="35.81"/>
    <n v="49.39"/>
    <n v="53.5"/>
    <n v="1.49"/>
  </r>
  <r>
    <n v="245"/>
    <s v="A1245"/>
    <x v="1"/>
    <n v="111"/>
    <x v="89"/>
    <n v="197"/>
    <n v="21"/>
    <n v="9"/>
    <n v="8.1081081081081002E-2"/>
    <x v="125"/>
    <d v="2024-11-30T00:00:00"/>
    <s v="Hyderabad"/>
    <x v="1"/>
    <x v="4"/>
    <s v="November"/>
    <x v="0"/>
    <n v="1.7721621621621599"/>
    <n v="1.9"/>
    <n v="9.3699999999999992"/>
    <n v="21.86"/>
    <n v="49.97"/>
    <n v="32.78"/>
    <n v="1.5"/>
  </r>
  <r>
    <n v="246"/>
    <s v="A1246"/>
    <x v="2"/>
    <n v="94"/>
    <x v="235"/>
    <n v="145"/>
    <n v="28"/>
    <n v="5"/>
    <n v="5.31914893617021E-2"/>
    <x v="62"/>
    <d v="2024-11-07T00:00:00"/>
    <s v="Hyderabad"/>
    <x v="2"/>
    <x v="0"/>
    <s v="November"/>
    <x v="5"/>
    <n v="1.5454545454545401"/>
    <n v="2.16"/>
    <n v="5.19"/>
    <n v="29.05"/>
    <n v="169.84"/>
    <n v="78.400000000000006"/>
    <n v="2.7"/>
  </r>
  <r>
    <n v="247"/>
    <s v="A1247"/>
    <x v="3"/>
    <n v="179"/>
    <x v="3"/>
    <n v="237"/>
    <n v="29"/>
    <n v="5"/>
    <n v="2.7932960893854698E-2"/>
    <x v="141"/>
    <d v="2024-11-11T00:00:00"/>
    <s v="Hyderabad"/>
    <x v="0"/>
    <x v="1"/>
    <s v="November"/>
    <x v="6"/>
    <n v="1.3225698324022299"/>
    <n v="5.62"/>
    <n v="8.16"/>
    <n v="47.35"/>
    <n v="-0.31"/>
    <n v="47.2"/>
    <n v="1"/>
  </r>
  <r>
    <n v="248"/>
    <s v="A1248"/>
    <x v="0"/>
    <n v="166"/>
    <x v="236"/>
    <n v="183"/>
    <n v="22"/>
    <n v="4"/>
    <n v="2.40963855421686E-2"/>
    <x v="120"/>
    <d v="2024-11-22T00:00:00"/>
    <s v="Hyderabad"/>
    <x v="2"/>
    <x v="4"/>
    <s v="November"/>
    <x v="3"/>
    <n v="1.1025903614457799"/>
    <n v="2.97"/>
    <n v="8.32"/>
    <n v="45.76"/>
    <n v="82.48"/>
    <n v="83.5"/>
    <n v="1.82"/>
  </r>
  <r>
    <n v="249"/>
    <s v="A1249"/>
    <x v="2"/>
    <n v="90"/>
    <x v="237"/>
    <n v="191"/>
    <n v="23"/>
    <n v="6"/>
    <n v="6.6666666666666596E-2"/>
    <x v="142"/>
    <d v="2024-11-19T00:00:00"/>
    <s v="Hyderabad"/>
    <x v="2"/>
    <x v="1"/>
    <s v="November"/>
    <x v="2"/>
    <n v="2.1266666666666598"/>
    <n v="1.78"/>
    <n v="8.32"/>
    <n v="31.9"/>
    <n v="89.13"/>
    <n v="60.33"/>
    <n v="1.89"/>
  </r>
  <r>
    <n v="250"/>
    <s v="A1250"/>
    <x v="2"/>
    <n v="106"/>
    <x v="238"/>
    <n v="242"/>
    <n v="29"/>
    <n v="10"/>
    <n v="9.4339622641509399E-2"/>
    <x v="90"/>
    <d v="2024-11-02T00:00:00"/>
    <s v="Hyderabad"/>
    <x v="0"/>
    <x v="3"/>
    <s v="November"/>
    <x v="0"/>
    <n v="2.2820754716981102"/>
    <n v="1.82"/>
    <n v="8.34"/>
    <n v="24.19"/>
    <n v="59.98"/>
    <n v="38.700000000000003"/>
    <n v="1.6"/>
  </r>
  <r>
    <n v="251"/>
    <s v="A1251"/>
    <x v="3"/>
    <n v="140"/>
    <x v="239"/>
    <n v="237"/>
    <n v="10"/>
    <n v="6"/>
    <n v="4.2857142857142802E-2"/>
    <x v="91"/>
    <d v="2024-11-06T00:00:00"/>
    <s v="Hyderabad"/>
    <x v="0"/>
    <x v="3"/>
    <s v="November"/>
    <x v="1"/>
    <n v="1.69257142857142"/>
    <n v="3.02"/>
    <n v="23.7"/>
    <n v="39.49"/>
    <n v="1.7"/>
    <n v="40.17"/>
    <n v="1.02"/>
  </r>
  <r>
    <n v="252"/>
    <s v="A1252"/>
    <x v="1"/>
    <n v="158"/>
    <x v="240"/>
    <n v="247"/>
    <n v="23"/>
    <n v="9"/>
    <n v="5.6962025316455597E-2"/>
    <x v="135"/>
    <d v="2024-11-24T00:00:00"/>
    <s v="Hyderabad"/>
    <x v="0"/>
    <x v="0"/>
    <s v="November"/>
    <x v="4"/>
    <n v="1.5645569620253099"/>
    <n v="3.31"/>
    <n v="10.75"/>
    <n v="27.47"/>
    <n v="-17.07"/>
    <n v="22.78"/>
    <n v="0.83"/>
  </r>
  <r>
    <n v="253"/>
    <s v="A1253"/>
    <x v="3"/>
    <n v="187"/>
    <x v="241"/>
    <n v="241"/>
    <n v="16"/>
    <n v="8"/>
    <n v="4.2780748663101602E-2"/>
    <x v="87"/>
    <d v="2024-11-09T00:00:00"/>
    <s v="Hyderabad"/>
    <x v="1"/>
    <x v="5"/>
    <s v="November"/>
    <x v="0"/>
    <n v="1.2887700534759301"/>
    <n v="4.92"/>
    <n v="15.06"/>
    <n v="30.12"/>
    <n v="56.02"/>
    <n v="47"/>
    <n v="1.56"/>
  </r>
  <r>
    <n v="254"/>
    <s v="A1254"/>
    <x v="1"/>
    <n v="95"/>
    <x v="242"/>
    <n v="243"/>
    <n v="26"/>
    <n v="9"/>
    <n v="9.4736842105263105E-2"/>
    <x v="143"/>
    <d v="2024-11-22T00:00:00"/>
    <s v="Hyderabad"/>
    <x v="2"/>
    <x v="4"/>
    <s v="November"/>
    <x v="3"/>
    <n v="2.5546315789473599"/>
    <n v="2.3199999999999998"/>
    <n v="9.33"/>
    <n v="26.97"/>
    <n v="30.21"/>
    <n v="35.11"/>
    <n v="1.3"/>
  </r>
  <r>
    <n v="255"/>
    <s v="A1255"/>
    <x v="2"/>
    <n v="118"/>
    <x v="243"/>
    <n v="232"/>
    <n v="12"/>
    <n v="3"/>
    <n v="2.5423728813559299E-2"/>
    <x v="77"/>
    <d v="2024-11-19T00:00:00"/>
    <s v="Hyderabad"/>
    <x v="0"/>
    <x v="1"/>
    <s v="November"/>
    <x v="2"/>
    <n v="1.96186440677966"/>
    <n v="3.31"/>
    <n v="19.29"/>
    <n v="77.17"/>
    <n v="63.71"/>
    <n v="126.33"/>
    <n v="1.64"/>
  </r>
  <r>
    <n v="256"/>
    <s v="A1256"/>
    <x v="0"/>
    <n v="166"/>
    <x v="244"/>
    <n v="191"/>
    <n v="27"/>
    <n v="7"/>
    <n v="4.2168674698795101E-2"/>
    <x v="113"/>
    <d v="2024-11-15T00:00:00"/>
    <s v="Hyderabad"/>
    <x v="1"/>
    <x v="5"/>
    <s v="November"/>
    <x v="3"/>
    <n v="1.1525301204819201"/>
    <n v="4.25"/>
    <n v="7.09"/>
    <n v="27.33"/>
    <n v="70.92"/>
    <n v="46.71"/>
    <n v="1.71"/>
  </r>
  <r>
    <n v="257"/>
    <s v="A1257"/>
    <x v="0"/>
    <n v="146"/>
    <x v="245"/>
    <n v="202"/>
    <n v="28"/>
    <n v="7"/>
    <n v="4.7945205479451997E-2"/>
    <x v="144"/>
    <d v="2024-11-14T00:00:00"/>
    <s v="Hyderabad"/>
    <x v="0"/>
    <x v="2"/>
    <s v="November"/>
    <x v="5"/>
    <n v="1.3819178082191701"/>
    <n v="2.7"/>
    <n v="7.21"/>
    <n v="28.82"/>
    <n v="40.76"/>
    <n v="40.57"/>
    <n v="1.41"/>
  </r>
  <r>
    <n v="258"/>
    <s v="A1258"/>
    <x v="0"/>
    <n v="101"/>
    <x v="246"/>
    <n v="220"/>
    <n v="22"/>
    <n v="9"/>
    <n v="8.9108910891089105E-2"/>
    <x v="145"/>
    <d v="2024-11-15T00:00:00"/>
    <s v="Hyderabad"/>
    <x v="0"/>
    <x v="5"/>
    <s v="November"/>
    <x v="3"/>
    <n v="2.1750495049504899"/>
    <n v="2.5099999999999998"/>
    <n v="9.99"/>
    <n v="24.41"/>
    <n v="6.52"/>
    <n v="26"/>
    <n v="1.07"/>
  </r>
  <r>
    <n v="259"/>
    <s v="A1259"/>
    <x v="1"/>
    <n v="185"/>
    <x v="247"/>
    <n v="218"/>
    <n v="27"/>
    <n v="7"/>
    <n v="3.7837837837837798E-2"/>
    <x v="103"/>
    <d v="2024-11-03T00:00:00"/>
    <s v="Hyderabad"/>
    <x v="0"/>
    <x v="4"/>
    <s v="November"/>
    <x v="4"/>
    <n v="1.17962162162162"/>
    <n v="4.9800000000000004"/>
    <n v="8.08"/>
    <n v="31.18"/>
    <n v="-5.15"/>
    <n v="29.57"/>
    <n v="0.95"/>
  </r>
  <r>
    <n v="260"/>
    <s v="A1260"/>
    <x v="2"/>
    <n v="147"/>
    <x v="100"/>
    <n v="187"/>
    <n v="30"/>
    <n v="7"/>
    <n v="4.7619047619047603E-2"/>
    <x v="19"/>
    <d v="2024-11-25T00:00:00"/>
    <s v="Hyderabad"/>
    <x v="0"/>
    <x v="5"/>
    <s v="November"/>
    <x v="6"/>
    <n v="1.2706802721088399"/>
    <n v="2.85"/>
    <n v="6.23"/>
    <n v="26.68"/>
    <n v="89.52"/>
    <n v="50.57"/>
    <n v="1.9"/>
  </r>
  <r>
    <n v="261"/>
    <s v="A1261"/>
    <x v="2"/>
    <n v="188"/>
    <x v="248"/>
    <n v="212"/>
    <n v="30"/>
    <n v="9"/>
    <n v="4.7872340425531901E-2"/>
    <x v="126"/>
    <d v="2024-11-28T00:00:00"/>
    <s v="Hyderabad"/>
    <x v="1"/>
    <x v="4"/>
    <s v="November"/>
    <x v="5"/>
    <n v="1.1267553191489299"/>
    <n v="4.87"/>
    <n v="7.06"/>
    <n v="23.54"/>
    <n v="65.7"/>
    <n v="39"/>
    <n v="1.66"/>
  </r>
  <r>
    <n v="262"/>
    <s v="A1262"/>
    <x v="1"/>
    <n v="122"/>
    <x v="249"/>
    <n v="226"/>
    <n v="28"/>
    <n v="3"/>
    <n v="2.4590163934426201E-2"/>
    <x v="7"/>
    <d v="2024-11-24T00:00:00"/>
    <s v="Hyderabad"/>
    <x v="0"/>
    <x v="2"/>
    <s v="November"/>
    <x v="4"/>
    <n v="1.85155737704918"/>
    <n v="3.64"/>
    <n v="8.07"/>
    <n v="75.3"/>
    <n v="36.35"/>
    <n v="102.67"/>
    <n v="1.36"/>
  </r>
  <r>
    <n v="263"/>
    <s v="A1263"/>
    <x v="3"/>
    <n v="143"/>
    <x v="250"/>
    <n v="221"/>
    <n v="20"/>
    <n v="9"/>
    <n v="6.2937062937062901E-2"/>
    <x v="3"/>
    <d v="2024-11-05T00:00:00"/>
    <s v="Hyderabad"/>
    <x v="2"/>
    <x v="4"/>
    <s v="November"/>
    <x v="2"/>
    <n v="1.5454545454545401"/>
    <n v="2.68"/>
    <n v="11.05"/>
    <n v="24.56"/>
    <n v="13.12"/>
    <n v="27.78"/>
    <n v="1.1299999999999999"/>
  </r>
  <r>
    <n v="264"/>
    <s v="A1264"/>
    <x v="3"/>
    <n v="170"/>
    <x v="251"/>
    <n v="235"/>
    <n v="17"/>
    <n v="3"/>
    <n v="1.7647058823529401E-2"/>
    <x v="146"/>
    <d v="2024-11-11T00:00:00"/>
    <s v="Hyderabad"/>
    <x v="0"/>
    <x v="3"/>
    <s v="November"/>
    <x v="6"/>
    <n v="1.3818823529411699"/>
    <n v="5.44"/>
    <n v="13.82"/>
    <n v="78.31"/>
    <n v="6.84"/>
    <n v="83.67"/>
    <n v="1.07"/>
  </r>
  <r>
    <n v="265"/>
    <s v="A1265"/>
    <x v="3"/>
    <n v="114"/>
    <x v="252"/>
    <n v="243"/>
    <n v="11"/>
    <n v="6"/>
    <n v="5.2631578947368397E-2"/>
    <x v="43"/>
    <d v="2024-11-17T00:00:00"/>
    <s v="Hyderabad"/>
    <x v="1"/>
    <x v="2"/>
    <s v="November"/>
    <x v="4"/>
    <n v="2.1282456140350798"/>
    <n v="2.27"/>
    <n v="22.06"/>
    <n v="40.44"/>
    <n v="9.64"/>
    <n v="44.33"/>
    <n v="1.1000000000000001"/>
  </r>
  <r>
    <n v="266"/>
    <s v="A1266"/>
    <x v="3"/>
    <n v="186"/>
    <x v="253"/>
    <n v="202"/>
    <n v="27"/>
    <n v="3"/>
    <n v="1.6129032258064498E-2"/>
    <x v="51"/>
    <d v="2024-11-26T00:00:00"/>
    <s v="Hyderabad"/>
    <x v="0"/>
    <x v="3"/>
    <s v="November"/>
    <x v="2"/>
    <n v="1.085"/>
    <n v="5.43"/>
    <n v="7.47"/>
    <n v="67.27"/>
    <n v="35.28"/>
    <n v="91"/>
    <n v="1.35"/>
  </r>
  <r>
    <n v="267"/>
    <s v="A1267"/>
    <x v="2"/>
    <n v="120"/>
    <x v="254"/>
    <n v="211"/>
    <n v="24"/>
    <n v="9"/>
    <n v="7.4999999999999997E-2"/>
    <x v="112"/>
    <d v="2024-11-05T00:00:00"/>
    <s v="Hyderabad"/>
    <x v="2"/>
    <x v="2"/>
    <s v="November"/>
    <x v="2"/>
    <n v="1.7579166666666599"/>
    <n v="2.96"/>
    <n v="8.7899999999999991"/>
    <n v="23.44"/>
    <n v="33.21"/>
    <n v="31.22"/>
    <n v="1.33"/>
  </r>
  <r>
    <n v="268"/>
    <s v="A1268"/>
    <x v="2"/>
    <n v="130"/>
    <x v="255"/>
    <n v="212"/>
    <n v="21"/>
    <n v="5"/>
    <n v="3.8461538461538401E-2"/>
    <x v="24"/>
    <d v="2024-11-17T00:00:00"/>
    <s v="Hyderabad"/>
    <x v="0"/>
    <x v="0"/>
    <s v="November"/>
    <x v="4"/>
    <n v="1.63115384615384"/>
    <n v="2.29"/>
    <n v="10.1"/>
    <n v="42.41"/>
    <n v="40.06"/>
    <n v="59.4"/>
    <n v="1.4"/>
  </r>
  <r>
    <n v="269"/>
    <s v="A1269"/>
    <x v="3"/>
    <n v="178"/>
    <x v="256"/>
    <n v="190"/>
    <n v="25"/>
    <n v="8"/>
    <n v="4.49438202247191E-2"/>
    <x v="7"/>
    <d v="2024-11-09T00:00:00"/>
    <s v="Hyderabad"/>
    <x v="0"/>
    <x v="3"/>
    <s v="November"/>
    <x v="0"/>
    <n v="1.06623595505617"/>
    <n v="3.54"/>
    <n v="7.59"/>
    <n v="23.72"/>
    <n v="62.28"/>
    <n v="38.5"/>
    <n v="1.62"/>
  </r>
  <r>
    <n v="270"/>
    <s v="A1270"/>
    <x v="0"/>
    <n v="196"/>
    <x v="196"/>
    <n v="205"/>
    <n v="19"/>
    <n v="4"/>
    <n v="2.04081632653061E-2"/>
    <x v="61"/>
    <d v="2024-11-26T00:00:00"/>
    <s v="Hyderabad"/>
    <x v="0"/>
    <x v="3"/>
    <s v="November"/>
    <x v="2"/>
    <n v="1.0440306122448899"/>
    <n v="3.58"/>
    <n v="10.77"/>
    <n v="51.16"/>
    <n v="28.52"/>
    <n v="65.75"/>
    <n v="1.29"/>
  </r>
  <r>
    <n v="271"/>
    <s v="A1271"/>
    <x v="2"/>
    <n v="110"/>
    <x v="257"/>
    <n v="198"/>
    <n v="18"/>
    <n v="3"/>
    <n v="2.7272727272727199E-2"/>
    <x v="29"/>
    <d v="2024-11-12T00:00:00"/>
    <s v="Hyderabad"/>
    <x v="0"/>
    <x v="4"/>
    <s v="November"/>
    <x v="2"/>
    <n v="1.7989999999999999"/>
    <n v="2.2000000000000002"/>
    <n v="10.99"/>
    <n v="65.959999999999994"/>
    <n v="14.71"/>
    <n v="75.67"/>
    <n v="1.1499999999999999"/>
  </r>
  <r>
    <n v="272"/>
    <s v="A1272"/>
    <x v="2"/>
    <n v="95"/>
    <x v="258"/>
    <n v="207"/>
    <n v="22"/>
    <n v="3"/>
    <n v="3.1578947368420998E-2"/>
    <x v="70"/>
    <d v="2024-11-11T00:00:00"/>
    <s v="Hyderabad"/>
    <x v="2"/>
    <x v="0"/>
    <s v="November"/>
    <x v="6"/>
    <n v="2.1804210526315702"/>
    <n v="2.29"/>
    <n v="9.42"/>
    <n v="69.05"/>
    <n v="90.21"/>
    <n v="131.33000000000001"/>
    <n v="1.9"/>
  </r>
  <r>
    <n v="273"/>
    <s v="A1273"/>
    <x v="1"/>
    <n v="183"/>
    <x v="259"/>
    <n v="233"/>
    <n v="27"/>
    <n v="5"/>
    <n v="2.7322404371584699E-2"/>
    <x v="147"/>
    <d v="2024-11-21T00:00:00"/>
    <s v="Hyderabad"/>
    <x v="0"/>
    <x v="2"/>
    <s v="November"/>
    <x v="5"/>
    <n v="1.2730601092896101"/>
    <n v="3.82"/>
    <n v="8.6300000000000008"/>
    <n v="46.59"/>
    <n v="29.2"/>
    <n v="60.2"/>
    <n v="1.29"/>
  </r>
  <r>
    <n v="274"/>
    <s v="A1274"/>
    <x v="0"/>
    <n v="100"/>
    <x v="260"/>
    <n v="194"/>
    <n v="30"/>
    <n v="3"/>
    <n v="0.03"/>
    <x v="52"/>
    <d v="2024-11-25T00:00:00"/>
    <s v="Hyderabad"/>
    <x v="0"/>
    <x v="4"/>
    <s v="November"/>
    <x v="6"/>
    <n v="1.9359999999999999"/>
    <n v="2.4"/>
    <n v="6.45"/>
    <n v="64.53"/>
    <n v="78.2"/>
    <n v="115"/>
    <n v="1.78"/>
  </r>
  <r>
    <n v="275"/>
    <s v="A1275"/>
    <x v="2"/>
    <n v="187"/>
    <x v="261"/>
    <n v="226"/>
    <n v="27"/>
    <n v="10"/>
    <n v="5.3475935828876997E-2"/>
    <x v="92"/>
    <d v="2024-11-14T00:00:00"/>
    <s v="Hyderabad"/>
    <x v="2"/>
    <x v="0"/>
    <s v="November"/>
    <x v="5"/>
    <n v="1.2091443850267301"/>
    <n v="5"/>
    <n v="8.3699999999999992"/>
    <n v="22.61"/>
    <n v="21.18"/>
    <n v="27.4"/>
    <n v="1.21"/>
  </r>
  <r>
    <n v="276"/>
    <s v="A1276"/>
    <x v="2"/>
    <n v="90"/>
    <x v="262"/>
    <n v="234"/>
    <n v="24"/>
    <n v="5"/>
    <n v="5.5555555555555497E-2"/>
    <x v="73"/>
    <d v="2024-11-14T00:00:00"/>
    <s v="Hyderabad"/>
    <x v="2"/>
    <x v="5"/>
    <s v="November"/>
    <x v="5"/>
    <n v="2.5948888888888799"/>
    <n v="2.52"/>
    <n v="9.73"/>
    <n v="46.71"/>
    <n v="2.77"/>
    <n v="48"/>
    <n v="1.03"/>
  </r>
  <r>
    <n v="277"/>
    <s v="A1277"/>
    <x v="3"/>
    <n v="148"/>
    <x v="263"/>
    <n v="210"/>
    <n v="25"/>
    <n v="8"/>
    <n v="5.4054054054054002E-2"/>
    <x v="32"/>
    <d v="2024-11-25T00:00:00"/>
    <s v="Hyderabad"/>
    <x v="2"/>
    <x v="1"/>
    <s v="November"/>
    <x v="6"/>
    <n v="1.4172972972972899"/>
    <n v="3.31"/>
    <n v="8.39"/>
    <n v="26.22"/>
    <n v="78.16"/>
    <n v="46.71"/>
    <n v="1.78"/>
  </r>
  <r>
    <n v="278"/>
    <s v="A1278"/>
    <x v="2"/>
    <n v="129"/>
    <x v="264"/>
    <n v="228"/>
    <n v="11"/>
    <n v="7"/>
    <n v="5.4263565891472798E-2"/>
    <x v="102"/>
    <d v="2024-11-22T00:00:00"/>
    <s v="Hyderabad"/>
    <x v="2"/>
    <x v="3"/>
    <s v="November"/>
    <x v="3"/>
    <n v="1.7660465116279001"/>
    <n v="3.57"/>
    <n v="20.71"/>
    <n v="32.549999999999997"/>
    <n v="11.93"/>
    <n v="36.43"/>
    <n v="1.1200000000000001"/>
  </r>
  <r>
    <n v="279"/>
    <s v="A1279"/>
    <x v="2"/>
    <n v="120"/>
    <x v="95"/>
    <n v="193"/>
    <n v="15"/>
    <n v="6"/>
    <n v="0.05"/>
    <x v="43"/>
    <d v="2024-11-12T00:00:00"/>
    <s v="Hyderabad"/>
    <x v="1"/>
    <x v="3"/>
    <s v="November"/>
    <x v="2"/>
    <n v="1.6124166666666599"/>
    <n v="3.04"/>
    <n v="12.9"/>
    <n v="32.25"/>
    <n v="37.47"/>
    <n v="44.33"/>
    <n v="1.37"/>
  </r>
  <r>
    <n v="280"/>
    <s v="A1280"/>
    <x v="2"/>
    <n v="82"/>
    <x v="265"/>
    <n v="192"/>
    <n v="23"/>
    <n v="8"/>
    <n v="9.7560975609756101E-2"/>
    <x v="148"/>
    <d v="2024-11-22T00:00:00"/>
    <s v="Hyderabad"/>
    <x v="1"/>
    <x v="0"/>
    <s v="November"/>
    <x v="3"/>
    <n v="2.3384146341463401"/>
    <n v="1.93"/>
    <n v="8.34"/>
    <n v="23.97"/>
    <n v="13.17"/>
    <n v="27.12"/>
    <n v="1.1299999999999999"/>
  </r>
  <r>
    <n v="281"/>
    <s v="A1281"/>
    <x v="3"/>
    <n v="145"/>
    <x v="266"/>
    <n v="242"/>
    <n v="12"/>
    <n v="7"/>
    <n v="4.8275862068965503E-2"/>
    <x v="7"/>
    <d v="2024-11-14T00:00:00"/>
    <s v="Hyderabad"/>
    <x v="2"/>
    <x v="4"/>
    <s v="November"/>
    <x v="5"/>
    <n v="1.67006896551724"/>
    <n v="2.4300000000000002"/>
    <n v="20.18"/>
    <n v="34.590000000000003"/>
    <n v="27.19"/>
    <n v="44"/>
    <n v="1.27"/>
  </r>
  <r>
    <n v="282"/>
    <s v="A1282"/>
    <x v="3"/>
    <n v="190"/>
    <x v="267"/>
    <n v="189"/>
    <n v="10"/>
    <n v="5"/>
    <n v="2.6315789473684199E-2"/>
    <x v="149"/>
    <d v="2024-11-01T00:00:00"/>
    <s v="Hyderabad"/>
    <x v="2"/>
    <x v="3"/>
    <s v="November"/>
    <x v="3"/>
    <n v="0.99394736842105202"/>
    <n v="4.2"/>
    <n v="18.88"/>
    <n v="37.770000000000003"/>
    <n v="102.81"/>
    <n v="76.599999999999994"/>
    <n v="2.0299999999999998"/>
  </r>
  <r>
    <n v="283"/>
    <s v="A1283"/>
    <x v="1"/>
    <n v="137"/>
    <x v="268"/>
    <n v="242"/>
    <n v="24"/>
    <n v="4"/>
    <n v="2.9197080291970798E-2"/>
    <x v="18"/>
    <d v="2024-11-06T00:00:00"/>
    <s v="Hyderabad"/>
    <x v="0"/>
    <x v="4"/>
    <s v="November"/>
    <x v="1"/>
    <n v="1.76335766423357"/>
    <n v="3.12"/>
    <n v="10.07"/>
    <n v="60.4"/>
    <n v="27.91"/>
    <n v="77.25"/>
    <n v="1.28"/>
  </r>
  <r>
    <n v="284"/>
    <s v="A1284"/>
    <x v="3"/>
    <n v="157"/>
    <x v="269"/>
    <n v="223"/>
    <n v="19"/>
    <n v="3"/>
    <n v="1.9108280254777E-2"/>
    <x v="57"/>
    <d v="2024-11-01T00:00:00"/>
    <s v="Hyderabad"/>
    <x v="1"/>
    <x v="2"/>
    <s v="November"/>
    <x v="3"/>
    <n v="1.41821656050955"/>
    <n v="5.15"/>
    <n v="11.72"/>
    <n v="74.22"/>
    <n v="80.099999999999994"/>
    <n v="133.66999999999999"/>
    <n v="1.8"/>
  </r>
  <r>
    <n v="285"/>
    <s v="A1285"/>
    <x v="0"/>
    <n v="105"/>
    <x v="270"/>
    <n v="226"/>
    <n v="27"/>
    <n v="5"/>
    <n v="4.7619047619047603E-2"/>
    <x v="135"/>
    <d v="2024-11-12T00:00:00"/>
    <s v="Hyderabad"/>
    <x v="2"/>
    <x v="0"/>
    <s v="November"/>
    <x v="2"/>
    <n v="2.1533333333333302"/>
    <n v="1.96"/>
    <n v="8.3699999999999992"/>
    <n v="45.22"/>
    <n v="-9.33"/>
    <n v="41"/>
    <n v="0.91"/>
  </r>
  <r>
    <n v="286"/>
    <s v="A1286"/>
    <x v="3"/>
    <n v="149"/>
    <x v="271"/>
    <n v="231"/>
    <n v="15"/>
    <n v="9"/>
    <n v="6.0402684563758302E-2"/>
    <x v="150"/>
    <d v="2024-11-06T00:00:00"/>
    <s v="Hyderabad"/>
    <x v="2"/>
    <x v="3"/>
    <s v="November"/>
    <x v="1"/>
    <n v="1.5532885906040199"/>
    <n v="4.8"/>
    <n v="15.43"/>
    <n v="25.72"/>
    <n v="-0.62"/>
    <n v="25.56"/>
    <n v="0.99"/>
  </r>
  <r>
    <n v="287"/>
    <s v="A1287"/>
    <x v="3"/>
    <n v="159"/>
    <x v="272"/>
    <n v="187"/>
    <n v="24"/>
    <n v="6"/>
    <n v="3.7735849056603703E-2"/>
    <x v="121"/>
    <d v="2024-11-24T00:00:00"/>
    <s v="Hyderabad"/>
    <x v="0"/>
    <x v="0"/>
    <s v="November"/>
    <x v="4"/>
    <n v="1.1766666666666601"/>
    <n v="4.3099999999999996"/>
    <n v="7.8"/>
    <n v="31.18"/>
    <n v="36.83"/>
    <n v="42.67"/>
    <n v="1.37"/>
  </r>
  <r>
    <n v="288"/>
    <s v="A1288"/>
    <x v="3"/>
    <n v="150"/>
    <x v="273"/>
    <n v="229"/>
    <n v="20"/>
    <n v="8"/>
    <n v="5.3333333333333302E-2"/>
    <x v="151"/>
    <d v="2024-11-02T00:00:00"/>
    <s v="Hyderabad"/>
    <x v="1"/>
    <x v="1"/>
    <s v="November"/>
    <x v="0"/>
    <n v="1.5243795620437901"/>
    <n v="2.68"/>
    <n v="11.43"/>
    <n v="28.58"/>
    <n v="14.58"/>
    <n v="32.75"/>
    <n v="1.1499999999999999"/>
  </r>
  <r>
    <n v="289"/>
    <s v="A1289"/>
    <x v="1"/>
    <n v="160"/>
    <x v="274"/>
    <n v="227"/>
    <n v="10"/>
    <n v="5"/>
    <n v="3.125E-2"/>
    <x v="13"/>
    <d v="2024-11-15T00:00:00"/>
    <s v="Hyderabad"/>
    <x v="2"/>
    <x v="2"/>
    <s v="November"/>
    <x v="3"/>
    <n v="1.4216249999999999"/>
    <n v="3.03"/>
    <n v="22.75"/>
    <n v="45.49"/>
    <n v="38.049999999999997"/>
    <n v="62.8"/>
    <n v="1.38"/>
  </r>
  <r>
    <n v="290"/>
    <s v="A1290"/>
    <x v="1"/>
    <n v="98"/>
    <x v="48"/>
    <n v="206"/>
    <n v="29"/>
    <n v="5"/>
    <n v="5.10204081632653E-2"/>
    <x v="85"/>
    <d v="2024-11-02T00:00:00"/>
    <s v="Hyderabad"/>
    <x v="1"/>
    <x v="2"/>
    <s v="November"/>
    <x v="0"/>
    <n v="2.1004081632653002"/>
    <n v="2.11"/>
    <n v="7.1"/>
    <n v="41.17"/>
    <n v="85.1"/>
    <n v="76.2"/>
    <n v="1.85"/>
  </r>
  <r>
    <n v="291"/>
    <s v="A1291"/>
    <x v="3"/>
    <n v="86"/>
    <x v="275"/>
    <n v="211"/>
    <n v="22"/>
    <n v="7"/>
    <n v="8.1395348837209294E-2"/>
    <x v="81"/>
    <d v="2024-11-10T00:00:00"/>
    <s v="Hyderabad"/>
    <x v="0"/>
    <x v="1"/>
    <s v="November"/>
    <x v="4"/>
    <n v="2.4553488372093"/>
    <n v="2.4500000000000002"/>
    <n v="9.6"/>
    <n v="30.17"/>
    <n v="85.17"/>
    <n v="55.86"/>
    <n v="1.85"/>
  </r>
  <r>
    <n v="292"/>
    <s v="A1292"/>
    <x v="3"/>
    <n v="128"/>
    <x v="276"/>
    <n v="236"/>
    <n v="20"/>
    <n v="10"/>
    <n v="7.8125E-2"/>
    <x v="152"/>
    <d v="2024-11-04T00:00:00"/>
    <s v="Hyderabad"/>
    <x v="0"/>
    <x v="3"/>
    <s v="November"/>
    <x v="6"/>
    <n v="1.8401562499999999"/>
    <n v="2.2200000000000002"/>
    <n v="11.78"/>
    <n v="23.55"/>
    <n v="5.29"/>
    <n v="24.8"/>
    <n v="1.05"/>
  </r>
  <r>
    <n v="293"/>
    <s v="A1293"/>
    <x v="1"/>
    <n v="105"/>
    <x v="277"/>
    <n v="237"/>
    <n v="22"/>
    <n v="8"/>
    <n v="7.6190476190476197E-2"/>
    <x v="110"/>
    <d v="2024-11-24T00:00:00"/>
    <s v="Hyderabad"/>
    <x v="2"/>
    <x v="1"/>
    <s v="November"/>
    <x v="4"/>
    <n v="2.2529523809523799"/>
    <n v="1.8"/>
    <n v="10.75"/>
    <n v="29.57"/>
    <n v="56.41"/>
    <n v="46.25"/>
    <n v="1.56"/>
  </r>
  <r>
    <n v="294"/>
    <s v="A1294"/>
    <x v="1"/>
    <n v="90"/>
    <x v="278"/>
    <n v="249"/>
    <n v="21"/>
    <n v="10"/>
    <n v="0.11111111111111099"/>
    <x v="105"/>
    <d v="2024-11-19T00:00:00"/>
    <s v="Hyderabad"/>
    <x v="1"/>
    <x v="1"/>
    <s v="November"/>
    <x v="2"/>
    <n v="2.7666666666666599"/>
    <n v="3.03"/>
    <n v="11.86"/>
    <n v="24.9"/>
    <n v="2.0099999999999998"/>
    <n v="25.4"/>
    <n v="1.02"/>
  </r>
  <r>
    <n v="295"/>
    <s v="A1295"/>
    <x v="3"/>
    <n v="89"/>
    <x v="279"/>
    <n v="212"/>
    <n v="20"/>
    <n v="5"/>
    <n v="5.6179775280898799E-2"/>
    <x v="88"/>
    <d v="2024-11-21T00:00:00"/>
    <s v="Hyderabad"/>
    <x v="0"/>
    <x v="4"/>
    <s v="November"/>
    <x v="5"/>
    <n v="2.3793258426966202"/>
    <n v="1.73"/>
    <n v="10.59"/>
    <n v="42.35"/>
    <n v="7.67"/>
    <n v="45.6"/>
    <n v="1.08"/>
  </r>
  <r>
    <n v="296"/>
    <s v="A1296"/>
    <x v="1"/>
    <n v="119"/>
    <x v="280"/>
    <n v="194"/>
    <n v="14"/>
    <n v="3"/>
    <n v="2.5210084033613401E-2"/>
    <x v="40"/>
    <d v="2024-11-10T00:00:00"/>
    <s v="Hyderabad"/>
    <x v="1"/>
    <x v="1"/>
    <s v="November"/>
    <x v="4"/>
    <n v="1.6332773109243699"/>
    <n v="3.41"/>
    <n v="13.88"/>
    <n v="64.790000000000006"/>
    <n v="71.33"/>
    <n v="111"/>
    <n v="1.71"/>
  </r>
  <r>
    <n v="297"/>
    <s v="A1297"/>
    <x v="0"/>
    <n v="173"/>
    <x v="281"/>
    <n v="230"/>
    <n v="30"/>
    <n v="5"/>
    <n v="2.8901734104046201E-2"/>
    <x v="42"/>
    <d v="2024-11-22T00:00:00"/>
    <s v="Hyderabad"/>
    <x v="0"/>
    <x v="0"/>
    <s v="November"/>
    <x v="3"/>
    <n v="1.3284393063583799"/>
    <n v="4.3499999999999996"/>
    <n v="7.66"/>
    <n v="45.96"/>
    <n v="40.54"/>
    <n v="64.599999999999994"/>
    <n v="1.41"/>
  </r>
  <r>
    <n v="298"/>
    <s v="A1298"/>
    <x v="3"/>
    <n v="95"/>
    <x v="282"/>
    <n v="182"/>
    <n v="14"/>
    <n v="7"/>
    <n v="7.3684210526315699E-2"/>
    <x v="63"/>
    <d v="2024-11-27T00:00:00"/>
    <s v="Hyderabad"/>
    <x v="2"/>
    <x v="1"/>
    <s v="November"/>
    <x v="1"/>
    <n v="1.91463157894736"/>
    <n v="2.8"/>
    <n v="12.99"/>
    <n v="25.98"/>
    <n v="74.83"/>
    <n v="45.43"/>
    <n v="1.75"/>
  </r>
  <r>
    <n v="299"/>
    <s v="A1299"/>
    <x v="3"/>
    <n v="112"/>
    <x v="283"/>
    <n v="246"/>
    <n v="10"/>
    <n v="5"/>
    <n v="4.4642857142857102E-2"/>
    <x v="103"/>
    <d v="2024-11-21T00:00:00"/>
    <s v="Hyderabad"/>
    <x v="2"/>
    <x v="3"/>
    <s v="November"/>
    <x v="5"/>
    <n v="2.19616071428571"/>
    <n v="2.16"/>
    <n v="24.6"/>
    <n v="49.19"/>
    <n v="-15.84"/>
    <n v="41.4"/>
    <n v="0.84"/>
  </r>
  <r>
    <n v="300"/>
    <s v="A1300"/>
    <x v="2"/>
    <n v="134"/>
    <x v="212"/>
    <n v="218"/>
    <n v="10"/>
    <n v="5"/>
    <n v="3.7313432835820802E-2"/>
    <x v="153"/>
    <d v="2024-11-30T00:00:00"/>
    <s v="Hyderabad"/>
    <x v="1"/>
    <x v="3"/>
    <s v="November"/>
    <x v="0"/>
    <n v="1.6233582089552201"/>
    <n v="4.46"/>
    <n v="21.75"/>
    <n v="43.51"/>
    <n v="28.72"/>
    <n v="56"/>
    <n v="1.29"/>
  </r>
  <r>
    <n v="301"/>
    <s v="A1301"/>
    <x v="2"/>
    <n v="113"/>
    <x v="284"/>
    <n v="217"/>
    <n v="11"/>
    <n v="6"/>
    <n v="5.30973451327433E-2"/>
    <x v="47"/>
    <d v="2024-11-17T00:00:00"/>
    <s v="Hyderabad"/>
    <x v="0"/>
    <x v="3"/>
    <s v="November"/>
    <x v="4"/>
    <n v="1.91769911504424"/>
    <n v="1.98"/>
    <n v="19.7"/>
    <n v="36.119999999999997"/>
    <n v="64.28"/>
    <n v="59.33"/>
    <n v="1.64"/>
  </r>
  <r>
    <n v="302"/>
    <s v="A1302"/>
    <x v="0"/>
    <n v="157"/>
    <x v="285"/>
    <n v="189"/>
    <n v="16"/>
    <n v="5"/>
    <n v="3.18471337579617E-2"/>
    <x v="154"/>
    <d v="2024-11-28T00:00:00"/>
    <s v="Hyderabad"/>
    <x v="1"/>
    <x v="2"/>
    <s v="November"/>
    <x v="5"/>
    <n v="1.2045222929936299"/>
    <n v="4.43"/>
    <n v="11.82"/>
    <n v="37.82"/>
    <n v="43.83"/>
    <n v="54.4"/>
    <n v="1.44"/>
  </r>
  <r>
    <n v="303"/>
    <s v="A1303"/>
    <x v="0"/>
    <n v="105"/>
    <x v="286"/>
    <n v="246"/>
    <n v="24"/>
    <n v="9"/>
    <n v="8.5714285714285701E-2"/>
    <x v="23"/>
    <d v="2024-11-24T00:00:00"/>
    <s v="Hyderabad"/>
    <x v="2"/>
    <x v="1"/>
    <s v="November"/>
    <x v="4"/>
    <n v="2.3414285714285699"/>
    <n v="2.86"/>
    <n v="10.24"/>
    <n v="27.32"/>
    <n v="37.08"/>
    <n v="37.44"/>
    <n v="1.37"/>
  </r>
  <r>
    <n v="304"/>
    <s v="A1304"/>
    <x v="1"/>
    <n v="162"/>
    <x v="287"/>
    <n v="212"/>
    <n v="11"/>
    <n v="8"/>
    <n v="4.9382716049382699E-2"/>
    <x v="144"/>
    <d v="2024-11-20T00:00:00"/>
    <s v="Hyderabad"/>
    <x v="2"/>
    <x v="5"/>
    <s v="November"/>
    <x v="1"/>
    <n v="1.3083950617283899"/>
    <n v="2.74"/>
    <n v="19.27"/>
    <n v="26.5"/>
    <n v="33.99"/>
    <n v="35.5"/>
    <n v="1.34"/>
  </r>
  <r>
    <n v="305"/>
    <s v="A1305"/>
    <x v="2"/>
    <n v="135"/>
    <x v="288"/>
    <n v="219"/>
    <n v="16"/>
    <n v="10"/>
    <n v="7.4074074074074001E-2"/>
    <x v="81"/>
    <d v="2024-11-10T00:00:00"/>
    <s v="Hyderabad"/>
    <x v="1"/>
    <x v="0"/>
    <s v="November"/>
    <x v="4"/>
    <n v="1.62377777777777"/>
    <n v="3.03"/>
    <n v="13.7"/>
    <n v="21.92"/>
    <n v="78.37"/>
    <n v="39.1"/>
    <n v="1.78"/>
  </r>
  <r>
    <n v="306"/>
    <s v="A1306"/>
    <x v="0"/>
    <n v="136"/>
    <x v="289"/>
    <n v="190"/>
    <n v="23"/>
    <n v="6"/>
    <n v="4.4117647058823498E-2"/>
    <x v="155"/>
    <d v="2024-11-11T00:00:00"/>
    <s v="Hyderabad"/>
    <x v="2"/>
    <x v="3"/>
    <s v="November"/>
    <x v="6"/>
    <n v="1.39448529411764"/>
    <n v="2.35"/>
    <n v="8.25"/>
    <n v="31.61"/>
    <n v="109.86"/>
    <n v="66.33"/>
    <n v="2.1"/>
  </r>
  <r>
    <n v="307"/>
    <s v="A1307"/>
    <x v="0"/>
    <n v="192"/>
    <x v="290"/>
    <n v="246"/>
    <n v="24"/>
    <n v="8"/>
    <n v="4.1666666666666602E-2"/>
    <x v="151"/>
    <d v="2024-11-18T00:00:00"/>
    <s v="Hyderabad"/>
    <x v="1"/>
    <x v="0"/>
    <s v="November"/>
    <x v="6"/>
    <n v="1.27901041666666"/>
    <n v="4.42"/>
    <n v="10.23"/>
    <n v="30.7"/>
    <n v="6.69"/>
    <n v="32.75"/>
    <n v="1.07"/>
  </r>
  <r>
    <n v="308"/>
    <s v="A1308"/>
    <x v="1"/>
    <n v="147"/>
    <x v="291"/>
    <n v="224"/>
    <n v="14"/>
    <n v="8"/>
    <n v="5.4421768707482901E-2"/>
    <x v="117"/>
    <d v="2024-11-02T00:00:00"/>
    <s v="Hyderabad"/>
    <x v="1"/>
    <x v="3"/>
    <s v="November"/>
    <x v="0"/>
    <n v="1.5243795620437901"/>
    <n v="2.5"/>
    <n v="16.010000000000002"/>
    <n v="28.01"/>
    <n v="59.32"/>
    <n v="44.62"/>
    <n v="1.59"/>
  </r>
  <r>
    <n v="309"/>
    <s v="A1309"/>
    <x v="0"/>
    <n v="164"/>
    <x v="292"/>
    <n v="186"/>
    <n v="11"/>
    <n v="9"/>
    <n v="5.4878048780487798E-2"/>
    <x v="156"/>
    <d v="2024-11-17T00:00:00"/>
    <s v="Hyderabad"/>
    <x v="2"/>
    <x v="1"/>
    <s v="November"/>
    <x v="4"/>
    <n v="1.13664634146341"/>
    <n v="2.9"/>
    <n v="16.95"/>
    <n v="20.71"/>
    <n v="11.58"/>
    <n v="23.11"/>
    <n v="1.1200000000000001"/>
  </r>
  <r>
    <n v="310"/>
    <s v="A1310"/>
    <x v="0"/>
    <n v="192"/>
    <x v="231"/>
    <n v="185"/>
    <n v="19"/>
    <n v="4"/>
    <n v="2.0833333333333301E-2"/>
    <x v="68"/>
    <d v="2024-11-07T00:00:00"/>
    <s v="Hyderabad"/>
    <x v="0"/>
    <x v="1"/>
    <s v="November"/>
    <x v="5"/>
    <n v="0.96161458333333305"/>
    <n v="3.74"/>
    <n v="9.7200000000000006"/>
    <n v="46.16"/>
    <n v="20.239999999999998"/>
    <n v="55.5"/>
    <n v="1.2"/>
  </r>
  <r>
    <n v="311"/>
    <s v="A1311"/>
    <x v="2"/>
    <n v="139"/>
    <x v="293"/>
    <n v="225"/>
    <n v="12"/>
    <n v="8"/>
    <n v="5.7553956834532301E-2"/>
    <x v="4"/>
    <d v="2024-11-12T00:00:00"/>
    <s v="Hyderabad"/>
    <x v="0"/>
    <x v="3"/>
    <s v="November"/>
    <x v="2"/>
    <n v="1.61863309352517"/>
    <n v="3.02"/>
    <n v="18.75"/>
    <n v="28.12"/>
    <n v="-0.88"/>
    <n v="27.88"/>
    <n v="0.99"/>
  </r>
  <r>
    <n v="312"/>
    <s v="A1312"/>
    <x v="3"/>
    <n v="199"/>
    <x v="294"/>
    <n v="219"/>
    <n v="20"/>
    <n v="7"/>
    <n v="3.5175879396984903E-2"/>
    <x v="118"/>
    <d v="2024-11-30T00:00:00"/>
    <s v="Hyderabad"/>
    <x v="2"/>
    <x v="0"/>
    <s v="November"/>
    <x v="0"/>
    <n v="1.0982412060301501"/>
    <n v="3.76"/>
    <n v="10.93"/>
    <n v="31.22"/>
    <n v="15.31"/>
    <n v="36"/>
    <n v="1.1499999999999999"/>
  </r>
  <r>
    <n v="313"/>
    <s v="A1313"/>
    <x v="2"/>
    <n v="82"/>
    <x v="295"/>
    <n v="220"/>
    <n v="27"/>
    <n v="7"/>
    <n v="8.5365853658536495E-2"/>
    <x v="145"/>
    <d v="2024-11-02T00:00:00"/>
    <s v="Hyderabad"/>
    <x v="2"/>
    <x v="1"/>
    <s v="November"/>
    <x v="0"/>
    <n v="2.6864634146341402"/>
    <n v="1.65"/>
    <n v="8.16"/>
    <n v="31.47"/>
    <n v="6.22"/>
    <n v="33.43"/>
    <n v="1.06"/>
  </r>
  <r>
    <n v="314"/>
    <s v="A1314"/>
    <x v="3"/>
    <n v="175"/>
    <x v="159"/>
    <n v="242"/>
    <n v="17"/>
    <n v="3"/>
    <n v="1.7142857142857099E-2"/>
    <x v="67"/>
    <d v="2024-11-22T00:00:00"/>
    <s v="Hyderabad"/>
    <x v="0"/>
    <x v="3"/>
    <s v="November"/>
    <x v="3"/>
    <n v="1.3832"/>
    <n v="4.03"/>
    <n v="14.24"/>
    <n v="80.69"/>
    <n v="36.33"/>
    <n v="110"/>
    <n v="1.36"/>
  </r>
  <r>
    <n v="315"/>
    <s v="A1315"/>
    <x v="1"/>
    <n v="181"/>
    <x v="296"/>
    <n v="205"/>
    <n v="22"/>
    <n v="5"/>
    <n v="2.7624309392265099E-2"/>
    <x v="126"/>
    <d v="2024-11-22T00:00:00"/>
    <s v="Hyderabad"/>
    <x v="0"/>
    <x v="1"/>
    <s v="November"/>
    <x v="3"/>
    <n v="1.13116022099447"/>
    <n v="3.2"/>
    <n v="9.31"/>
    <n v="40.950000000000003"/>
    <n v="71.44"/>
    <n v="70.2"/>
    <n v="1.71"/>
  </r>
  <r>
    <n v="316"/>
    <s v="A1316"/>
    <x v="0"/>
    <n v="146"/>
    <x v="297"/>
    <n v="193"/>
    <n v="25"/>
    <n v="9"/>
    <n v="6.1643835616438297E-2"/>
    <x v="98"/>
    <d v="2024-11-09T00:00:00"/>
    <s v="Hyderabad"/>
    <x v="0"/>
    <x v="4"/>
    <s v="November"/>
    <x v="0"/>
    <n v="1.31910958904109"/>
    <n v="3.89"/>
    <n v="7.7"/>
    <n v="21.4"/>
    <n v="24.1"/>
    <n v="26.56"/>
    <n v="1.24"/>
  </r>
  <r>
    <n v="317"/>
    <s v="A1317"/>
    <x v="2"/>
    <n v="192"/>
    <x v="76"/>
    <n v="242"/>
    <n v="24"/>
    <n v="6"/>
    <n v="3.125E-2"/>
    <x v="82"/>
    <d v="2024-11-01T00:00:00"/>
    <s v="Hyderabad"/>
    <x v="1"/>
    <x v="2"/>
    <s v="November"/>
    <x v="3"/>
    <n v="1.2604166666666601"/>
    <n v="4.54"/>
    <n v="10.08"/>
    <n v="40.33"/>
    <n v="-12.81"/>
    <n v="35.17"/>
    <n v="0.87"/>
  </r>
  <r>
    <n v="318"/>
    <s v="A1318"/>
    <x v="1"/>
    <n v="149"/>
    <x v="298"/>
    <n v="181"/>
    <n v="20"/>
    <n v="4"/>
    <n v="2.68456375838926E-2"/>
    <x v="157"/>
    <d v="2024-11-17T00:00:00"/>
    <s v="Hyderabad"/>
    <x v="0"/>
    <x v="0"/>
    <s v="November"/>
    <x v="4"/>
    <n v="1.21557046979865"/>
    <n v="4.37"/>
    <n v="9.06"/>
    <n v="45.28"/>
    <n v="103.73"/>
    <n v="92.25"/>
    <n v="2.04"/>
  </r>
  <r>
    <n v="319"/>
    <s v="A1319"/>
    <x v="2"/>
    <n v="93"/>
    <x v="131"/>
    <n v="227"/>
    <n v="20"/>
    <n v="6"/>
    <n v="6.4516129032257993E-2"/>
    <x v="57"/>
    <d v="2024-11-18T00:00:00"/>
    <s v="Hyderabad"/>
    <x v="1"/>
    <x v="2"/>
    <s v="November"/>
    <x v="6"/>
    <n v="2.4391397849462302"/>
    <n v="2.36"/>
    <n v="11.34"/>
    <n v="37.81"/>
    <n v="76.78"/>
    <n v="66.83"/>
    <n v="1.77"/>
  </r>
  <r>
    <n v="320"/>
    <s v="A1320"/>
    <x v="2"/>
    <n v="182"/>
    <x v="299"/>
    <n v="188"/>
    <n v="18"/>
    <n v="8"/>
    <n v="4.3956043956043897E-2"/>
    <x v="60"/>
    <d v="2024-11-01T00:00:00"/>
    <s v="Hyderabad"/>
    <x v="0"/>
    <x v="5"/>
    <s v="November"/>
    <x v="3"/>
    <n v="1.0311538461538401"/>
    <n v="5.38"/>
    <n v="10.43"/>
    <n v="23.46"/>
    <n v="92.36"/>
    <n v="45.12"/>
    <n v="1.92"/>
  </r>
  <r>
    <n v="321"/>
    <s v="A1321"/>
    <x v="1"/>
    <n v="99"/>
    <x v="300"/>
    <n v="246"/>
    <n v="23"/>
    <n v="8"/>
    <n v="8.0808080808080801E-2"/>
    <x v="22"/>
    <d v="2024-11-10T00:00:00"/>
    <s v="Hyderabad"/>
    <x v="2"/>
    <x v="4"/>
    <s v="November"/>
    <x v="4"/>
    <n v="2.4878787878787798"/>
    <n v="2.58"/>
    <n v="10.71"/>
    <n v="30.79"/>
    <n v="20.18"/>
    <n v="37"/>
    <n v="1.2"/>
  </r>
  <r>
    <n v="322"/>
    <s v="A1322"/>
    <x v="1"/>
    <n v="188"/>
    <x v="301"/>
    <n v="239"/>
    <n v="20"/>
    <n v="8"/>
    <n v="4.2553191489361701E-2"/>
    <x v="32"/>
    <d v="2024-11-06T00:00:00"/>
    <s v="Hyderabad"/>
    <x v="1"/>
    <x v="2"/>
    <s v="November"/>
    <x v="1"/>
    <n v="1.26920212765957"/>
    <n v="4.67"/>
    <n v="11.93"/>
    <n v="29.83"/>
    <n v="56.62"/>
    <n v="46.71"/>
    <n v="1.57"/>
  </r>
  <r>
    <n v="323"/>
    <s v="A1323"/>
    <x v="3"/>
    <n v="193"/>
    <x v="38"/>
    <n v="202"/>
    <n v="16"/>
    <n v="10"/>
    <n v="5.1813471502590601E-2"/>
    <x v="67"/>
    <d v="2024-11-05T00:00:00"/>
    <s v="Hyderabad"/>
    <x v="2"/>
    <x v="3"/>
    <s v="November"/>
    <x v="2"/>
    <n v="1.0440932642487"/>
    <n v="3.34"/>
    <n v="12.59"/>
    <n v="20.149999999999999"/>
    <n v="63.76"/>
    <n v="33"/>
    <n v="1.64"/>
  </r>
  <r>
    <n v="324"/>
    <s v="A1324"/>
    <x v="2"/>
    <n v="107"/>
    <x v="302"/>
    <n v="239"/>
    <n v="25"/>
    <n v="9"/>
    <n v="8.4112149532710206E-2"/>
    <x v="153"/>
    <d v="2024-11-23T00:00:00"/>
    <s v="Hyderabad"/>
    <x v="0"/>
    <x v="5"/>
    <s v="November"/>
    <x v="0"/>
    <n v="2.23803738317757"/>
    <n v="2.42"/>
    <n v="9.58"/>
    <n v="26.61"/>
    <n v="16.920000000000002"/>
    <n v="31.11"/>
    <n v="1.17"/>
  </r>
  <r>
    <n v="325"/>
    <s v="A1325"/>
    <x v="0"/>
    <n v="131"/>
    <x v="303"/>
    <n v="230"/>
    <n v="16"/>
    <n v="9"/>
    <n v="6.8702290076335798E-2"/>
    <x v="144"/>
    <d v="2024-11-07T00:00:00"/>
    <s v="Hyderabad"/>
    <x v="0"/>
    <x v="3"/>
    <s v="November"/>
    <x v="5"/>
    <n v="1.7570992366412199"/>
    <n v="3.1"/>
    <n v="14.39"/>
    <n v="25.58"/>
    <n v="23.38"/>
    <n v="31.56"/>
    <n v="1.23"/>
  </r>
  <r>
    <n v="326"/>
    <s v="A1326"/>
    <x v="3"/>
    <n v="139"/>
    <x v="304"/>
    <n v="199"/>
    <n v="24"/>
    <n v="5"/>
    <n v="3.5971223021582698E-2"/>
    <x v="34"/>
    <d v="2024-11-23T00:00:00"/>
    <s v="Hyderabad"/>
    <x v="1"/>
    <x v="1"/>
    <s v="November"/>
    <x v="0"/>
    <n v="1.4338129496402801"/>
    <n v="2.71"/>
    <n v="8.3000000000000007"/>
    <n v="39.86"/>
    <n v="87.66"/>
    <n v="74.8"/>
    <n v="1.88"/>
  </r>
  <r>
    <n v="327"/>
    <s v="A1327"/>
    <x v="0"/>
    <n v="141"/>
    <x v="305"/>
    <n v="228"/>
    <n v="20"/>
    <n v="6"/>
    <n v="4.2553191489361701E-2"/>
    <x v="44"/>
    <d v="2024-11-07T00:00:00"/>
    <s v="Hyderabad"/>
    <x v="0"/>
    <x v="0"/>
    <s v="November"/>
    <x v="5"/>
    <n v="1.61375886524822"/>
    <n v="3.92"/>
    <n v="11.38"/>
    <n v="37.92"/>
    <n v="22.62"/>
    <n v="46.5"/>
    <n v="1.23"/>
  </r>
  <r>
    <n v="328"/>
    <s v="A1328"/>
    <x v="1"/>
    <n v="175"/>
    <x v="62"/>
    <n v="270"/>
    <n v="16"/>
    <n v="3"/>
    <n v="1.7142857142857099E-2"/>
    <x v="69"/>
    <d v="2024-11-07T00:00:00"/>
    <s v="Hyderabad"/>
    <x v="2"/>
    <x v="0"/>
    <s v="November"/>
    <x v="5"/>
    <n v="1.5454545454545401"/>
    <n v="3.49"/>
    <n v="16.899999999999999"/>
    <n v="90.15"/>
    <n v="38.659999999999997"/>
    <n v="125"/>
    <n v="1.39"/>
  </r>
  <r>
    <n v="329"/>
    <s v="A1329"/>
    <x v="3"/>
    <n v="96"/>
    <x v="306"/>
    <n v="214"/>
    <n v="30"/>
    <n v="3"/>
    <n v="3.125E-2"/>
    <x v="11"/>
    <d v="2024-11-30T00:00:00"/>
    <s v="Hyderabad"/>
    <x v="1"/>
    <x v="5"/>
    <s v="November"/>
    <x v="0"/>
    <n v="2.2289583333333298"/>
    <n v="1.66"/>
    <n v="7.13"/>
    <n v="71.33"/>
    <n v="7.95"/>
    <n v="77"/>
    <n v="1.08"/>
  </r>
  <r>
    <n v="330"/>
    <s v="A1330"/>
    <x v="0"/>
    <n v="140"/>
    <x v="307"/>
    <n v="195"/>
    <n v="12"/>
    <n v="6"/>
    <n v="4.2857142857142802E-2"/>
    <x v="62"/>
    <d v="2024-11-25T00:00:00"/>
    <s v="Hyderabad"/>
    <x v="2"/>
    <x v="3"/>
    <s v="November"/>
    <x v="6"/>
    <n v="1.39207142857142"/>
    <n v="3.03"/>
    <n v="16.239999999999998"/>
    <n v="32.479999999999997"/>
    <n v="101.14"/>
    <n v="65.33"/>
    <n v="2.0099999999999998"/>
  </r>
  <r>
    <n v="331"/>
    <s v="A1331"/>
    <x v="3"/>
    <n v="187"/>
    <x v="308"/>
    <n v="185"/>
    <n v="12"/>
    <n v="3"/>
    <n v="1.60427807486631E-2"/>
    <x v="21"/>
    <d v="2024-11-30T00:00:00"/>
    <s v="Hyderabad"/>
    <x v="1"/>
    <x v="0"/>
    <s v="November"/>
    <x v="0"/>
    <n v="0.98721925133689803"/>
    <n v="6"/>
    <n v="15.38"/>
    <n v="61.54"/>
    <n v="46.25"/>
    <n v="90"/>
    <n v="1.46"/>
  </r>
  <r>
    <n v="332"/>
    <s v="A1332"/>
    <x v="0"/>
    <n v="153"/>
    <x v="309"/>
    <n v="218"/>
    <n v="29"/>
    <n v="3"/>
    <n v="1.9607843137254902E-2"/>
    <x v="37"/>
    <d v="2024-11-20T00:00:00"/>
    <s v="Hyderabad"/>
    <x v="1"/>
    <x v="5"/>
    <s v="November"/>
    <x v="1"/>
    <n v="1.4269934640522799"/>
    <n v="2.6"/>
    <n v="7.53"/>
    <n v="72.78"/>
    <n v="33.28"/>
    <n v="97"/>
    <n v="1.33"/>
  </r>
  <r>
    <n v="333"/>
    <s v="A1333"/>
    <x v="0"/>
    <n v="122"/>
    <x v="310"/>
    <n v="193"/>
    <n v="10"/>
    <n v="10"/>
    <n v="8.1967213114753995E-2"/>
    <x v="64"/>
    <d v="2024-11-12T00:00:00"/>
    <s v="Hyderabad"/>
    <x v="0"/>
    <x v="3"/>
    <s v="November"/>
    <x v="2"/>
    <n v="1.5796721311475399"/>
    <n v="2.48"/>
    <n v="19.27"/>
    <n v="19.27"/>
    <n v="142.38999999999999"/>
    <n v="46.71"/>
    <n v="2.42"/>
  </r>
  <r>
    <n v="334"/>
    <s v="A1334"/>
    <x v="3"/>
    <n v="151"/>
    <x v="311"/>
    <n v="239"/>
    <n v="28"/>
    <n v="9"/>
    <n v="5.9602649006622502E-2"/>
    <x v="125"/>
    <d v="2024-11-13T00:00:00"/>
    <s v="Hyderabad"/>
    <x v="2"/>
    <x v="5"/>
    <s v="November"/>
    <x v="1"/>
    <n v="1.58072847682119"/>
    <n v="3.47"/>
    <n v="8.52"/>
    <n v="26.52"/>
    <n v="23.59"/>
    <n v="32.78"/>
    <n v="1.24"/>
  </r>
  <r>
    <n v="335"/>
    <s v="A1335"/>
    <x v="1"/>
    <n v="116"/>
    <x v="168"/>
    <n v="184"/>
    <n v="23"/>
    <n v="7"/>
    <n v="6.0344827586206899E-2"/>
    <x v="158"/>
    <d v="2024-11-12T00:00:00"/>
    <s v="Hyderabad"/>
    <x v="0"/>
    <x v="3"/>
    <s v="November"/>
    <x v="2"/>
    <n v="1.5887068965517199"/>
    <n v="2.57"/>
    <n v="8.01"/>
    <n v="26.33"/>
    <n v="18.29"/>
    <n v="31.14"/>
    <n v="1.18"/>
  </r>
  <r>
    <n v="336"/>
    <s v="A1336"/>
    <x v="1"/>
    <n v="145"/>
    <x v="312"/>
    <n v="207"/>
    <n v="22"/>
    <n v="4"/>
    <n v="2.7586206896551699E-2"/>
    <x v="52"/>
    <d v="2024-11-12T00:00:00"/>
    <s v="Hyderabad"/>
    <x v="0"/>
    <x v="0"/>
    <s v="November"/>
    <x v="2"/>
    <n v="1.4299310344827501"/>
    <n v="2.58"/>
    <n v="9.42"/>
    <n v="51.84"/>
    <n v="66.39"/>
    <n v="86.25"/>
    <n v="1.66"/>
  </r>
  <r>
    <n v="337"/>
    <s v="A1337"/>
    <x v="3"/>
    <n v="90"/>
    <x v="313"/>
    <n v="199"/>
    <n v="12"/>
    <n v="7"/>
    <n v="7.7777777777777696E-2"/>
    <x v="122"/>
    <d v="2024-11-30T00:00:00"/>
    <s v="Hyderabad"/>
    <x v="1"/>
    <x v="0"/>
    <s v="November"/>
    <x v="0"/>
    <n v="2.2076666666666598"/>
    <n v="2.77"/>
    <n v="16.559999999999999"/>
    <n v="28.38"/>
    <n v="7.2"/>
    <n v="30.43"/>
    <n v="1.07"/>
  </r>
  <r>
    <n v="338"/>
    <s v="A1338"/>
    <x v="3"/>
    <n v="133"/>
    <x v="314"/>
    <n v="204"/>
    <n v="13"/>
    <n v="9"/>
    <n v="6.7669172932330796E-2"/>
    <x v="25"/>
    <d v="2024-11-14T00:00:00"/>
    <s v="Hyderabad"/>
    <x v="1"/>
    <x v="4"/>
    <s v="November"/>
    <x v="5"/>
    <n v="1.5321804511278101"/>
    <n v="3.96"/>
    <n v="15.68"/>
    <n v="22.64"/>
    <n v="65.87"/>
    <n v="37.56"/>
    <n v="1.66"/>
  </r>
  <r>
    <n v="339"/>
    <s v="A1339"/>
    <x v="0"/>
    <n v="135"/>
    <x v="315"/>
    <n v="246"/>
    <n v="21"/>
    <n v="6"/>
    <n v="4.4444444444444398E-2"/>
    <x v="56"/>
    <d v="2024-11-05T00:00:00"/>
    <s v="Hyderabad"/>
    <x v="1"/>
    <x v="0"/>
    <s v="November"/>
    <x v="2"/>
    <n v="1.81992592592592"/>
    <n v="2.29"/>
    <n v="11.7"/>
    <n v="40.950000000000003"/>
    <n v="61.59"/>
    <n v="66.17"/>
    <n v="1.62"/>
  </r>
  <r>
    <n v="340"/>
    <s v="A1340"/>
    <x v="2"/>
    <n v="155"/>
    <x v="316"/>
    <n v="240"/>
    <n v="10"/>
    <n v="4"/>
    <n v="2.5806451612903201E-2"/>
    <x v="159"/>
    <d v="2024-11-13T00:00:00"/>
    <s v="Hyderabad"/>
    <x v="1"/>
    <x v="5"/>
    <s v="November"/>
    <x v="1"/>
    <n v="1.54529032258064"/>
    <n v="2.66"/>
    <n v="23.95"/>
    <n v="59.88"/>
    <n v="-21.99"/>
    <n v="46.71"/>
    <n v="0.78"/>
  </r>
  <r>
    <n v="341"/>
    <s v="A1341"/>
    <x v="1"/>
    <n v="100"/>
    <x v="317"/>
    <n v="187"/>
    <n v="22"/>
    <n v="10"/>
    <n v="0.1"/>
    <x v="160"/>
    <d v="2024-11-23T00:00:00"/>
    <s v="Hyderabad"/>
    <x v="1"/>
    <x v="5"/>
    <s v="November"/>
    <x v="0"/>
    <n v="1.8668"/>
    <n v="2.0299999999999998"/>
    <n v="8.49"/>
    <n v="18.670000000000002"/>
    <n v="17.309999999999999"/>
    <n v="21.9"/>
    <n v="1.17"/>
  </r>
  <r>
    <n v="342"/>
    <s v="A1342"/>
    <x v="2"/>
    <n v="138"/>
    <x v="318"/>
    <n v="183"/>
    <n v="20"/>
    <n v="7"/>
    <n v="5.0724637681159403E-2"/>
    <x v="161"/>
    <d v="2024-11-20T00:00:00"/>
    <s v="Hyderabad"/>
    <x v="1"/>
    <x v="4"/>
    <s v="November"/>
    <x v="1"/>
    <n v="1.3236231884057901"/>
    <n v="3.41"/>
    <n v="9.1300000000000008"/>
    <n v="26.09"/>
    <n v="44.53"/>
    <n v="37.71"/>
    <n v="1.45"/>
  </r>
  <r>
    <n v="343"/>
    <s v="A1343"/>
    <x v="0"/>
    <n v="109"/>
    <x v="319"/>
    <n v="243"/>
    <n v="18"/>
    <n v="6"/>
    <n v="5.5045871559633003E-2"/>
    <x v="24"/>
    <d v="2024-11-25T00:00:00"/>
    <s v="Hyderabad"/>
    <x v="2"/>
    <x v="0"/>
    <s v="November"/>
    <x v="6"/>
    <n v="2.2323853211009101"/>
    <n v="2.65"/>
    <n v="13.52"/>
    <n v="40.56"/>
    <n v="22.06"/>
    <n v="49.5"/>
    <n v="1.22"/>
  </r>
  <r>
    <n v="344"/>
    <s v="A1344"/>
    <x v="1"/>
    <n v="124"/>
    <x v="95"/>
    <n v="198"/>
    <n v="11"/>
    <n v="4"/>
    <n v="3.2258064516128997E-2"/>
    <x v="35"/>
    <d v="2024-11-26T00:00:00"/>
    <s v="Hyderabad"/>
    <x v="1"/>
    <x v="1"/>
    <s v="November"/>
    <x v="2"/>
    <n v="1.59766129032258"/>
    <n v="3.14"/>
    <n v="18.010000000000002"/>
    <n v="49.53"/>
    <n v="34.770000000000003"/>
    <n v="66.75"/>
    <n v="1.35"/>
  </r>
  <r>
    <n v="345"/>
    <s v="A1345"/>
    <x v="2"/>
    <n v="112"/>
    <x v="320"/>
    <n v="239"/>
    <n v="25"/>
    <n v="5"/>
    <n v="4.4642857142857102E-2"/>
    <x v="86"/>
    <d v="2024-11-02T00:00:00"/>
    <s v="Hyderabad"/>
    <x v="2"/>
    <x v="4"/>
    <s v="November"/>
    <x v="0"/>
    <n v="2.13625"/>
    <n v="3.02"/>
    <n v="9.57"/>
    <n v="47.85"/>
    <n v="28.31"/>
    <n v="61.4"/>
    <n v="1.28"/>
  </r>
  <r>
    <n v="346"/>
    <s v="A1346"/>
    <x v="3"/>
    <n v="197"/>
    <x v="321"/>
    <n v="209"/>
    <n v="14"/>
    <n v="4"/>
    <n v="2.03045685279187E-2"/>
    <x v="162"/>
    <d v="2024-11-01T00:00:00"/>
    <s v="Hyderabad"/>
    <x v="2"/>
    <x v="3"/>
    <s v="November"/>
    <x v="3"/>
    <n v="1.06020304568527"/>
    <n v="3.67"/>
    <n v="14.92"/>
    <n v="52.22"/>
    <n v="8.2100000000000009"/>
    <n v="56.5"/>
    <n v="1.08"/>
  </r>
  <r>
    <n v="347"/>
    <s v="A1347"/>
    <x v="2"/>
    <n v="114"/>
    <x v="322"/>
    <n v="225"/>
    <n v="26"/>
    <n v="4"/>
    <n v="3.5087719298245598E-2"/>
    <x v="55"/>
    <d v="2024-11-29T00:00:00"/>
    <s v="Hyderabad"/>
    <x v="2"/>
    <x v="4"/>
    <s v="November"/>
    <x v="3"/>
    <n v="1.9706140350877099"/>
    <n v="2.19"/>
    <n v="8.64"/>
    <n v="56.16"/>
    <n v="10.84"/>
    <n v="62.25"/>
    <n v="1.1100000000000001"/>
  </r>
  <r>
    <n v="348"/>
    <s v="A1348"/>
    <x v="1"/>
    <n v="117"/>
    <x v="323"/>
    <n v="212"/>
    <n v="16"/>
    <n v="5"/>
    <n v="4.2735042735042701E-2"/>
    <x v="155"/>
    <d v="2024-11-10T00:00:00"/>
    <s v="Hyderabad"/>
    <x v="0"/>
    <x v="3"/>
    <s v="November"/>
    <x v="4"/>
    <n v="1.81213675213675"/>
    <n v="2.96"/>
    <n v="13.25"/>
    <n v="42.4"/>
    <n v="87.72"/>
    <n v="79.599999999999994"/>
    <n v="1.88"/>
  </r>
  <r>
    <n v="349"/>
    <s v="A1349"/>
    <x v="3"/>
    <n v="198"/>
    <x v="324"/>
    <n v="225"/>
    <n v="13"/>
    <n v="10"/>
    <n v="5.0505050505050497E-2"/>
    <x v="40"/>
    <d v="2024-11-14T00:00:00"/>
    <s v="Hyderabad"/>
    <x v="2"/>
    <x v="4"/>
    <s v="November"/>
    <x v="5"/>
    <n v="1.1358585858585799"/>
    <n v="5.81"/>
    <n v="17.3"/>
    <n v="22.49"/>
    <n v="48.07"/>
    <n v="33.299999999999997"/>
    <n v="1.48"/>
  </r>
  <r>
    <n v="350"/>
    <s v="A1350"/>
    <x v="2"/>
    <n v="160"/>
    <x v="325"/>
    <n v="208"/>
    <n v="20"/>
    <n v="8"/>
    <n v="0.05"/>
    <x v="163"/>
    <d v="2024-11-15T00:00:00"/>
    <s v="Hyderabad"/>
    <x v="2"/>
    <x v="1"/>
    <s v="November"/>
    <x v="3"/>
    <n v="1.3029375000000001"/>
    <n v="2.98"/>
    <n v="10.42"/>
    <n v="26.06"/>
    <n v="81.319999999999993"/>
    <n v="47.25"/>
    <n v="1.81"/>
  </r>
  <r>
    <n v="351"/>
    <s v="A1351"/>
    <x v="0"/>
    <n v="137"/>
    <x v="326"/>
    <n v="195"/>
    <n v="23"/>
    <n v="5"/>
    <n v="3.6496350364963501E-2"/>
    <x v="164"/>
    <d v="2024-11-02T00:00:00"/>
    <s v="Hyderabad"/>
    <x v="2"/>
    <x v="1"/>
    <s v="November"/>
    <x v="0"/>
    <n v="1.4200729927007301"/>
    <n v="3.8"/>
    <n v="8.4600000000000009"/>
    <n v="38.909999999999997"/>
    <n v="65.510000000000005"/>
    <n v="64.400000000000006"/>
    <n v="1.66"/>
  </r>
  <r>
    <n v="352"/>
    <s v="A1352"/>
    <x v="1"/>
    <n v="163"/>
    <x v="327"/>
    <n v="209"/>
    <n v="10"/>
    <n v="3"/>
    <n v="1.84049079754601E-2"/>
    <x v="33"/>
    <d v="2024-11-17T00:00:00"/>
    <s v="Hyderabad"/>
    <x v="2"/>
    <x v="3"/>
    <s v="November"/>
    <x v="4"/>
    <n v="1.2822699386503"/>
    <n v="4.16"/>
    <n v="20.9"/>
    <n v="69.67"/>
    <n v="77.98"/>
    <n v="124"/>
    <n v="1.78"/>
  </r>
  <r>
    <n v="353"/>
    <s v="A1353"/>
    <x v="3"/>
    <n v="138"/>
    <x v="151"/>
    <n v="244"/>
    <n v="26"/>
    <n v="3"/>
    <n v="2.1739130434782601E-2"/>
    <x v="54"/>
    <d v="2024-11-13T00:00:00"/>
    <s v="Hyderabad"/>
    <x v="2"/>
    <x v="5"/>
    <s v="November"/>
    <x v="1"/>
    <n v="1.76898550724637"/>
    <n v="2.4300000000000002"/>
    <n v="9.39"/>
    <n v="81.37"/>
    <n v="-42.59"/>
    <n v="46.71"/>
    <n v="0.56999999999999995"/>
  </r>
  <r>
    <n v="354"/>
    <s v="A1354"/>
    <x v="3"/>
    <n v="194"/>
    <x v="328"/>
    <n v="228"/>
    <n v="28"/>
    <n v="7"/>
    <n v="3.60824742268041E-2"/>
    <x v="156"/>
    <d v="2024-11-22T00:00:00"/>
    <s v="Hyderabad"/>
    <x v="1"/>
    <x v="0"/>
    <s v="November"/>
    <x v="3"/>
    <n v="1.17355670103092"/>
    <n v="3.87"/>
    <n v="8.1300000000000008"/>
    <n v="32.520000000000003"/>
    <n v="-8.64"/>
    <n v="29.71"/>
    <n v="0.91"/>
  </r>
  <r>
    <n v="355"/>
    <s v="A1355"/>
    <x v="3"/>
    <n v="177"/>
    <x v="329"/>
    <n v="190"/>
    <n v="13"/>
    <n v="8"/>
    <n v="4.5197740112994302E-2"/>
    <x v="165"/>
    <d v="2024-11-25T00:00:00"/>
    <s v="Hyderabad"/>
    <x v="1"/>
    <x v="4"/>
    <s v="November"/>
    <x v="6"/>
    <n v="1.07519774011299"/>
    <n v="4.96"/>
    <n v="14.64"/>
    <n v="23.79"/>
    <n v="50.28"/>
    <n v="35.75"/>
    <n v="1.5"/>
  </r>
  <r>
    <n v="356"/>
    <s v="A1356"/>
    <x v="0"/>
    <n v="113"/>
    <x v="330"/>
    <n v="223"/>
    <n v="22"/>
    <n v="10"/>
    <n v="8.8495575221238895E-2"/>
    <x v="116"/>
    <d v="2024-11-23T00:00:00"/>
    <s v="Hyderabad"/>
    <x v="1"/>
    <x v="4"/>
    <s v="November"/>
    <x v="0"/>
    <n v="1.97769911504424"/>
    <n v="3.3"/>
    <n v="10.16"/>
    <n v="22.35"/>
    <n v="3.81"/>
    <n v="23.2"/>
    <n v="1.04"/>
  </r>
  <r>
    <n v="357"/>
    <s v="A1357"/>
    <x v="1"/>
    <n v="133"/>
    <x v="331"/>
    <n v="222"/>
    <n v="22"/>
    <n v="5"/>
    <n v="3.7593984962405999E-2"/>
    <x v="13"/>
    <d v="2024-11-11T00:00:00"/>
    <s v="Hyderabad"/>
    <x v="1"/>
    <x v="0"/>
    <s v="November"/>
    <x v="6"/>
    <n v="1.6676691729323301"/>
    <n v="4.34"/>
    <n v="10.08"/>
    <n v="44.36"/>
    <n v="41.57"/>
    <n v="62.8"/>
    <n v="1.42"/>
  </r>
  <r>
    <n v="358"/>
    <s v="A1358"/>
    <x v="0"/>
    <n v="118"/>
    <x v="332"/>
    <n v="208"/>
    <n v="25"/>
    <n v="8"/>
    <n v="6.7796610169491497E-2"/>
    <x v="166"/>
    <d v="2024-11-12T00:00:00"/>
    <s v="Hyderabad"/>
    <x v="1"/>
    <x v="3"/>
    <s v="November"/>
    <x v="2"/>
    <n v="1.75847457627118"/>
    <n v="3.16"/>
    <n v="8.3000000000000007"/>
    <n v="25.94"/>
    <n v="-0.72"/>
    <n v="25.75"/>
    <n v="0.99"/>
  </r>
  <r>
    <n v="359"/>
    <s v="A1359"/>
    <x v="2"/>
    <n v="109"/>
    <x v="226"/>
    <n v="235"/>
    <n v="20"/>
    <n v="5"/>
    <n v="4.5871559633027498E-2"/>
    <x v="56"/>
    <d v="2024-11-14T00:00:00"/>
    <s v="Hyderabad"/>
    <x v="0"/>
    <x v="5"/>
    <s v="November"/>
    <x v="5"/>
    <n v="2.16"/>
    <n v="1.86"/>
    <n v="11.77"/>
    <n v="47.09"/>
    <n v="68.62"/>
    <n v="79.400000000000006"/>
    <n v="1.69"/>
  </r>
  <r>
    <n v="360"/>
    <s v="A1360"/>
    <x v="1"/>
    <n v="109"/>
    <x v="333"/>
    <n v="185"/>
    <n v="13"/>
    <n v="6"/>
    <n v="5.5045871559633003E-2"/>
    <x v="112"/>
    <d v="2024-11-23T00:00:00"/>
    <s v="Hyderabad"/>
    <x v="0"/>
    <x v="2"/>
    <s v="November"/>
    <x v="0"/>
    <n v="1.69275229357798"/>
    <n v="2.72"/>
    <n v="14.19"/>
    <n v="30.75"/>
    <n v="52.3"/>
    <n v="46.83"/>
    <n v="1.52"/>
  </r>
  <r>
    <n v="361"/>
    <s v="A1361"/>
    <x v="2"/>
    <n v="128"/>
    <x v="334"/>
    <n v="244"/>
    <n v="20"/>
    <n v="10"/>
    <n v="7.8125E-2"/>
    <x v="167"/>
    <d v="2024-11-02T00:00:00"/>
    <s v="Hyderabad"/>
    <x v="1"/>
    <x v="3"/>
    <s v="November"/>
    <x v="0"/>
    <n v="1.9049218750000001"/>
    <n v="2.76"/>
    <n v="12.19"/>
    <n v="24.38"/>
    <n v="62.41"/>
    <n v="39.6"/>
    <n v="1.62"/>
  </r>
  <r>
    <n v="362"/>
    <s v="A1362"/>
    <x v="3"/>
    <n v="181"/>
    <x v="335"/>
    <n v="201"/>
    <n v="19"/>
    <n v="10"/>
    <n v="5.5248618784530301E-2"/>
    <x v="64"/>
    <d v="2024-11-20T00:00:00"/>
    <s v="Hyderabad"/>
    <x v="1"/>
    <x v="2"/>
    <s v="November"/>
    <x v="1"/>
    <n v="1.11209944751381"/>
    <n v="5.86"/>
    <n v="10.59"/>
    <n v="20.13"/>
    <n v="132.07"/>
    <n v="46.71"/>
    <n v="2.3199999999999998"/>
  </r>
  <r>
    <n v="363"/>
    <s v="A1363"/>
    <x v="3"/>
    <n v="89"/>
    <x v="336"/>
    <n v="198"/>
    <n v="14"/>
    <n v="6"/>
    <n v="6.7415730337078594E-2"/>
    <x v="65"/>
    <d v="2024-11-20T00:00:00"/>
    <s v="Hyderabad"/>
    <x v="1"/>
    <x v="4"/>
    <s v="November"/>
    <x v="1"/>
    <n v="2.22831460674157"/>
    <n v="1.52"/>
    <n v="14.17"/>
    <n v="33.049999999999997"/>
    <n v="59.84"/>
    <n v="52.83"/>
    <n v="1.6"/>
  </r>
  <r>
    <n v="364"/>
    <s v="A1364"/>
    <x v="3"/>
    <n v="157"/>
    <x v="337"/>
    <n v="248"/>
    <n v="26"/>
    <n v="4"/>
    <n v="2.54777070063694E-2"/>
    <x v="131"/>
    <d v="2024-11-05T00:00:00"/>
    <s v="Hyderabad"/>
    <x v="2"/>
    <x v="2"/>
    <s v="November"/>
    <x v="2"/>
    <n v="1.5802547770700599"/>
    <n v="2.72"/>
    <n v="9.5399999999999991"/>
    <n v="62.02"/>
    <n v="64.45"/>
    <n v="102"/>
    <n v="1.64"/>
  </r>
  <r>
    <n v="365"/>
    <s v="A1365"/>
    <x v="0"/>
    <n v="88"/>
    <x v="338"/>
    <n v="194"/>
    <n v="19"/>
    <n v="5"/>
    <n v="5.6818181818181802E-2"/>
    <x v="168"/>
    <d v="2024-11-18T00:00:00"/>
    <s v="Hyderabad"/>
    <x v="1"/>
    <x v="4"/>
    <s v="November"/>
    <x v="6"/>
    <n v="2.20215909090909"/>
    <n v="2.59"/>
    <n v="10.199999999999999"/>
    <n v="38.76"/>
    <n v="96.09"/>
    <n v="76"/>
    <n v="1.96"/>
  </r>
  <r>
    <n v="366"/>
    <s v="A1366"/>
    <x v="0"/>
    <n v="130"/>
    <x v="339"/>
    <n v="211"/>
    <n v="28"/>
    <n v="7"/>
    <n v="5.3846153846153801E-2"/>
    <x v="9"/>
    <d v="2024-11-24T00:00:00"/>
    <s v="Hyderabad"/>
    <x v="2"/>
    <x v="1"/>
    <s v="November"/>
    <x v="4"/>
    <n v="1.6260769230769201"/>
    <n v="4.2"/>
    <n v="7.55"/>
    <n v="30.2"/>
    <n v="-0.66"/>
    <n v="30"/>
    <n v="0.99"/>
  </r>
  <r>
    <n v="367"/>
    <s v="A1367"/>
    <x v="1"/>
    <n v="194"/>
    <x v="340"/>
    <n v="213"/>
    <n v="18"/>
    <n v="4"/>
    <n v="2.06185567010309E-2"/>
    <x v="0"/>
    <d v="2024-11-23T00:00:00"/>
    <s v="Hyderabad"/>
    <x v="2"/>
    <x v="2"/>
    <s v="November"/>
    <x v="0"/>
    <n v="1.1002577319587601"/>
    <n v="4.58"/>
    <n v="11.86"/>
    <n v="53.36"/>
    <n v="80.84"/>
    <n v="96.5"/>
    <n v="1.81"/>
  </r>
  <r>
    <n v="368"/>
    <s v="A1368"/>
    <x v="0"/>
    <n v="180"/>
    <x v="341"/>
    <n v="200"/>
    <n v="24"/>
    <n v="5"/>
    <n v="2.77777777777777E-2"/>
    <x v="106"/>
    <d v="2024-11-18T00:00:00"/>
    <s v="Hyderabad"/>
    <x v="1"/>
    <x v="1"/>
    <s v="November"/>
    <x v="6"/>
    <n v="1.11133333333333"/>
    <n v="4.1900000000000004"/>
    <n v="8.33"/>
    <n v="40.01"/>
    <n v="6.98"/>
    <n v="42.8"/>
    <n v="1.07"/>
  </r>
  <r>
    <n v="369"/>
    <s v="A1369"/>
    <x v="0"/>
    <n v="167"/>
    <x v="342"/>
    <n v="244"/>
    <n v="15"/>
    <n v="10"/>
    <n v="5.9880239520958001E-2"/>
    <x v="168"/>
    <d v="2024-11-22T00:00:00"/>
    <s v="Hyderabad"/>
    <x v="1"/>
    <x v="2"/>
    <s v="November"/>
    <x v="3"/>
    <n v="1.4600598802395199"/>
    <n v="3.03"/>
    <n v="16.260000000000002"/>
    <n v="24.38"/>
    <n v="55.85"/>
    <n v="38"/>
    <n v="1.56"/>
  </r>
  <r>
    <n v="370"/>
    <s v="A1370"/>
    <x v="3"/>
    <n v="153"/>
    <x v="343"/>
    <n v="235"/>
    <n v="24"/>
    <n v="7"/>
    <n v="4.5751633986928102E-2"/>
    <x v="69"/>
    <d v="2024-11-08T00:00:00"/>
    <s v="Hyderabad"/>
    <x v="0"/>
    <x v="2"/>
    <s v="November"/>
    <x v="3"/>
    <n v="1.53882352941176"/>
    <n v="3.04"/>
    <n v="9.81"/>
    <n v="33.630000000000003"/>
    <n v="59.28"/>
    <n v="53.57"/>
    <n v="1.59"/>
  </r>
  <r>
    <n v="371"/>
    <s v="A1371"/>
    <x v="2"/>
    <n v="109"/>
    <x v="99"/>
    <n v="210"/>
    <n v="23"/>
    <n v="9"/>
    <n v="8.2568807339449504E-2"/>
    <x v="50"/>
    <d v="2024-11-01T00:00:00"/>
    <s v="Hyderabad"/>
    <x v="2"/>
    <x v="4"/>
    <s v="November"/>
    <x v="3"/>
    <n v="1.9294495412843999"/>
    <n v="3.03"/>
    <n v="9.14"/>
    <n v="23.37"/>
    <n v="23.15"/>
    <n v="28.78"/>
    <n v="1.23"/>
  </r>
  <r>
    <n v="372"/>
    <s v="A1372"/>
    <x v="0"/>
    <n v="118"/>
    <x v="344"/>
    <n v="190"/>
    <n v="11"/>
    <n v="3"/>
    <n v="2.5423728813559299E-2"/>
    <x v="125"/>
    <d v="2024-11-18T00:00:00"/>
    <s v="Hyderabad"/>
    <x v="0"/>
    <x v="5"/>
    <s v="November"/>
    <x v="6"/>
    <n v="1.6122881355932199"/>
    <n v="2.44"/>
    <n v="17.3"/>
    <n v="63.42"/>
    <n v="55.06"/>
    <n v="98.33"/>
    <n v="1.55"/>
  </r>
  <r>
    <n v="373"/>
    <s v="A1373"/>
    <x v="1"/>
    <n v="101"/>
    <x v="210"/>
    <n v="238"/>
    <n v="11"/>
    <n v="6"/>
    <n v="5.9405940594059403E-2"/>
    <x v="44"/>
    <d v="2024-11-14T00:00:00"/>
    <s v="Hyderabad"/>
    <x v="0"/>
    <x v="5"/>
    <s v="November"/>
    <x v="5"/>
    <n v="2.3553465346534601"/>
    <n v="2.0699999999999998"/>
    <n v="21.63"/>
    <n v="39.65"/>
    <n v="17.28"/>
    <n v="46.5"/>
    <n v="1.17"/>
  </r>
  <r>
    <n v="374"/>
    <s v="A1374"/>
    <x v="3"/>
    <n v="120"/>
    <x v="345"/>
    <n v="201"/>
    <n v="18"/>
    <n v="7"/>
    <n v="5.83333333333333E-2"/>
    <x v="142"/>
    <d v="2024-11-02T00:00:00"/>
    <s v="Hyderabad"/>
    <x v="2"/>
    <x v="2"/>
    <s v="November"/>
    <x v="0"/>
    <n v="1.67425"/>
    <n v="2.6"/>
    <n v="11.16"/>
    <n v="28.7"/>
    <n v="80.180000000000007"/>
    <n v="51.71"/>
    <n v="1.8"/>
  </r>
  <r>
    <n v="375"/>
    <s v="A1375"/>
    <x v="2"/>
    <n v="194"/>
    <x v="346"/>
    <n v="240"/>
    <n v="27"/>
    <n v="10"/>
    <n v="5.1546391752577303E-2"/>
    <x v="153"/>
    <d v="2024-11-11T00:00:00"/>
    <s v="Hyderabad"/>
    <x v="0"/>
    <x v="1"/>
    <s v="November"/>
    <x v="6"/>
    <n v="1.2389175257731899"/>
    <n v="4.92"/>
    <n v="8.9"/>
    <n v="24.04"/>
    <n v="16.5"/>
    <n v="28"/>
    <n v="1.1599999999999999"/>
  </r>
  <r>
    <n v="376"/>
    <s v="A1376"/>
    <x v="2"/>
    <n v="135"/>
    <x v="347"/>
    <n v="230"/>
    <n v="14"/>
    <n v="4"/>
    <n v="2.96296296296296E-2"/>
    <x v="169"/>
    <d v="2024-11-18T00:00:00"/>
    <s v="Hyderabad"/>
    <x v="1"/>
    <x v="3"/>
    <s v="November"/>
    <x v="6"/>
    <n v="1.7060740740740701"/>
    <n v="2.65"/>
    <n v="16.45"/>
    <n v="57.58"/>
    <n v="31.12"/>
    <n v="75.5"/>
    <n v="1.31"/>
  </r>
  <r>
    <n v="377"/>
    <s v="A1377"/>
    <x v="0"/>
    <n v="190"/>
    <x v="348"/>
    <n v="189"/>
    <n v="20"/>
    <n v="4"/>
    <n v="2.1052631578947299E-2"/>
    <x v="170"/>
    <d v="2024-11-04T00:00:00"/>
    <s v="Hyderabad"/>
    <x v="2"/>
    <x v="0"/>
    <s v="November"/>
    <x v="6"/>
    <n v="0.99463157894736798"/>
    <n v="3.43"/>
    <n v="9.4499999999999993"/>
    <n v="47.24"/>
    <n v="114.84"/>
    <n v="101.5"/>
    <n v="2.15"/>
  </r>
  <r>
    <n v="378"/>
    <s v="A1378"/>
    <x v="2"/>
    <n v="198"/>
    <x v="349"/>
    <n v="180"/>
    <n v="19"/>
    <n v="8"/>
    <n v="4.0404040404040401E-2"/>
    <x v="171"/>
    <d v="2024-11-08T00:00:00"/>
    <s v="Hyderabad"/>
    <x v="1"/>
    <x v="3"/>
    <s v="November"/>
    <x v="3"/>
    <n v="0.90939393939393898"/>
    <n v="4.71"/>
    <n v="9.48"/>
    <n v="22.51"/>
    <n v="65.5"/>
    <n v="37.25"/>
    <n v="1.66"/>
  </r>
  <r>
    <n v="379"/>
    <s v="A1379"/>
    <x v="1"/>
    <n v="87"/>
    <x v="350"/>
    <n v="237"/>
    <n v="19"/>
    <n v="5"/>
    <n v="5.7471264367816001E-2"/>
    <x v="97"/>
    <d v="2024-11-02T00:00:00"/>
    <s v="Hyderabad"/>
    <x v="2"/>
    <x v="0"/>
    <s v="November"/>
    <x v="0"/>
    <n v="2.7191954022988498"/>
    <n v="1.62"/>
    <n v="12.45"/>
    <n v="47.31"/>
    <n v="-1.51"/>
    <n v="46.6"/>
    <n v="0.98"/>
  </r>
  <r>
    <n v="380"/>
    <s v="A1380"/>
    <x v="2"/>
    <n v="106"/>
    <x v="351"/>
    <n v="219"/>
    <n v="13"/>
    <n v="3"/>
    <n v="2.83018867924528E-2"/>
    <x v="106"/>
    <d v="2024-11-15T00:00:00"/>
    <s v="Hyderabad"/>
    <x v="0"/>
    <x v="1"/>
    <s v="November"/>
    <x v="3"/>
    <n v="2.06424528301886"/>
    <n v="1.9"/>
    <n v="16.829999999999998"/>
    <n v="72.94"/>
    <n v="-2.2000000000000002"/>
    <n v="71.33"/>
    <n v="0.98"/>
  </r>
  <r>
    <n v="381"/>
    <s v="A1381"/>
    <x v="1"/>
    <n v="169"/>
    <x v="352"/>
    <n v="228"/>
    <n v="12"/>
    <n v="5"/>
    <n v="2.9585798816568001E-2"/>
    <x v="148"/>
    <d v="2024-11-28T00:00:00"/>
    <s v="Hyderabad"/>
    <x v="1"/>
    <x v="1"/>
    <s v="November"/>
    <x v="5"/>
    <n v="1.3473372781065001"/>
    <n v="5.51"/>
    <n v="18.97"/>
    <n v="45.54"/>
    <n v="-4.7"/>
    <n v="43.4"/>
    <n v="0.95"/>
  </r>
  <r>
    <n v="382"/>
    <s v="A1382"/>
    <x v="1"/>
    <n v="195"/>
    <x v="353"/>
    <n v="202"/>
    <n v="18"/>
    <n v="7"/>
    <n v="3.5897435897435798E-2"/>
    <x v="80"/>
    <d v="2024-11-16T00:00:00"/>
    <s v="Hyderabad"/>
    <x v="2"/>
    <x v="4"/>
    <s v="November"/>
    <x v="0"/>
    <n v="1.0363076923076899"/>
    <n v="5.22"/>
    <n v="11.23"/>
    <n v="28.87"/>
    <n v="66.27"/>
    <n v="48"/>
    <n v="1.66"/>
  </r>
  <r>
    <n v="383"/>
    <s v="A1383"/>
    <x v="1"/>
    <n v="161"/>
    <x v="354"/>
    <n v="235"/>
    <n v="10"/>
    <n v="8"/>
    <n v="4.9689440993788803E-2"/>
    <x v="172"/>
    <d v="2024-11-24T00:00:00"/>
    <s v="Hyderabad"/>
    <x v="0"/>
    <x v="4"/>
    <s v="November"/>
    <x v="4"/>
    <n v="1.4602484472049599"/>
    <n v="3.32"/>
    <n v="23.51"/>
    <n v="29.39"/>
    <n v="51"/>
    <n v="44.38"/>
    <n v="1.51"/>
  </r>
  <r>
    <n v="384"/>
    <s v="A1384"/>
    <x v="1"/>
    <n v="195"/>
    <x v="304"/>
    <n v="250"/>
    <n v="26"/>
    <n v="3"/>
    <n v="1.53846153846153E-2"/>
    <x v="140"/>
    <d v="2024-11-04T00:00:00"/>
    <s v="Hyderabad"/>
    <x v="1"/>
    <x v="3"/>
    <s v="November"/>
    <x v="6"/>
    <n v="1.28"/>
    <n v="3.81"/>
    <n v="9.6"/>
    <n v="83.2"/>
    <n v="28.61"/>
    <n v="107"/>
    <n v="1.29"/>
  </r>
  <r>
    <n v="385"/>
    <s v="A1385"/>
    <x v="2"/>
    <n v="111"/>
    <x v="120"/>
    <n v="232"/>
    <n v="10"/>
    <n v="9"/>
    <n v="8.1081081081081002E-2"/>
    <x v="171"/>
    <d v="2024-11-26T00:00:00"/>
    <s v="Hyderabad"/>
    <x v="1"/>
    <x v="3"/>
    <s v="November"/>
    <x v="2"/>
    <n v="2.08837837837837"/>
    <n v="3.13"/>
    <n v="23.18"/>
    <n v="25.76"/>
    <n v="28.55"/>
    <n v="33.11"/>
    <n v="1.29"/>
  </r>
  <r>
    <n v="386"/>
    <s v="A1386"/>
    <x v="0"/>
    <n v="124"/>
    <x v="355"/>
    <n v="206"/>
    <n v="25"/>
    <n v="7"/>
    <n v="5.6451612903225798E-2"/>
    <x v="153"/>
    <d v="2024-11-19T00:00:00"/>
    <s v="Hyderabad"/>
    <x v="1"/>
    <x v="1"/>
    <s v="November"/>
    <x v="2"/>
    <n v="1.66088709677419"/>
    <n v="2.21"/>
    <n v="8.24"/>
    <n v="29.42"/>
    <n v="35.96"/>
    <n v="40"/>
    <n v="1.36"/>
  </r>
  <r>
    <n v="387"/>
    <s v="A1387"/>
    <x v="3"/>
    <n v="89"/>
    <x v="356"/>
    <n v="220"/>
    <n v="28"/>
    <n v="6"/>
    <n v="6.7415730337078594E-2"/>
    <x v="79"/>
    <d v="2024-11-19T00:00:00"/>
    <s v="Hyderabad"/>
    <x v="1"/>
    <x v="1"/>
    <s v="November"/>
    <x v="2"/>
    <n v="2.4713483146067401"/>
    <n v="1.89"/>
    <n v="7.86"/>
    <n v="36.659999999999997"/>
    <n v="38.67"/>
    <n v="50.83"/>
    <n v="1.39"/>
  </r>
  <r>
    <n v="388"/>
    <s v="A1388"/>
    <x v="3"/>
    <n v="122"/>
    <x v="357"/>
    <n v="201"/>
    <n v="10"/>
    <n v="7"/>
    <n v="5.7377049180327801E-2"/>
    <x v="173"/>
    <d v="2024-11-30T00:00:00"/>
    <s v="Hyderabad"/>
    <x v="0"/>
    <x v="1"/>
    <s v="November"/>
    <x v="0"/>
    <n v="1.6478688524590099"/>
    <n v="2.08"/>
    <n v="20.100000000000001"/>
    <n v="28.72"/>
    <n v="37.29"/>
    <n v="39.43"/>
    <n v="1.37"/>
  </r>
  <r>
    <n v="389"/>
    <s v="A1389"/>
    <x v="0"/>
    <n v="177"/>
    <x v="358"/>
    <n v="200"/>
    <n v="28"/>
    <n v="3"/>
    <n v="1.6949152542372801E-2"/>
    <x v="68"/>
    <d v="2024-11-13T00:00:00"/>
    <s v="Hyderabad"/>
    <x v="1"/>
    <x v="2"/>
    <s v="November"/>
    <x v="1"/>
    <n v="1.1282485875706201"/>
    <n v="2.97"/>
    <n v="7.13"/>
    <n v="66.569999999999993"/>
    <n v="11.17"/>
    <n v="74"/>
    <n v="1.1100000000000001"/>
  </r>
  <r>
    <n v="390"/>
    <s v="A1390"/>
    <x v="3"/>
    <n v="163"/>
    <x v="359"/>
    <n v="222"/>
    <n v="29"/>
    <n v="9"/>
    <n v="5.5214723926380299E-2"/>
    <x v="132"/>
    <d v="2024-11-08T00:00:00"/>
    <s v="Hyderabad"/>
    <x v="0"/>
    <x v="0"/>
    <s v="November"/>
    <x v="3"/>
    <n v="1.3595705521472301"/>
    <n v="2.82"/>
    <n v="7.64"/>
    <n v="24.62"/>
    <n v="28.6"/>
    <n v="31.67"/>
    <n v="1.29"/>
  </r>
  <r>
    <n v="391"/>
    <s v="A1391"/>
    <x v="0"/>
    <n v="124"/>
    <x v="360"/>
    <n v="189"/>
    <n v="18"/>
    <n v="3"/>
    <n v="2.4193548387096701E-2"/>
    <x v="130"/>
    <d v="2024-11-23T00:00:00"/>
    <s v="Hyderabad"/>
    <x v="0"/>
    <x v="1"/>
    <s v="November"/>
    <x v="0"/>
    <n v="1.5247580645161201"/>
    <n v="3.04"/>
    <n v="10.5"/>
    <n v="63.02"/>
    <n v="54.44"/>
    <n v="97.33"/>
    <n v="1.54"/>
  </r>
  <r>
    <n v="392"/>
    <s v="A1392"/>
    <x v="3"/>
    <n v="105"/>
    <x v="286"/>
    <n v="218"/>
    <n v="25"/>
    <n v="6"/>
    <n v="5.7142857142857099E-2"/>
    <x v="23"/>
    <d v="2024-11-22T00:00:00"/>
    <s v="Hyderabad"/>
    <x v="0"/>
    <x v="4"/>
    <s v="November"/>
    <x v="3"/>
    <n v="2.0804761904761899"/>
    <n v="2.86"/>
    <n v="8.74"/>
    <n v="36.409999999999997"/>
    <n v="54.27"/>
    <n v="56.17"/>
    <n v="1.54"/>
  </r>
  <r>
    <n v="393"/>
    <s v="A1393"/>
    <x v="1"/>
    <n v="122"/>
    <x v="361"/>
    <n v="186"/>
    <n v="20"/>
    <n v="4"/>
    <n v="3.2786885245901599E-2"/>
    <x v="53"/>
    <d v="2024-11-03T00:00:00"/>
    <s v="Hyderabad"/>
    <x v="1"/>
    <x v="2"/>
    <s v="November"/>
    <x v="4"/>
    <n v="1.5243795620437901"/>
    <n v="3.59"/>
    <n v="9.3000000000000007"/>
    <n v="46.49"/>
    <n v="15.61"/>
    <n v="53.75"/>
    <n v="1.1599999999999999"/>
  </r>
  <r>
    <n v="394"/>
    <s v="A1394"/>
    <x v="3"/>
    <n v="166"/>
    <x v="362"/>
    <n v="241"/>
    <n v="16"/>
    <n v="5"/>
    <n v="3.0120481927710802E-2"/>
    <x v="84"/>
    <d v="2024-11-17T00:00:00"/>
    <s v="Hyderabad"/>
    <x v="1"/>
    <x v="2"/>
    <s v="November"/>
    <x v="4"/>
    <n v="1.4536144578313199"/>
    <n v="2.9"/>
    <n v="15.08"/>
    <n v="48.26"/>
    <n v="-3.2"/>
    <n v="46.71"/>
    <n v="0.97"/>
  </r>
  <r>
    <n v="395"/>
    <s v="A1395"/>
    <x v="2"/>
    <n v="96"/>
    <x v="363"/>
    <n v="196"/>
    <n v="10"/>
    <n v="5"/>
    <n v="5.2083333333333301E-2"/>
    <x v="174"/>
    <d v="2024-11-30T00:00:00"/>
    <s v="Hyderabad"/>
    <x v="2"/>
    <x v="4"/>
    <s v="November"/>
    <x v="0"/>
    <n v="2.04635416666666"/>
    <n v="2.5499999999999998"/>
    <n v="19.64"/>
    <n v="39.29"/>
    <n v="57.8"/>
    <n v="62"/>
    <n v="1.58"/>
  </r>
  <r>
    <n v="396"/>
    <s v="A1396"/>
    <x v="1"/>
    <n v="135"/>
    <x v="190"/>
    <n v="215"/>
    <n v="17"/>
    <n v="9"/>
    <n v="6.6666666666666596E-2"/>
    <x v="89"/>
    <d v="2024-11-06T00:00:00"/>
    <s v="Hyderabad"/>
    <x v="1"/>
    <x v="4"/>
    <s v="November"/>
    <x v="1"/>
    <n v="1.58992592592592"/>
    <n v="3"/>
    <n v="12.63"/>
    <n v="23.85"/>
    <n v="42.56"/>
    <n v="34"/>
    <n v="1.43"/>
  </r>
  <r>
    <n v="397"/>
    <s v="A1397"/>
    <x v="1"/>
    <n v="179"/>
    <x v="364"/>
    <n v="183"/>
    <n v="14"/>
    <n v="3"/>
    <n v="1.67597765363128E-2"/>
    <x v="54"/>
    <d v="2024-11-06T00:00:00"/>
    <s v="Hyderabad"/>
    <x v="2"/>
    <x v="1"/>
    <s v="November"/>
    <x v="1"/>
    <n v="1.0237430167597701"/>
    <n v="4.5"/>
    <n v="13.09"/>
    <n v="61.08"/>
    <n v="-23.52"/>
    <n v="46.71"/>
    <n v="0.76"/>
  </r>
  <r>
    <n v="398"/>
    <s v="A1398"/>
    <x v="2"/>
    <n v="163"/>
    <x v="365"/>
    <n v="206"/>
    <n v="14"/>
    <n v="3"/>
    <n v="1.84049079754601E-2"/>
    <x v="175"/>
    <d v="2024-11-12T00:00:00"/>
    <s v="Hyderabad"/>
    <x v="2"/>
    <x v="0"/>
    <s v="November"/>
    <x v="2"/>
    <n v="1.26662576687116"/>
    <n v="3.03"/>
    <n v="14.75"/>
    <n v="68.819999999999993"/>
    <n v="8.98"/>
    <n v="75"/>
    <n v="1.0900000000000001"/>
  </r>
  <r>
    <n v="399"/>
    <s v="A1399"/>
    <x v="2"/>
    <n v="198"/>
    <x v="366"/>
    <n v="302"/>
    <n v="19"/>
    <n v="9"/>
    <n v="4.54545454545454E-2"/>
    <x v="91"/>
    <d v="2024-11-27T00:00:00"/>
    <s v="Hyderabad"/>
    <x v="1"/>
    <x v="2"/>
    <s v="November"/>
    <x v="1"/>
    <n v="1.5243795620437901"/>
    <n v="3.37"/>
    <n v="15.89"/>
    <n v="33.54"/>
    <n v="-20.149999999999999"/>
    <n v="26.78"/>
    <n v="0.8"/>
  </r>
  <r>
    <n v="400"/>
    <s v="A1400"/>
    <x v="2"/>
    <n v="86"/>
    <x v="173"/>
    <n v="225"/>
    <n v="11"/>
    <n v="6"/>
    <n v="6.9767441860465101E-2"/>
    <x v="137"/>
    <d v="2024-11-11T00:00:00"/>
    <s v="Hyderabad"/>
    <x v="0"/>
    <x v="3"/>
    <s v="November"/>
    <x v="6"/>
    <n v="2.6189534883720902"/>
    <n v="2.42"/>
    <n v="20.48"/>
    <n v="37.54"/>
    <n v="7.89"/>
    <n v="40.5"/>
    <n v="1.08"/>
  </r>
  <r>
    <n v="401"/>
    <s v="A1401"/>
    <x v="2"/>
    <n v="89"/>
    <x v="367"/>
    <n v="219"/>
    <n v="21"/>
    <n v="9"/>
    <n v="0.101123595505617"/>
    <x v="147"/>
    <d v="2024-11-25T00:00:00"/>
    <s v="Hyderabad"/>
    <x v="0"/>
    <x v="0"/>
    <s v="November"/>
    <x v="6"/>
    <n v="2.4571910112359499"/>
    <n v="2.37"/>
    <n v="10.41"/>
    <n v="24.3"/>
    <n v="37.64"/>
    <n v="33.44"/>
    <n v="1.38"/>
  </r>
  <r>
    <n v="402"/>
    <s v="A1402"/>
    <x v="3"/>
    <n v="118"/>
    <x v="99"/>
    <n v="237"/>
    <n v="29"/>
    <n v="9"/>
    <n v="7.6271186440677902E-2"/>
    <x v="141"/>
    <d v="2024-11-23T00:00:00"/>
    <s v="Hyderabad"/>
    <x v="2"/>
    <x v="1"/>
    <s v="November"/>
    <x v="0"/>
    <n v="2.0055932203389801"/>
    <n v="3.28"/>
    <n v="8.16"/>
    <n v="26.3"/>
    <n v="-0.28000000000000003"/>
    <n v="26.22"/>
    <n v="1"/>
  </r>
  <r>
    <n v="403"/>
    <s v="A1403"/>
    <x v="0"/>
    <n v="98"/>
    <x v="368"/>
    <n v="232"/>
    <n v="21"/>
    <n v="8"/>
    <n v="8.16326530612244E-2"/>
    <x v="176"/>
    <d v="2024-11-21T00:00:00"/>
    <s v="Hyderabad"/>
    <x v="1"/>
    <x v="3"/>
    <s v="November"/>
    <x v="5"/>
    <n v="2.3688775510203999"/>
    <n v="3.05"/>
    <n v="11.05"/>
    <n v="29.02"/>
    <n v="51.63"/>
    <n v="44"/>
    <n v="1.52"/>
  </r>
  <r>
    <n v="404"/>
    <s v="A1404"/>
    <x v="2"/>
    <n v="95"/>
    <x v="369"/>
    <n v="185"/>
    <n v="23"/>
    <n v="8"/>
    <n v="8.4210526315789402E-2"/>
    <x v="122"/>
    <d v="2024-11-20T00:00:00"/>
    <s v="Hyderabad"/>
    <x v="0"/>
    <x v="4"/>
    <s v="November"/>
    <x v="1"/>
    <n v="1.9469473684210501"/>
    <n v="1.76"/>
    <n v="8.0399999999999991"/>
    <n v="23.12"/>
    <n v="15.16"/>
    <n v="26.62"/>
    <n v="1.1499999999999999"/>
  </r>
  <r>
    <n v="405"/>
    <s v="A1405"/>
    <x v="1"/>
    <n v="144"/>
    <x v="370"/>
    <n v="199"/>
    <n v="10"/>
    <n v="10"/>
    <n v="6.9444444444444406E-2"/>
    <x v="177"/>
    <d v="2024-11-09T00:00:00"/>
    <s v="Hyderabad"/>
    <x v="0"/>
    <x v="3"/>
    <s v="November"/>
    <x v="0"/>
    <n v="1.38493055555555"/>
    <n v="2.68"/>
    <n v="19.940000000000001"/>
    <n v="19.940000000000001"/>
    <n v="10.82"/>
    <n v="22.1"/>
    <n v="1.1100000000000001"/>
  </r>
  <r>
    <n v="406"/>
    <s v="A1406"/>
    <x v="2"/>
    <n v="107"/>
    <x v="371"/>
    <n v="239"/>
    <n v="15"/>
    <n v="3"/>
    <n v="2.8037383177569999E-2"/>
    <x v="33"/>
    <d v="2024-11-17T00:00:00"/>
    <s v="Hyderabad"/>
    <x v="1"/>
    <x v="5"/>
    <s v="November"/>
    <x v="4"/>
    <n v="2.2313084112149499"/>
    <n v="1.93"/>
    <n v="15.92"/>
    <n v="79.58"/>
    <n v="55.81"/>
    <n v="124"/>
    <n v="1.56"/>
  </r>
  <r>
    <n v="407"/>
    <s v="A1407"/>
    <x v="3"/>
    <n v="146"/>
    <x v="372"/>
    <n v="211"/>
    <n v="16"/>
    <n v="7"/>
    <n v="4.7945205479451997E-2"/>
    <x v="36"/>
    <d v="2024-11-08T00:00:00"/>
    <s v="Hyderabad"/>
    <x v="1"/>
    <x v="0"/>
    <s v="November"/>
    <x v="3"/>
    <n v="1.4458219178082099"/>
    <n v="4.6100000000000003"/>
    <n v="13.19"/>
    <n v="30.16"/>
    <n v="64.86"/>
    <n v="49.71"/>
    <n v="1.65"/>
  </r>
  <r>
    <n v="408"/>
    <s v="A1408"/>
    <x v="1"/>
    <n v="114"/>
    <x v="373"/>
    <n v="248"/>
    <n v="11"/>
    <n v="10"/>
    <n v="8.7719298245614002E-2"/>
    <x v="149"/>
    <d v="2024-11-18T00:00:00"/>
    <s v="Hyderabad"/>
    <x v="0"/>
    <x v="2"/>
    <s v="November"/>
    <x v="6"/>
    <n v="2.1749122807017498"/>
    <n v="2.19"/>
    <n v="22.54"/>
    <n v="24.79"/>
    <n v="54.47"/>
    <n v="38.299999999999997"/>
    <n v="1.54"/>
  </r>
  <r>
    <n v="409"/>
    <s v="A1409"/>
    <x v="2"/>
    <n v="162"/>
    <x v="374"/>
    <n v="224"/>
    <n v="21"/>
    <n v="7"/>
    <n v="4.3209876543209798E-2"/>
    <x v="158"/>
    <d v="2024-11-20T00:00:00"/>
    <s v="Hyderabad"/>
    <x v="1"/>
    <x v="0"/>
    <s v="November"/>
    <x v="1"/>
    <n v="1.38129629629629"/>
    <n v="3.77"/>
    <n v="10.66"/>
    <n v="31.97"/>
    <n v="-2.58"/>
    <n v="31.14"/>
    <n v="0.97"/>
  </r>
  <r>
    <n v="410"/>
    <s v="A1410"/>
    <x v="1"/>
    <n v="95"/>
    <x v="375"/>
    <n v="215"/>
    <n v="29"/>
    <n v="10"/>
    <n v="0.105263157894736"/>
    <x v="13"/>
    <d v="2024-11-16T00:00:00"/>
    <s v="Hyderabad"/>
    <x v="1"/>
    <x v="5"/>
    <s v="November"/>
    <x v="0"/>
    <n v="2.2586315789473601"/>
    <n v="1.59"/>
    <n v="7.4"/>
    <n v="21.46"/>
    <n v="46.34"/>
    <n v="31.4"/>
    <n v="1.46"/>
  </r>
  <r>
    <n v="411"/>
    <s v="A1411"/>
    <x v="3"/>
    <n v="163"/>
    <x v="376"/>
    <n v="185"/>
    <n v="19"/>
    <n v="4"/>
    <n v="2.45398773006134E-2"/>
    <x v="142"/>
    <d v="2024-11-23T00:00:00"/>
    <s v="Hyderabad"/>
    <x v="0"/>
    <x v="1"/>
    <s v="November"/>
    <x v="0"/>
    <n v="1.1339877300613399"/>
    <n v="3.16"/>
    <n v="9.73"/>
    <n v="46.21"/>
    <n v="95.85"/>
    <n v="90.5"/>
    <n v="1.96"/>
  </r>
  <r>
    <n v="412"/>
    <s v="A1412"/>
    <x v="1"/>
    <n v="148"/>
    <x v="377"/>
    <n v="212"/>
    <n v="12"/>
    <n v="4"/>
    <n v="2.7027027027027001E-2"/>
    <x v="161"/>
    <d v="2024-11-24T00:00:00"/>
    <s v="Hyderabad"/>
    <x v="1"/>
    <x v="4"/>
    <s v="November"/>
    <x v="4"/>
    <n v="1.4350000000000001"/>
    <n v="2.4900000000000002"/>
    <n v="17.7"/>
    <n v="53.1"/>
    <n v="24.31"/>
    <n v="66"/>
    <n v="1.24"/>
  </r>
  <r>
    <n v="413"/>
    <s v="A1413"/>
    <x v="0"/>
    <n v="156"/>
    <x v="378"/>
    <n v="223"/>
    <n v="20"/>
    <n v="10"/>
    <n v="6.4102564102564097E-2"/>
    <x v="167"/>
    <d v="2024-11-14T00:00:00"/>
    <s v="Hyderabad"/>
    <x v="2"/>
    <x v="0"/>
    <s v="November"/>
    <x v="5"/>
    <n v="1.4305769230769201"/>
    <n v="3.76"/>
    <n v="11.16"/>
    <n v="22.32"/>
    <n v="77.44"/>
    <n v="39.6"/>
    <n v="1.77"/>
  </r>
  <r>
    <n v="414"/>
    <s v="A1414"/>
    <x v="2"/>
    <n v="99"/>
    <x v="379"/>
    <n v="153"/>
    <n v="13"/>
    <n v="5"/>
    <n v="5.0505050505050497E-2"/>
    <x v="86"/>
    <d v="2024-11-26T00:00:00"/>
    <s v="Hyderabad"/>
    <x v="2"/>
    <x v="4"/>
    <s v="November"/>
    <x v="2"/>
    <n v="1.5454545454545401"/>
    <n v="2.4500000000000002"/>
    <n v="11.77"/>
    <n v="30.6"/>
    <n v="100.65"/>
    <n v="61.4"/>
    <n v="2.0099999999999998"/>
  </r>
  <r>
    <n v="415"/>
    <s v="A1415"/>
    <x v="0"/>
    <n v="124"/>
    <x v="380"/>
    <n v="201"/>
    <n v="12"/>
    <n v="9"/>
    <n v="7.25806451612903E-2"/>
    <x v="108"/>
    <d v="2024-11-24T00:00:00"/>
    <s v="Hyderabad"/>
    <x v="2"/>
    <x v="2"/>
    <s v="November"/>
    <x v="4"/>
    <n v="1.6245161290322501"/>
    <n v="2.08"/>
    <n v="16.79"/>
    <n v="22.38"/>
    <n v="61.83"/>
    <n v="36.22"/>
    <n v="1.62"/>
  </r>
  <r>
    <n v="416"/>
    <s v="A1416"/>
    <x v="3"/>
    <n v="138"/>
    <x v="381"/>
    <n v="229"/>
    <n v="27"/>
    <n v="8"/>
    <n v="5.7971014492753603E-2"/>
    <x v="32"/>
    <d v="2024-11-19T00:00:00"/>
    <s v="Hyderabad"/>
    <x v="1"/>
    <x v="3"/>
    <s v="November"/>
    <x v="2"/>
    <n v="1.66260869565217"/>
    <n v="2.89"/>
    <n v="8.5"/>
    <n v="28.68"/>
    <n v="62.88"/>
    <n v="46.71"/>
    <n v="1.63"/>
  </r>
  <r>
    <n v="417"/>
    <s v="A1417"/>
    <x v="0"/>
    <n v="140"/>
    <x v="382"/>
    <n v="242"/>
    <n v="30"/>
    <n v="10"/>
    <n v="7.1428571428571397E-2"/>
    <x v="116"/>
    <d v="2024-11-19T00:00:00"/>
    <s v="Hyderabad"/>
    <x v="2"/>
    <x v="1"/>
    <s v="November"/>
    <x v="2"/>
    <n v="1.72628571428571"/>
    <n v="3.66"/>
    <n v="8.06"/>
    <n v="24.17"/>
    <n v="-4.01"/>
    <n v="23.2"/>
    <n v="0.96"/>
  </r>
  <r>
    <n v="418"/>
    <s v="A1418"/>
    <x v="3"/>
    <n v="81"/>
    <x v="383"/>
    <n v="232"/>
    <n v="30"/>
    <n v="9"/>
    <n v="0.11111111111111099"/>
    <x v="158"/>
    <d v="2024-11-29T00:00:00"/>
    <s v="Hyderabad"/>
    <x v="1"/>
    <x v="1"/>
    <s v="November"/>
    <x v="3"/>
    <n v="2.86666666666666"/>
    <n v="2.57"/>
    <n v="7.74"/>
    <n v="25.8"/>
    <n v="-6.12"/>
    <n v="24.22"/>
    <n v="0.94"/>
  </r>
  <r>
    <n v="419"/>
    <s v="A1419"/>
    <x v="0"/>
    <n v="165"/>
    <x v="384"/>
    <n v="247"/>
    <n v="19"/>
    <n v="3"/>
    <n v="1.8181818181818101E-2"/>
    <x v="53"/>
    <d v="2024-11-11T00:00:00"/>
    <s v="Hyderabad"/>
    <x v="2"/>
    <x v="3"/>
    <s v="November"/>
    <x v="6"/>
    <n v="1.49527272727272"/>
    <n v="3.58"/>
    <n v="12.99"/>
    <n v="82.24"/>
    <n v="-12.86"/>
    <n v="71.67"/>
    <n v="0.87"/>
  </r>
  <r>
    <n v="420"/>
    <s v="A1420"/>
    <x v="2"/>
    <n v="193"/>
    <x v="385"/>
    <n v="247"/>
    <n v="19"/>
    <n v="4"/>
    <n v="2.0725388601036201E-2"/>
    <x v="70"/>
    <d v="2024-11-25T00:00:00"/>
    <s v="Hyderabad"/>
    <x v="0"/>
    <x v="2"/>
    <s v="November"/>
    <x v="6"/>
    <n v="1.2810362694300499"/>
    <n v="3.92"/>
    <n v="13.01"/>
    <n v="61.81"/>
    <n v="59.36"/>
    <n v="98.5"/>
    <n v="1.59"/>
  </r>
  <r>
    <n v="421"/>
    <s v="A1421"/>
    <x v="1"/>
    <n v="149"/>
    <x v="386"/>
    <n v="218"/>
    <n v="20"/>
    <n v="4"/>
    <n v="2.68456375838926E-2"/>
    <x v="158"/>
    <d v="2024-11-28T00:00:00"/>
    <s v="Hyderabad"/>
    <x v="1"/>
    <x v="4"/>
    <s v="November"/>
    <x v="5"/>
    <n v="1.4659060402684501"/>
    <n v="2.86"/>
    <n v="10.92"/>
    <n v="54.6"/>
    <n v="-0.19"/>
    <n v="54.5"/>
    <n v="1"/>
  </r>
  <r>
    <n v="422"/>
    <s v="A1422"/>
    <x v="3"/>
    <n v="81"/>
    <x v="387"/>
    <n v="227"/>
    <n v="11"/>
    <n v="6"/>
    <n v="7.4074074074074001E-2"/>
    <x v="106"/>
    <d v="2024-11-19T00:00:00"/>
    <s v="Hyderabad"/>
    <x v="1"/>
    <x v="2"/>
    <s v="November"/>
    <x v="2"/>
    <n v="2.7982716049382699"/>
    <n v="2.3199999999999998"/>
    <n v="20.61"/>
    <n v="37.78"/>
    <n v="-5.59"/>
    <n v="35.67"/>
    <n v="0.94"/>
  </r>
  <r>
    <n v="423"/>
    <s v="A1423"/>
    <x v="0"/>
    <n v="153"/>
    <x v="388"/>
    <n v="198"/>
    <n v="23"/>
    <n v="5"/>
    <n v="3.2679738562091498E-2"/>
    <x v="178"/>
    <d v="2024-11-22T00:00:00"/>
    <s v="Hyderabad"/>
    <x v="2"/>
    <x v="2"/>
    <s v="November"/>
    <x v="3"/>
    <n v="1.29111111111111"/>
    <n v="3.77"/>
    <n v="8.59"/>
    <n v="39.51"/>
    <n v="98.95"/>
    <n v="78.599999999999994"/>
    <n v="1.99"/>
  </r>
  <r>
    <n v="424"/>
    <s v="A1424"/>
    <x v="0"/>
    <n v="127"/>
    <x v="389"/>
    <n v="194"/>
    <n v="17"/>
    <n v="8"/>
    <n v="6.2992125984251898E-2"/>
    <x v="173"/>
    <d v="2024-11-21T00:00:00"/>
    <s v="Hyderabad"/>
    <x v="1"/>
    <x v="2"/>
    <s v="November"/>
    <x v="5"/>
    <n v="1.5295275590551101"/>
    <n v="2.5299999999999998"/>
    <n v="11.43"/>
    <n v="24.28"/>
    <n v="42.08"/>
    <n v="34.5"/>
    <n v="1.42"/>
  </r>
  <r>
    <n v="425"/>
    <s v="A1425"/>
    <x v="0"/>
    <n v="99"/>
    <x v="390"/>
    <n v="221"/>
    <n v="14"/>
    <n v="4"/>
    <n v="4.0404040404040401E-2"/>
    <x v="99"/>
    <d v="2024-11-12T00:00:00"/>
    <s v="Hyderabad"/>
    <x v="2"/>
    <x v="3"/>
    <s v="November"/>
    <x v="2"/>
    <n v="2.2298989898989898"/>
    <n v="2.4700000000000002"/>
    <n v="15.77"/>
    <n v="55.19"/>
    <n v="57.18"/>
    <n v="86.75"/>
    <n v="1.57"/>
  </r>
  <r>
    <n v="426"/>
    <s v="A1426"/>
    <x v="0"/>
    <n v="104"/>
    <x v="391"/>
    <n v="204"/>
    <n v="12"/>
    <n v="3"/>
    <n v="2.8846153846153799E-2"/>
    <x v="103"/>
    <d v="2024-11-20T00:00:00"/>
    <s v="Hyderabad"/>
    <x v="1"/>
    <x v="0"/>
    <s v="November"/>
    <x v="1"/>
    <n v="1.96221153846153"/>
    <n v="3.45"/>
    <n v="17.010000000000002"/>
    <n v="68.02"/>
    <n v="1.44"/>
    <n v="69"/>
    <n v="1.01"/>
  </r>
  <r>
    <n v="427"/>
    <s v="A1427"/>
    <x v="2"/>
    <n v="118"/>
    <x v="392"/>
    <n v="185"/>
    <n v="16"/>
    <n v="5"/>
    <n v="4.2372881355932202E-2"/>
    <x v="179"/>
    <d v="2024-11-19T00:00:00"/>
    <s v="Hyderabad"/>
    <x v="0"/>
    <x v="0"/>
    <s v="November"/>
    <x v="2"/>
    <n v="1.56610169491525"/>
    <n v="3.09"/>
    <n v="11.55"/>
    <n v="36.96"/>
    <n v="100.76"/>
    <n v="74.2"/>
    <n v="2.0099999999999998"/>
  </r>
  <r>
    <n v="428"/>
    <s v="A1428"/>
    <x v="1"/>
    <n v="148"/>
    <x v="257"/>
    <n v="224"/>
    <n v="11"/>
    <n v="3"/>
    <n v="2.0270270270270199E-2"/>
    <x v="180"/>
    <d v="2024-11-30T00:00:00"/>
    <s v="Hyderabad"/>
    <x v="1"/>
    <x v="4"/>
    <s v="November"/>
    <x v="0"/>
    <n v="1.5162837837837799"/>
    <n v="2.96"/>
    <n v="20.399999999999999"/>
    <n v="74.8"/>
    <n v="35.47"/>
    <n v="101.33"/>
    <n v="1.35"/>
  </r>
  <r>
    <n v="429"/>
    <s v="A1429"/>
    <x v="3"/>
    <n v="88"/>
    <x v="393"/>
    <n v="249"/>
    <n v="10"/>
    <n v="8"/>
    <n v="9.0909090909090898E-2"/>
    <x v="122"/>
    <d v="2024-11-09T00:00:00"/>
    <s v="Hyderabad"/>
    <x v="2"/>
    <x v="3"/>
    <s v="November"/>
    <x v="0"/>
    <n v="2.8318181818181798"/>
    <n v="2.31"/>
    <n v="24.92"/>
    <n v="31.15"/>
    <n v="-14.53"/>
    <n v="26.62"/>
    <n v="0.85"/>
  </r>
  <r>
    <n v="430"/>
    <s v="A1430"/>
    <x v="2"/>
    <n v="142"/>
    <x v="394"/>
    <n v="208"/>
    <n v="23"/>
    <n v="4"/>
    <n v="2.8169014084507001E-2"/>
    <x v="160"/>
    <d v="2024-11-20T00:00:00"/>
    <s v="Hyderabad"/>
    <x v="2"/>
    <x v="2"/>
    <s v="November"/>
    <x v="1"/>
    <n v="1.4638028169013999"/>
    <n v="3.75"/>
    <n v="9.0399999999999991"/>
    <n v="51.96"/>
    <n v="5.36"/>
    <n v="54.75"/>
    <n v="1.05"/>
  </r>
  <r>
    <n v="431"/>
    <s v="A1431"/>
    <x v="3"/>
    <n v="127"/>
    <x v="395"/>
    <n v="243"/>
    <n v="26"/>
    <n v="6"/>
    <n v="4.7244094488188899E-2"/>
    <x v="109"/>
    <d v="2024-11-16T00:00:00"/>
    <s v="Hyderabad"/>
    <x v="2"/>
    <x v="0"/>
    <s v="November"/>
    <x v="0"/>
    <n v="1.9099212598425099"/>
    <n v="2.44"/>
    <n v="9.33"/>
    <n v="40.43"/>
    <n v="57.49"/>
    <n v="63.67"/>
    <n v="1.57"/>
  </r>
  <r>
    <n v="432"/>
    <s v="A1432"/>
    <x v="2"/>
    <n v="117"/>
    <x v="396"/>
    <n v="212"/>
    <n v="14"/>
    <n v="5"/>
    <n v="4.2735042735042701E-2"/>
    <x v="138"/>
    <d v="2024-11-03T00:00:00"/>
    <s v="Hyderabad"/>
    <x v="1"/>
    <x v="1"/>
    <s v="November"/>
    <x v="4"/>
    <n v="1.81615384615384"/>
    <n v="2.2000000000000002"/>
    <n v="15.18"/>
    <n v="42.5"/>
    <n v="81.180000000000007"/>
    <n v="77"/>
    <n v="1.81"/>
  </r>
  <r>
    <n v="433"/>
    <s v="A1433"/>
    <x v="1"/>
    <n v="125"/>
    <x v="397"/>
    <n v="203"/>
    <n v="25"/>
    <n v="5"/>
    <n v="0.04"/>
    <x v="60"/>
    <d v="2024-11-23T00:00:00"/>
    <s v="Hyderabad"/>
    <x v="0"/>
    <x v="4"/>
    <s v="November"/>
    <x v="0"/>
    <n v="1.6212"/>
    <n v="2.2999999999999998"/>
    <n v="8.11"/>
    <n v="40.53"/>
    <n v="78.14"/>
    <n v="72.2"/>
    <n v="1.78"/>
  </r>
  <r>
    <n v="434"/>
    <s v="A1434"/>
    <x v="3"/>
    <n v="92"/>
    <x v="398"/>
    <n v="210"/>
    <n v="26"/>
    <n v="3"/>
    <n v="3.2608695652173898E-2"/>
    <x v="34"/>
    <d v="2024-11-12T00:00:00"/>
    <s v="Hyderabad"/>
    <x v="2"/>
    <x v="0"/>
    <s v="November"/>
    <x v="2"/>
    <n v="2.28021739130434"/>
    <n v="1.85"/>
    <n v="8.07"/>
    <n v="69.930000000000007"/>
    <n v="78.28"/>
    <n v="124.67"/>
    <n v="1.78"/>
  </r>
  <r>
    <n v="435"/>
    <s v="A1435"/>
    <x v="1"/>
    <n v="112"/>
    <x v="399"/>
    <n v="234"/>
    <n v="14"/>
    <n v="8"/>
    <n v="7.1428571428571397E-2"/>
    <x v="181"/>
    <d v="2024-11-22T00:00:00"/>
    <s v="Hyderabad"/>
    <x v="0"/>
    <x v="1"/>
    <s v="November"/>
    <x v="3"/>
    <n v="2.085"/>
    <n v="2.91"/>
    <n v="16.68"/>
    <n v="29.19"/>
    <n v="53.73"/>
    <n v="44.88"/>
    <n v="1.54"/>
  </r>
  <r>
    <n v="436"/>
    <s v="A1436"/>
    <x v="0"/>
    <n v="144"/>
    <x v="400"/>
    <n v="198"/>
    <n v="13"/>
    <n v="9"/>
    <n v="6.25E-2"/>
    <x v="47"/>
    <d v="2024-11-22T00:00:00"/>
    <s v="Hyderabad"/>
    <x v="1"/>
    <x v="1"/>
    <s v="November"/>
    <x v="3"/>
    <n v="1.3725694444444401"/>
    <n v="2.41"/>
    <n v="15.2"/>
    <n v="21.96"/>
    <n v="80.12"/>
    <n v="39.56"/>
    <n v="1.8"/>
  </r>
  <r>
    <n v="437"/>
    <s v="A1437"/>
    <x v="2"/>
    <n v="103"/>
    <x v="401"/>
    <n v="219"/>
    <n v="14"/>
    <n v="10"/>
    <n v="9.7087378640776698E-2"/>
    <x v="144"/>
    <d v="2024-11-09T00:00:00"/>
    <s v="Hyderabad"/>
    <x v="1"/>
    <x v="0"/>
    <s v="November"/>
    <x v="0"/>
    <n v="2.1230097087378601"/>
    <n v="2.19"/>
    <n v="15.62"/>
    <n v="21.87"/>
    <n v="29.88"/>
    <n v="28.4"/>
    <n v="1.3"/>
  </r>
  <r>
    <n v="438"/>
    <s v="A1438"/>
    <x v="0"/>
    <n v="117"/>
    <x v="147"/>
    <n v="233"/>
    <n v="24"/>
    <n v="3"/>
    <n v="2.5641025641025599E-2"/>
    <x v="139"/>
    <d v="2024-11-24T00:00:00"/>
    <s v="Hyderabad"/>
    <x v="2"/>
    <x v="0"/>
    <s v="November"/>
    <x v="4"/>
    <n v="1.9937606837606801"/>
    <n v="2.68"/>
    <n v="9.7200000000000006"/>
    <n v="77.760000000000005"/>
    <n v="8.4600000000000009"/>
    <n v="84.33"/>
    <n v="1.08"/>
  </r>
  <r>
    <n v="439"/>
    <s v="A1439"/>
    <x v="3"/>
    <n v="100"/>
    <x v="402"/>
    <n v="181"/>
    <n v="14"/>
    <n v="7"/>
    <n v="7.0000000000000007E-2"/>
    <x v="78"/>
    <d v="2024-11-02T00:00:00"/>
    <s v="Hyderabad"/>
    <x v="0"/>
    <x v="5"/>
    <s v="November"/>
    <x v="0"/>
    <n v="1.8071999999999999"/>
    <n v="1.82"/>
    <n v="12.91"/>
    <n v="25.82"/>
    <n v="33.909999999999997"/>
    <n v="34.57"/>
    <n v="1.34"/>
  </r>
  <r>
    <n v="440"/>
    <s v="A1440"/>
    <x v="1"/>
    <n v="179"/>
    <x v="403"/>
    <n v="192"/>
    <n v="19"/>
    <n v="4"/>
    <n v="2.23463687150838E-2"/>
    <x v="12"/>
    <d v="2024-11-02T00:00:00"/>
    <s v="Hyderabad"/>
    <x v="2"/>
    <x v="4"/>
    <s v="November"/>
    <x v="0"/>
    <n v="1.07173184357541"/>
    <n v="4.3600000000000003"/>
    <n v="10.1"/>
    <n v="47.96"/>
    <n v="108.51"/>
    <n v="100"/>
    <n v="2.09"/>
  </r>
  <r>
    <n v="441"/>
    <s v="A1441"/>
    <x v="1"/>
    <n v="180"/>
    <x v="404"/>
    <n v="186"/>
    <n v="18"/>
    <n v="6"/>
    <n v="3.3333333333333298E-2"/>
    <x v="106"/>
    <d v="2024-11-05T00:00:00"/>
    <s v="Hyderabad"/>
    <x v="0"/>
    <x v="1"/>
    <s v="November"/>
    <x v="2"/>
    <n v="1.03477777777777"/>
    <n v="4.63"/>
    <n v="10.35"/>
    <n v="31.04"/>
    <n v="14.89"/>
    <n v="35.67"/>
    <n v="1.1499999999999999"/>
  </r>
  <r>
    <n v="442"/>
    <s v="A1442"/>
    <x v="2"/>
    <n v="146"/>
    <x v="405"/>
    <n v="186"/>
    <n v="26"/>
    <n v="3"/>
    <n v="2.0547945205479399E-2"/>
    <x v="53"/>
    <d v="2024-11-25T00:00:00"/>
    <s v="Hyderabad"/>
    <x v="0"/>
    <x v="3"/>
    <s v="November"/>
    <x v="6"/>
    <n v="1.27445205479452"/>
    <n v="3.15"/>
    <n v="7.16"/>
    <n v="62.02"/>
    <n v="15.55"/>
    <n v="71.67"/>
    <n v="1.1599999999999999"/>
  </r>
  <r>
    <n v="443"/>
    <s v="A1443"/>
    <x v="0"/>
    <n v="124"/>
    <x v="406"/>
    <n v="240"/>
    <n v="13"/>
    <n v="4"/>
    <n v="3.2258064516128997E-2"/>
    <x v="79"/>
    <d v="2024-11-19T00:00:00"/>
    <s v="Hyderabad"/>
    <x v="0"/>
    <x v="0"/>
    <s v="November"/>
    <x v="2"/>
    <n v="1.93298387096774"/>
    <n v="2.3199999999999998"/>
    <n v="18.440000000000001"/>
    <n v="59.92"/>
    <n v="27.25"/>
    <n v="76.25"/>
    <n v="1.27"/>
  </r>
  <r>
    <n v="444"/>
    <s v="A1444"/>
    <x v="1"/>
    <n v="169"/>
    <x v="407"/>
    <n v="200"/>
    <n v="27"/>
    <n v="6"/>
    <n v="3.5502958579881602E-2"/>
    <x v="74"/>
    <d v="2024-11-03T00:00:00"/>
    <s v="Hyderabad"/>
    <x v="0"/>
    <x v="3"/>
    <s v="November"/>
    <x v="4"/>
    <n v="1.1814201183431901"/>
    <n v="3.14"/>
    <n v="7.39"/>
    <n v="33.28"/>
    <n v="8.18"/>
    <n v="36"/>
    <n v="1.08"/>
  </r>
  <r>
    <n v="445"/>
    <s v="A1445"/>
    <x v="0"/>
    <n v="91"/>
    <x v="408"/>
    <n v="212"/>
    <n v="29"/>
    <n v="9"/>
    <n v="9.8901098901098897E-2"/>
    <x v="35"/>
    <d v="2024-11-16T00:00:00"/>
    <s v="Hyderabad"/>
    <x v="2"/>
    <x v="1"/>
    <s v="November"/>
    <x v="0"/>
    <n v="2.3280219780219702"/>
    <n v="1.78"/>
    <n v="7.31"/>
    <n v="23.54"/>
    <n v="26.03"/>
    <n v="29.67"/>
    <n v="1.26"/>
  </r>
  <r>
    <n v="446"/>
    <s v="A1446"/>
    <x v="2"/>
    <n v="145"/>
    <x v="409"/>
    <n v="236"/>
    <n v="24"/>
    <n v="8"/>
    <n v="5.5172413793103399E-2"/>
    <x v="55"/>
    <d v="2024-11-17T00:00:00"/>
    <s v="Hyderabad"/>
    <x v="0"/>
    <x v="4"/>
    <s v="November"/>
    <x v="4"/>
    <n v="1.62779310344827"/>
    <n v="3.03"/>
    <n v="9.83"/>
    <n v="29.5"/>
    <n v="5.5"/>
    <n v="31.12"/>
    <n v="1.05"/>
  </r>
  <r>
    <n v="447"/>
    <s v="A1447"/>
    <x v="2"/>
    <n v="115"/>
    <x v="410"/>
    <n v="230"/>
    <n v="15"/>
    <n v="4"/>
    <n v="3.4782608695652098E-2"/>
    <x v="72"/>
    <d v="2024-11-26T00:00:00"/>
    <s v="Hyderabad"/>
    <x v="1"/>
    <x v="1"/>
    <s v="November"/>
    <x v="2"/>
    <n v="1.99747826086956"/>
    <n v="2.65"/>
    <n v="15.31"/>
    <n v="57.43"/>
    <n v="30.16"/>
    <n v="74.75"/>
    <n v="1.3"/>
  </r>
  <r>
    <n v="448"/>
    <s v="A1448"/>
    <x v="1"/>
    <n v="123"/>
    <x v="411"/>
    <n v="239"/>
    <n v="21"/>
    <n v="3"/>
    <n v="2.4390243902439001E-2"/>
    <x v="182"/>
    <d v="2024-11-04T00:00:00"/>
    <s v="Hyderabad"/>
    <x v="2"/>
    <x v="5"/>
    <s v="November"/>
    <x v="6"/>
    <n v="1.94560975609756"/>
    <n v="3.49"/>
    <n v="11.4"/>
    <n v="79.77"/>
    <n v="30.79"/>
    <n v="104.33"/>
    <n v="1.31"/>
  </r>
  <r>
    <n v="449"/>
    <s v="A1449"/>
    <x v="3"/>
    <n v="101"/>
    <x v="412"/>
    <n v="210"/>
    <n v="19"/>
    <n v="10"/>
    <n v="9.9009900990099001E-2"/>
    <x v="161"/>
    <d v="2024-11-14T00:00:00"/>
    <s v="Hyderabad"/>
    <x v="1"/>
    <x v="3"/>
    <s v="November"/>
    <x v="5"/>
    <n v="2.0772277227722702"/>
    <n v="3.03"/>
    <n v="11.04"/>
    <n v="20.98"/>
    <n v="25.83"/>
    <n v="26.4"/>
    <n v="1.26"/>
  </r>
  <r>
    <n v="450"/>
    <s v="A1450"/>
    <x v="0"/>
    <n v="141"/>
    <x v="178"/>
    <n v="245"/>
    <n v="21"/>
    <n v="3"/>
    <n v="2.1276595744680799E-2"/>
    <x v="183"/>
    <d v="2024-11-15T00:00:00"/>
    <s v="Hyderabad"/>
    <x v="0"/>
    <x v="5"/>
    <s v="November"/>
    <x v="3"/>
    <n v="1.7398581560283599"/>
    <n v="3.6"/>
    <n v="11.68"/>
    <n v="81.77"/>
    <n v="58.57"/>
    <n v="129.66999999999999"/>
    <n v="1.59"/>
  </r>
  <r>
    <n v="451"/>
    <s v="A1451"/>
    <x v="1"/>
    <n v="160"/>
    <x v="413"/>
    <n v="212"/>
    <n v="21"/>
    <n v="4"/>
    <n v="2.5000000000000001E-2"/>
    <x v="159"/>
    <d v="2024-11-21T00:00:00"/>
    <s v="Hyderabad"/>
    <x v="0"/>
    <x v="3"/>
    <s v="November"/>
    <x v="5"/>
    <n v="1.3242499999999999"/>
    <n v="3.48"/>
    <n v="10.09"/>
    <n v="52.97"/>
    <n v="-11.81"/>
    <n v="46.71"/>
    <n v="0.88"/>
  </r>
  <r>
    <n v="452"/>
    <s v="A1452"/>
    <x v="0"/>
    <n v="105"/>
    <x v="414"/>
    <n v="207"/>
    <n v="21"/>
    <n v="4"/>
    <n v="3.8095238095238099E-2"/>
    <x v="166"/>
    <d v="2024-11-10T00:00:00"/>
    <s v="Hyderabad"/>
    <x v="0"/>
    <x v="4"/>
    <s v="November"/>
    <x v="4"/>
    <n v="1.97057142857142"/>
    <n v="3.49"/>
    <n v="9.85"/>
    <n v="51.73"/>
    <n v="-0.44"/>
    <n v="51.5"/>
    <n v="1"/>
  </r>
  <r>
    <n v="453"/>
    <s v="A1453"/>
    <x v="2"/>
    <n v="178"/>
    <x v="415"/>
    <n v="207"/>
    <n v="18"/>
    <n v="4"/>
    <n v="2.2471910112359501E-2"/>
    <x v="100"/>
    <d v="2024-11-20T00:00:00"/>
    <s v="Hyderabad"/>
    <x v="0"/>
    <x v="2"/>
    <s v="November"/>
    <x v="1"/>
    <n v="1.16320224719101"/>
    <n v="3.35"/>
    <n v="11.5"/>
    <n v="51.76"/>
    <n v="40.06"/>
    <n v="72.5"/>
    <n v="1.4"/>
  </r>
  <r>
    <n v="454"/>
    <s v="A1454"/>
    <x v="2"/>
    <n v="189"/>
    <x v="416"/>
    <n v="242"/>
    <n v="29"/>
    <n v="3"/>
    <n v="1.5873015873015799E-2"/>
    <x v="46"/>
    <d v="2024-11-07T00:00:00"/>
    <s v="Hyderabad"/>
    <x v="1"/>
    <x v="5"/>
    <s v="November"/>
    <x v="5"/>
    <n v="1.2813756613756599"/>
    <n v="3.6"/>
    <n v="8.35"/>
    <n v="80.73"/>
    <n v="-9.16"/>
    <n v="73.33"/>
    <n v="0.91"/>
  </r>
  <r>
    <n v="455"/>
    <s v="A1455"/>
    <x v="0"/>
    <n v="114"/>
    <x v="417"/>
    <n v="249"/>
    <n v="14"/>
    <n v="6"/>
    <n v="5.2631578947368397E-2"/>
    <x v="149"/>
    <d v="2024-11-05T00:00:00"/>
    <s v="Hyderabad"/>
    <x v="1"/>
    <x v="1"/>
    <s v="November"/>
    <x v="2"/>
    <n v="2.18710526315789"/>
    <n v="2.37"/>
    <n v="17.809999999999999"/>
    <n v="41.56"/>
    <n v="53.61"/>
    <n v="63.83"/>
    <n v="1.54"/>
  </r>
  <r>
    <n v="456"/>
    <s v="A1456"/>
    <x v="1"/>
    <n v="160"/>
    <x v="418"/>
    <n v="201"/>
    <n v="30"/>
    <n v="7"/>
    <n v="4.3749999999999997E-2"/>
    <x v="46"/>
    <d v="2024-11-18T00:00:00"/>
    <s v="Hyderabad"/>
    <x v="2"/>
    <x v="1"/>
    <s v="November"/>
    <x v="6"/>
    <n v="1.2581249999999999"/>
    <n v="2.7"/>
    <n v="6.71"/>
    <n v="28.76"/>
    <n v="9.2899999999999991"/>
    <n v="31.43"/>
    <n v="1.0900000000000001"/>
  </r>
  <r>
    <n v="457"/>
    <s v="A1457"/>
    <x v="3"/>
    <n v="101"/>
    <x v="419"/>
    <n v="235"/>
    <n v="18"/>
    <n v="9"/>
    <n v="8.9108910891089105E-2"/>
    <x v="122"/>
    <d v="2024-11-27T00:00:00"/>
    <s v="Hyderabad"/>
    <x v="2"/>
    <x v="1"/>
    <s v="November"/>
    <x v="1"/>
    <n v="2.3239603960395998"/>
    <n v="1.91"/>
    <n v="13.04"/>
    <n v="26.08"/>
    <n v="-9.25"/>
    <n v="23.67"/>
    <n v="0.91"/>
  </r>
  <r>
    <n v="458"/>
    <s v="A1458"/>
    <x v="3"/>
    <n v="146"/>
    <x v="404"/>
    <n v="207"/>
    <n v="26"/>
    <n v="9"/>
    <n v="6.1643835616438297E-2"/>
    <x v="122"/>
    <d v="2024-11-07T00:00:00"/>
    <s v="Hyderabad"/>
    <x v="0"/>
    <x v="4"/>
    <s v="November"/>
    <x v="5"/>
    <n v="1.415"/>
    <n v="3.76"/>
    <n v="7.95"/>
    <n v="22.95"/>
    <n v="3.1"/>
    <n v="23.67"/>
    <n v="1.03"/>
  </r>
  <r>
    <n v="459"/>
    <s v="A1459"/>
    <x v="2"/>
    <n v="128"/>
    <x v="420"/>
    <n v="183"/>
    <n v="11"/>
    <n v="6"/>
    <n v="4.6875E-2"/>
    <x v="140"/>
    <d v="2024-11-25T00:00:00"/>
    <s v="Hyderabad"/>
    <x v="0"/>
    <x v="3"/>
    <s v="November"/>
    <x v="6"/>
    <n v="1.431875"/>
    <n v="2.82"/>
    <n v="16.66"/>
    <n v="30.55"/>
    <n v="75.14"/>
    <n v="53.5"/>
    <n v="1.75"/>
  </r>
  <r>
    <n v="460"/>
    <s v="A1460"/>
    <x v="0"/>
    <n v="163"/>
    <x v="421"/>
    <n v="246"/>
    <n v="27"/>
    <n v="5"/>
    <n v="3.0674846625766802E-2"/>
    <x v="83"/>
    <d v="2024-11-27T00:00:00"/>
    <s v="Hyderabad"/>
    <x v="1"/>
    <x v="0"/>
    <s v="November"/>
    <x v="1"/>
    <n v="1.50975460122699"/>
    <n v="3.95"/>
    <n v="9.11"/>
    <n v="49.22"/>
    <n v="58.48"/>
    <n v="78"/>
    <n v="1.58"/>
  </r>
  <r>
    <n v="461"/>
    <s v="A1461"/>
    <x v="2"/>
    <n v="193"/>
    <x v="422"/>
    <n v="214"/>
    <n v="19"/>
    <n v="8"/>
    <n v="4.1450777202072499E-2"/>
    <x v="14"/>
    <d v="2024-11-28T00:00:00"/>
    <s v="Hyderabad"/>
    <x v="1"/>
    <x v="5"/>
    <s v="November"/>
    <x v="5"/>
    <n v="1.1062176165803099"/>
    <n v="3.46"/>
    <n v="11.24"/>
    <n v="26.69"/>
    <n v="67.680000000000007"/>
    <n v="44.75"/>
    <n v="1.68"/>
  </r>
  <r>
    <n v="462"/>
    <s v="A1462"/>
    <x v="3"/>
    <n v="179"/>
    <x v="423"/>
    <n v="238"/>
    <n v="21"/>
    <n v="7"/>
    <n v="3.91061452513966E-2"/>
    <x v="126"/>
    <d v="2024-11-14T00:00:00"/>
    <s v="Hyderabad"/>
    <x v="1"/>
    <x v="1"/>
    <s v="November"/>
    <x v="5"/>
    <n v="1.32748603351955"/>
    <n v="4.1500000000000004"/>
    <n v="11.32"/>
    <n v="33.950000000000003"/>
    <n v="47.71"/>
    <n v="50.14"/>
    <n v="1.48"/>
  </r>
  <r>
    <n v="463"/>
    <s v="A1463"/>
    <x v="0"/>
    <n v="86"/>
    <x v="424"/>
    <n v="223"/>
    <n v="22"/>
    <n v="7"/>
    <n v="8.1395348837209294E-2"/>
    <x v="184"/>
    <d v="2024-11-30T00:00:00"/>
    <s v="Hyderabad"/>
    <x v="2"/>
    <x v="3"/>
    <s v="November"/>
    <x v="0"/>
    <n v="2.5945348837209301"/>
    <n v="1.55"/>
    <n v="10.14"/>
    <n v="31.88"/>
    <n v="41.17"/>
    <n v="45"/>
    <n v="1.41"/>
  </r>
  <r>
    <n v="464"/>
    <s v="A1464"/>
    <x v="0"/>
    <n v="92"/>
    <x v="425"/>
    <n v="203"/>
    <n v="25"/>
    <n v="5"/>
    <n v="5.4347826086956499E-2"/>
    <x v="164"/>
    <d v="2024-11-01T00:00:00"/>
    <s v="Hyderabad"/>
    <x v="1"/>
    <x v="3"/>
    <s v="November"/>
    <x v="3"/>
    <n v="2.2039130434782601"/>
    <n v="2.91"/>
    <n v="8.11"/>
    <n v="40.549999999999997"/>
    <n v="58.81"/>
    <n v="64.400000000000006"/>
    <n v="1.59"/>
  </r>
  <r>
    <n v="465"/>
    <s v="A1465"/>
    <x v="0"/>
    <n v="125"/>
    <x v="426"/>
    <n v="195"/>
    <n v="14"/>
    <n v="6"/>
    <n v="4.8000000000000001E-2"/>
    <x v="185"/>
    <d v="2024-11-22T00:00:00"/>
    <s v="Hyderabad"/>
    <x v="2"/>
    <x v="3"/>
    <s v="November"/>
    <x v="3"/>
    <n v="1.5593599999999901"/>
    <n v="2.15"/>
    <n v="13.92"/>
    <n v="32.49"/>
    <n v="40.43"/>
    <n v="45.62"/>
    <n v="1.4"/>
  </r>
  <r>
    <n v="466"/>
    <s v="A1466"/>
    <x v="2"/>
    <n v="147"/>
    <x v="427"/>
    <n v="207"/>
    <n v="12"/>
    <n v="8"/>
    <n v="5.4421768707482901E-2"/>
    <x v="110"/>
    <d v="2024-11-18T00:00:00"/>
    <s v="Hyderabad"/>
    <x v="1"/>
    <x v="1"/>
    <s v="November"/>
    <x v="6"/>
    <n v="1.4063945578231201"/>
    <n v="4.72"/>
    <n v="17.23"/>
    <n v="25.84"/>
    <n v="78.97"/>
    <n v="46.25"/>
    <n v="1.79"/>
  </r>
  <r>
    <n v="467"/>
    <s v="A1467"/>
    <x v="3"/>
    <n v="143"/>
    <x v="428"/>
    <n v="189"/>
    <n v="13"/>
    <n v="3"/>
    <n v="2.09790209790209E-2"/>
    <x v="54"/>
    <d v="2024-11-09T00:00:00"/>
    <s v="Hyderabad"/>
    <x v="1"/>
    <x v="4"/>
    <s v="November"/>
    <x v="0"/>
    <n v="1.32153846153846"/>
    <n v="3.18"/>
    <n v="14.54"/>
    <n v="62.99"/>
    <n v="-25.84"/>
    <n v="46.71"/>
    <n v="0.74"/>
  </r>
  <r>
    <n v="468"/>
    <s v="A1468"/>
    <x v="0"/>
    <n v="181"/>
    <x v="429"/>
    <n v="208"/>
    <n v="22"/>
    <n v="8"/>
    <n v="4.4198895027624301E-2"/>
    <x v="70"/>
    <d v="2024-11-05T00:00:00"/>
    <s v="Hyderabad"/>
    <x v="2"/>
    <x v="4"/>
    <s v="November"/>
    <x v="2"/>
    <n v="1.15099447513812"/>
    <n v="3.03"/>
    <n v="9.4700000000000006"/>
    <n v="26.04"/>
    <n v="89.12"/>
    <n v="49.25"/>
    <n v="1.89"/>
  </r>
  <r>
    <n v="469"/>
    <s v="A1469"/>
    <x v="2"/>
    <n v="164"/>
    <x v="32"/>
    <n v="211"/>
    <n v="12"/>
    <n v="5"/>
    <n v="3.04878048780487E-2"/>
    <x v="182"/>
    <d v="2024-11-12T00:00:00"/>
    <s v="Hyderabad"/>
    <x v="2"/>
    <x v="2"/>
    <s v="November"/>
    <x v="2"/>
    <n v="1.2837195121951199"/>
    <n v="4.24"/>
    <n v="17.54"/>
    <n v="42.11"/>
    <n v="48.67"/>
    <n v="62.6"/>
    <n v="1.49"/>
  </r>
  <r>
    <n v="470"/>
    <s v="A1470"/>
    <x v="2"/>
    <n v="199"/>
    <x v="430"/>
    <n v="213"/>
    <n v="14"/>
    <n v="6"/>
    <n v="3.0150753768844199E-2"/>
    <x v="150"/>
    <d v="2024-11-22T00:00:00"/>
    <s v="Hyderabad"/>
    <x v="0"/>
    <x v="0"/>
    <s v="November"/>
    <x v="3"/>
    <n v="1.06954773869346"/>
    <n v="4.68"/>
    <n v="15.2"/>
    <n v="35.47"/>
    <n v="8.06"/>
    <n v="38.33"/>
    <n v="1.08"/>
  </r>
  <r>
    <n v="471"/>
    <s v="A1471"/>
    <x v="1"/>
    <n v="83"/>
    <x v="431"/>
    <n v="230"/>
    <n v="12"/>
    <n v="8"/>
    <n v="9.6385542168674704E-2"/>
    <x v="131"/>
    <d v="2024-11-30T00:00:00"/>
    <s v="Hyderabad"/>
    <x v="0"/>
    <x v="5"/>
    <s v="November"/>
    <x v="0"/>
    <n v="2.7707228915662601"/>
    <n v="3.03"/>
    <n v="19.16"/>
    <n v="28.75"/>
    <n v="77.41"/>
    <n v="51"/>
    <n v="1.77"/>
  </r>
  <r>
    <n v="472"/>
    <s v="A1472"/>
    <x v="2"/>
    <n v="150"/>
    <x v="432"/>
    <n v="192"/>
    <n v="23"/>
    <n v="6"/>
    <n v="0.04"/>
    <x v="19"/>
    <d v="2024-11-19T00:00:00"/>
    <s v="Hyderabad"/>
    <x v="0"/>
    <x v="3"/>
    <s v="November"/>
    <x v="2"/>
    <n v="1.2792666666666599"/>
    <n v="2.67"/>
    <n v="8.34"/>
    <n v="31.98"/>
    <n v="84.48"/>
    <n v="59"/>
    <n v="1.84"/>
  </r>
  <r>
    <n v="473"/>
    <s v="A1473"/>
    <x v="2"/>
    <n v="171"/>
    <x v="433"/>
    <n v="183"/>
    <n v="24"/>
    <n v="9"/>
    <n v="5.2631578947368397E-2"/>
    <x v="130"/>
    <d v="2024-11-09T00:00:00"/>
    <s v="Hyderabad"/>
    <x v="0"/>
    <x v="2"/>
    <s v="November"/>
    <x v="0"/>
    <n v="1.07169590643274"/>
    <n v="3.32"/>
    <n v="7.64"/>
    <n v="20.36"/>
    <n v="59.34"/>
    <n v="32.44"/>
    <n v="1.59"/>
  </r>
  <r>
    <n v="474"/>
    <s v="A1474"/>
    <x v="2"/>
    <n v="139"/>
    <x v="434"/>
    <n v="211"/>
    <n v="25"/>
    <n v="9"/>
    <n v="6.4748201438848907E-2"/>
    <x v="105"/>
    <d v="2024-11-29T00:00:00"/>
    <s v="Hyderabad"/>
    <x v="1"/>
    <x v="3"/>
    <s v="November"/>
    <x v="3"/>
    <n v="1.5208633093525099"/>
    <n v="2.85"/>
    <n v="8.4600000000000009"/>
    <n v="23.49"/>
    <n v="20.149999999999999"/>
    <n v="28.22"/>
    <n v="1.2"/>
  </r>
  <r>
    <n v="475"/>
    <s v="A1475"/>
    <x v="1"/>
    <n v="117"/>
    <x v="435"/>
    <n v="225"/>
    <n v="24"/>
    <n v="10"/>
    <n v="8.5470085470085402E-2"/>
    <x v="164"/>
    <d v="2024-11-16T00:00:00"/>
    <s v="Hyderabad"/>
    <x v="1"/>
    <x v="2"/>
    <s v="November"/>
    <x v="0"/>
    <n v="1.9204273504273499"/>
    <n v="2"/>
    <n v="9.36"/>
    <n v="22.47"/>
    <n v="43.31"/>
    <n v="32.200000000000003"/>
    <n v="1.43"/>
  </r>
  <r>
    <n v="476"/>
    <s v="A1476"/>
    <x v="2"/>
    <n v="196"/>
    <x v="436"/>
    <n v="189"/>
    <n v="24"/>
    <n v="8"/>
    <n v="4.08163265306122E-2"/>
    <x v="69"/>
    <d v="2024-11-24T00:00:00"/>
    <s v="Hyderabad"/>
    <x v="0"/>
    <x v="1"/>
    <s v="November"/>
    <x v="4"/>
    <n v="0.96336734693877502"/>
    <n v="6.12"/>
    <n v="7.87"/>
    <n v="23.6"/>
    <n v="98.6"/>
    <n v="46.88"/>
    <n v="1.99"/>
  </r>
  <r>
    <n v="477"/>
    <s v="A1477"/>
    <x v="3"/>
    <n v="184"/>
    <x v="437"/>
    <n v="225"/>
    <n v="30"/>
    <n v="6"/>
    <n v="3.2608695652173898E-2"/>
    <x v="49"/>
    <d v="2024-11-26T00:00:00"/>
    <s v="Hyderabad"/>
    <x v="2"/>
    <x v="3"/>
    <s v="November"/>
    <x v="2"/>
    <n v="1.22054347826086"/>
    <n v="3.37"/>
    <n v="7.49"/>
    <n v="37.43"/>
    <n v="42.04"/>
    <n v="53.17"/>
    <n v="1.42"/>
  </r>
  <r>
    <n v="478"/>
    <s v="A1478"/>
    <x v="1"/>
    <n v="103"/>
    <x v="438"/>
    <n v="232"/>
    <n v="26"/>
    <n v="8"/>
    <n v="7.7669902912621297E-2"/>
    <x v="138"/>
    <d v="2024-11-16T00:00:00"/>
    <s v="Hyderabad"/>
    <x v="2"/>
    <x v="0"/>
    <s v="November"/>
    <x v="0"/>
    <n v="2.2570873786407701"/>
    <n v="1.82"/>
    <n v="8.94"/>
    <n v="29.06"/>
    <n v="65.61"/>
    <n v="48.12"/>
    <n v="1.66"/>
  </r>
  <r>
    <n v="479"/>
    <s v="A1479"/>
    <x v="1"/>
    <n v="120"/>
    <x v="439"/>
    <n v="181"/>
    <n v="30"/>
    <n v="3"/>
    <n v="2.5000000000000001E-2"/>
    <x v="186"/>
    <d v="2024-11-24T00:00:00"/>
    <s v="Hyderabad"/>
    <x v="1"/>
    <x v="5"/>
    <s v="November"/>
    <x v="4"/>
    <n v="1.506"/>
    <n v="2.57"/>
    <n v="6.02"/>
    <n v="60.24"/>
    <n v="83.71"/>
    <n v="110.67"/>
    <n v="1.84"/>
  </r>
  <r>
    <n v="480"/>
    <s v="A1480"/>
    <x v="3"/>
    <n v="148"/>
    <x v="440"/>
    <n v="214"/>
    <n v="28"/>
    <n v="10"/>
    <n v="6.7567567567567502E-2"/>
    <x v="28"/>
    <d v="2024-11-18T00:00:00"/>
    <s v="Hyderabad"/>
    <x v="1"/>
    <x v="3"/>
    <s v="November"/>
    <x v="6"/>
    <n v="1.44905405405405"/>
    <n v="4.07"/>
    <n v="7.66"/>
    <n v="21.45"/>
    <n v="51.08"/>
    <n v="32.4"/>
    <n v="1.51"/>
  </r>
  <r>
    <n v="481"/>
    <s v="A1481"/>
    <x v="0"/>
    <n v="80"/>
    <x v="441"/>
    <n v="181"/>
    <n v="15"/>
    <n v="3"/>
    <n v="3.7499999999999999E-2"/>
    <x v="50"/>
    <d v="2024-11-22T00:00:00"/>
    <s v="Hyderabad"/>
    <x v="2"/>
    <x v="0"/>
    <s v="November"/>
    <x v="3"/>
    <n v="2.26525"/>
    <n v="2.09"/>
    <n v="12.08"/>
    <n v="60.41"/>
    <n v="42.92"/>
    <n v="86.33"/>
    <n v="1.43"/>
  </r>
  <r>
    <n v="482"/>
    <s v="A1482"/>
    <x v="3"/>
    <n v="168"/>
    <x v="131"/>
    <n v="246"/>
    <n v="24"/>
    <n v="6"/>
    <n v="3.5714285714285698E-2"/>
    <x v="187"/>
    <d v="2024-11-24T00:00:00"/>
    <s v="Hyderabad"/>
    <x v="2"/>
    <x v="2"/>
    <s v="November"/>
    <x v="4"/>
    <n v="1.4648214285714201"/>
    <n v="4.2699999999999996"/>
    <n v="10.25"/>
    <n v="41.02"/>
    <n v="32.07"/>
    <n v="54.17"/>
    <n v="1.32"/>
  </r>
  <r>
    <n v="483"/>
    <s v="A1483"/>
    <x v="2"/>
    <n v="136"/>
    <x v="442"/>
    <n v="218"/>
    <n v="25"/>
    <n v="10"/>
    <n v="7.3529411764705802E-2"/>
    <x v="50"/>
    <d v="2024-11-18T00:00:00"/>
    <s v="Hyderabad"/>
    <x v="0"/>
    <x v="1"/>
    <s v="November"/>
    <x v="6"/>
    <n v="1.60566176470588"/>
    <n v="2.38"/>
    <n v="8.73"/>
    <n v="21.84"/>
    <n v="18.61"/>
    <n v="25.9"/>
    <n v="1.19"/>
  </r>
  <r>
    <n v="484"/>
    <s v="A1484"/>
    <x v="3"/>
    <n v="86"/>
    <x v="443"/>
    <n v="244"/>
    <n v="11"/>
    <n v="8"/>
    <n v="9.3023255813953404E-2"/>
    <x v="60"/>
    <d v="2024-11-13T00:00:00"/>
    <s v="Hyderabad"/>
    <x v="1"/>
    <x v="0"/>
    <s v="November"/>
    <x v="1"/>
    <n v="2.8346511627906898"/>
    <n v="1.81"/>
    <n v="22.16"/>
    <n v="30.47"/>
    <n v="48.08"/>
    <n v="45.12"/>
    <n v="1.48"/>
  </r>
  <r>
    <n v="485"/>
    <s v="A1485"/>
    <x v="0"/>
    <n v="175"/>
    <x v="444"/>
    <n v="237"/>
    <n v="22"/>
    <n v="4"/>
    <n v="2.2857142857142802E-2"/>
    <x v="67"/>
    <d v="2024-11-20T00:00:00"/>
    <s v="Hyderabad"/>
    <x v="1"/>
    <x v="5"/>
    <s v="November"/>
    <x v="1"/>
    <n v="1.35348571428571"/>
    <n v="5.65"/>
    <n v="10.77"/>
    <n v="59.22"/>
    <n v="39.32"/>
    <n v="82.5"/>
    <n v="1.39"/>
  </r>
  <r>
    <n v="486"/>
    <s v="A1486"/>
    <x v="3"/>
    <n v="173"/>
    <x v="445"/>
    <n v="185"/>
    <n v="22"/>
    <n v="4"/>
    <n v="2.3121387283236899E-2"/>
    <x v="188"/>
    <d v="2024-11-01T00:00:00"/>
    <s v="Hyderabad"/>
    <x v="0"/>
    <x v="1"/>
    <s v="November"/>
    <x v="3"/>
    <n v="1.06988439306358"/>
    <n v="3.11"/>
    <n v="8.41"/>
    <n v="46.27"/>
    <n v="10.220000000000001"/>
    <n v="51"/>
    <n v="1.1000000000000001"/>
  </r>
  <r>
    <n v="487"/>
    <s v="A1487"/>
    <x v="3"/>
    <n v="192"/>
    <x v="446"/>
    <n v="223"/>
    <n v="29"/>
    <n v="9"/>
    <n v="4.6875E-2"/>
    <x v="13"/>
    <d v="2024-11-25T00:00:00"/>
    <s v="Hyderabad"/>
    <x v="2"/>
    <x v="3"/>
    <s v="November"/>
    <x v="6"/>
    <n v="1.1629687499999899"/>
    <n v="5.64"/>
    <n v="7.7"/>
    <n v="24.81"/>
    <n v="40.619999999999997"/>
    <n v="34.89"/>
    <n v="1.41"/>
  </r>
  <r>
    <n v="488"/>
    <s v="A1488"/>
    <x v="1"/>
    <n v="190"/>
    <x v="447"/>
    <n v="241"/>
    <n v="28"/>
    <n v="5"/>
    <n v="2.6315789473684199E-2"/>
    <x v="83"/>
    <d v="2024-11-04T00:00:00"/>
    <s v="Hyderabad"/>
    <x v="0"/>
    <x v="5"/>
    <s v="November"/>
    <x v="6"/>
    <n v="1.27042105263157"/>
    <n v="4.26"/>
    <n v="8.6199999999999992"/>
    <n v="48.28"/>
    <n v="61.57"/>
    <n v="78"/>
    <n v="1.62"/>
  </r>
  <r>
    <n v="489"/>
    <s v="A1489"/>
    <x v="1"/>
    <n v="161"/>
    <x v="448"/>
    <n v="222"/>
    <n v="16"/>
    <n v="5"/>
    <n v="3.1055900621118002E-2"/>
    <x v="135"/>
    <d v="2024-11-02T00:00:00"/>
    <s v="Hyderabad"/>
    <x v="2"/>
    <x v="4"/>
    <s v="November"/>
    <x v="0"/>
    <n v="1.37664596273291"/>
    <n v="4.8600000000000003"/>
    <n v="13.85"/>
    <n v="44.33"/>
    <n v="-7.51"/>
    <n v="41"/>
    <n v="0.92"/>
  </r>
  <r>
    <n v="490"/>
    <s v="A1490"/>
    <x v="3"/>
    <n v="197"/>
    <x v="449"/>
    <n v="200"/>
    <n v="15"/>
    <n v="3"/>
    <n v="1.5228426395939E-2"/>
    <x v="189"/>
    <d v="2024-11-01T00:00:00"/>
    <s v="Hyderabad"/>
    <x v="1"/>
    <x v="0"/>
    <s v="November"/>
    <x v="3"/>
    <n v="1.0172588832487299"/>
    <n v="6.03"/>
    <n v="13.36"/>
    <n v="66.8"/>
    <n v="91.62"/>
    <n v="128"/>
    <n v="1.92"/>
  </r>
  <r>
    <n v="491"/>
    <s v="A1491"/>
    <x v="1"/>
    <n v="80"/>
    <x v="450"/>
    <n v="211"/>
    <n v="25"/>
    <n v="3"/>
    <n v="3.7499999999999999E-2"/>
    <x v="145"/>
    <d v="2024-11-05T00:00:00"/>
    <s v="Hyderabad"/>
    <x v="2"/>
    <x v="5"/>
    <s v="November"/>
    <x v="2"/>
    <n v="2.63375"/>
    <n v="1.61"/>
    <n v="8.43"/>
    <n v="70.23"/>
    <n v="11.06"/>
    <n v="78"/>
    <n v="1.1100000000000001"/>
  </r>
  <r>
    <n v="492"/>
    <s v="A1492"/>
    <x v="2"/>
    <n v="145"/>
    <x v="451"/>
    <n v="201"/>
    <n v="14"/>
    <n v="4"/>
    <n v="2.7586206896551699E-2"/>
    <x v="150"/>
    <d v="2024-11-27T00:00:00"/>
    <s v="Hyderabad"/>
    <x v="2"/>
    <x v="0"/>
    <s v="November"/>
    <x v="1"/>
    <n v="1.38537931034482"/>
    <n v="2.7"/>
    <n v="14.35"/>
    <n v="50.22"/>
    <n v="14.5"/>
    <n v="57.5"/>
    <n v="1.1399999999999999"/>
  </r>
  <r>
    <n v="493"/>
    <s v="A1493"/>
    <x v="1"/>
    <n v="90"/>
    <x v="452"/>
    <n v="233"/>
    <n v="22"/>
    <n v="8"/>
    <n v="8.8888888888888795E-2"/>
    <x v="100"/>
    <d v="2024-11-28T00:00:00"/>
    <s v="Hyderabad"/>
    <x v="0"/>
    <x v="0"/>
    <s v="November"/>
    <x v="5"/>
    <n v="2.5882222222222202"/>
    <n v="1.54"/>
    <n v="10.59"/>
    <n v="29.12"/>
    <n v="24.5"/>
    <n v="36.25"/>
    <n v="1.24"/>
  </r>
  <r>
    <n v="494"/>
    <s v="A1494"/>
    <x v="2"/>
    <n v="109"/>
    <x v="453"/>
    <n v="228"/>
    <n v="11"/>
    <n v="8"/>
    <n v="7.3394495412843999E-2"/>
    <x v="1"/>
    <d v="2024-11-15T00:00:00"/>
    <s v="Hyderabad"/>
    <x v="0"/>
    <x v="3"/>
    <s v="November"/>
    <x v="3"/>
    <n v="2.0929357798165098"/>
    <n v="2.23"/>
    <n v="20.74"/>
    <n v="28.52"/>
    <n v="50.35"/>
    <n v="42.88"/>
    <n v="1.5"/>
  </r>
  <r>
    <n v="495"/>
    <s v="A1495"/>
    <x v="3"/>
    <n v="130"/>
    <x v="454"/>
    <n v="204"/>
    <n v="10"/>
    <n v="5"/>
    <n v="3.8461538461538401E-2"/>
    <x v="39"/>
    <d v="2024-11-23T00:00:00"/>
    <s v="Hyderabad"/>
    <x v="0"/>
    <x v="5"/>
    <s v="November"/>
    <x v="0"/>
    <n v="1.56753061615001"/>
    <n v="2.27"/>
    <n v="20.38"/>
    <n v="40.76"/>
    <n v="21.21"/>
    <n v="49.4"/>
    <n v="1.21"/>
  </r>
  <r>
    <n v="496"/>
    <s v="A1496"/>
    <x v="2"/>
    <n v="179"/>
    <x v="455"/>
    <n v="248"/>
    <n v="15"/>
    <n v="4"/>
    <n v="2.23463687150838E-2"/>
    <x v="150"/>
    <d v="2024-11-14T00:00:00"/>
    <s v="Hyderabad"/>
    <x v="1"/>
    <x v="5"/>
    <s v="November"/>
    <x v="5"/>
    <n v="1.3845810055865899"/>
    <n v="3.07"/>
    <n v="16.52"/>
    <n v="61.96"/>
    <n v="-7.2"/>
    <n v="57.5"/>
    <n v="0.93"/>
  </r>
  <r>
    <n v="497"/>
    <s v="A1497"/>
    <x v="3"/>
    <n v="181"/>
    <x v="456"/>
    <n v="239"/>
    <n v="15"/>
    <n v="5"/>
    <n v="2.7624309392265099E-2"/>
    <x v="89"/>
    <d v="2024-11-09T00:00:00"/>
    <s v="Hyderabad"/>
    <x v="0"/>
    <x v="3"/>
    <s v="November"/>
    <x v="0"/>
    <n v="1.32204419889502"/>
    <n v="3.67"/>
    <n v="15.95"/>
    <n v="47.86"/>
    <n v="27.88"/>
    <n v="61.2"/>
    <n v="1.28"/>
  </r>
  <r>
    <n v="498"/>
    <s v="A1498"/>
    <x v="0"/>
    <n v="188"/>
    <x v="457"/>
    <n v="202"/>
    <n v="24"/>
    <n v="7"/>
    <n v="3.7234042553191397E-2"/>
    <x v="183"/>
    <d v="2024-11-21T00:00:00"/>
    <s v="Hyderabad"/>
    <x v="1"/>
    <x v="4"/>
    <s v="November"/>
    <x v="5"/>
    <n v="1.0730319148936101"/>
    <n v="4.1900000000000004"/>
    <n v="8.41"/>
    <n v="28.82"/>
    <n v="92.83"/>
    <n v="55.57"/>
    <n v="1.93"/>
  </r>
  <r>
    <n v="499"/>
    <s v="A1499"/>
    <x v="3"/>
    <n v="139"/>
    <x v="458"/>
    <n v="189"/>
    <n v="16"/>
    <n v="4"/>
    <n v="2.8776978417266098E-2"/>
    <x v="0"/>
    <d v="2024-11-29T00:00:00"/>
    <s v="Hyderabad"/>
    <x v="0"/>
    <x v="3"/>
    <s v="November"/>
    <x v="3"/>
    <n v="1.36035971223021"/>
    <n v="3.8"/>
    <n v="11.82"/>
    <n v="47.27"/>
    <n v="104.14"/>
    <n v="96.5"/>
    <n v="2.04"/>
  </r>
  <r>
    <n v="500"/>
    <s v="A1500"/>
    <x v="1"/>
    <n v="99"/>
    <x v="459"/>
    <n v="211"/>
    <n v="24"/>
    <n v="8"/>
    <n v="8.0808080808080801E-2"/>
    <x v="32"/>
    <d v="2024-11-13T00:00:00"/>
    <s v="Hyderabad"/>
    <x v="1"/>
    <x v="1"/>
    <s v="November"/>
    <x v="1"/>
    <n v="2.1272727272727199"/>
    <n v="2.06"/>
    <n v="8.7799999999999994"/>
    <n v="26.32"/>
    <n v="77.45"/>
    <n v="46.71"/>
    <n v="1.77"/>
  </r>
  <r>
    <n v="501"/>
    <s v="A1501"/>
    <x v="3"/>
    <n v="95"/>
    <x v="460"/>
    <n v="212"/>
    <n v="10"/>
    <n v="9"/>
    <n v="9.4736842105263105E-2"/>
    <x v="125"/>
    <d v="2024-11-08T00:00:00"/>
    <s v="Hyderabad"/>
    <x v="2"/>
    <x v="0"/>
    <s v="November"/>
    <x v="3"/>
    <n v="2.2310526315789398"/>
    <n v="1.63"/>
    <n v="21.2"/>
    <n v="23.55"/>
    <n v="39.18"/>
    <n v="32.78"/>
    <n v="1.39"/>
  </r>
  <r>
    <n v="502"/>
    <s v="A1502"/>
    <x v="0"/>
    <n v="131"/>
    <x v="461"/>
    <n v="205"/>
    <n v="28"/>
    <n v="5"/>
    <n v="3.8167938931297697E-2"/>
    <x v="113"/>
    <d v="2024-11-29T00:00:00"/>
    <s v="Hyderabad"/>
    <x v="0"/>
    <x v="5"/>
    <s v="November"/>
    <x v="3"/>
    <n v="1.56753061615001"/>
    <n v="2.36"/>
    <n v="7.33"/>
    <n v="41.07"/>
    <n v="59.24"/>
    <n v="65.400000000000006"/>
    <n v="1.59"/>
  </r>
  <r>
    <n v="503"/>
    <s v="A1503"/>
    <x v="1"/>
    <n v="190"/>
    <x v="462"/>
    <n v="218"/>
    <n v="27"/>
    <n v="4"/>
    <n v="2.1052631578947299E-2"/>
    <x v="10"/>
    <d v="2024-11-23T00:00:00"/>
    <s v="Hyderabad"/>
    <x v="2"/>
    <x v="3"/>
    <s v="November"/>
    <x v="0"/>
    <n v="1.1452631578947301"/>
    <n v="4.0999999999999996"/>
    <n v="8.06"/>
    <n v="54.4"/>
    <n v="78.31"/>
    <n v="97"/>
    <n v="1.78"/>
  </r>
  <r>
    <n v="504"/>
    <s v="A1504"/>
    <x v="2"/>
    <n v="123"/>
    <x v="463"/>
    <n v="225"/>
    <n v="23"/>
    <n v="8"/>
    <n v="6.5040650406504003E-2"/>
    <x v="49"/>
    <d v="2024-11-26T00:00:00"/>
    <s v="Hyderabad"/>
    <x v="1"/>
    <x v="4"/>
    <s v="November"/>
    <x v="2"/>
    <n v="1.83056910569105"/>
    <n v="3.68"/>
    <n v="9.7899999999999991"/>
    <n v="28.14"/>
    <n v="41.68"/>
    <n v="39.880000000000003"/>
    <n v="1.42"/>
  </r>
  <r>
    <n v="505"/>
    <s v="A1505"/>
    <x v="0"/>
    <n v="97"/>
    <x v="412"/>
    <n v="183"/>
    <n v="15"/>
    <n v="3"/>
    <n v="3.0927835051546299E-2"/>
    <x v="175"/>
    <d v="2024-11-14T00:00:00"/>
    <s v="Hyderabad"/>
    <x v="2"/>
    <x v="2"/>
    <s v="November"/>
    <x v="5"/>
    <n v="1.88639175257731"/>
    <n v="2.91"/>
    <n v="12.2"/>
    <n v="60.99"/>
    <n v="22.96"/>
    <n v="75"/>
    <n v="1.23"/>
  </r>
  <r>
    <n v="506"/>
    <s v="A1506"/>
    <x v="2"/>
    <n v="164"/>
    <x v="464"/>
    <n v="199"/>
    <n v="25"/>
    <n v="5"/>
    <n v="3.04878048780487E-2"/>
    <x v="117"/>
    <d v="2024-11-29T00:00:00"/>
    <s v="Hyderabad"/>
    <x v="1"/>
    <x v="5"/>
    <s v="November"/>
    <x v="3"/>
    <n v="1.2105487804877999"/>
    <n v="5.26"/>
    <n v="7.94"/>
    <n v="39.71"/>
    <n v="79.819999999999993"/>
    <n v="71.400000000000006"/>
    <n v="1.8"/>
  </r>
  <r>
    <n v="507"/>
    <s v="A1507"/>
    <x v="0"/>
    <n v="134"/>
    <x v="243"/>
    <n v="248"/>
    <n v="24"/>
    <n v="10"/>
    <n v="7.4626865671641701E-2"/>
    <x v="161"/>
    <d v="2024-11-01T00:00:00"/>
    <s v="Hyderabad"/>
    <x v="2"/>
    <x v="5"/>
    <s v="November"/>
    <x v="3"/>
    <n v="1.84768656716417"/>
    <n v="3.76"/>
    <n v="10.32"/>
    <n v="24.76"/>
    <n v="6.63"/>
    <n v="26.4"/>
    <n v="1.07"/>
  </r>
  <r>
    <n v="508"/>
    <s v="A1508"/>
    <x v="0"/>
    <n v="117"/>
    <x v="465"/>
    <n v="222"/>
    <n v="23"/>
    <n v="3"/>
    <n v="2.5641025641025599E-2"/>
    <x v="51"/>
    <d v="2024-11-11T00:00:00"/>
    <s v="Hyderabad"/>
    <x v="1"/>
    <x v="5"/>
    <s v="November"/>
    <x v="6"/>
    <n v="1.8953846153846099"/>
    <n v="2.27"/>
    <n v="9.64"/>
    <n v="73.92"/>
    <n v="23.11"/>
    <n v="91"/>
    <n v="1.23"/>
  </r>
  <r>
    <n v="509"/>
    <s v="A1509"/>
    <x v="0"/>
    <n v="168"/>
    <x v="466"/>
    <n v="256"/>
    <n v="19"/>
    <n v="8"/>
    <n v="4.7619047619047603E-2"/>
    <x v="50"/>
    <d v="2024-11-06T00:00:00"/>
    <s v="Hyderabad"/>
    <x v="1"/>
    <x v="4"/>
    <s v="November"/>
    <x v="1"/>
    <n v="1.5243795620437901"/>
    <n v="3.84"/>
    <n v="13.48"/>
    <n v="32.01"/>
    <n v="1.1299999999999999"/>
    <n v="32.380000000000003"/>
    <n v="1.01"/>
  </r>
  <r>
    <n v="510"/>
    <s v="A1510"/>
    <x v="2"/>
    <n v="173"/>
    <x v="467"/>
    <n v="224"/>
    <n v="15"/>
    <n v="10"/>
    <n v="5.7803468208092401E-2"/>
    <x v="183"/>
    <d v="2024-11-28T00:00:00"/>
    <s v="Hyderabad"/>
    <x v="1"/>
    <x v="4"/>
    <s v="November"/>
    <x v="5"/>
    <n v="1.2957803468208"/>
    <n v="5.2"/>
    <n v="14.94"/>
    <n v="22.42"/>
    <n v="73.53"/>
    <n v="38.9"/>
    <n v="1.74"/>
  </r>
  <r>
    <n v="511"/>
    <s v="A1511"/>
    <x v="1"/>
    <n v="158"/>
    <x v="468"/>
    <n v="238"/>
    <n v="26"/>
    <n v="9"/>
    <n v="5.6962025316455597E-2"/>
    <x v="105"/>
    <d v="2024-11-30T00:00:00"/>
    <s v="Hyderabad"/>
    <x v="2"/>
    <x v="4"/>
    <s v="November"/>
    <x v="0"/>
    <n v="1.5081645569620199"/>
    <n v="3.64"/>
    <n v="9.16"/>
    <n v="26.48"/>
    <n v="6.59"/>
    <n v="28.22"/>
    <n v="1.07"/>
  </r>
  <r>
    <n v="512"/>
    <s v="A1512"/>
    <x v="2"/>
    <n v="135"/>
    <x v="469"/>
    <n v="196"/>
    <n v="22"/>
    <n v="6"/>
    <n v="4.4444444444444398E-2"/>
    <x v="114"/>
    <d v="2024-11-29T00:00:00"/>
    <s v="Hyderabad"/>
    <x v="2"/>
    <x v="0"/>
    <s v="November"/>
    <x v="3"/>
    <n v="1.44874074074074"/>
    <n v="2.67"/>
    <n v="8.89"/>
    <n v="32.6"/>
    <n v="43.31"/>
    <n v="46.71"/>
    <n v="1.43"/>
  </r>
  <r>
    <n v="513"/>
    <s v="A1513"/>
    <x v="0"/>
    <n v="182"/>
    <x v="470"/>
    <n v="285"/>
    <n v="19"/>
    <n v="3"/>
    <n v="1.6483516483516401E-2"/>
    <x v="121"/>
    <d v="2024-11-19T00:00:00"/>
    <s v="Hyderabad"/>
    <x v="0"/>
    <x v="3"/>
    <s v="November"/>
    <x v="2"/>
    <n v="1.56753061615001"/>
    <n v="3.04"/>
    <n v="15.02"/>
    <n v="95.1"/>
    <n v="-10.27"/>
    <n v="85.33"/>
    <n v="0.9"/>
  </r>
  <r>
    <n v="514"/>
    <s v="A1514"/>
    <x v="1"/>
    <n v="83"/>
    <x v="471"/>
    <n v="237"/>
    <n v="22"/>
    <n v="5"/>
    <n v="6.0240963855421603E-2"/>
    <x v="129"/>
    <d v="2024-11-07T00:00:00"/>
    <s v="Hyderabad"/>
    <x v="1"/>
    <x v="5"/>
    <s v="November"/>
    <x v="5"/>
    <n v="2.8562650602409598"/>
    <n v="2.11"/>
    <n v="10.78"/>
    <n v="47.41"/>
    <n v="43.42"/>
    <n v="68"/>
    <n v="1.43"/>
  </r>
  <r>
    <n v="515"/>
    <s v="A1515"/>
    <x v="0"/>
    <n v="85"/>
    <x v="472"/>
    <n v="222"/>
    <n v="14"/>
    <n v="7"/>
    <n v="8.2352941176470504E-2"/>
    <x v="161"/>
    <d v="2024-11-29T00:00:00"/>
    <s v="Hyderabad"/>
    <x v="2"/>
    <x v="2"/>
    <s v="November"/>
    <x v="3"/>
    <n v="2.6085882352941101"/>
    <n v="1.53"/>
    <n v="15.84"/>
    <n v="31.68"/>
    <n v="19.059999999999999"/>
    <n v="37.71"/>
    <n v="1.19"/>
  </r>
  <r>
    <n v="516"/>
    <s v="A1516"/>
    <x v="1"/>
    <n v="98"/>
    <x v="422"/>
    <n v="208"/>
    <n v="15"/>
    <n v="7"/>
    <n v="7.1428571428571397E-2"/>
    <x v="0"/>
    <d v="2024-11-14T00:00:00"/>
    <s v="Hyderabad"/>
    <x v="0"/>
    <x v="5"/>
    <s v="November"/>
    <x v="5"/>
    <n v="2.1265306122448902"/>
    <n v="1.76"/>
    <n v="13.89"/>
    <n v="29.77"/>
    <n v="85.22"/>
    <n v="55.14"/>
    <n v="1.85"/>
  </r>
  <r>
    <n v="517"/>
    <s v="A1517"/>
    <x v="1"/>
    <n v="151"/>
    <x v="473"/>
    <n v="182"/>
    <n v="13"/>
    <n v="3"/>
    <n v="1.98675496688741E-2"/>
    <x v="121"/>
    <d v="2024-11-23T00:00:00"/>
    <s v="Hyderabad"/>
    <x v="1"/>
    <x v="1"/>
    <s v="November"/>
    <x v="0"/>
    <n v="1.20708609271523"/>
    <n v="2.65"/>
    <n v="14.02"/>
    <n v="60.76"/>
    <n v="40.450000000000003"/>
    <n v="85.33"/>
    <n v="1.4"/>
  </r>
  <r>
    <n v="518"/>
    <s v="A1518"/>
    <x v="3"/>
    <n v="122"/>
    <x v="66"/>
    <n v="244"/>
    <n v="25"/>
    <n v="6"/>
    <n v="4.9180327868852403E-2"/>
    <x v="114"/>
    <d v="2024-11-02T00:00:00"/>
    <s v="Hyderabad"/>
    <x v="0"/>
    <x v="5"/>
    <s v="November"/>
    <x v="0"/>
    <n v="2.0031147540983598"/>
    <n v="2.75"/>
    <n v="9.7799999999999994"/>
    <n v="40.729999999999997"/>
    <n v="14.69"/>
    <n v="46.71"/>
    <n v="1.1499999999999999"/>
  </r>
  <r>
    <n v="519"/>
    <s v="A1519"/>
    <x v="2"/>
    <n v="84"/>
    <x v="474"/>
    <n v="226"/>
    <n v="11"/>
    <n v="7"/>
    <n v="8.3333333333333301E-2"/>
    <x v="108"/>
    <d v="2024-11-30T00:00:00"/>
    <s v="Hyderabad"/>
    <x v="2"/>
    <x v="5"/>
    <s v="November"/>
    <x v="0"/>
    <n v="2.69428571428571"/>
    <n v="1.81"/>
    <n v="20.57"/>
    <n v="32.33"/>
    <n v="44.04"/>
    <n v="46.57"/>
    <n v="1.44"/>
  </r>
  <r>
    <n v="520"/>
    <s v="A1520"/>
    <x v="2"/>
    <n v="127"/>
    <x v="162"/>
    <n v="182"/>
    <n v="26"/>
    <n v="6"/>
    <n v="4.7244094488188899E-2"/>
    <x v="180"/>
    <d v="2024-11-25T00:00:00"/>
    <s v="Hyderabad"/>
    <x v="0"/>
    <x v="1"/>
    <s v="November"/>
    <x v="6"/>
    <n v="1.43314960629921"/>
    <n v="2.13"/>
    <n v="7"/>
    <n v="30.33"/>
    <n v="67.02"/>
    <n v="50.67"/>
    <n v="1.67"/>
  </r>
  <r>
    <n v="521"/>
    <s v="A1521"/>
    <x v="2"/>
    <n v="148"/>
    <x v="475"/>
    <n v="187"/>
    <n v="25"/>
    <n v="3"/>
    <n v="2.0270270270270199E-2"/>
    <x v="28"/>
    <d v="2024-11-15T00:00:00"/>
    <s v="Hyderabad"/>
    <x v="1"/>
    <x v="0"/>
    <s v="November"/>
    <x v="3"/>
    <n v="1.26364864864864"/>
    <n v="3.13"/>
    <n v="7.48"/>
    <n v="62.34"/>
    <n v="73.239999999999995"/>
    <n v="108"/>
    <n v="1.73"/>
  </r>
  <r>
    <n v="522"/>
    <s v="A1522"/>
    <x v="0"/>
    <n v="85"/>
    <x v="476"/>
    <n v="234"/>
    <n v="18"/>
    <n v="8"/>
    <n v="9.41176470588235E-2"/>
    <x v="131"/>
    <d v="2024-11-08T00:00:00"/>
    <s v="Hyderabad"/>
    <x v="2"/>
    <x v="1"/>
    <s v="November"/>
    <x v="3"/>
    <n v="2.7497647058823498"/>
    <n v="2.0099999999999998"/>
    <n v="12.98"/>
    <n v="29.22"/>
    <n v="74.56"/>
    <n v="51"/>
    <n v="1.75"/>
  </r>
  <r>
    <n v="523"/>
    <s v="A1523"/>
    <x v="2"/>
    <n v="105"/>
    <x v="477"/>
    <n v="247"/>
    <n v="19"/>
    <n v="8"/>
    <n v="7.6190476190476197E-2"/>
    <x v="108"/>
    <d v="2024-11-13T00:00:00"/>
    <s v="Hyderabad"/>
    <x v="1"/>
    <x v="3"/>
    <s v="November"/>
    <x v="1"/>
    <n v="2.3488571428571401"/>
    <n v="2.71"/>
    <n v="12.98"/>
    <n v="30.83"/>
    <n v="32.18"/>
    <n v="40.75"/>
    <n v="1.32"/>
  </r>
  <r>
    <n v="524"/>
    <s v="A1524"/>
    <x v="0"/>
    <n v="187"/>
    <x v="300"/>
    <n v="214"/>
    <n v="28"/>
    <n v="5"/>
    <n v="2.6737967914438499E-2"/>
    <x v="108"/>
    <d v="2024-11-13T00:00:00"/>
    <s v="Hyderabad"/>
    <x v="1"/>
    <x v="4"/>
    <s v="November"/>
    <x v="1"/>
    <n v="1.1462566844919699"/>
    <n v="4.87"/>
    <n v="7.66"/>
    <n v="42.87"/>
    <n v="52.09"/>
    <n v="65.2"/>
    <n v="1.52"/>
  </r>
  <r>
    <n v="525"/>
    <s v="A1525"/>
    <x v="2"/>
    <n v="153"/>
    <x v="478"/>
    <n v="245"/>
    <n v="12"/>
    <n v="10"/>
    <n v="6.5359477124182996E-2"/>
    <x v="44"/>
    <d v="2024-11-15T00:00:00"/>
    <s v="Hyderabad"/>
    <x v="1"/>
    <x v="4"/>
    <s v="November"/>
    <x v="3"/>
    <n v="1.59954248366013"/>
    <n v="4.87"/>
    <n v="20.39"/>
    <n v="24.47"/>
    <n v="14"/>
    <n v="27.9"/>
    <n v="1.1399999999999999"/>
  </r>
  <r>
    <n v="526"/>
    <s v="A1526"/>
    <x v="3"/>
    <n v="143"/>
    <x v="479"/>
    <n v="209"/>
    <n v="21"/>
    <n v="9"/>
    <n v="6.2937062937062901E-2"/>
    <x v="133"/>
    <d v="2024-11-26T00:00:00"/>
    <s v="Hyderabad"/>
    <x v="1"/>
    <x v="2"/>
    <s v="November"/>
    <x v="2"/>
    <n v="1.45895104895104"/>
    <n v="2.4700000000000002"/>
    <n v="9.93"/>
    <n v="23.18"/>
    <n v="40.92"/>
    <n v="32.67"/>
    <n v="1.41"/>
  </r>
  <r>
    <n v="527"/>
    <s v="A1527"/>
    <x v="1"/>
    <n v="183"/>
    <x v="480"/>
    <n v="202"/>
    <n v="21"/>
    <n v="8"/>
    <n v="4.3715846994535498E-2"/>
    <x v="152"/>
    <d v="2024-11-26T00:00:00"/>
    <s v="Hyderabad"/>
    <x v="0"/>
    <x v="3"/>
    <s v="November"/>
    <x v="2"/>
    <n v="1.10644808743169"/>
    <n v="4.83"/>
    <n v="9.64"/>
    <n v="25.31"/>
    <n v="22.48"/>
    <n v="31"/>
    <n v="1.22"/>
  </r>
  <r>
    <n v="528"/>
    <s v="A1528"/>
    <x v="0"/>
    <n v="172"/>
    <x v="481"/>
    <n v="235"/>
    <n v="28"/>
    <n v="7"/>
    <n v="4.0697674418604599E-2"/>
    <x v="82"/>
    <d v="2024-11-06T00:00:00"/>
    <s v="Hyderabad"/>
    <x v="1"/>
    <x v="0"/>
    <s v="November"/>
    <x v="1"/>
    <n v="1.36744186046511"/>
    <n v="4.05"/>
    <n v="8.4"/>
    <n v="33.6"/>
    <n v="-10.29"/>
    <n v="30.14"/>
    <n v="0.9"/>
  </r>
  <r>
    <n v="529"/>
    <s v="A1529"/>
    <x v="3"/>
    <n v="98"/>
    <x v="241"/>
    <n v="240"/>
    <n v="16"/>
    <n v="3"/>
    <n v="3.06122448979591E-2"/>
    <x v="99"/>
    <d v="2024-11-01T00:00:00"/>
    <s v="Hyderabad"/>
    <x v="0"/>
    <x v="1"/>
    <s v="November"/>
    <x v="3"/>
    <n v="2.4535714285714199"/>
    <n v="2.58"/>
    <n v="15.03"/>
    <n v="80.150000000000006"/>
    <n v="44.31"/>
    <n v="115.67"/>
    <n v="1.44"/>
  </r>
  <r>
    <n v="530"/>
    <s v="A1530"/>
    <x v="3"/>
    <n v="87"/>
    <x v="482"/>
    <n v="201"/>
    <n v="28"/>
    <n v="6"/>
    <n v="6.8965517241379296E-2"/>
    <x v="37"/>
    <d v="2024-11-20T00:00:00"/>
    <s v="Hyderabad"/>
    <x v="1"/>
    <x v="5"/>
    <s v="November"/>
    <x v="1"/>
    <n v="2.3070114942528699"/>
    <n v="1.86"/>
    <n v="7.17"/>
    <n v="33.450000000000003"/>
    <n v="44.99"/>
    <n v="48.5"/>
    <n v="1.45"/>
  </r>
  <r>
    <n v="531"/>
    <s v="A1531"/>
    <x v="1"/>
    <n v="84"/>
    <x v="483"/>
    <n v="216"/>
    <n v="13"/>
    <n v="6"/>
    <n v="7.1428571428571397E-2"/>
    <x v="25"/>
    <d v="2024-11-17T00:00:00"/>
    <s v="Hyderabad"/>
    <x v="0"/>
    <x v="3"/>
    <s v="November"/>
    <x v="4"/>
    <n v="2.5716666666666601"/>
    <n v="1.47"/>
    <n v="16.62"/>
    <n v="36"/>
    <n v="56.47"/>
    <n v="56.33"/>
    <n v="1.56"/>
  </r>
  <r>
    <n v="532"/>
    <s v="A1532"/>
    <x v="2"/>
    <n v="151"/>
    <x v="484"/>
    <n v="191"/>
    <n v="13"/>
    <n v="4"/>
    <n v="2.64900662251655E-2"/>
    <x v="11"/>
    <d v="2024-11-18T00:00:00"/>
    <s v="Hyderabad"/>
    <x v="1"/>
    <x v="0"/>
    <s v="November"/>
    <x v="6"/>
    <n v="1.2672185430463501"/>
    <n v="5"/>
    <n v="14.72"/>
    <n v="47.84"/>
    <n v="20.72"/>
    <n v="57.75"/>
    <n v="1.21"/>
  </r>
  <r>
    <n v="533"/>
    <s v="A1533"/>
    <x v="1"/>
    <n v="113"/>
    <x v="485"/>
    <n v="203"/>
    <n v="15"/>
    <n v="9"/>
    <n v="7.9646017699115002E-2"/>
    <x v="47"/>
    <d v="2024-11-16T00:00:00"/>
    <s v="Hyderabad"/>
    <x v="0"/>
    <x v="3"/>
    <s v="November"/>
    <x v="0"/>
    <n v="1.7984955752212299"/>
    <n v="2.09"/>
    <n v="13.55"/>
    <n v="22.58"/>
    <n v="75.17"/>
    <n v="39.56"/>
    <n v="1.75"/>
  </r>
  <r>
    <n v="534"/>
    <s v="A1534"/>
    <x v="3"/>
    <n v="89"/>
    <x v="486"/>
    <n v="202"/>
    <n v="22"/>
    <n v="4"/>
    <n v="4.49438202247191E-2"/>
    <x v="148"/>
    <d v="2024-11-07T00:00:00"/>
    <s v="Hyderabad"/>
    <x v="2"/>
    <x v="1"/>
    <s v="November"/>
    <x v="5"/>
    <n v="2.2720224719101099"/>
    <n v="1.75"/>
    <n v="9.19"/>
    <n v="50.55"/>
    <n v="7.31"/>
    <n v="54.25"/>
    <n v="1.07"/>
  </r>
  <r>
    <n v="535"/>
    <s v="A1535"/>
    <x v="2"/>
    <n v="174"/>
    <x v="82"/>
    <n v="218"/>
    <n v="10"/>
    <n v="7"/>
    <n v="4.0229885057471201E-2"/>
    <x v="3"/>
    <d v="2024-11-22T00:00:00"/>
    <s v="Hyderabad"/>
    <x v="1"/>
    <x v="3"/>
    <s v="November"/>
    <x v="3"/>
    <n v="1.25097701149425"/>
    <n v="4.8499999999999996"/>
    <n v="21.77"/>
    <n v="31.1"/>
    <n v="14.85"/>
    <n v="35.71"/>
    <n v="1.1499999999999999"/>
  </r>
  <r>
    <n v="536"/>
    <s v="A1536"/>
    <x v="0"/>
    <n v="166"/>
    <x v="487"/>
    <n v="206"/>
    <n v="25"/>
    <n v="7"/>
    <n v="4.2168674698795101E-2"/>
    <x v="139"/>
    <d v="2024-11-24T00:00:00"/>
    <s v="Hyderabad"/>
    <x v="1"/>
    <x v="5"/>
    <s v="November"/>
    <x v="4"/>
    <n v="1.23813253012048"/>
    <n v="3.01"/>
    <n v="8.2200000000000006"/>
    <n v="29.36"/>
    <n v="23.1"/>
    <n v="36.14"/>
    <n v="1.23"/>
  </r>
  <r>
    <n v="537"/>
    <s v="A1537"/>
    <x v="2"/>
    <n v="196"/>
    <x v="488"/>
    <n v="247"/>
    <n v="28"/>
    <n v="5"/>
    <n v="2.5510204081632602E-2"/>
    <x v="190"/>
    <d v="2024-11-15T00:00:00"/>
    <s v="Hyderabad"/>
    <x v="0"/>
    <x v="1"/>
    <s v="November"/>
    <x v="3"/>
    <n v="1.25775510204081"/>
    <n v="5.19"/>
    <n v="8.8000000000000007"/>
    <n v="49.3"/>
    <n v="-3.86"/>
    <n v="47.4"/>
    <n v="0.96"/>
  </r>
  <r>
    <n v="538"/>
    <s v="A1538"/>
    <x v="1"/>
    <n v="97"/>
    <x v="211"/>
    <n v="233"/>
    <n v="22"/>
    <n v="3"/>
    <n v="3.0927835051546299E-2"/>
    <x v="166"/>
    <d v="2024-11-28T00:00:00"/>
    <s v="Hyderabad"/>
    <x v="0"/>
    <x v="2"/>
    <s v="November"/>
    <x v="5"/>
    <n v="2.4053608247422602"/>
    <n v="2.79"/>
    <n v="10.61"/>
    <n v="77.77"/>
    <n v="-11.71"/>
    <n v="68.67"/>
    <n v="0.88"/>
  </r>
  <r>
    <n v="539"/>
    <s v="A1539"/>
    <x v="1"/>
    <n v="89"/>
    <x v="489"/>
    <n v="201"/>
    <n v="23"/>
    <n v="8"/>
    <n v="8.98876404494382E-2"/>
    <x v="147"/>
    <d v="2024-11-23T00:00:00"/>
    <s v="Hyderabad"/>
    <x v="1"/>
    <x v="1"/>
    <s v="November"/>
    <x v="0"/>
    <n v="2.2582022471910101"/>
    <n v="2.12"/>
    <n v="8.74"/>
    <n v="25.12"/>
    <n v="49.77"/>
    <n v="37.619999999999997"/>
    <n v="1.5"/>
  </r>
  <r>
    <n v="540"/>
    <s v="A1540"/>
    <x v="2"/>
    <n v="130"/>
    <x v="490"/>
    <n v="219"/>
    <n v="24"/>
    <n v="8"/>
    <n v="6.15384615384615E-2"/>
    <x v="56"/>
    <d v="2024-11-28T00:00:00"/>
    <s v="Hyderabad"/>
    <x v="1"/>
    <x v="0"/>
    <s v="November"/>
    <x v="5"/>
    <n v="1.6815384615384601"/>
    <n v="2.41"/>
    <n v="9.11"/>
    <n v="27.32"/>
    <n v="81.61"/>
    <n v="49.62"/>
    <n v="1.82"/>
  </r>
  <r>
    <n v="541"/>
    <s v="A1541"/>
    <x v="3"/>
    <n v="103"/>
    <x v="491"/>
    <n v="245"/>
    <n v="11"/>
    <n v="8"/>
    <n v="7.7669902912621297E-2"/>
    <x v="180"/>
    <d v="2024-11-08T00:00:00"/>
    <s v="Hyderabad"/>
    <x v="0"/>
    <x v="5"/>
    <s v="November"/>
    <x v="3"/>
    <n v="2.3819417475728102"/>
    <n v="2.16"/>
    <n v="22.3"/>
    <n v="30.67"/>
    <n v="23.91"/>
    <n v="38"/>
    <n v="1.24"/>
  </r>
  <r>
    <n v="542"/>
    <s v="A1542"/>
    <x v="3"/>
    <n v="138"/>
    <x v="492"/>
    <n v="197"/>
    <n v="17"/>
    <n v="8"/>
    <n v="5.7971014492753603E-2"/>
    <x v="32"/>
    <d v="2024-11-01T00:00:00"/>
    <s v="Hyderabad"/>
    <x v="0"/>
    <x v="4"/>
    <s v="November"/>
    <x v="3"/>
    <n v="1.42630434782608"/>
    <n v="4.1500000000000004"/>
    <n v="11.58"/>
    <n v="24.6"/>
    <n v="89.87"/>
    <n v="46.71"/>
    <n v="1.9"/>
  </r>
  <r>
    <n v="543"/>
    <s v="A1543"/>
    <x v="0"/>
    <n v="127"/>
    <x v="493"/>
    <n v="208"/>
    <n v="17"/>
    <n v="3"/>
    <n v="2.3622047244094401E-2"/>
    <x v="110"/>
    <d v="2024-11-17T00:00:00"/>
    <s v="Hyderabad"/>
    <x v="0"/>
    <x v="0"/>
    <s v="November"/>
    <x v="4"/>
    <n v="1.63480314960629"/>
    <n v="2.75"/>
    <n v="12.21"/>
    <n v="69.209999999999994"/>
    <n v="78.209999999999994"/>
    <n v="123.33"/>
    <n v="1.78"/>
  </r>
  <r>
    <n v="544"/>
    <s v="A1544"/>
    <x v="1"/>
    <n v="170"/>
    <x v="494"/>
    <n v="196"/>
    <n v="26"/>
    <n v="6"/>
    <n v="3.5294117647058802E-2"/>
    <x v="109"/>
    <d v="2024-11-14T00:00:00"/>
    <s v="Hyderabad"/>
    <x v="0"/>
    <x v="2"/>
    <s v="November"/>
    <x v="5"/>
    <n v="1.1528235294117599"/>
    <n v="3.63"/>
    <n v="7.54"/>
    <n v="32.659999999999997"/>
    <n v="94.92"/>
    <n v="63.67"/>
    <n v="1.95"/>
  </r>
  <r>
    <n v="545"/>
    <s v="A1545"/>
    <x v="0"/>
    <n v="115"/>
    <x v="64"/>
    <n v="197"/>
    <n v="20"/>
    <n v="5"/>
    <n v="4.3478260869565202E-2"/>
    <x v="155"/>
    <d v="2024-11-27T00:00:00"/>
    <s v="Hyderabad"/>
    <x v="0"/>
    <x v="0"/>
    <s v="November"/>
    <x v="1"/>
    <n v="1.7171304347826"/>
    <n v="3.06"/>
    <n v="9.8699999999999992"/>
    <n v="39.49"/>
    <n v="101.55"/>
    <n v="79.599999999999994"/>
    <n v="2.02"/>
  </r>
  <r>
    <n v="546"/>
    <s v="A1546"/>
    <x v="2"/>
    <n v="132"/>
    <x v="495"/>
    <n v="198"/>
    <n v="17"/>
    <n v="9"/>
    <n v="6.8181818181818094E-2"/>
    <x v="190"/>
    <d v="2024-11-14T00:00:00"/>
    <s v="Hyderabad"/>
    <x v="0"/>
    <x v="5"/>
    <s v="November"/>
    <x v="5"/>
    <n v="1.50007575757575"/>
    <n v="3.92"/>
    <n v="11.65"/>
    <n v="22"/>
    <n v="19.690000000000001"/>
    <n v="26.33"/>
    <n v="1.2"/>
  </r>
  <r>
    <n v="547"/>
    <s v="A1547"/>
    <x v="3"/>
    <n v="168"/>
    <x v="496"/>
    <n v="231"/>
    <n v="15"/>
    <n v="9"/>
    <n v="5.3571428571428499E-2"/>
    <x v="86"/>
    <d v="2024-11-11T00:00:00"/>
    <s v="Hyderabad"/>
    <x v="1"/>
    <x v="4"/>
    <s v="November"/>
    <x v="6"/>
    <n v="1.37363095238095"/>
    <n v="4.95"/>
    <n v="15.38"/>
    <n v="25.64"/>
    <n v="33.03"/>
    <n v="34.11"/>
    <n v="1.33"/>
  </r>
  <r>
    <n v="548"/>
    <s v="A1548"/>
    <x v="1"/>
    <n v="145"/>
    <x v="497"/>
    <n v="223"/>
    <n v="30"/>
    <n v="10"/>
    <n v="6.8965517241379296E-2"/>
    <x v="77"/>
    <d v="2024-11-20T00:00:00"/>
    <s v="Hyderabad"/>
    <x v="1"/>
    <x v="4"/>
    <s v="November"/>
    <x v="1"/>
    <n v="1.54"/>
    <n v="2.4300000000000002"/>
    <n v="7.44"/>
    <n v="22.33"/>
    <n v="69.73"/>
    <n v="37.9"/>
    <n v="1.7"/>
  </r>
  <r>
    <n v="549"/>
    <s v="A1549"/>
    <x v="1"/>
    <n v="163"/>
    <x v="463"/>
    <n v="217"/>
    <n v="26"/>
    <n v="7"/>
    <n v="4.2944785276073601E-2"/>
    <x v="117"/>
    <d v="2024-11-24T00:00:00"/>
    <s v="Hyderabad"/>
    <x v="2"/>
    <x v="3"/>
    <s v="November"/>
    <x v="4"/>
    <n v="1.3334355828220801"/>
    <n v="4.88"/>
    <n v="8.36"/>
    <n v="31.05"/>
    <n v="64.25"/>
    <n v="51"/>
    <n v="1.64"/>
  </r>
  <r>
    <n v="550"/>
    <s v="A1550"/>
    <x v="3"/>
    <n v="84"/>
    <x v="498"/>
    <n v="193"/>
    <n v="19"/>
    <n v="10"/>
    <n v="0.119047619047619"/>
    <x v="55"/>
    <d v="2024-11-03T00:00:00"/>
    <s v="Hyderabad"/>
    <x v="2"/>
    <x v="0"/>
    <s v="November"/>
    <x v="4"/>
    <n v="2.2919047619047599"/>
    <n v="1.91"/>
    <n v="10.130000000000001"/>
    <n v="19.25"/>
    <n v="29.34"/>
    <n v="24.9"/>
    <n v="1.29"/>
  </r>
  <r>
    <n v="551"/>
    <s v="A1551"/>
    <x v="1"/>
    <n v="124"/>
    <x v="499"/>
    <n v="181"/>
    <n v="17"/>
    <n v="6"/>
    <n v="4.8387096774193498E-2"/>
    <x v="33"/>
    <d v="2024-11-11T00:00:00"/>
    <s v="Hyderabad"/>
    <x v="1"/>
    <x v="4"/>
    <s v="November"/>
    <x v="6"/>
    <n v="1.45806451612903"/>
    <n v="3.9"/>
    <n v="10.64"/>
    <n v="30.13"/>
    <n v="105.75"/>
    <n v="62"/>
    <n v="2.06"/>
  </r>
  <r>
    <n v="552"/>
    <s v="A1552"/>
    <x v="3"/>
    <n v="162"/>
    <x v="500"/>
    <n v="234"/>
    <n v="23"/>
    <n v="6"/>
    <n v="3.7037037037037E-2"/>
    <x v="27"/>
    <d v="2024-11-15T00:00:00"/>
    <s v="Hyderabad"/>
    <x v="2"/>
    <x v="1"/>
    <s v="November"/>
    <x v="3"/>
    <n v="1.4429629629629599"/>
    <n v="3.27"/>
    <n v="10.16"/>
    <n v="38.96"/>
    <n v="72.400000000000006"/>
    <n v="67.17"/>
    <n v="1.72"/>
  </r>
  <r>
    <n v="553"/>
    <s v="A1553"/>
    <x v="0"/>
    <n v="119"/>
    <x v="6"/>
    <n v="184"/>
    <n v="20"/>
    <n v="3"/>
    <n v="2.5210084033613401E-2"/>
    <x v="191"/>
    <d v="2024-11-22T00:00:00"/>
    <s v="Hyderabad"/>
    <x v="1"/>
    <x v="4"/>
    <s v="November"/>
    <x v="3"/>
    <n v="1.54831932773109"/>
    <n v="2.66"/>
    <n v="9.2100000000000009"/>
    <n v="61.42"/>
    <n v="119.81"/>
    <n v="135"/>
    <n v="2.2000000000000002"/>
  </r>
  <r>
    <n v="554"/>
    <s v="A1554"/>
    <x v="1"/>
    <n v="151"/>
    <x v="501"/>
    <n v="247"/>
    <n v="24"/>
    <n v="4"/>
    <n v="2.64900662251655E-2"/>
    <x v="62"/>
    <d v="2024-11-29T00:00:00"/>
    <s v="Hyderabad"/>
    <x v="0"/>
    <x v="0"/>
    <s v="November"/>
    <x v="3"/>
    <n v="1.63350993377483"/>
    <n v="2.7"/>
    <n v="10.28"/>
    <n v="61.66"/>
    <n v="58.92"/>
    <n v="98"/>
    <n v="1.59"/>
  </r>
  <r>
    <n v="555"/>
    <s v="A1555"/>
    <x v="0"/>
    <n v="190"/>
    <x v="81"/>
    <n v="200"/>
    <n v="16"/>
    <n v="6"/>
    <n v="3.1578947368420998E-2"/>
    <x v="24"/>
    <d v="2024-11-03T00:00:00"/>
    <s v="Hyderabad"/>
    <x v="0"/>
    <x v="2"/>
    <s v="November"/>
    <x v="4"/>
    <n v="1.0523157894736801"/>
    <n v="3.95"/>
    <n v="12.5"/>
    <n v="33.32"/>
    <n v="48.54"/>
    <n v="49.5"/>
    <n v="1.49"/>
  </r>
  <r>
    <n v="556"/>
    <s v="A1556"/>
    <x v="3"/>
    <n v="138"/>
    <x v="502"/>
    <n v="204"/>
    <n v="27"/>
    <n v="7"/>
    <n v="5.0724637681159403E-2"/>
    <x v="192"/>
    <d v="2024-11-05T00:00:00"/>
    <s v="Hyderabad"/>
    <x v="2"/>
    <x v="0"/>
    <s v="November"/>
    <x v="2"/>
    <n v="1.4791304347826"/>
    <n v="4.08"/>
    <n v="7.56"/>
    <n v="29.16"/>
    <n v="38.64"/>
    <n v="40.43"/>
    <n v="1.39"/>
  </r>
  <r>
    <n v="557"/>
    <s v="A1557"/>
    <x v="1"/>
    <n v="100"/>
    <x v="503"/>
    <n v="214"/>
    <n v="16"/>
    <n v="9"/>
    <n v="0.09"/>
    <x v="91"/>
    <d v="2024-11-03T00:00:00"/>
    <s v="Hyderabad"/>
    <x v="2"/>
    <x v="4"/>
    <s v="November"/>
    <x v="4"/>
    <n v="2.1446000000000001"/>
    <n v="2.15"/>
    <n v="13.4"/>
    <n v="23.83"/>
    <n v="12.38"/>
    <n v="26.78"/>
    <n v="1.1200000000000001"/>
  </r>
  <r>
    <n v="558"/>
    <s v="A1558"/>
    <x v="0"/>
    <n v="187"/>
    <x v="504"/>
    <n v="210"/>
    <n v="14"/>
    <n v="7"/>
    <n v="3.7433155080213901E-2"/>
    <x v="56"/>
    <d v="2024-11-15T00:00:00"/>
    <s v="Hyderabad"/>
    <x v="0"/>
    <x v="5"/>
    <s v="November"/>
    <x v="3"/>
    <n v="1.1229946524064101"/>
    <n v="3.46"/>
    <n v="15"/>
    <n v="30"/>
    <n v="89.05"/>
    <n v="56.71"/>
    <n v="1.89"/>
  </r>
  <r>
    <n v="559"/>
    <s v="A1559"/>
    <x v="2"/>
    <n v="176"/>
    <x v="505"/>
    <n v="192"/>
    <n v="29"/>
    <n v="3"/>
    <n v="1.7045454545454499E-2"/>
    <x v="130"/>
    <d v="2024-11-28T00:00:00"/>
    <s v="Hyderabad"/>
    <x v="1"/>
    <x v="4"/>
    <s v="November"/>
    <x v="5"/>
    <n v="1.0880681818181801"/>
    <n v="5.18"/>
    <n v="6.6"/>
    <n v="63.83"/>
    <n v="52.48"/>
    <n v="97.33"/>
    <n v="1.52"/>
  </r>
  <r>
    <n v="560"/>
    <s v="A1560"/>
    <x v="3"/>
    <n v="117"/>
    <x v="55"/>
    <n v="178"/>
    <n v="28"/>
    <n v="6"/>
    <n v="5.1282051282051197E-2"/>
    <x v="180"/>
    <d v="2024-11-10T00:00:00"/>
    <s v="Hyderabad"/>
    <x v="1"/>
    <x v="3"/>
    <s v="November"/>
    <x v="4"/>
    <n v="1.5243795620437901"/>
    <n v="2.77"/>
    <n v="6.37"/>
    <n v="29.73"/>
    <n v="70.45"/>
    <n v="50.67"/>
    <n v="1.7"/>
  </r>
  <r>
    <n v="561"/>
    <s v="A1561"/>
    <x v="1"/>
    <n v="196"/>
    <x v="506"/>
    <n v="206"/>
    <n v="24"/>
    <n v="8"/>
    <n v="4.08163265306122E-2"/>
    <x v="37"/>
    <d v="2024-11-23T00:00:00"/>
    <s v="Hyderabad"/>
    <x v="2"/>
    <x v="2"/>
    <s v="November"/>
    <x v="0"/>
    <n v="1.0526020408163199"/>
    <n v="3.03"/>
    <n v="8.6"/>
    <n v="25.79"/>
    <n v="41.05"/>
    <n v="36.380000000000003"/>
    <n v="1.41"/>
  </r>
  <r>
    <n v="562"/>
    <s v="A1562"/>
    <x v="0"/>
    <n v="155"/>
    <x v="507"/>
    <n v="222"/>
    <n v="12"/>
    <n v="3"/>
    <n v="1.9354838709677399E-2"/>
    <x v="193"/>
    <d v="2024-11-21T00:00:00"/>
    <s v="Hyderabad"/>
    <x v="1"/>
    <x v="3"/>
    <s v="November"/>
    <x v="5"/>
    <n v="1.43335483870967"/>
    <n v="4.01"/>
    <n v="18.510000000000002"/>
    <n v="74.06"/>
    <n v="29.18"/>
    <n v="95.67"/>
    <n v="1.29"/>
  </r>
  <r>
    <n v="563"/>
    <s v="A1563"/>
    <x v="0"/>
    <n v="188"/>
    <x v="508"/>
    <n v="241"/>
    <n v="15"/>
    <n v="3"/>
    <n v="1.5957446808510599E-2"/>
    <x v="155"/>
    <d v="2024-11-10T00:00:00"/>
    <s v="Hyderabad"/>
    <x v="1"/>
    <x v="1"/>
    <s v="November"/>
    <x v="4"/>
    <n v="1.2818617021276499"/>
    <n v="4.9000000000000004"/>
    <n v="16.07"/>
    <n v="80.33"/>
    <n v="65.150000000000006"/>
    <n v="132.66999999999999"/>
    <n v="1.65"/>
  </r>
  <r>
    <n v="564"/>
    <s v="A1564"/>
    <x v="2"/>
    <n v="81"/>
    <x v="509"/>
    <n v="223"/>
    <n v="25"/>
    <n v="4"/>
    <n v="4.9382716049382699E-2"/>
    <x v="25"/>
    <d v="2024-11-19T00:00:00"/>
    <s v="Hyderabad"/>
    <x v="2"/>
    <x v="2"/>
    <s v="November"/>
    <x v="2"/>
    <n v="2.7528395061728301"/>
    <n v="1.43"/>
    <n v="8.92"/>
    <n v="55.74"/>
    <n v="51.58"/>
    <n v="84.5"/>
    <n v="1.52"/>
  </r>
  <r>
    <n v="565"/>
    <s v="A1565"/>
    <x v="3"/>
    <n v="125"/>
    <x v="510"/>
    <n v="196"/>
    <n v="28"/>
    <n v="7"/>
    <n v="5.6000000000000001E-2"/>
    <x v="24"/>
    <d v="2024-11-22T00:00:00"/>
    <s v="Hyderabad"/>
    <x v="0"/>
    <x v="2"/>
    <s v="November"/>
    <x v="3"/>
    <n v="1.56753061615001"/>
    <n v="2.61"/>
    <n v="7"/>
    <n v="27.99"/>
    <n v="51.58"/>
    <n v="42.43"/>
    <n v="1.52"/>
  </r>
  <r>
    <n v="566"/>
    <s v="A1566"/>
    <x v="3"/>
    <n v="158"/>
    <x v="511"/>
    <n v="222"/>
    <n v="21"/>
    <n v="3"/>
    <n v="1.8987341772151899E-2"/>
    <x v="40"/>
    <d v="2024-11-03T00:00:00"/>
    <s v="Hyderabad"/>
    <x v="0"/>
    <x v="1"/>
    <s v="November"/>
    <x v="4"/>
    <n v="1.4068354430379699"/>
    <n v="3.03"/>
    <n v="10.58"/>
    <n v="74.09"/>
    <n v="49.81"/>
    <n v="111"/>
    <n v="1.5"/>
  </r>
  <r>
    <n v="567"/>
    <s v="A1567"/>
    <x v="3"/>
    <n v="133"/>
    <x v="337"/>
    <n v="196"/>
    <n v="10"/>
    <n v="5"/>
    <n v="3.7593984962405999E-2"/>
    <x v="84"/>
    <d v="2024-11-03T00:00:00"/>
    <s v="Hyderabad"/>
    <x v="2"/>
    <x v="1"/>
    <s v="November"/>
    <x v="4"/>
    <n v="1.4738345864661599"/>
    <n v="2.31"/>
    <n v="19.600000000000001"/>
    <n v="39.200000000000003"/>
    <n v="19.16"/>
    <n v="46.71"/>
    <n v="1.19"/>
  </r>
  <r>
    <n v="568"/>
    <s v="A1568"/>
    <x v="2"/>
    <n v="128"/>
    <x v="512"/>
    <n v="240"/>
    <n v="15"/>
    <n v="9"/>
    <n v="7.03125E-2"/>
    <x v="47"/>
    <d v="2024-11-25T00:00:00"/>
    <s v="Hyderabad"/>
    <x v="1"/>
    <x v="5"/>
    <s v="November"/>
    <x v="6"/>
    <n v="1.8740625"/>
    <n v="2.5499999999999998"/>
    <n v="15.99"/>
    <n v="26.65"/>
    <n v="48.41"/>
    <n v="39.56"/>
    <n v="1.48"/>
  </r>
  <r>
    <n v="569"/>
    <s v="A1569"/>
    <x v="2"/>
    <n v="148"/>
    <x v="513"/>
    <n v="181"/>
    <n v="30"/>
    <n v="4"/>
    <n v="2.7027027027027001E-2"/>
    <x v="57"/>
    <d v="2024-11-16T00:00:00"/>
    <s v="Hyderabad"/>
    <x v="0"/>
    <x v="5"/>
    <s v="November"/>
    <x v="0"/>
    <n v="1.2256756756756699"/>
    <n v="3.81"/>
    <n v="6.05"/>
    <n v="45.35"/>
    <n v="121.06"/>
    <n v="100.25"/>
    <n v="2.21"/>
  </r>
  <r>
    <n v="570"/>
    <s v="A1570"/>
    <x v="0"/>
    <n v="92"/>
    <x v="514"/>
    <n v="235"/>
    <n v="29"/>
    <n v="3"/>
    <n v="3.2608695652173898E-2"/>
    <x v="59"/>
    <d v="2024-11-30T00:00:00"/>
    <s v="Hyderabad"/>
    <x v="1"/>
    <x v="3"/>
    <s v="November"/>
    <x v="0"/>
    <n v="2.5509782608695599"/>
    <n v="2"/>
    <n v="8.09"/>
    <n v="78.23"/>
    <n v="9.93"/>
    <n v="86"/>
    <n v="1.1000000000000001"/>
  </r>
  <r>
    <n v="571"/>
    <s v="A1571"/>
    <x v="1"/>
    <n v="147"/>
    <x v="515"/>
    <n v="206"/>
    <n v="25"/>
    <n v="8"/>
    <n v="5.4421768707482901E-2"/>
    <x v="41"/>
    <d v="2024-11-02T00:00:00"/>
    <s v="Hyderabad"/>
    <x v="0"/>
    <x v="1"/>
    <s v="November"/>
    <x v="0"/>
    <n v="1.40020408163265"/>
    <n v="3.03"/>
    <n v="8.23"/>
    <n v="25.73"/>
    <n v="71.5"/>
    <n v="44.12"/>
    <n v="1.72"/>
  </r>
  <r>
    <n v="572"/>
    <s v="A1572"/>
    <x v="1"/>
    <n v="136"/>
    <x v="516"/>
    <n v="248"/>
    <n v="13"/>
    <n v="6"/>
    <n v="4.4117647058823498E-2"/>
    <x v="26"/>
    <d v="2024-11-06T00:00:00"/>
    <s v="Hyderabad"/>
    <x v="1"/>
    <x v="2"/>
    <s v="November"/>
    <x v="1"/>
    <n v="1.82132352941176"/>
    <n v="2.4900000000000002"/>
    <n v="19.05"/>
    <n v="41.28"/>
    <n v="38.880000000000003"/>
    <n v="57.33"/>
    <n v="1.39"/>
  </r>
  <r>
    <n v="573"/>
    <s v="A1573"/>
    <x v="1"/>
    <n v="132"/>
    <x v="517"/>
    <n v="220"/>
    <n v="28"/>
    <n v="6"/>
    <n v="4.54545454545454E-2"/>
    <x v="55"/>
    <d v="2024-11-03T00:00:00"/>
    <s v="Hyderabad"/>
    <x v="1"/>
    <x v="4"/>
    <s v="November"/>
    <x v="4"/>
    <n v="1.66992424242424"/>
    <n v="2.66"/>
    <n v="7.87"/>
    <n v="36.74"/>
    <n v="12.96"/>
    <n v="41.5"/>
    <n v="1.1299999999999999"/>
  </r>
  <r>
    <n v="574"/>
    <s v="A1574"/>
    <x v="0"/>
    <n v="173"/>
    <x v="518"/>
    <n v="242"/>
    <n v="28"/>
    <n v="3"/>
    <n v="1.7341040462427699E-2"/>
    <x v="137"/>
    <d v="2024-11-13T00:00:00"/>
    <s v="Hyderabad"/>
    <x v="2"/>
    <x v="0"/>
    <s v="November"/>
    <x v="1"/>
    <n v="1.3965895953757199"/>
    <n v="3.03"/>
    <n v="8.6300000000000008"/>
    <n v="80.540000000000006"/>
    <n v="0.57999999999999996"/>
    <n v="81"/>
    <n v="1.01"/>
  </r>
  <r>
    <n v="575"/>
    <s v="A1575"/>
    <x v="1"/>
    <n v="85"/>
    <x v="519"/>
    <n v="224"/>
    <n v="26"/>
    <n v="5"/>
    <n v="5.8823529411764698E-2"/>
    <x v="68"/>
    <d v="2024-11-01T00:00:00"/>
    <s v="Hyderabad"/>
    <x v="2"/>
    <x v="1"/>
    <s v="November"/>
    <x v="3"/>
    <n v="2.6394117647058799"/>
    <n v="1.79"/>
    <n v="8.6300000000000008"/>
    <n v="44.87"/>
    <n v="-1.05"/>
    <n v="44.4"/>
    <n v="0.99"/>
  </r>
  <r>
    <n v="576"/>
    <s v="A1576"/>
    <x v="2"/>
    <n v="129"/>
    <x v="357"/>
    <n v="200"/>
    <n v="12"/>
    <n v="5"/>
    <n v="3.8759689922480599E-2"/>
    <x v="193"/>
    <d v="2024-11-29T00:00:00"/>
    <s v="Hyderabad"/>
    <x v="2"/>
    <x v="4"/>
    <s v="November"/>
    <x v="3"/>
    <n v="1.5517054263565799"/>
    <n v="2.2000000000000002"/>
    <n v="16.68"/>
    <n v="40.03"/>
    <n v="43.38"/>
    <n v="57.4"/>
    <n v="1.43"/>
  </r>
  <r>
    <n v="577"/>
    <s v="A1577"/>
    <x v="3"/>
    <n v="181"/>
    <x v="520"/>
    <n v="243"/>
    <n v="16"/>
    <n v="4"/>
    <n v="2.2099447513812098E-2"/>
    <x v="27"/>
    <d v="2024-11-20T00:00:00"/>
    <s v="Hyderabad"/>
    <x v="1"/>
    <x v="4"/>
    <s v="November"/>
    <x v="1"/>
    <n v="1.3444751381215401"/>
    <n v="3.83"/>
    <n v="15.21"/>
    <n v="60.84"/>
    <n v="65.61"/>
    <n v="100.75"/>
    <n v="1.66"/>
  </r>
  <r>
    <n v="578"/>
    <s v="A1578"/>
    <x v="2"/>
    <n v="85"/>
    <x v="521"/>
    <n v="250"/>
    <n v="21"/>
    <n v="6"/>
    <n v="7.0588235294117604E-2"/>
    <x v="192"/>
    <d v="2024-11-10T00:00:00"/>
    <s v="Hyderabad"/>
    <x v="1"/>
    <x v="4"/>
    <s v="November"/>
    <x v="4"/>
    <n v="2.93694117647058"/>
    <n v="1.59"/>
    <n v="11.89"/>
    <n v="41.61"/>
    <n v="13.36"/>
    <n v="47.17"/>
    <n v="1.1299999999999999"/>
  </r>
  <r>
    <n v="579"/>
    <s v="A1579"/>
    <x v="2"/>
    <n v="92"/>
    <x v="522"/>
    <n v="189"/>
    <n v="14"/>
    <n v="7"/>
    <n v="7.6086956521739094E-2"/>
    <x v="97"/>
    <d v="2024-11-22T00:00:00"/>
    <s v="Hyderabad"/>
    <x v="2"/>
    <x v="3"/>
    <s v="November"/>
    <x v="3"/>
    <n v="2.0499999999999998"/>
    <n v="2.13"/>
    <n v="13.47"/>
    <n v="26.94"/>
    <n v="23.54"/>
    <n v="33.29"/>
    <n v="1.24"/>
  </r>
  <r>
    <n v="580"/>
    <s v="A1580"/>
    <x v="3"/>
    <n v="192"/>
    <x v="523"/>
    <n v="181"/>
    <n v="27"/>
    <n v="4"/>
    <n v="2.0833333333333301E-2"/>
    <x v="38"/>
    <d v="2024-11-09T00:00:00"/>
    <s v="Hyderabad"/>
    <x v="1"/>
    <x v="3"/>
    <s v="November"/>
    <x v="0"/>
    <n v="0.941770833333333"/>
    <n v="3.03"/>
    <n v="6.7"/>
    <n v="45.2"/>
    <n v="108.49"/>
    <n v="94.25"/>
    <n v="2.08"/>
  </r>
  <r>
    <n v="581"/>
    <s v="A1581"/>
    <x v="2"/>
    <n v="146"/>
    <x v="524"/>
    <n v="195"/>
    <n v="27"/>
    <n v="9"/>
    <n v="6.1643835616438297E-2"/>
    <x v="118"/>
    <d v="2024-11-02T00:00:00"/>
    <s v="Hyderabad"/>
    <x v="2"/>
    <x v="3"/>
    <s v="November"/>
    <x v="0"/>
    <n v="1.3333561643835601"/>
    <n v="3.26"/>
    <n v="7.21"/>
    <n v="21.63"/>
    <n v="29.45"/>
    <n v="28"/>
    <n v="1.29"/>
  </r>
  <r>
    <n v="582"/>
    <s v="A1582"/>
    <x v="1"/>
    <n v="178"/>
    <x v="14"/>
    <n v="205"/>
    <n v="18"/>
    <n v="4"/>
    <n v="2.2471910112359501E-2"/>
    <x v="194"/>
    <d v="2024-11-18T00:00:00"/>
    <s v="Hyderabad"/>
    <x v="2"/>
    <x v="5"/>
    <s v="November"/>
    <x v="6"/>
    <n v="1.15426966292134"/>
    <n v="4.13"/>
    <n v="11.41"/>
    <n v="51.36"/>
    <n v="65.97"/>
    <n v="85.25"/>
    <n v="1.66"/>
  </r>
  <r>
    <n v="583"/>
    <s v="A1583"/>
    <x v="0"/>
    <n v="197"/>
    <x v="525"/>
    <n v="233"/>
    <n v="22"/>
    <n v="9"/>
    <n v="4.5685279187817202E-2"/>
    <x v="153"/>
    <d v="2024-11-18T00:00:00"/>
    <s v="Hyderabad"/>
    <x v="2"/>
    <x v="5"/>
    <s v="November"/>
    <x v="6"/>
    <n v="1.18497461928934"/>
    <n v="6.55"/>
    <n v="10.61"/>
    <n v="25.94"/>
    <n v="19.95"/>
    <n v="31.11"/>
    <n v="1.2"/>
  </r>
  <r>
    <n v="584"/>
    <s v="A1584"/>
    <x v="1"/>
    <n v="176"/>
    <x v="526"/>
    <n v="205"/>
    <n v="23"/>
    <n v="5"/>
    <n v="2.8409090909090901E-2"/>
    <x v="47"/>
    <d v="2024-11-19T00:00:00"/>
    <s v="Hyderabad"/>
    <x v="0"/>
    <x v="4"/>
    <s v="November"/>
    <x v="2"/>
    <n v="1.1660795454545401"/>
    <n v="5.66"/>
    <n v="8.92"/>
    <n v="41.05"/>
    <n v="73.459999999999994"/>
    <n v="71.2"/>
    <n v="1.73"/>
  </r>
  <r>
    <n v="585"/>
    <s v="A1585"/>
    <x v="0"/>
    <n v="98"/>
    <x v="495"/>
    <n v="224"/>
    <n v="27"/>
    <n v="9"/>
    <n v="9.18367346938775E-2"/>
    <x v="162"/>
    <d v="2024-11-27T00:00:00"/>
    <s v="Hyderabad"/>
    <x v="0"/>
    <x v="3"/>
    <s v="November"/>
    <x v="1"/>
    <n v="2.2885714285714198"/>
    <n v="2.91"/>
    <n v="8.31"/>
    <n v="24.92"/>
    <n v="0.77"/>
    <n v="25.11"/>
    <n v="1.01"/>
  </r>
  <r>
    <n v="586"/>
    <s v="A1586"/>
    <x v="0"/>
    <n v="105"/>
    <x v="527"/>
    <n v="188"/>
    <n v="24"/>
    <n v="4"/>
    <n v="3.8095238095238099E-2"/>
    <x v="8"/>
    <d v="2024-11-09T00:00:00"/>
    <s v="Hyderabad"/>
    <x v="0"/>
    <x v="0"/>
    <s v="November"/>
    <x v="0"/>
    <n v="1.78942857142857"/>
    <n v="3.21"/>
    <n v="7.83"/>
    <n v="46.97"/>
    <n v="47.96"/>
    <n v="69.5"/>
    <n v="1.48"/>
  </r>
  <r>
    <n v="587"/>
    <s v="A1587"/>
    <x v="0"/>
    <n v="113"/>
    <x v="528"/>
    <n v="210"/>
    <n v="19"/>
    <n v="10"/>
    <n v="8.8495575221238895E-2"/>
    <x v="118"/>
    <d v="2024-11-15T00:00:00"/>
    <s v="Hyderabad"/>
    <x v="0"/>
    <x v="4"/>
    <s v="November"/>
    <x v="3"/>
    <n v="1.85955752212389"/>
    <n v="3.5"/>
    <n v="11.06"/>
    <n v="21.01"/>
    <n v="19.93"/>
    <n v="25.2"/>
    <n v="1.2"/>
  </r>
  <r>
    <n v="588"/>
    <s v="A1588"/>
    <x v="3"/>
    <n v="104"/>
    <x v="529"/>
    <n v="247"/>
    <n v="13"/>
    <n v="10"/>
    <n v="9.6153846153846104E-2"/>
    <x v="152"/>
    <d v="2024-11-27T00:00:00"/>
    <s v="Hyderabad"/>
    <x v="2"/>
    <x v="4"/>
    <s v="November"/>
    <x v="1"/>
    <n v="2.3704807692307601"/>
    <n v="3.02"/>
    <n v="18.96"/>
    <n v="24.65"/>
    <n v="0.6"/>
    <n v="24.8"/>
    <n v="1.01"/>
  </r>
  <r>
    <n v="589"/>
    <s v="A1589"/>
    <x v="2"/>
    <n v="88"/>
    <x v="530"/>
    <n v="197"/>
    <n v="26"/>
    <n v="5"/>
    <n v="5.6818181818181802E-2"/>
    <x v="93"/>
    <d v="2024-11-03T00:00:00"/>
    <s v="Hyderabad"/>
    <x v="0"/>
    <x v="4"/>
    <s v="November"/>
    <x v="4"/>
    <n v="2.2422727272727201"/>
    <n v="1.69"/>
    <n v="7.59"/>
    <n v="39.46"/>
    <n v="48.49"/>
    <n v="58.6"/>
    <n v="1.48"/>
  </r>
  <r>
    <n v="590"/>
    <s v="A1590"/>
    <x v="3"/>
    <n v="106"/>
    <x v="531"/>
    <n v="240"/>
    <n v="11"/>
    <n v="7"/>
    <n v="6.6037735849056603E-2"/>
    <x v="83"/>
    <d v="2024-11-24T00:00:00"/>
    <s v="Hyderabad"/>
    <x v="0"/>
    <x v="3"/>
    <s v="November"/>
    <x v="4"/>
    <n v="2.2618867924528301"/>
    <n v="1.99"/>
    <n v="21.8"/>
    <n v="34.25"/>
    <n v="62.66"/>
    <n v="55.71"/>
    <n v="1.63"/>
  </r>
  <r>
    <n v="591"/>
    <s v="A1591"/>
    <x v="0"/>
    <n v="148"/>
    <x v="532"/>
    <n v="243"/>
    <n v="15"/>
    <n v="7"/>
    <n v="4.72972972972973E-2"/>
    <x v="182"/>
    <d v="2024-11-29T00:00:00"/>
    <s v="Hyderabad"/>
    <x v="1"/>
    <x v="2"/>
    <s v="November"/>
    <x v="3"/>
    <n v="1.6425000000000001"/>
    <n v="2.5299999999999998"/>
    <n v="16.21"/>
    <n v="34.729999999999997"/>
    <n v="28.76"/>
    <n v="44.71"/>
    <n v="1.29"/>
  </r>
  <r>
    <n v="592"/>
    <s v="A1592"/>
    <x v="2"/>
    <n v="174"/>
    <x v="533"/>
    <n v="228"/>
    <n v="25"/>
    <n v="5"/>
    <n v="2.8735632183908E-2"/>
    <x v="107"/>
    <d v="2024-11-15T00:00:00"/>
    <s v="Hyderabad"/>
    <x v="2"/>
    <x v="4"/>
    <s v="November"/>
    <x v="3"/>
    <n v="1.31011494252873"/>
    <n v="3.03"/>
    <n v="9.1199999999999992"/>
    <n v="45.59"/>
    <n v="40.380000000000003"/>
    <n v="64"/>
    <n v="1.4"/>
  </r>
  <r>
    <n v="593"/>
    <s v="A1593"/>
    <x v="0"/>
    <n v="196"/>
    <x v="534"/>
    <n v="227"/>
    <n v="30"/>
    <n v="4"/>
    <n v="2.04081632653061E-2"/>
    <x v="159"/>
    <d v="2024-11-04T00:00:00"/>
    <s v="Hyderabad"/>
    <x v="1"/>
    <x v="3"/>
    <s v="November"/>
    <x v="6"/>
    <n v="1.15938775510204"/>
    <n v="3.39"/>
    <n v="7.57"/>
    <n v="56.81"/>
    <n v="-17.77"/>
    <n v="46.71"/>
    <n v="0.82"/>
  </r>
  <r>
    <n v="594"/>
    <s v="A1594"/>
    <x v="3"/>
    <n v="128"/>
    <x v="535"/>
    <n v="243"/>
    <n v="25"/>
    <n v="9"/>
    <n v="7.03125E-2"/>
    <x v="17"/>
    <d v="2024-11-23T00:00:00"/>
    <s v="Hyderabad"/>
    <x v="0"/>
    <x v="0"/>
    <s v="November"/>
    <x v="0"/>
    <n v="1.9019531249999999"/>
    <n v="2.71"/>
    <n v="9.74"/>
    <n v="27.05"/>
    <n v="49.52"/>
    <n v="40.44"/>
    <n v="1.5"/>
  </r>
  <r>
    <n v="595"/>
    <s v="A1595"/>
    <x v="2"/>
    <n v="163"/>
    <x v="536"/>
    <n v="216"/>
    <n v="29"/>
    <n v="7"/>
    <n v="4.2944785276073601E-2"/>
    <x v="183"/>
    <d v="2024-11-05T00:00:00"/>
    <s v="Hyderabad"/>
    <x v="2"/>
    <x v="1"/>
    <s v="November"/>
    <x v="2"/>
    <n v="1.3244785276073601"/>
    <n v="3.03"/>
    <n v="7.44"/>
    <n v="30.84"/>
    <n v="80.180000000000007"/>
    <n v="55.57"/>
    <n v="1.8"/>
  </r>
  <r>
    <n v="596"/>
    <s v="A1596"/>
    <x v="3"/>
    <n v="183"/>
    <x v="537"/>
    <n v="204"/>
    <n v="17"/>
    <n v="5"/>
    <n v="2.7322404371584699E-2"/>
    <x v="41"/>
    <d v="2024-11-12T00:00:00"/>
    <s v="Hyderabad"/>
    <x v="1"/>
    <x v="0"/>
    <s v="November"/>
    <x v="2"/>
    <n v="1.1128415300546399"/>
    <n v="3.47"/>
    <n v="11.98"/>
    <n v="40.729999999999997"/>
    <n v="73.34"/>
    <n v="70.599999999999994"/>
    <n v="1.73"/>
  </r>
  <r>
    <n v="597"/>
    <s v="A1597"/>
    <x v="0"/>
    <n v="196"/>
    <x v="369"/>
    <n v="224"/>
    <n v="23"/>
    <n v="4"/>
    <n v="2.04081632653061E-2"/>
    <x v="100"/>
    <d v="2024-11-30T00:00:00"/>
    <s v="Hyderabad"/>
    <x v="2"/>
    <x v="0"/>
    <s v="November"/>
    <x v="0"/>
    <n v="1.1444387755101999"/>
    <n v="3.64"/>
    <n v="9.75"/>
    <n v="56.08"/>
    <n v="29.29"/>
    <n v="72.5"/>
    <n v="1.29"/>
  </r>
  <r>
    <n v="598"/>
    <s v="A1598"/>
    <x v="1"/>
    <n v="121"/>
    <x v="538"/>
    <n v="219"/>
    <n v="25"/>
    <n v="10"/>
    <n v="8.2644628099173501E-2"/>
    <x v="107"/>
    <d v="2024-11-13T00:00:00"/>
    <s v="Hyderabad"/>
    <x v="0"/>
    <x v="5"/>
    <s v="November"/>
    <x v="1"/>
    <n v="1.80752066115702"/>
    <n v="2.73"/>
    <n v="8.75"/>
    <n v="21.87"/>
    <n v="46.31"/>
    <n v="32"/>
    <n v="1.46"/>
  </r>
  <r>
    <n v="599"/>
    <s v="A1599"/>
    <x v="3"/>
    <n v="174"/>
    <x v="539"/>
    <n v="242"/>
    <n v="25"/>
    <n v="6"/>
    <n v="3.4482758620689599E-2"/>
    <x v="115"/>
    <d v="2024-11-08T00:00:00"/>
    <s v="Hyderabad"/>
    <x v="1"/>
    <x v="4"/>
    <s v="November"/>
    <x v="3"/>
    <n v="1.3926436781609099"/>
    <n v="5.74"/>
    <n v="9.69"/>
    <n v="40.39"/>
    <n v="16.38"/>
    <n v="47"/>
    <n v="1.1599999999999999"/>
  </r>
  <r>
    <n v="600"/>
    <s v="A1600"/>
    <x v="1"/>
    <n v="142"/>
    <x v="540"/>
    <n v="214"/>
    <n v="27"/>
    <n v="7"/>
    <n v="4.92957746478873E-2"/>
    <x v="148"/>
    <d v="2024-11-21T00:00:00"/>
    <s v="Hyderabad"/>
    <x v="0"/>
    <x v="5"/>
    <s v="November"/>
    <x v="5"/>
    <n v="1.50739436619718"/>
    <n v="2.37"/>
    <n v="7.93"/>
    <n v="30.58"/>
    <n v="1.38"/>
    <n v="31"/>
    <n v="1.01"/>
  </r>
  <r>
    <n v="601"/>
    <s v="A1601"/>
    <x v="1"/>
    <n v="118"/>
    <x v="527"/>
    <n v="223"/>
    <n v="10"/>
    <n v="3"/>
    <n v="2.5423728813559299E-2"/>
    <x v="195"/>
    <d v="2024-11-09T00:00:00"/>
    <s v="Hyderabad"/>
    <x v="2"/>
    <x v="5"/>
    <s v="November"/>
    <x v="0"/>
    <n v="1.8866101694915201"/>
    <n v="3.6"/>
    <n v="22.26"/>
    <n v="74.209999999999994"/>
    <n v="57.22"/>
    <n v="116.67"/>
    <n v="1.57"/>
  </r>
  <r>
    <n v="602"/>
    <s v="A1602"/>
    <x v="3"/>
    <n v="118"/>
    <x v="541"/>
    <n v="193"/>
    <n v="17"/>
    <n v="10"/>
    <n v="8.4745762711864403E-2"/>
    <x v="196"/>
    <d v="2024-11-10T00:00:00"/>
    <s v="Hyderabad"/>
    <x v="0"/>
    <x v="4"/>
    <s v="November"/>
    <x v="4"/>
    <n v="1.63567796610169"/>
    <n v="2"/>
    <n v="11.35"/>
    <n v="19.3"/>
    <n v="89.11"/>
    <n v="36.5"/>
    <n v="1.89"/>
  </r>
  <r>
    <n v="603"/>
    <s v="A1603"/>
    <x v="0"/>
    <n v="149"/>
    <x v="542"/>
    <n v="222"/>
    <n v="15"/>
    <n v="6"/>
    <n v="4.0268456375838903E-2"/>
    <x v="18"/>
    <d v="2024-11-25T00:00:00"/>
    <s v="Hyderabad"/>
    <x v="0"/>
    <x v="5"/>
    <s v="November"/>
    <x v="6"/>
    <n v="1.49"/>
    <n v="2.66"/>
    <n v="14.8"/>
    <n v="37"/>
    <n v="39.18"/>
    <n v="51.5"/>
    <n v="1.39"/>
  </r>
  <r>
    <n v="604"/>
    <s v="A1604"/>
    <x v="0"/>
    <n v="127"/>
    <x v="543"/>
    <n v="213"/>
    <n v="26"/>
    <n v="10"/>
    <n v="7.8740157480314904E-2"/>
    <x v="195"/>
    <d v="2024-11-19T00:00:00"/>
    <s v="Hyderabad"/>
    <x v="2"/>
    <x v="1"/>
    <s v="November"/>
    <x v="2"/>
    <n v="1.6740157480314899"/>
    <n v="2.96"/>
    <n v="8.18"/>
    <n v="21.26"/>
    <n v="64.63"/>
    <n v="35"/>
    <n v="1.65"/>
  </r>
  <r>
    <n v="605"/>
    <s v="A1605"/>
    <x v="0"/>
    <n v="195"/>
    <x v="544"/>
    <n v="226"/>
    <n v="17"/>
    <n v="3"/>
    <n v="1.53846153846153E-2"/>
    <x v="54"/>
    <d v="2024-11-24T00:00:00"/>
    <s v="Hyderabad"/>
    <x v="0"/>
    <x v="3"/>
    <s v="November"/>
    <x v="4"/>
    <n v="1.1608717948717899"/>
    <n v="3.8"/>
    <n v="13.32"/>
    <n v="75.459999999999994"/>
    <n v="-38.090000000000003"/>
    <n v="46.71"/>
    <n v="0.62"/>
  </r>
  <r>
    <n v="606"/>
    <s v="A1606"/>
    <x v="1"/>
    <n v="173"/>
    <x v="545"/>
    <n v="229"/>
    <n v="28"/>
    <n v="7"/>
    <n v="4.0462427745664699E-2"/>
    <x v="21"/>
    <d v="2024-11-16T00:00:00"/>
    <s v="Hyderabad"/>
    <x v="1"/>
    <x v="0"/>
    <s v="November"/>
    <x v="0"/>
    <n v="1.3258959537572199"/>
    <n v="3.31"/>
    <n v="8.19"/>
    <n v="32.770000000000003"/>
    <n v="17.71"/>
    <n v="38.57"/>
    <n v="1.18"/>
  </r>
  <r>
    <n v="607"/>
    <s v="A1607"/>
    <x v="0"/>
    <n v="131"/>
    <x v="546"/>
    <n v="219"/>
    <n v="28"/>
    <n v="4"/>
    <n v="3.0534351145038101E-2"/>
    <x v="40"/>
    <d v="2024-11-07T00:00:00"/>
    <s v="Hyderabad"/>
    <x v="1"/>
    <x v="3"/>
    <s v="November"/>
    <x v="5"/>
    <n v="1.6690839694656401"/>
    <n v="2.29"/>
    <n v="7.81"/>
    <n v="54.66"/>
    <n v="52.3"/>
    <n v="83.25"/>
    <n v="1.52"/>
  </r>
  <r>
    <n v="608"/>
    <s v="A1608"/>
    <x v="1"/>
    <n v="105"/>
    <x v="547"/>
    <n v="213"/>
    <n v="21"/>
    <n v="3"/>
    <n v="2.8571428571428501E-2"/>
    <x v="197"/>
    <d v="2024-11-22T00:00:00"/>
    <s v="Hyderabad"/>
    <x v="0"/>
    <x v="5"/>
    <s v="November"/>
    <x v="3"/>
    <n v="2.0299999999999998"/>
    <n v="2.2400000000000002"/>
    <n v="10.15"/>
    <n v="71.05"/>
    <n v="21.98"/>
    <n v="86.67"/>
    <n v="1.22"/>
  </r>
  <r>
    <n v="609"/>
    <s v="A1609"/>
    <x v="2"/>
    <n v="104"/>
    <x v="548"/>
    <n v="208"/>
    <n v="19"/>
    <n v="4"/>
    <n v="3.8461538461538401E-2"/>
    <x v="76"/>
    <d v="2024-11-16T00:00:00"/>
    <s v="Hyderabad"/>
    <x v="1"/>
    <x v="5"/>
    <s v="November"/>
    <x v="0"/>
    <n v="1.9964423076922999"/>
    <n v="3.05"/>
    <n v="10.93"/>
    <n v="51.91"/>
    <n v="17.52"/>
    <n v="61"/>
    <n v="1.18"/>
  </r>
  <r>
    <n v="610"/>
    <s v="A1610"/>
    <x v="0"/>
    <n v="139"/>
    <x v="549"/>
    <n v="230"/>
    <n v="19"/>
    <n v="6"/>
    <n v="4.31654676258992E-2"/>
    <x v="193"/>
    <d v="2024-11-21T00:00:00"/>
    <s v="Hyderabad"/>
    <x v="0"/>
    <x v="5"/>
    <s v="November"/>
    <x v="5"/>
    <n v="1.65503597122302"/>
    <n v="3.21"/>
    <n v="12.11"/>
    <n v="38.340000000000003"/>
    <n v="24.76"/>
    <n v="47.83"/>
    <n v="1.25"/>
  </r>
  <r>
    <n v="611"/>
    <s v="A1611"/>
    <x v="2"/>
    <n v="110"/>
    <x v="550"/>
    <n v="198"/>
    <n v="23"/>
    <n v="5"/>
    <n v="4.54545454545454E-2"/>
    <x v="84"/>
    <d v="2024-11-15T00:00:00"/>
    <s v="Hyderabad"/>
    <x v="1"/>
    <x v="0"/>
    <s v="November"/>
    <x v="3"/>
    <n v="1.79854545454545"/>
    <n v="2.48"/>
    <n v="8.6"/>
    <n v="39.57"/>
    <n v="18.059999999999999"/>
    <n v="46.71"/>
    <n v="1.18"/>
  </r>
  <r>
    <n v="612"/>
    <s v="A1612"/>
    <x v="2"/>
    <n v="193"/>
    <x v="551"/>
    <n v="181"/>
    <n v="14"/>
    <n v="5"/>
    <n v="2.59067357512953E-2"/>
    <x v="84"/>
    <d v="2024-11-16T00:00:00"/>
    <s v="Hyderabad"/>
    <x v="0"/>
    <x v="4"/>
    <s v="November"/>
    <x v="0"/>
    <n v="0.939222797927461"/>
    <n v="3.97"/>
    <n v="12.95"/>
    <n v="36.25"/>
    <n v="28.85"/>
    <n v="46.71"/>
    <n v="1.29"/>
  </r>
  <r>
    <n v="613"/>
    <s v="A1613"/>
    <x v="3"/>
    <n v="109"/>
    <x v="552"/>
    <n v="189"/>
    <n v="11"/>
    <n v="10"/>
    <n v="9.1743119266054995E-2"/>
    <x v="22"/>
    <d v="2024-11-18T00:00:00"/>
    <s v="Hyderabad"/>
    <x v="1"/>
    <x v="3"/>
    <s v="November"/>
    <x v="6"/>
    <n v="1.7302752293577901"/>
    <n v="2.48"/>
    <n v="17.149999999999999"/>
    <n v="18.86"/>
    <n v="56.95"/>
    <n v="29.6"/>
    <n v="1.57"/>
  </r>
  <r>
    <n v="614"/>
    <s v="A1614"/>
    <x v="3"/>
    <n v="141"/>
    <x v="257"/>
    <n v="224"/>
    <n v="29"/>
    <n v="10"/>
    <n v="7.09219858156028E-2"/>
    <x v="83"/>
    <d v="2024-11-12T00:00:00"/>
    <s v="Hyderabad"/>
    <x v="2"/>
    <x v="2"/>
    <s v="November"/>
    <x v="2"/>
    <n v="1.5865248226950299"/>
    <n v="2.82"/>
    <n v="7.71"/>
    <n v="22.37"/>
    <n v="74.34"/>
    <n v="39"/>
    <n v="1.74"/>
  </r>
  <r>
    <n v="615"/>
    <s v="A1615"/>
    <x v="3"/>
    <n v="182"/>
    <x v="553"/>
    <n v="212"/>
    <n v="23"/>
    <n v="7"/>
    <n v="3.8461538461538401E-2"/>
    <x v="9"/>
    <d v="2024-11-24T00:00:00"/>
    <s v="Hyderabad"/>
    <x v="1"/>
    <x v="2"/>
    <s v="November"/>
    <x v="4"/>
    <n v="1.16324175824175"/>
    <n v="5.22"/>
    <n v="9.1999999999999993"/>
    <n v="30.24"/>
    <n v="-0.81"/>
    <n v="30"/>
    <n v="0.99"/>
  </r>
  <r>
    <n v="616"/>
    <s v="A1616"/>
    <x v="2"/>
    <n v="179"/>
    <x v="554"/>
    <n v="245"/>
    <n v="23"/>
    <n v="7"/>
    <n v="3.91061452513966E-2"/>
    <x v="33"/>
    <d v="2024-11-07T00:00:00"/>
    <s v="Hyderabad"/>
    <x v="1"/>
    <x v="0"/>
    <s v="November"/>
    <x v="5"/>
    <n v="1.3687709497206699"/>
    <n v="4.2300000000000004"/>
    <n v="10.65"/>
    <n v="35"/>
    <n v="51.83"/>
    <n v="53.14"/>
    <n v="1.52"/>
  </r>
  <r>
    <n v="617"/>
    <s v="A1617"/>
    <x v="2"/>
    <n v="89"/>
    <x v="555"/>
    <n v="138"/>
    <n v="13"/>
    <n v="8"/>
    <n v="8.98876404494382E-2"/>
    <x v="153"/>
    <d v="2024-11-28T00:00:00"/>
    <s v="Hyderabad"/>
    <x v="2"/>
    <x v="2"/>
    <s v="November"/>
    <x v="5"/>
    <n v="1.5454545454545401"/>
    <n v="1.66"/>
    <n v="10.58"/>
    <n v="17.190000000000001"/>
    <n v="103.57"/>
    <n v="35"/>
    <n v="2.04"/>
  </r>
  <r>
    <n v="618"/>
    <s v="A1618"/>
    <x v="0"/>
    <n v="181"/>
    <x v="556"/>
    <n v="227"/>
    <n v="22"/>
    <n v="10"/>
    <n v="5.5248618784530301E-2"/>
    <x v="66"/>
    <d v="2024-11-02T00:00:00"/>
    <s v="Hyderabad"/>
    <x v="2"/>
    <x v="3"/>
    <s v="November"/>
    <x v="0"/>
    <n v="1.2535359116022"/>
    <n v="3.19"/>
    <n v="10.31"/>
    <n v="22.69"/>
    <n v="79.38"/>
    <n v="40.700000000000003"/>
    <n v="1.79"/>
  </r>
  <r>
    <n v="619"/>
    <s v="A1619"/>
    <x v="1"/>
    <n v="85"/>
    <x v="557"/>
    <n v="220"/>
    <n v="15"/>
    <n v="7"/>
    <n v="8.2352941176470504E-2"/>
    <x v="15"/>
    <d v="2024-11-20T00:00:00"/>
    <s v="Hyderabad"/>
    <x v="0"/>
    <x v="5"/>
    <s v="November"/>
    <x v="1"/>
    <n v="2.5878823529411701"/>
    <n v="1.62"/>
    <n v="14.66"/>
    <n v="31.42"/>
    <n v="49.57"/>
    <n v="47"/>
    <n v="1.5"/>
  </r>
  <r>
    <n v="620"/>
    <s v="A1620"/>
    <x v="1"/>
    <n v="179"/>
    <x v="558"/>
    <n v="203"/>
    <n v="15"/>
    <n v="8"/>
    <n v="4.4692737430167599E-2"/>
    <x v="40"/>
    <d v="2024-11-18T00:00:00"/>
    <s v="Hyderabad"/>
    <x v="0"/>
    <x v="1"/>
    <s v="November"/>
    <x v="6"/>
    <n v="1.13217877094972"/>
    <n v="4.8600000000000003"/>
    <n v="13.51"/>
    <n v="25.33"/>
    <n v="64.31"/>
    <n v="41.62"/>
    <n v="1.64"/>
  </r>
  <r>
    <n v="621"/>
    <s v="A1621"/>
    <x v="1"/>
    <n v="172"/>
    <x v="559"/>
    <n v="202"/>
    <n v="23"/>
    <n v="4"/>
    <n v="2.3255813953488299E-2"/>
    <x v="198"/>
    <d v="2024-11-28T00:00:00"/>
    <s v="Hyderabad"/>
    <x v="0"/>
    <x v="4"/>
    <s v="November"/>
    <x v="5"/>
    <n v="1.17441860465116"/>
    <n v="2.93"/>
    <n v="8.7799999999999994"/>
    <n v="50.5"/>
    <n v="48.51"/>
    <n v="75"/>
    <n v="1.49"/>
  </r>
  <r>
    <n v="622"/>
    <s v="A1622"/>
    <x v="1"/>
    <n v="196"/>
    <x v="560"/>
    <n v="197"/>
    <n v="11"/>
    <n v="9"/>
    <n v="4.5918367346938702E-2"/>
    <x v="142"/>
    <d v="2024-11-22T00:00:00"/>
    <s v="Hyderabad"/>
    <x v="0"/>
    <x v="1"/>
    <s v="November"/>
    <x v="3"/>
    <n v="1.0055102040816299"/>
    <n v="3.89"/>
    <n v="17.920000000000002"/>
    <n v="21.9"/>
    <n v="83.68"/>
    <n v="40.22"/>
    <n v="1.84"/>
  </r>
  <r>
    <n v="623"/>
    <s v="A1623"/>
    <x v="0"/>
    <n v="104"/>
    <x v="561"/>
    <n v="224"/>
    <n v="30"/>
    <n v="4"/>
    <n v="3.8461538461538401E-2"/>
    <x v="169"/>
    <d v="2024-11-03T00:00:00"/>
    <s v="Hyderabad"/>
    <x v="0"/>
    <x v="5"/>
    <s v="November"/>
    <x v="4"/>
    <n v="2.15336538461538"/>
    <n v="3.04"/>
    <n v="7.46"/>
    <n v="55.99"/>
    <n v="34.85"/>
    <n v="75.5"/>
    <n v="1.35"/>
  </r>
  <r>
    <n v="624"/>
    <s v="A1624"/>
    <x v="1"/>
    <n v="135"/>
    <x v="562"/>
    <n v="229"/>
    <n v="26"/>
    <n v="6"/>
    <n v="4.4444444444444398E-2"/>
    <x v="18"/>
    <d v="2024-11-12T00:00:00"/>
    <s v="Hyderabad"/>
    <x v="0"/>
    <x v="3"/>
    <s v="November"/>
    <x v="2"/>
    <n v="1.6937777777777701"/>
    <n v="2.2599999999999998"/>
    <n v="8.7899999999999991"/>
    <n v="38.11"/>
    <n v="35.14"/>
    <n v="51.5"/>
    <n v="1.35"/>
  </r>
  <r>
    <n v="625"/>
    <s v="A1625"/>
    <x v="2"/>
    <n v="97"/>
    <x v="563"/>
    <n v="231"/>
    <n v="16"/>
    <n v="6"/>
    <n v="6.1855670103092703E-2"/>
    <x v="134"/>
    <d v="2024-11-23T00:00:00"/>
    <s v="Hyderabad"/>
    <x v="2"/>
    <x v="5"/>
    <s v="November"/>
    <x v="0"/>
    <n v="2.3796907216494798"/>
    <n v="2.78"/>
    <n v="14.43"/>
    <n v="38.47"/>
    <n v="48.16"/>
    <n v="57"/>
    <n v="1.48"/>
  </r>
  <r>
    <n v="626"/>
    <s v="A1626"/>
    <x v="0"/>
    <n v="137"/>
    <x v="564"/>
    <n v="215"/>
    <n v="25"/>
    <n v="9"/>
    <n v="6.5693430656934296E-2"/>
    <x v="166"/>
    <d v="2024-11-10T00:00:00"/>
    <s v="Hyderabad"/>
    <x v="0"/>
    <x v="0"/>
    <s v="November"/>
    <x v="4"/>
    <n v="1.5723357664233499"/>
    <n v="3.7"/>
    <n v="8.6199999999999992"/>
    <n v="23.93"/>
    <n v="-4.37"/>
    <n v="22.89"/>
    <n v="0.96"/>
  </r>
  <r>
    <n v="627"/>
    <s v="A1627"/>
    <x v="2"/>
    <n v="164"/>
    <x v="324"/>
    <n v="218"/>
    <n v="10"/>
    <n v="3"/>
    <n v="1.8292682926829201E-2"/>
    <x v="138"/>
    <d v="2024-11-30T00:00:00"/>
    <s v="Hyderabad"/>
    <x v="0"/>
    <x v="2"/>
    <s v="November"/>
    <x v="0"/>
    <n v="1.32670731707317"/>
    <n v="4.82"/>
    <n v="21.76"/>
    <n v="72.53"/>
    <n v="76.95"/>
    <n v="128.33000000000001"/>
    <n v="1.77"/>
  </r>
  <r>
    <n v="628"/>
    <s v="A1628"/>
    <x v="1"/>
    <n v="178"/>
    <x v="565"/>
    <n v="181"/>
    <n v="25"/>
    <n v="9"/>
    <n v="5.0561797752808897E-2"/>
    <x v="199"/>
    <d v="2024-11-24T00:00:00"/>
    <s v="Hyderabad"/>
    <x v="0"/>
    <x v="4"/>
    <s v="November"/>
    <x v="4"/>
    <n v="1.0149438202247101"/>
    <n v="5.28"/>
    <n v="7.23"/>
    <n v="20.07"/>
    <n v="106.47"/>
    <n v="41.44"/>
    <n v="2.06"/>
  </r>
  <r>
    <n v="629"/>
    <s v="A1629"/>
    <x v="0"/>
    <n v="146"/>
    <x v="566"/>
    <n v="227"/>
    <n v="16"/>
    <n v="5"/>
    <n v="3.4246575342465703E-2"/>
    <x v="30"/>
    <d v="2024-11-24T00:00:00"/>
    <s v="Hyderabad"/>
    <x v="2"/>
    <x v="4"/>
    <s v="November"/>
    <x v="4"/>
    <n v="1.55568493150684"/>
    <n v="3.28"/>
    <n v="14.2"/>
    <n v="45.43"/>
    <n v="-6.66"/>
    <n v="42.4"/>
    <n v="0.93"/>
  </r>
  <r>
    <n v="630"/>
    <s v="A1630"/>
    <x v="0"/>
    <n v="149"/>
    <x v="567"/>
    <n v="218"/>
    <n v="10"/>
    <n v="10"/>
    <n v="6.7114093959731502E-2"/>
    <x v="2"/>
    <d v="2024-11-02T00:00:00"/>
    <s v="Hyderabad"/>
    <x v="1"/>
    <x v="5"/>
    <s v="November"/>
    <x v="0"/>
    <n v="1.4651677852348901"/>
    <n v="3.19"/>
    <n v="21.83"/>
    <n v="21.83"/>
    <n v="51.62"/>
    <n v="33.1"/>
    <n v="1.52"/>
  </r>
  <r>
    <n v="631"/>
    <s v="A1631"/>
    <x v="0"/>
    <n v="193"/>
    <x v="568"/>
    <n v="205"/>
    <n v="15"/>
    <n v="3"/>
    <n v="1.55440414507772E-2"/>
    <x v="119"/>
    <d v="2024-11-09T00:00:00"/>
    <s v="Hyderabad"/>
    <x v="2"/>
    <x v="3"/>
    <s v="November"/>
    <x v="0"/>
    <n v="1.0602072538860099"/>
    <n v="4.5"/>
    <n v="13.64"/>
    <n v="68.209999999999994"/>
    <n v="79.36"/>
    <n v="122.33"/>
    <n v="1.79"/>
  </r>
  <r>
    <n v="632"/>
    <s v="A1632"/>
    <x v="0"/>
    <n v="108"/>
    <x v="285"/>
    <n v="183"/>
    <n v="27"/>
    <n v="7"/>
    <n v="6.4814814814814797E-2"/>
    <x v="99"/>
    <d v="2024-11-28T00:00:00"/>
    <s v="Hyderabad"/>
    <x v="1"/>
    <x v="3"/>
    <s v="November"/>
    <x v="5"/>
    <n v="1.6982407407407401"/>
    <n v="3.05"/>
    <n v="6.79"/>
    <n v="26.2"/>
    <n v="89.19"/>
    <n v="49.57"/>
    <n v="1.89"/>
  </r>
  <r>
    <n v="633"/>
    <s v="A1633"/>
    <x v="2"/>
    <n v="106"/>
    <x v="569"/>
    <n v="229"/>
    <n v="19"/>
    <n v="3"/>
    <n v="2.83018867924528E-2"/>
    <x v="145"/>
    <d v="2024-11-11T00:00:00"/>
    <s v="Hyderabad"/>
    <x v="0"/>
    <x v="4"/>
    <s v="November"/>
    <x v="6"/>
    <n v="2.1616037735849001"/>
    <n v="2.2400000000000002"/>
    <n v="12.06"/>
    <n v="76.38"/>
    <n v="2.13"/>
    <n v="78"/>
    <n v="1.02"/>
  </r>
  <r>
    <n v="634"/>
    <s v="A1634"/>
    <x v="0"/>
    <n v="131"/>
    <x v="570"/>
    <n v="185"/>
    <n v="20"/>
    <n v="9"/>
    <n v="6.8702290076335798E-2"/>
    <x v="199"/>
    <d v="2024-11-16T00:00:00"/>
    <s v="Hyderabad"/>
    <x v="1"/>
    <x v="1"/>
    <s v="November"/>
    <x v="0"/>
    <n v="1.40893129770992"/>
    <n v="2.3199999999999998"/>
    <n v="9.23"/>
    <n v="20.51"/>
    <n v="102.09"/>
    <n v="41.44"/>
    <n v="2.02"/>
  </r>
  <r>
    <n v="635"/>
    <s v="A1635"/>
    <x v="2"/>
    <n v="111"/>
    <x v="571"/>
    <n v="186"/>
    <n v="10"/>
    <n v="7"/>
    <n v="6.3063063063063002E-2"/>
    <x v="93"/>
    <d v="2024-11-04T00:00:00"/>
    <s v="Hyderabad"/>
    <x v="0"/>
    <x v="3"/>
    <s v="November"/>
    <x v="6"/>
    <n v="1.6718918918918899"/>
    <n v="2.67"/>
    <n v="18.559999999999999"/>
    <n v="26.51"/>
    <n v="57.88"/>
    <n v="41.86"/>
    <n v="1.58"/>
  </r>
  <r>
    <n v="636"/>
    <s v="A1636"/>
    <x v="2"/>
    <n v="144"/>
    <x v="572"/>
    <n v="181"/>
    <n v="24"/>
    <n v="5"/>
    <n v="3.4722222222222203E-2"/>
    <x v="16"/>
    <d v="2024-11-19T00:00:00"/>
    <s v="Hyderabad"/>
    <x v="1"/>
    <x v="4"/>
    <s v="November"/>
    <x v="2"/>
    <n v="1.25972222222222"/>
    <n v="3.4"/>
    <n v="7.56"/>
    <n v="36.28"/>
    <n v="90.74"/>
    <n v="69.2"/>
    <n v="1.91"/>
  </r>
  <r>
    <n v="637"/>
    <s v="A1637"/>
    <x v="0"/>
    <n v="151"/>
    <x v="573"/>
    <n v="192"/>
    <n v="28"/>
    <n v="7"/>
    <n v="4.6357615894039701E-2"/>
    <x v="171"/>
    <d v="2024-11-18T00:00:00"/>
    <s v="Hyderabad"/>
    <x v="1"/>
    <x v="2"/>
    <s v="November"/>
    <x v="6"/>
    <n v="1.2745695364238401"/>
    <n v="2.57"/>
    <n v="6.87"/>
    <n v="27.49"/>
    <n v="54.84"/>
    <n v="42.57"/>
    <n v="1.55"/>
  </r>
  <r>
    <n v="638"/>
    <s v="A1638"/>
    <x v="1"/>
    <n v="146"/>
    <x v="574"/>
    <n v="229"/>
    <n v="15"/>
    <n v="5"/>
    <n v="3.4246575342465703E-2"/>
    <x v="9"/>
    <d v="2024-11-02T00:00:00"/>
    <s v="Hyderabad"/>
    <x v="0"/>
    <x v="1"/>
    <s v="November"/>
    <x v="0"/>
    <n v="1.56753061615001"/>
    <n v="2.68"/>
    <n v="15.26"/>
    <n v="45.77"/>
    <n v="-8.24"/>
    <n v="42"/>
    <n v="0.92"/>
  </r>
  <r>
    <n v="639"/>
    <s v="A1639"/>
    <x v="0"/>
    <n v="133"/>
    <x v="240"/>
    <n v="199"/>
    <n v="22"/>
    <n v="4"/>
    <n v="3.00751879699248E-2"/>
    <x v="183"/>
    <d v="2024-11-09T00:00:00"/>
    <s v="Hyderabad"/>
    <x v="2"/>
    <x v="4"/>
    <s v="November"/>
    <x v="0"/>
    <n v="1.49368421052631"/>
    <n v="2.78"/>
    <n v="9.0299999999999994"/>
    <n v="49.66"/>
    <n v="95.81"/>
    <n v="97.25"/>
    <n v="1.96"/>
  </r>
  <r>
    <n v="640"/>
    <s v="A1640"/>
    <x v="3"/>
    <n v="180"/>
    <x v="575"/>
    <n v="239"/>
    <n v="12"/>
    <n v="3"/>
    <n v="1.6666666666666601E-2"/>
    <x v="19"/>
    <d v="2024-11-06T00:00:00"/>
    <s v="Hyderabad"/>
    <x v="0"/>
    <x v="1"/>
    <s v="November"/>
    <x v="1"/>
    <n v="1.32833333333333"/>
    <n v="3.04"/>
    <n v="19.920000000000002"/>
    <n v="79.7"/>
    <n v="48.06"/>
    <n v="118"/>
    <n v="1.48"/>
  </r>
  <r>
    <n v="641"/>
    <s v="A1641"/>
    <x v="2"/>
    <n v="82"/>
    <x v="576"/>
    <n v="228"/>
    <n v="30"/>
    <n v="7"/>
    <n v="8.5365853658536495E-2"/>
    <x v="72"/>
    <d v="2024-11-09T00:00:00"/>
    <s v="Hyderabad"/>
    <x v="0"/>
    <x v="0"/>
    <s v="November"/>
    <x v="0"/>
    <n v="2.7807317073170701"/>
    <n v="2.37"/>
    <n v="7.6"/>
    <n v="32.57"/>
    <n v="31.13"/>
    <n v="42.71"/>
    <n v="1.31"/>
  </r>
  <r>
    <n v="642"/>
    <s v="A1642"/>
    <x v="2"/>
    <n v="135"/>
    <x v="577"/>
    <n v="200"/>
    <n v="17"/>
    <n v="5"/>
    <n v="3.7037037037037E-2"/>
    <x v="155"/>
    <d v="2024-11-07T00:00:00"/>
    <s v="Hyderabad"/>
    <x v="1"/>
    <x v="1"/>
    <s v="November"/>
    <x v="5"/>
    <n v="1.4819259259259201"/>
    <n v="3.91"/>
    <n v="11.77"/>
    <n v="40.01"/>
    <n v="98.94"/>
    <n v="79.599999999999994"/>
    <n v="1.99"/>
  </r>
  <r>
    <n v="643"/>
    <s v="A1643"/>
    <x v="2"/>
    <n v="199"/>
    <x v="568"/>
    <n v="236"/>
    <n v="12"/>
    <n v="10"/>
    <n v="5.0251256281407003E-2"/>
    <x v="197"/>
    <d v="2024-11-10T00:00:00"/>
    <s v="Hyderabad"/>
    <x v="2"/>
    <x v="1"/>
    <s v="November"/>
    <x v="4"/>
    <n v="1.18381909547738"/>
    <n v="4.6399999999999997"/>
    <n v="19.63"/>
    <n v="23.56"/>
    <n v="10.37"/>
    <n v="26"/>
    <n v="1.1000000000000001"/>
  </r>
  <r>
    <n v="644"/>
    <s v="A1644"/>
    <x v="0"/>
    <n v="123"/>
    <x v="257"/>
    <n v="188"/>
    <n v="25"/>
    <n v="3"/>
    <n v="2.4390243902439001E-2"/>
    <x v="173"/>
    <d v="2024-11-07T00:00:00"/>
    <s v="Hyderabad"/>
    <x v="2"/>
    <x v="2"/>
    <s v="November"/>
    <x v="5"/>
    <n v="1.52577235772357"/>
    <n v="2.46"/>
    <n v="7.51"/>
    <n v="62.56"/>
    <n v="47.07"/>
    <n v="92"/>
    <n v="1.47"/>
  </r>
  <r>
    <n v="645"/>
    <s v="A1645"/>
    <x v="0"/>
    <n v="154"/>
    <x v="578"/>
    <n v="212"/>
    <n v="28"/>
    <n v="4"/>
    <n v="2.5974025974025899E-2"/>
    <x v="113"/>
    <d v="2024-11-14T00:00:00"/>
    <s v="Hyderabad"/>
    <x v="2"/>
    <x v="3"/>
    <s v="November"/>
    <x v="5"/>
    <n v="1.3742207792207699"/>
    <n v="4.4800000000000004"/>
    <n v="7.56"/>
    <n v="52.91"/>
    <n v="54.51"/>
    <n v="81.75"/>
    <n v="1.55"/>
  </r>
  <r>
    <n v="646"/>
    <s v="A1646"/>
    <x v="0"/>
    <n v="88"/>
    <x v="579"/>
    <n v="192"/>
    <n v="12"/>
    <n v="7"/>
    <n v="7.9545454545454503E-2"/>
    <x v="200"/>
    <d v="2024-11-25T00:00:00"/>
    <s v="Hyderabad"/>
    <x v="0"/>
    <x v="4"/>
    <s v="November"/>
    <x v="6"/>
    <n v="2.18136363636363"/>
    <n v="2.5299999999999998"/>
    <n v="16"/>
    <n v="27.42"/>
    <n v="28.15"/>
    <n v="35.14"/>
    <n v="1.28"/>
  </r>
  <r>
    <n v="647"/>
    <s v="A1647"/>
    <x v="3"/>
    <n v="165"/>
    <x v="580"/>
    <n v="180"/>
    <n v="21"/>
    <n v="4"/>
    <n v="2.4242424242424201E-2"/>
    <x v="171"/>
    <d v="2024-11-19T00:00:00"/>
    <s v="Hyderabad"/>
    <x v="1"/>
    <x v="5"/>
    <s v="November"/>
    <x v="2"/>
    <n v="1.0920606060606"/>
    <n v="3.37"/>
    <n v="8.58"/>
    <n v="45.05"/>
    <n v="65.38"/>
    <n v="74.5"/>
    <n v="1.65"/>
  </r>
  <r>
    <n v="648"/>
    <s v="A1648"/>
    <x v="3"/>
    <n v="87"/>
    <x v="581"/>
    <n v="221"/>
    <n v="22"/>
    <n v="3"/>
    <n v="3.4482758620689599E-2"/>
    <x v="146"/>
    <d v="2024-11-14T00:00:00"/>
    <s v="Hyderabad"/>
    <x v="1"/>
    <x v="5"/>
    <s v="November"/>
    <x v="5"/>
    <n v="2.5374712643678099"/>
    <n v="2.39"/>
    <n v="10.029999999999999"/>
    <n v="73.59"/>
    <n v="13.7"/>
    <n v="83.67"/>
    <n v="1.1399999999999999"/>
  </r>
  <r>
    <n v="649"/>
    <s v="A1649"/>
    <x v="3"/>
    <n v="147"/>
    <x v="582"/>
    <n v="181"/>
    <n v="27"/>
    <n v="9"/>
    <n v="6.1224489795918297E-2"/>
    <x v="186"/>
    <d v="2024-11-26T00:00:00"/>
    <s v="Hyderabad"/>
    <x v="1"/>
    <x v="5"/>
    <s v="November"/>
    <x v="2"/>
    <n v="1.23251700680272"/>
    <n v="3.71"/>
    <n v="6.71"/>
    <n v="20.13"/>
    <n v="83.24"/>
    <n v="36.89"/>
    <n v="1.83"/>
  </r>
  <r>
    <n v="650"/>
    <s v="A1650"/>
    <x v="2"/>
    <n v="137"/>
    <x v="504"/>
    <n v="180"/>
    <n v="10"/>
    <n v="10"/>
    <n v="7.2992700729927001E-2"/>
    <x v="112"/>
    <d v="2024-11-29T00:00:00"/>
    <s v="Hyderabad"/>
    <x v="2"/>
    <x v="5"/>
    <s v="November"/>
    <x v="3"/>
    <n v="1.3141605839416"/>
    <n v="2.54"/>
    <n v="18"/>
    <n v="18"/>
    <n v="56.08"/>
    <n v="28.1"/>
    <n v="1.56"/>
  </r>
  <r>
    <n v="651"/>
    <s v="A1651"/>
    <x v="0"/>
    <n v="188"/>
    <x v="583"/>
    <n v="245"/>
    <n v="13"/>
    <n v="10"/>
    <n v="5.31914893617021E-2"/>
    <x v="75"/>
    <d v="2024-11-29T00:00:00"/>
    <s v="Hyderabad"/>
    <x v="0"/>
    <x v="5"/>
    <s v="November"/>
    <x v="3"/>
    <n v="1.3033510638297801"/>
    <n v="3.4"/>
    <n v="18.850000000000001"/>
    <n v="24.5"/>
    <n v="-0.01"/>
    <n v="24.5"/>
    <n v="1"/>
  </r>
  <r>
    <n v="652"/>
    <s v="A1652"/>
    <x v="1"/>
    <n v="162"/>
    <x v="584"/>
    <n v="194"/>
    <n v="10"/>
    <n v="6"/>
    <n v="3.7037037037037E-2"/>
    <x v="66"/>
    <d v="2024-11-29T00:00:00"/>
    <s v="Hyderabad"/>
    <x v="2"/>
    <x v="4"/>
    <s v="November"/>
    <x v="3"/>
    <n v="1.1956172839506101"/>
    <n v="2.97"/>
    <n v="19.37"/>
    <n v="32.28"/>
    <n v="110.13"/>
    <n v="67.83"/>
    <n v="2.1"/>
  </r>
  <r>
    <n v="653"/>
    <s v="A1653"/>
    <x v="2"/>
    <n v="102"/>
    <x v="172"/>
    <n v="222"/>
    <n v="13"/>
    <n v="7"/>
    <n v="6.8627450980392093E-2"/>
    <x v="201"/>
    <d v="2024-11-08T00:00:00"/>
    <s v="Hyderabad"/>
    <x v="1"/>
    <x v="2"/>
    <s v="November"/>
    <x v="3"/>
    <n v="2.1719607843137201"/>
    <n v="2.37"/>
    <n v="17.04"/>
    <n v="31.65"/>
    <n v="1.1100000000000001"/>
    <n v="32"/>
    <n v="1.01"/>
  </r>
  <r>
    <n v="654"/>
    <s v="A1654"/>
    <x v="0"/>
    <n v="120"/>
    <x v="585"/>
    <n v="196"/>
    <n v="15"/>
    <n v="9"/>
    <n v="7.4999999999999997E-2"/>
    <x v="74"/>
    <d v="2024-11-22T00:00:00"/>
    <s v="Hyderabad"/>
    <x v="0"/>
    <x v="3"/>
    <s v="November"/>
    <x v="3"/>
    <n v="1.63408333333333"/>
    <n v="3.7"/>
    <n v="13.07"/>
    <n v="21.79"/>
    <n v="10.15"/>
    <n v="24"/>
    <n v="1.1000000000000001"/>
  </r>
  <r>
    <n v="655"/>
    <s v="A1655"/>
    <x v="2"/>
    <n v="125"/>
    <x v="586"/>
    <n v="205"/>
    <n v="18"/>
    <n v="4"/>
    <n v="3.2000000000000001E-2"/>
    <x v="191"/>
    <d v="2024-11-28T00:00:00"/>
    <s v="Hyderabad"/>
    <x v="0"/>
    <x v="1"/>
    <s v="November"/>
    <x v="5"/>
    <n v="1.64256"/>
    <n v="3.74"/>
    <n v="11.41"/>
    <n v="51.33"/>
    <n v="97.25"/>
    <n v="101.25"/>
    <n v="1.97"/>
  </r>
  <r>
    <n v="656"/>
    <s v="A1656"/>
    <x v="1"/>
    <n v="155"/>
    <x v="223"/>
    <n v="187"/>
    <n v="16"/>
    <n v="7"/>
    <n v="4.5161290322580601E-2"/>
    <x v="202"/>
    <d v="2024-11-10T00:00:00"/>
    <s v="Hyderabad"/>
    <x v="0"/>
    <x v="4"/>
    <s v="November"/>
    <x v="4"/>
    <n v="1.2082580645161201"/>
    <n v="2.59"/>
    <n v="11.7"/>
    <n v="26.75"/>
    <n v="75.14"/>
    <n v="46.86"/>
    <n v="1.75"/>
  </r>
  <r>
    <n v="657"/>
    <s v="A1657"/>
    <x v="2"/>
    <n v="137"/>
    <x v="587"/>
    <n v="226"/>
    <n v="25"/>
    <n v="5"/>
    <n v="3.6496350364963501E-2"/>
    <x v="46"/>
    <d v="2024-11-12T00:00:00"/>
    <s v="Hyderabad"/>
    <x v="2"/>
    <x v="5"/>
    <s v="November"/>
    <x v="2"/>
    <n v="1.6532116788321101"/>
    <n v="3.24"/>
    <n v="9.06"/>
    <n v="45.3"/>
    <n v="-2.87"/>
    <n v="44"/>
    <n v="0.97"/>
  </r>
  <r>
    <n v="658"/>
    <s v="A1658"/>
    <x v="2"/>
    <n v="91"/>
    <x v="588"/>
    <n v="196"/>
    <n v="12"/>
    <n v="3"/>
    <n v="3.2967032967032898E-2"/>
    <x v="91"/>
    <d v="2024-11-22T00:00:00"/>
    <s v="Hyderabad"/>
    <x v="2"/>
    <x v="0"/>
    <s v="November"/>
    <x v="3"/>
    <n v="2.1537362637362598"/>
    <n v="2.02"/>
    <n v="16.329999999999998"/>
    <n v="65.33"/>
    <n v="22.97"/>
    <n v="80.33"/>
    <n v="1.23"/>
  </r>
  <r>
    <n v="659"/>
    <s v="A1659"/>
    <x v="0"/>
    <n v="87"/>
    <x v="589"/>
    <n v="221"/>
    <n v="29"/>
    <n v="5"/>
    <n v="5.7471264367816001E-2"/>
    <x v="169"/>
    <d v="2024-11-05T00:00:00"/>
    <s v="Hyderabad"/>
    <x v="0"/>
    <x v="3"/>
    <s v="November"/>
    <x v="2"/>
    <n v="2.5398850574712601"/>
    <n v="1.79"/>
    <n v="7.62"/>
    <n v="44.19"/>
    <n v="36.67"/>
    <n v="60.4"/>
    <n v="1.37"/>
  </r>
  <r>
    <n v="660"/>
    <s v="A1660"/>
    <x v="3"/>
    <n v="124"/>
    <x v="590"/>
    <n v="218"/>
    <n v="28"/>
    <n v="8"/>
    <n v="6.4516129032257993E-2"/>
    <x v="203"/>
    <d v="2024-11-24T00:00:00"/>
    <s v="Hyderabad"/>
    <x v="1"/>
    <x v="3"/>
    <s v="November"/>
    <x v="4"/>
    <n v="1.75677419354838"/>
    <n v="2.17"/>
    <n v="7.78"/>
    <n v="27.23"/>
    <n v="68.010000000000005"/>
    <n v="45.75"/>
    <n v="1.68"/>
  </r>
  <r>
    <n v="661"/>
    <s v="A1661"/>
    <x v="1"/>
    <n v="128"/>
    <x v="591"/>
    <n v="208"/>
    <n v="14"/>
    <n v="6"/>
    <n v="4.6875E-2"/>
    <x v="18"/>
    <d v="2024-11-02T00:00:00"/>
    <s v="Hyderabad"/>
    <x v="1"/>
    <x v="4"/>
    <s v="November"/>
    <x v="0"/>
    <n v="1.628203125"/>
    <n v="3.95"/>
    <n v="14.89"/>
    <n v="34.74"/>
    <n v="48.27"/>
    <n v="51.5"/>
    <n v="1.48"/>
  </r>
  <r>
    <n v="662"/>
    <s v="A1662"/>
    <x v="2"/>
    <n v="111"/>
    <x v="592"/>
    <n v="239"/>
    <n v="28"/>
    <n v="9"/>
    <n v="8.1081081081081002E-2"/>
    <x v="201"/>
    <d v="2024-11-01T00:00:00"/>
    <s v="Hyderabad"/>
    <x v="2"/>
    <x v="4"/>
    <s v="November"/>
    <x v="3"/>
    <n v="2.1553153153153102"/>
    <n v="2.84"/>
    <n v="8.5399999999999991"/>
    <n v="26.58"/>
    <n v="-6.37"/>
    <n v="24.89"/>
    <n v="0.94"/>
  </r>
  <r>
    <n v="663"/>
    <s v="A1663"/>
    <x v="3"/>
    <n v="89"/>
    <x v="593"/>
    <n v="210"/>
    <n v="27"/>
    <n v="7"/>
    <n v="7.8651685393258397E-2"/>
    <x v="62"/>
    <d v="2024-11-04T00:00:00"/>
    <s v="Hyderabad"/>
    <x v="0"/>
    <x v="1"/>
    <s v="November"/>
    <x v="6"/>
    <n v="2.3580898876404399"/>
    <n v="2.2400000000000002"/>
    <n v="7.77"/>
    <n v="29.98"/>
    <n v="86.78"/>
    <n v="56"/>
    <n v="1.87"/>
  </r>
  <r>
    <n v="664"/>
    <s v="A1664"/>
    <x v="1"/>
    <n v="107"/>
    <x v="594"/>
    <n v="207"/>
    <n v="19"/>
    <n v="8"/>
    <n v="7.4766355140186896E-2"/>
    <x v="107"/>
    <d v="2024-11-26T00:00:00"/>
    <s v="Hyderabad"/>
    <x v="2"/>
    <x v="3"/>
    <s v="November"/>
    <x v="2"/>
    <n v="1.9379439252336399"/>
    <n v="2.02"/>
    <n v="10.91"/>
    <n v="25.92"/>
    <n v="54.32"/>
    <n v="40"/>
    <n v="1.54"/>
  </r>
  <r>
    <n v="665"/>
    <s v="A1665"/>
    <x v="1"/>
    <n v="181"/>
    <x v="378"/>
    <n v="237"/>
    <n v="15"/>
    <n v="5"/>
    <n v="2.7624309392265099E-2"/>
    <x v="102"/>
    <d v="2024-11-10T00:00:00"/>
    <s v="Hyderabad"/>
    <x v="1"/>
    <x v="2"/>
    <s v="November"/>
    <x v="4"/>
    <n v="1.3076795580110401"/>
    <n v="4.3600000000000003"/>
    <n v="15.78"/>
    <n v="47.34"/>
    <n v="7.74"/>
    <n v="51"/>
    <n v="1.08"/>
  </r>
  <r>
    <n v="666"/>
    <s v="A1666"/>
    <x v="0"/>
    <n v="110"/>
    <x v="595"/>
    <n v="188"/>
    <n v="29"/>
    <n v="9"/>
    <n v="8.1818181818181804E-2"/>
    <x v="1"/>
    <d v="2024-11-23T00:00:00"/>
    <s v="Hyderabad"/>
    <x v="0"/>
    <x v="3"/>
    <s v="November"/>
    <x v="0"/>
    <n v="1.71072727272727"/>
    <n v="1.86"/>
    <n v="6.49"/>
    <n v="20.91"/>
    <n v="82.27"/>
    <n v="38.11"/>
    <n v="1.82"/>
  </r>
  <r>
    <n v="667"/>
    <s v="A1667"/>
    <x v="2"/>
    <n v="85"/>
    <x v="596"/>
    <n v="195"/>
    <n v="17"/>
    <n v="4"/>
    <n v="4.7058823529411702E-2"/>
    <x v="163"/>
    <d v="2024-11-06T00:00:00"/>
    <s v="Hyderabad"/>
    <x v="1"/>
    <x v="2"/>
    <s v="November"/>
    <x v="1"/>
    <n v="2.29717647058823"/>
    <n v="2.12"/>
    <n v="11.49"/>
    <n v="48.82"/>
    <n v="93.59"/>
    <n v="94.5"/>
    <n v="1.94"/>
  </r>
  <r>
    <n v="668"/>
    <s v="A1668"/>
    <x v="3"/>
    <n v="125"/>
    <x v="597"/>
    <n v="193"/>
    <n v="12"/>
    <n v="8"/>
    <n v="6.4000000000000001E-2"/>
    <x v="156"/>
    <d v="2024-11-19T00:00:00"/>
    <s v="Hyderabad"/>
    <x v="2"/>
    <x v="2"/>
    <s v="November"/>
    <x v="2"/>
    <n v="1.5454545454545401"/>
    <n v="2.17"/>
    <n v="16.100000000000001"/>
    <n v="24.15"/>
    <n v="7.67"/>
    <n v="26"/>
    <n v="1.08"/>
  </r>
  <r>
    <n v="669"/>
    <s v="A1669"/>
    <x v="1"/>
    <n v="163"/>
    <x v="365"/>
    <n v="252"/>
    <n v="11"/>
    <n v="3"/>
    <n v="1.84049079754601E-2"/>
    <x v="179"/>
    <d v="2024-11-20T00:00:00"/>
    <s v="Hyderabad"/>
    <x v="2"/>
    <x v="3"/>
    <s v="November"/>
    <x v="1"/>
    <n v="1.5454545454545401"/>
    <n v="3.03"/>
    <n v="22.9"/>
    <n v="83.97"/>
    <n v="47.28"/>
    <n v="123.67"/>
    <n v="1.47"/>
  </r>
  <r>
    <n v="670"/>
    <s v="A1670"/>
    <x v="3"/>
    <n v="129"/>
    <x v="598"/>
    <n v="230"/>
    <n v="10"/>
    <n v="6"/>
    <n v="4.6511627906976702E-2"/>
    <x v="55"/>
    <d v="2024-11-13T00:00:00"/>
    <s v="Hyderabad"/>
    <x v="0"/>
    <x v="4"/>
    <s v="November"/>
    <x v="1"/>
    <n v="1.78147286821705"/>
    <n v="3.41"/>
    <n v="22.98"/>
    <n v="38.299999999999997"/>
    <n v="8.35"/>
    <n v="41.5"/>
    <n v="1.08"/>
  </r>
  <r>
    <n v="671"/>
    <s v="A1671"/>
    <x v="2"/>
    <n v="112"/>
    <x v="30"/>
    <n v="212"/>
    <n v="11"/>
    <n v="7"/>
    <n v="6.25E-2"/>
    <x v="45"/>
    <d v="2024-11-27T00:00:00"/>
    <s v="Hyderabad"/>
    <x v="1"/>
    <x v="2"/>
    <s v="November"/>
    <x v="1"/>
    <n v="1.8952678571428501"/>
    <n v="2.3199999999999998"/>
    <n v="19.3"/>
    <n v="30.32"/>
    <n v="46.51"/>
    <n v="44.43"/>
    <n v="1.47"/>
  </r>
  <r>
    <n v="672"/>
    <s v="A1672"/>
    <x v="2"/>
    <n v="104"/>
    <x v="539"/>
    <n v="188"/>
    <n v="13"/>
    <n v="6"/>
    <n v="5.7692307692307598E-2"/>
    <x v="131"/>
    <d v="2024-11-05T00:00:00"/>
    <s v="Hyderabad"/>
    <x v="0"/>
    <x v="3"/>
    <s v="November"/>
    <x v="2"/>
    <n v="1.81221153846153"/>
    <n v="3.43"/>
    <n v="14.5"/>
    <n v="31.41"/>
    <n v="116.48"/>
    <n v="68"/>
    <n v="2.16"/>
  </r>
  <r>
    <n v="673"/>
    <s v="A1673"/>
    <x v="0"/>
    <n v="132"/>
    <x v="599"/>
    <n v="181"/>
    <n v="21"/>
    <n v="10"/>
    <n v="7.5757575757575704E-2"/>
    <x v="113"/>
    <d v="2024-11-24T00:00:00"/>
    <s v="Hyderabad"/>
    <x v="1"/>
    <x v="4"/>
    <s v="November"/>
    <x v="4"/>
    <n v="1.3703030303030299"/>
    <n v="3.52"/>
    <n v="8.61"/>
    <n v="18.09"/>
    <n v="80.78"/>
    <n v="32.700000000000003"/>
    <n v="1.81"/>
  </r>
  <r>
    <n v="674"/>
    <s v="A1674"/>
    <x v="1"/>
    <n v="113"/>
    <x v="600"/>
    <n v="242"/>
    <n v="16"/>
    <n v="6"/>
    <n v="5.30973451327433E-2"/>
    <x v="114"/>
    <d v="2024-11-08T00:00:00"/>
    <s v="Hyderabad"/>
    <x v="2"/>
    <x v="2"/>
    <s v="November"/>
    <x v="3"/>
    <n v="2.1402654867256601"/>
    <n v="3.44"/>
    <n v="15.12"/>
    <n v="40.31"/>
    <n v="15.89"/>
    <n v="46.71"/>
    <n v="1.1599999999999999"/>
  </r>
  <r>
    <n v="675"/>
    <s v="A1675"/>
    <x v="1"/>
    <n v="109"/>
    <x v="601"/>
    <n v="236"/>
    <n v="16"/>
    <n v="8"/>
    <n v="7.3394495412843999E-2"/>
    <x v="145"/>
    <d v="2024-11-08T00:00:00"/>
    <s v="Hyderabad"/>
    <x v="2"/>
    <x v="3"/>
    <s v="November"/>
    <x v="3"/>
    <n v="2.16697247706422"/>
    <n v="2.2200000000000002"/>
    <n v="14.76"/>
    <n v="29.52"/>
    <n v="-0.93"/>
    <n v="29.25"/>
    <n v="0.99"/>
  </r>
  <r>
    <n v="676"/>
    <s v="A1676"/>
    <x v="1"/>
    <n v="144"/>
    <x v="512"/>
    <n v="232"/>
    <n v="14"/>
    <n v="4"/>
    <n v="2.77777777777777E-2"/>
    <x v="80"/>
    <d v="2024-11-10T00:00:00"/>
    <s v="Hyderabad"/>
    <x v="0"/>
    <x v="1"/>
    <s v="November"/>
    <x v="4"/>
    <n v="1.6098611111111101"/>
    <n v="2.87"/>
    <n v="16.559999999999999"/>
    <n v="57.96"/>
    <n v="44.94"/>
    <n v="84"/>
    <n v="1.45"/>
  </r>
  <r>
    <n v="677"/>
    <s v="A1677"/>
    <x v="3"/>
    <n v="179"/>
    <x v="602"/>
    <n v="239"/>
    <n v="10"/>
    <n v="6"/>
    <n v="3.3519553072625698E-2"/>
    <x v="127"/>
    <d v="2024-11-24T00:00:00"/>
    <s v="Hyderabad"/>
    <x v="1"/>
    <x v="0"/>
    <s v="November"/>
    <x v="4"/>
    <n v="1.3330726256983201"/>
    <n v="3.52"/>
    <n v="23.86"/>
    <n v="39.770000000000003"/>
    <n v="7.7"/>
    <n v="42.83"/>
    <n v="1.08"/>
  </r>
  <r>
    <n v="678"/>
    <s v="A1678"/>
    <x v="2"/>
    <n v="170"/>
    <x v="603"/>
    <n v="191"/>
    <n v="14"/>
    <n v="8"/>
    <n v="4.7058823529411702E-2"/>
    <x v="165"/>
    <d v="2024-11-17T00:00:00"/>
    <s v="Hyderabad"/>
    <x v="1"/>
    <x v="5"/>
    <s v="November"/>
    <x v="4"/>
    <n v="1.12276470588235"/>
    <n v="3.02"/>
    <n v="13.63"/>
    <n v="23.86"/>
    <n v="49.84"/>
    <n v="35.75"/>
    <n v="1.5"/>
  </r>
  <r>
    <n v="679"/>
    <s v="A1679"/>
    <x v="1"/>
    <n v="116"/>
    <x v="604"/>
    <n v="222"/>
    <n v="23"/>
    <n v="9"/>
    <n v="7.7586206896551699E-2"/>
    <x v="120"/>
    <d v="2024-11-24T00:00:00"/>
    <s v="Hyderabad"/>
    <x v="0"/>
    <x v="3"/>
    <s v="November"/>
    <x v="4"/>
    <n v="1.9115517241379301"/>
    <n v="2.56"/>
    <n v="9.64"/>
    <n v="24.64"/>
    <n v="50.63"/>
    <n v="37.11"/>
    <n v="1.51"/>
  </r>
  <r>
    <n v="680"/>
    <s v="A1680"/>
    <x v="0"/>
    <n v="89"/>
    <x v="605"/>
    <n v="192"/>
    <n v="27"/>
    <n v="9"/>
    <n v="0.101123595505617"/>
    <x v="49"/>
    <d v="2024-11-12T00:00:00"/>
    <s v="Hyderabad"/>
    <x v="1"/>
    <x v="4"/>
    <s v="November"/>
    <x v="2"/>
    <n v="2.15887640449438"/>
    <n v="2.54"/>
    <n v="7.12"/>
    <n v="21.35"/>
    <n v="66.02"/>
    <n v="35.44"/>
    <n v="1.66"/>
  </r>
  <r>
    <n v="681"/>
    <s v="A1681"/>
    <x v="0"/>
    <n v="96"/>
    <x v="606"/>
    <n v="248"/>
    <n v="15"/>
    <n v="7"/>
    <n v="7.2916666666666602E-2"/>
    <x v="88"/>
    <d v="2024-11-28T00:00:00"/>
    <s v="Hyderabad"/>
    <x v="0"/>
    <x v="2"/>
    <s v="November"/>
    <x v="5"/>
    <n v="2.5883333333333298"/>
    <n v="2.87"/>
    <n v="16.57"/>
    <n v="35.5"/>
    <n v="-8.24"/>
    <n v="32.57"/>
    <n v="0.92"/>
  </r>
  <r>
    <n v="682"/>
    <s v="A1682"/>
    <x v="0"/>
    <n v="193"/>
    <x v="607"/>
    <n v="213"/>
    <n v="24"/>
    <n v="8"/>
    <n v="4.1450777202072499E-2"/>
    <x v="74"/>
    <d v="2024-11-09T00:00:00"/>
    <s v="Hyderabad"/>
    <x v="0"/>
    <x v="1"/>
    <s v="November"/>
    <x v="0"/>
    <n v="1.1057512953367801"/>
    <n v="4.0999999999999996"/>
    <n v="8.89"/>
    <n v="26.68"/>
    <n v="1.21"/>
    <n v="27"/>
    <n v="1.01"/>
  </r>
  <r>
    <n v="683"/>
    <s v="A1683"/>
    <x v="2"/>
    <n v="122"/>
    <x v="608"/>
    <n v="194"/>
    <n v="23"/>
    <n v="3"/>
    <n v="2.4590163934426201E-2"/>
    <x v="204"/>
    <d v="2024-11-21T00:00:00"/>
    <s v="Hyderabad"/>
    <x v="1"/>
    <x v="1"/>
    <s v="November"/>
    <x v="5"/>
    <n v="1.5926229508196701"/>
    <n v="3.13"/>
    <n v="8.4499999999999993"/>
    <n v="64.77"/>
    <n v="42.56"/>
    <n v="92.33"/>
    <n v="1.43"/>
  </r>
  <r>
    <n v="684"/>
    <s v="A1684"/>
    <x v="0"/>
    <n v="133"/>
    <x v="609"/>
    <n v="202"/>
    <n v="14"/>
    <n v="7"/>
    <n v="5.2631578947368397E-2"/>
    <x v="56"/>
    <d v="2024-11-15T00:00:00"/>
    <s v="Hyderabad"/>
    <x v="2"/>
    <x v="1"/>
    <s v="November"/>
    <x v="3"/>
    <n v="1.51571428571428"/>
    <n v="3.99"/>
    <n v="14.4"/>
    <n v="28.8"/>
    <n v="96.93"/>
    <n v="56.71"/>
    <n v="1.97"/>
  </r>
  <r>
    <n v="685"/>
    <s v="A1685"/>
    <x v="0"/>
    <n v="177"/>
    <x v="533"/>
    <n v="249"/>
    <n v="11"/>
    <n v="7"/>
    <n v="3.9548022598869997E-2"/>
    <x v="93"/>
    <d v="2024-11-16T00:00:00"/>
    <s v="Hyderabad"/>
    <x v="1"/>
    <x v="3"/>
    <s v="November"/>
    <x v="0"/>
    <n v="1.4079661016949101"/>
    <n v="3.08"/>
    <n v="22.66"/>
    <n v="35.6"/>
    <n v="17.57"/>
    <n v="41.86"/>
    <n v="1.18"/>
  </r>
  <r>
    <n v="686"/>
    <s v="A1686"/>
    <x v="3"/>
    <n v="162"/>
    <x v="610"/>
    <n v="223"/>
    <n v="25"/>
    <n v="5"/>
    <n v="3.0864197530864099E-2"/>
    <x v="53"/>
    <d v="2024-11-28T00:00:00"/>
    <s v="Hyderabad"/>
    <x v="0"/>
    <x v="1"/>
    <s v="November"/>
    <x v="5"/>
    <n v="1.37728395061728"/>
    <n v="3.03"/>
    <n v="8.92"/>
    <n v="44.62"/>
    <n v="-3.64"/>
    <n v="43"/>
    <n v="0.96"/>
  </r>
  <r>
    <n v="687"/>
    <s v="A1687"/>
    <x v="0"/>
    <n v="182"/>
    <x v="46"/>
    <n v="193"/>
    <n v="15"/>
    <n v="4"/>
    <n v="2.19780219780219E-2"/>
    <x v="115"/>
    <d v="2024-11-02T00:00:00"/>
    <s v="Hyderabad"/>
    <x v="0"/>
    <x v="1"/>
    <s v="November"/>
    <x v="0"/>
    <n v="1.0587362637362601"/>
    <n v="3.11"/>
    <n v="12.85"/>
    <n v="48.17"/>
    <n v="46.35"/>
    <n v="70.5"/>
    <n v="1.46"/>
  </r>
  <r>
    <n v="688"/>
    <s v="A1688"/>
    <x v="3"/>
    <n v="154"/>
    <x v="611"/>
    <n v="234"/>
    <n v="26"/>
    <n v="10"/>
    <n v="6.4935064935064901E-2"/>
    <x v="69"/>
    <d v="2024-11-30T00:00:00"/>
    <s v="Hyderabad"/>
    <x v="0"/>
    <x v="1"/>
    <s v="November"/>
    <x v="0"/>
    <n v="1.5181818181818101"/>
    <n v="3.18"/>
    <n v="8.99"/>
    <n v="23.38"/>
    <n v="60.39"/>
    <n v="37.5"/>
    <n v="1.6"/>
  </r>
  <r>
    <n v="689"/>
    <s v="A1689"/>
    <x v="3"/>
    <n v="104"/>
    <x v="612"/>
    <n v="187"/>
    <n v="19"/>
    <n v="10"/>
    <n v="9.6153846153846104E-2"/>
    <x v="20"/>
    <d v="2024-11-29T00:00:00"/>
    <s v="Hyderabad"/>
    <x v="2"/>
    <x v="1"/>
    <s v="November"/>
    <x v="3"/>
    <n v="1.79740384615384"/>
    <n v="1.97"/>
    <n v="9.84"/>
    <n v="18.690000000000001"/>
    <n v="96.87"/>
    <n v="36.799999999999997"/>
    <n v="1.97"/>
  </r>
  <r>
    <n v="690"/>
    <s v="A1690"/>
    <x v="2"/>
    <n v="101"/>
    <x v="613"/>
    <n v="231"/>
    <n v="21"/>
    <n v="9"/>
    <n v="8.9108910891089105E-2"/>
    <x v="63"/>
    <d v="2024-11-22T00:00:00"/>
    <s v="Hyderabad"/>
    <x v="0"/>
    <x v="3"/>
    <s v="November"/>
    <x v="3"/>
    <n v="2.2839603960396002"/>
    <n v="2.09"/>
    <n v="10.98"/>
    <n v="25.63"/>
    <n v="37.85"/>
    <n v="35.33"/>
    <n v="1.38"/>
  </r>
  <r>
    <n v="691"/>
    <s v="A1691"/>
    <x v="2"/>
    <n v="173"/>
    <x v="614"/>
    <n v="203"/>
    <n v="27"/>
    <n v="3"/>
    <n v="1.7341040462427699E-2"/>
    <x v="197"/>
    <d v="2024-11-29T00:00:00"/>
    <s v="Hyderabad"/>
    <x v="2"/>
    <x v="0"/>
    <s v="November"/>
    <x v="3"/>
    <n v="1.17312138728323"/>
    <n v="4.07"/>
    <n v="7.52"/>
    <n v="67.650000000000006"/>
    <n v="28.11"/>
    <n v="86.67"/>
    <n v="1.28"/>
  </r>
  <r>
    <n v="692"/>
    <s v="A1692"/>
    <x v="3"/>
    <n v="186"/>
    <x v="615"/>
    <n v="224"/>
    <n v="29"/>
    <n v="6"/>
    <n v="3.2258064516128997E-2"/>
    <x v="189"/>
    <d v="2024-11-28T00:00:00"/>
    <s v="Hyderabad"/>
    <x v="1"/>
    <x v="2"/>
    <s v="November"/>
    <x v="5"/>
    <n v="1.2068817204300999"/>
    <n v="3.19"/>
    <n v="7.74"/>
    <n v="37.409999999999997"/>
    <n v="71.06"/>
    <n v="64"/>
    <n v="1.71"/>
  </r>
  <r>
    <n v="693"/>
    <s v="A1693"/>
    <x v="2"/>
    <n v="148"/>
    <x v="616"/>
    <n v="186"/>
    <n v="14"/>
    <n v="4"/>
    <n v="2.7027027027027001E-2"/>
    <x v="198"/>
    <d v="2024-11-10T00:00:00"/>
    <s v="Hyderabad"/>
    <x v="1"/>
    <x v="1"/>
    <s v="November"/>
    <x v="4"/>
    <n v="1.2589189189189101"/>
    <n v="2.4900000000000002"/>
    <n v="13.31"/>
    <n v="46.58"/>
    <n v="61.01"/>
    <n v="75"/>
    <n v="1.61"/>
  </r>
  <r>
    <n v="694"/>
    <s v="A1694"/>
    <x v="1"/>
    <n v="181"/>
    <x v="617"/>
    <n v="229"/>
    <n v="25"/>
    <n v="10"/>
    <n v="5.5248618784530301E-2"/>
    <x v="112"/>
    <d v="2024-11-06T00:00:00"/>
    <s v="Hyderabad"/>
    <x v="1"/>
    <x v="5"/>
    <s v="November"/>
    <x v="1"/>
    <n v="1.2659668508287201"/>
    <n v="4.9000000000000004"/>
    <n v="9.17"/>
    <n v="22.91"/>
    <n v="22.63"/>
    <n v="28.1"/>
    <n v="1.23"/>
  </r>
  <r>
    <n v="695"/>
    <s v="A1695"/>
    <x v="2"/>
    <n v="110"/>
    <x v="618"/>
    <n v="244"/>
    <n v="16"/>
    <n v="9"/>
    <n v="8.1818181818181804E-2"/>
    <x v="141"/>
    <d v="2024-11-15T00:00:00"/>
    <s v="Hyderabad"/>
    <x v="2"/>
    <x v="4"/>
    <s v="November"/>
    <x v="3"/>
    <n v="2.2170909090909001"/>
    <n v="2.5299999999999998"/>
    <n v="15.24"/>
    <n v="27.1"/>
    <n v="-3.23"/>
    <n v="26.22"/>
    <n v="0.97"/>
  </r>
  <r>
    <n v="696"/>
    <s v="A1696"/>
    <x v="3"/>
    <n v="151"/>
    <x v="619"/>
    <n v="192"/>
    <n v="18"/>
    <n v="7"/>
    <n v="4.6357615894039701E-2"/>
    <x v="110"/>
    <d v="2024-11-02T00:00:00"/>
    <s v="Hyderabad"/>
    <x v="1"/>
    <x v="2"/>
    <s v="November"/>
    <x v="0"/>
    <n v="1.2711920529801299"/>
    <n v="2.67"/>
    <n v="10.66"/>
    <n v="27.42"/>
    <n v="92.76"/>
    <n v="52.86"/>
    <n v="1.93"/>
  </r>
  <r>
    <n v="697"/>
    <s v="A1697"/>
    <x v="2"/>
    <n v="90"/>
    <x v="620"/>
    <n v="229"/>
    <n v="29"/>
    <n v="9"/>
    <n v="0.1"/>
    <x v="16"/>
    <d v="2024-11-13T00:00:00"/>
    <s v="Hyderabad"/>
    <x v="0"/>
    <x v="3"/>
    <s v="November"/>
    <x v="1"/>
    <n v="2.5424444444444401"/>
    <n v="1.97"/>
    <n v="7.89"/>
    <n v="25.42"/>
    <n v="51.21"/>
    <n v="38.44"/>
    <n v="1.51"/>
  </r>
  <r>
    <n v="698"/>
    <s v="A1698"/>
    <x v="1"/>
    <n v="111"/>
    <x v="621"/>
    <n v="246"/>
    <n v="22"/>
    <n v="8"/>
    <n v="7.2072072072072002E-2"/>
    <x v="32"/>
    <d v="2024-11-07T00:00:00"/>
    <s v="Hyderabad"/>
    <x v="0"/>
    <x v="4"/>
    <s v="November"/>
    <x v="5"/>
    <n v="2.2140540540540501"/>
    <n v="2.61"/>
    <n v="11.17"/>
    <n v="30.72"/>
    <n v="52.06"/>
    <n v="46.71"/>
    <n v="1.52"/>
  </r>
  <r>
    <n v="699"/>
    <s v="A1699"/>
    <x v="0"/>
    <n v="170"/>
    <x v="622"/>
    <n v="217"/>
    <n v="16"/>
    <n v="9"/>
    <n v="5.29411764705882E-2"/>
    <x v="89"/>
    <d v="2024-11-17T00:00:00"/>
    <s v="Hyderabad"/>
    <x v="1"/>
    <x v="3"/>
    <s v="November"/>
    <x v="4"/>
    <n v="1.2788823529411699"/>
    <n v="3.36"/>
    <n v="13.59"/>
    <n v="24.16"/>
    <n v="40.75"/>
    <n v="34"/>
    <n v="1.41"/>
  </r>
  <r>
    <n v="700"/>
    <s v="A1700"/>
    <x v="0"/>
    <n v="112"/>
    <x v="623"/>
    <n v="229"/>
    <n v="23"/>
    <n v="7"/>
    <n v="6.25E-2"/>
    <x v="78"/>
    <d v="2024-11-17T00:00:00"/>
    <s v="Hyderabad"/>
    <x v="0"/>
    <x v="5"/>
    <s v="November"/>
    <x v="4"/>
    <n v="2.04285714285714"/>
    <n v="2.2000000000000002"/>
    <n v="9.9499999999999993"/>
    <n v="32.69"/>
    <n v="5.77"/>
    <n v="34.57"/>
    <n v="1.06"/>
  </r>
  <r>
    <n v="701"/>
    <s v="A1701"/>
    <x v="1"/>
    <n v="188"/>
    <x v="624"/>
    <n v="189"/>
    <n v="17"/>
    <n v="3"/>
    <n v="1.5957446808510599E-2"/>
    <x v="113"/>
    <d v="2024-11-03T00:00:00"/>
    <s v="Hyderabad"/>
    <x v="2"/>
    <x v="4"/>
    <s v="November"/>
    <x v="4"/>
    <n v="1.0038829787234"/>
    <n v="3.52"/>
    <n v="11.1"/>
    <n v="62.91"/>
    <n v="73.260000000000005"/>
    <n v="109"/>
    <n v="1.73"/>
  </r>
  <r>
    <n v="702"/>
    <s v="A1702"/>
    <x v="1"/>
    <n v="85"/>
    <x v="625"/>
    <n v="186"/>
    <n v="14"/>
    <n v="6"/>
    <n v="7.0588235294117604E-2"/>
    <x v="117"/>
    <d v="2024-11-05T00:00:00"/>
    <s v="Hyderabad"/>
    <x v="1"/>
    <x v="1"/>
    <s v="November"/>
    <x v="2"/>
    <n v="2.1907058823529399"/>
    <n v="1.71"/>
    <n v="13.3"/>
    <n v="31.04"/>
    <n v="91.72"/>
    <n v="59.5"/>
    <n v="1.92"/>
  </r>
  <r>
    <n v="703"/>
    <s v="A1703"/>
    <x v="2"/>
    <n v="94"/>
    <x v="2"/>
    <n v="236"/>
    <n v="23"/>
    <n v="8"/>
    <n v="8.5106382978723402E-2"/>
    <x v="92"/>
    <d v="2024-11-05T00:00:00"/>
    <s v="Hyderabad"/>
    <x v="2"/>
    <x v="4"/>
    <s v="November"/>
    <x v="2"/>
    <n v="2.5081914893617001"/>
    <n v="2.0699999999999998"/>
    <n v="10.25"/>
    <n v="29.47"/>
    <n v="16.21"/>
    <n v="34.25"/>
    <n v="1.1599999999999999"/>
  </r>
  <r>
    <n v="704"/>
    <s v="A1704"/>
    <x v="2"/>
    <n v="177"/>
    <x v="626"/>
    <n v="218"/>
    <n v="20"/>
    <n v="10"/>
    <n v="5.6497175141242903E-2"/>
    <x v="27"/>
    <d v="2024-11-13T00:00:00"/>
    <s v="Hyderabad"/>
    <x v="2"/>
    <x v="2"/>
    <s v="November"/>
    <x v="1"/>
    <n v="1.22903954802259"/>
    <n v="3.61"/>
    <n v="10.88"/>
    <n v="21.75"/>
    <n v="85.25"/>
    <n v="40.299999999999997"/>
    <n v="1.85"/>
  </r>
  <r>
    <n v="705"/>
    <s v="A1705"/>
    <x v="0"/>
    <n v="150"/>
    <x v="35"/>
    <n v="193"/>
    <n v="14"/>
    <n v="4"/>
    <n v="2.6666666666666599E-2"/>
    <x v="98"/>
    <d v="2024-11-27T00:00:00"/>
    <s v="Hyderabad"/>
    <x v="2"/>
    <x v="2"/>
    <s v="November"/>
    <x v="1"/>
    <n v="1.28466666666666"/>
    <n v="2.84"/>
    <n v="13.76"/>
    <n v="48.18"/>
    <n v="24.03"/>
    <n v="59.75"/>
    <n v="1.24"/>
  </r>
  <r>
    <n v="706"/>
    <s v="A1706"/>
    <x v="2"/>
    <n v="88"/>
    <x v="627"/>
    <n v="203"/>
    <n v="22"/>
    <n v="6"/>
    <n v="6.8181818181818094E-2"/>
    <x v="150"/>
    <d v="2024-11-13T00:00:00"/>
    <s v="Hyderabad"/>
    <x v="2"/>
    <x v="4"/>
    <s v="November"/>
    <x v="1"/>
    <n v="2.3064772727272702"/>
    <n v="1.68"/>
    <n v="9.23"/>
    <n v="33.83"/>
    <n v="13.32"/>
    <n v="38.33"/>
    <n v="1.1299999999999999"/>
  </r>
  <r>
    <n v="707"/>
    <s v="A1707"/>
    <x v="3"/>
    <n v="128"/>
    <x v="628"/>
    <n v="213"/>
    <n v="14"/>
    <n v="5"/>
    <n v="3.90625E-2"/>
    <x v="13"/>
    <d v="2024-11-25T00:00:00"/>
    <s v="Hyderabad"/>
    <x v="0"/>
    <x v="2"/>
    <s v="November"/>
    <x v="6"/>
    <n v="1.6610156250000001"/>
    <n v="2.64"/>
    <n v="15.19"/>
    <n v="42.52"/>
    <n v="47.69"/>
    <n v="62.8"/>
    <n v="1.48"/>
  </r>
  <r>
    <n v="708"/>
    <s v="A1708"/>
    <x v="2"/>
    <n v="163"/>
    <x v="629"/>
    <n v="243"/>
    <n v="26"/>
    <n v="9"/>
    <n v="5.5214723926380299E-2"/>
    <x v="203"/>
    <d v="2024-11-12T00:00:00"/>
    <s v="Hyderabad"/>
    <x v="1"/>
    <x v="0"/>
    <s v="November"/>
    <x v="2"/>
    <n v="1.48932515337423"/>
    <n v="3.07"/>
    <n v="9.34"/>
    <n v="26.97"/>
    <n v="50.77"/>
    <n v="40.67"/>
    <n v="1.51"/>
  </r>
  <r>
    <n v="709"/>
    <s v="A1709"/>
    <x v="1"/>
    <n v="147"/>
    <x v="160"/>
    <n v="193"/>
    <n v="12"/>
    <n v="8"/>
    <n v="5.4421768707482901E-2"/>
    <x v="156"/>
    <d v="2024-11-11T00:00:00"/>
    <s v="Hyderabad"/>
    <x v="2"/>
    <x v="4"/>
    <s v="November"/>
    <x v="6"/>
    <n v="1.3134693877551"/>
    <n v="2.93"/>
    <n v="16.09"/>
    <n v="24.14"/>
    <n v="7.73"/>
    <n v="26"/>
    <n v="1.08"/>
  </r>
  <r>
    <n v="710"/>
    <s v="A1710"/>
    <x v="1"/>
    <n v="191"/>
    <x v="630"/>
    <n v="197"/>
    <n v="29"/>
    <n v="3"/>
    <n v="1.5706806282722498E-2"/>
    <x v="177"/>
    <d v="2024-11-21T00:00:00"/>
    <s v="Hyderabad"/>
    <x v="0"/>
    <x v="1"/>
    <s v="November"/>
    <x v="5"/>
    <n v="1.02900523560209"/>
    <n v="3.26"/>
    <n v="6.78"/>
    <n v="65.510000000000005"/>
    <n v="12.45"/>
    <n v="73.67"/>
    <n v="1.1200000000000001"/>
  </r>
  <r>
    <n v="711"/>
    <s v="A1711"/>
    <x v="0"/>
    <n v="179"/>
    <x v="631"/>
    <n v="234"/>
    <n v="17"/>
    <n v="6"/>
    <n v="3.3519553072625698E-2"/>
    <x v="96"/>
    <d v="2024-11-02T00:00:00"/>
    <s v="Hyderabad"/>
    <x v="0"/>
    <x v="1"/>
    <s v="November"/>
    <x v="0"/>
    <n v="1.3098324022346299"/>
    <n v="3.03"/>
    <n v="13.79"/>
    <n v="39.08"/>
    <n v="72.31"/>
    <n v="67.33"/>
    <n v="1.72"/>
  </r>
  <r>
    <n v="712"/>
    <s v="A1712"/>
    <x v="2"/>
    <n v="115"/>
    <x v="632"/>
    <n v="229"/>
    <n v="25"/>
    <n v="4"/>
    <n v="3.4782608695652098E-2"/>
    <x v="133"/>
    <d v="2024-11-20T00:00:00"/>
    <s v="Hyderabad"/>
    <x v="2"/>
    <x v="4"/>
    <s v="November"/>
    <x v="1"/>
    <n v="1.99286956521739"/>
    <n v="2.91"/>
    <n v="9.17"/>
    <n v="57.3"/>
    <n v="28.28"/>
    <n v="73.5"/>
    <n v="1.28"/>
  </r>
  <r>
    <n v="713"/>
    <s v="A1713"/>
    <x v="0"/>
    <n v="123"/>
    <x v="349"/>
    <n v="213"/>
    <n v="29"/>
    <n v="6"/>
    <n v="4.8780487804878002E-2"/>
    <x v="78"/>
    <d v="2024-11-05T00:00:00"/>
    <s v="Hyderabad"/>
    <x v="0"/>
    <x v="0"/>
    <s v="November"/>
    <x v="2"/>
    <n v="1.7310569105691"/>
    <n v="2.92"/>
    <n v="7.34"/>
    <n v="35.49"/>
    <n v="13.66"/>
    <n v="40.33"/>
    <n v="1.1399999999999999"/>
  </r>
  <r>
    <n v="714"/>
    <s v="A1714"/>
    <x v="0"/>
    <n v="121"/>
    <x v="633"/>
    <n v="222"/>
    <n v="16"/>
    <n v="7"/>
    <n v="5.7851239669421399E-2"/>
    <x v="1"/>
    <d v="2024-11-02T00:00:00"/>
    <s v="Hyderabad"/>
    <x v="2"/>
    <x v="0"/>
    <s v="November"/>
    <x v="0"/>
    <n v="1.83586776859504"/>
    <n v="2.19"/>
    <n v="13.88"/>
    <n v="31.73"/>
    <n v="54.41"/>
    <n v="49"/>
    <n v="1.54"/>
  </r>
  <r>
    <n v="715"/>
    <s v="A1715"/>
    <x v="2"/>
    <n v="126"/>
    <x v="634"/>
    <n v="211"/>
    <n v="24"/>
    <n v="10"/>
    <n v="7.9365079365079305E-2"/>
    <x v="71"/>
    <d v="2024-11-14T00:00:00"/>
    <s v="Hyderabad"/>
    <x v="2"/>
    <x v="4"/>
    <s v="November"/>
    <x v="5"/>
    <n v="1.67325396825396"/>
    <n v="2.31"/>
    <n v="8.7799999999999994"/>
    <n v="21.08"/>
    <n v="28.54"/>
    <n v="27.1"/>
    <n v="1.29"/>
  </r>
  <r>
    <n v="716"/>
    <s v="A1716"/>
    <x v="3"/>
    <n v="110"/>
    <x v="635"/>
    <n v="198"/>
    <n v="26"/>
    <n v="10"/>
    <n v="9.0909090909090898E-2"/>
    <x v="202"/>
    <d v="2024-11-18T00:00:00"/>
    <s v="Hyderabad"/>
    <x v="1"/>
    <x v="2"/>
    <s v="November"/>
    <x v="6"/>
    <n v="1.79927272727272"/>
    <n v="3.48"/>
    <n v="7.61"/>
    <n v="19.79"/>
    <n v="65.72"/>
    <n v="32.799999999999997"/>
    <n v="1.66"/>
  </r>
  <r>
    <n v="717"/>
    <s v="A1717"/>
    <x v="3"/>
    <n v="190"/>
    <x v="636"/>
    <n v="224"/>
    <n v="13"/>
    <n v="7"/>
    <n v="3.6842105263157801E-2"/>
    <x v="92"/>
    <d v="2024-11-14T00:00:00"/>
    <s v="Hyderabad"/>
    <x v="2"/>
    <x v="5"/>
    <s v="November"/>
    <x v="5"/>
    <n v="1.17873684210526"/>
    <n v="3.43"/>
    <n v="17.23"/>
    <n v="31.99"/>
    <n v="22.34"/>
    <n v="39.14"/>
    <n v="1.22"/>
  </r>
  <r>
    <n v="718"/>
    <s v="A1718"/>
    <x v="1"/>
    <n v="148"/>
    <x v="637"/>
    <n v="246"/>
    <n v="15"/>
    <n v="10"/>
    <n v="6.7567567567567502E-2"/>
    <x v="126"/>
    <d v="2024-11-25T00:00:00"/>
    <s v="Hyderabad"/>
    <x v="0"/>
    <x v="1"/>
    <s v="November"/>
    <x v="6"/>
    <n v="1.6607432432432401"/>
    <n v="4.03"/>
    <n v="16.39"/>
    <n v="24.58"/>
    <n v="42.8"/>
    <n v="35.1"/>
    <n v="1.43"/>
  </r>
  <r>
    <n v="719"/>
    <s v="A1719"/>
    <x v="1"/>
    <n v="86"/>
    <x v="638"/>
    <n v="232"/>
    <n v="19"/>
    <n v="10"/>
    <n v="0.116279069767441"/>
    <x v="143"/>
    <d v="2024-11-17T00:00:00"/>
    <s v="Hyderabad"/>
    <x v="1"/>
    <x v="3"/>
    <s v="November"/>
    <x v="4"/>
    <n v="2.69523255813953"/>
    <n v="1.52"/>
    <n v="12.2"/>
    <n v="23.18"/>
    <n v="36.33"/>
    <n v="31.6"/>
    <n v="1.36"/>
  </r>
  <r>
    <n v="720"/>
    <s v="A1720"/>
    <x v="3"/>
    <n v="172"/>
    <x v="639"/>
    <n v="217"/>
    <n v="15"/>
    <n v="8"/>
    <n v="4.6511627906976702E-2"/>
    <x v="181"/>
    <d v="2024-11-02T00:00:00"/>
    <s v="Hyderabad"/>
    <x v="0"/>
    <x v="4"/>
    <s v="November"/>
    <x v="0"/>
    <n v="1.2597093023255801"/>
    <n v="5.51"/>
    <n v="14.44"/>
    <n v="27.08"/>
    <n v="65.69"/>
    <n v="44.88"/>
    <n v="1.66"/>
  </r>
  <r>
    <n v="721"/>
    <s v="A1721"/>
    <x v="0"/>
    <n v="143"/>
    <x v="185"/>
    <n v="229"/>
    <n v="23"/>
    <n v="4"/>
    <n v="2.7972027972027899E-2"/>
    <x v="132"/>
    <d v="2024-11-03T00:00:00"/>
    <s v="Hyderabad"/>
    <x v="0"/>
    <x v="4"/>
    <s v="November"/>
    <x v="4"/>
    <n v="1.60426573426573"/>
    <n v="2.54"/>
    <n v="9.9700000000000006"/>
    <n v="57.35"/>
    <n v="24.23"/>
    <n v="71.25"/>
    <n v="1.24"/>
  </r>
  <r>
    <n v="722"/>
    <s v="A1722"/>
    <x v="0"/>
    <n v="172"/>
    <x v="640"/>
    <n v="232"/>
    <n v="21"/>
    <n v="7"/>
    <n v="4.0697674418604599E-2"/>
    <x v="106"/>
    <d v="2024-11-27T00:00:00"/>
    <s v="Hyderabad"/>
    <x v="1"/>
    <x v="0"/>
    <s v="November"/>
    <x v="1"/>
    <n v="1.3497674418604599"/>
    <n v="3.88"/>
    <n v="11.06"/>
    <n v="33.17"/>
    <n v="-7.82"/>
    <n v="30.57"/>
    <n v="0.92"/>
  </r>
  <r>
    <n v="723"/>
    <s v="A1723"/>
    <x v="2"/>
    <n v="138"/>
    <x v="641"/>
    <n v="189"/>
    <n v="14"/>
    <n v="8"/>
    <n v="5.7971014492753603E-2"/>
    <x v="187"/>
    <d v="2024-11-24T00:00:00"/>
    <s v="Hyderabad"/>
    <x v="0"/>
    <x v="3"/>
    <s v="November"/>
    <x v="4"/>
    <n v="1.3663043478260799"/>
    <n v="2.48"/>
    <n v="13.47"/>
    <n v="23.57"/>
    <n v="72.37"/>
    <n v="40.619999999999997"/>
    <n v="1.72"/>
  </r>
  <r>
    <n v="724"/>
    <s v="A1724"/>
    <x v="2"/>
    <n v="132"/>
    <x v="642"/>
    <n v="248"/>
    <n v="25"/>
    <n v="9"/>
    <n v="6.8181818181818094E-2"/>
    <x v="150"/>
    <d v="2024-11-19T00:00:00"/>
    <s v="Hyderabad"/>
    <x v="2"/>
    <x v="2"/>
    <s v="November"/>
    <x v="2"/>
    <n v="1.88219696969696"/>
    <n v="2.65"/>
    <n v="9.94"/>
    <n v="27.61"/>
    <n v="-7.43"/>
    <n v="25.56"/>
    <n v="0.93"/>
  </r>
  <r>
    <n v="725"/>
    <s v="A1725"/>
    <x v="2"/>
    <n v="174"/>
    <x v="528"/>
    <n v="265"/>
    <n v="10"/>
    <n v="7"/>
    <n v="4.0229885057471201E-2"/>
    <x v="150"/>
    <d v="2024-11-12T00:00:00"/>
    <s v="Hyderabad"/>
    <x v="1"/>
    <x v="1"/>
    <s v="November"/>
    <x v="2"/>
    <n v="1.5243795620437901"/>
    <n v="5.39"/>
    <n v="26.52"/>
    <n v="37.89"/>
    <n v="-13.29"/>
    <n v="32.86"/>
    <n v="0.87"/>
  </r>
  <r>
    <n v="726"/>
    <s v="A1726"/>
    <x v="2"/>
    <n v="154"/>
    <x v="643"/>
    <n v="235"/>
    <n v="18"/>
    <n v="4"/>
    <n v="2.5974025974025899E-2"/>
    <x v="39"/>
    <d v="2024-11-18T00:00:00"/>
    <s v="Hyderabad"/>
    <x v="2"/>
    <x v="2"/>
    <s v="November"/>
    <x v="6"/>
    <n v="1.5283116883116801"/>
    <n v="4.45"/>
    <n v="13.08"/>
    <n v="58.84"/>
    <n v="4.95"/>
    <n v="61.75"/>
    <n v="1.05"/>
  </r>
  <r>
    <n v="727"/>
    <s v="A1727"/>
    <x v="2"/>
    <n v="126"/>
    <x v="561"/>
    <n v="236"/>
    <n v="25"/>
    <n v="9"/>
    <n v="7.1428571428571397E-2"/>
    <x v="162"/>
    <d v="2024-11-20T00:00:00"/>
    <s v="Hyderabad"/>
    <x v="2"/>
    <x v="3"/>
    <s v="November"/>
    <x v="1"/>
    <n v="1.87468253968253"/>
    <n v="3.68"/>
    <n v="9.4499999999999993"/>
    <n v="26.25"/>
    <n v="-4.32"/>
    <n v="25.11"/>
    <n v="0.96"/>
  </r>
  <r>
    <n v="728"/>
    <s v="A1728"/>
    <x v="0"/>
    <n v="138"/>
    <x v="644"/>
    <n v="221"/>
    <n v="21"/>
    <n v="7"/>
    <n v="5.0724637681159403E-2"/>
    <x v="128"/>
    <d v="2024-11-24T00:00:00"/>
    <s v="Hyderabad"/>
    <x v="2"/>
    <x v="2"/>
    <s v="November"/>
    <x v="4"/>
    <n v="1.60115942028985"/>
    <n v="3.43"/>
    <n v="10.52"/>
    <n v="31.57"/>
    <n v="30.79"/>
    <n v="41.29"/>
    <n v="1.31"/>
  </r>
  <r>
    <n v="729"/>
    <s v="A1729"/>
    <x v="2"/>
    <n v="193"/>
    <x v="241"/>
    <n v="200"/>
    <n v="27"/>
    <n v="9"/>
    <n v="4.6632124352331598E-2"/>
    <x v="144"/>
    <d v="2024-11-17T00:00:00"/>
    <s v="Hyderabad"/>
    <x v="1"/>
    <x v="1"/>
    <s v="November"/>
    <x v="4"/>
    <n v="1.0350259067357499"/>
    <n v="5.08"/>
    <n v="7.4"/>
    <n v="22.2"/>
    <n v="42.17"/>
    <n v="31.56"/>
    <n v="1.42"/>
  </r>
  <r>
    <n v="730"/>
    <s v="A1730"/>
    <x v="0"/>
    <n v="156"/>
    <x v="645"/>
    <n v="210"/>
    <n v="26"/>
    <n v="6"/>
    <n v="3.8461538461538401E-2"/>
    <x v="22"/>
    <d v="2024-11-28T00:00:00"/>
    <s v="Hyderabad"/>
    <x v="2"/>
    <x v="1"/>
    <s v="November"/>
    <x v="5"/>
    <n v="1.34891025641025"/>
    <n v="2.95"/>
    <n v="8.09"/>
    <n v="35.07"/>
    <n v="40.659999999999997"/>
    <n v="49.33"/>
    <n v="1.41"/>
  </r>
  <r>
    <n v="731"/>
    <s v="A1731"/>
    <x v="0"/>
    <n v="142"/>
    <x v="646"/>
    <n v="180"/>
    <n v="26"/>
    <n v="5"/>
    <n v="3.5211267605633798E-2"/>
    <x v="145"/>
    <d v="2024-11-01T00:00:00"/>
    <s v="Hyderabad"/>
    <x v="2"/>
    <x v="3"/>
    <s v="November"/>
    <x v="3"/>
    <n v="1.27035211267605"/>
    <n v="3.98"/>
    <n v="6.94"/>
    <n v="36.08"/>
    <n v="29.72"/>
    <n v="46.8"/>
    <n v="1.3"/>
  </r>
  <r>
    <n v="732"/>
    <s v="A1732"/>
    <x v="2"/>
    <n v="92"/>
    <x v="647"/>
    <n v="239"/>
    <n v="11"/>
    <n v="10"/>
    <n v="0.108695652173913"/>
    <x v="98"/>
    <d v="2024-11-02T00:00:00"/>
    <s v="Hyderabad"/>
    <x v="2"/>
    <x v="3"/>
    <s v="November"/>
    <x v="0"/>
    <n v="2.5991304347825999"/>
    <n v="2.14"/>
    <n v="21.74"/>
    <n v="23.91"/>
    <n v="-0.05"/>
    <n v="23.9"/>
    <n v="1"/>
  </r>
  <r>
    <n v="733"/>
    <s v="A1733"/>
    <x v="0"/>
    <n v="190"/>
    <x v="648"/>
    <n v="249"/>
    <n v="27"/>
    <n v="7"/>
    <n v="3.6842105263157801E-2"/>
    <x v="174"/>
    <d v="2024-11-26T00:00:00"/>
    <s v="Hyderabad"/>
    <x v="0"/>
    <x v="2"/>
    <s v="November"/>
    <x v="2"/>
    <n v="1.3118947368420999"/>
    <n v="5.33"/>
    <n v="9.23"/>
    <n v="35.61"/>
    <n v="24.37"/>
    <n v="44.29"/>
    <n v="1.24"/>
  </r>
  <r>
    <n v="734"/>
    <s v="A1734"/>
    <x v="3"/>
    <n v="134"/>
    <x v="649"/>
    <n v="199"/>
    <n v="21"/>
    <n v="8"/>
    <n v="5.9701492537313397E-2"/>
    <x v="175"/>
    <d v="2024-11-03T00:00:00"/>
    <s v="Hyderabad"/>
    <x v="0"/>
    <x v="5"/>
    <s v="November"/>
    <x v="4"/>
    <n v="1.48455223880597"/>
    <n v="2.76"/>
    <n v="9.4700000000000006"/>
    <n v="24.87"/>
    <n v="13.11"/>
    <n v="28.12"/>
    <n v="1.1299999999999999"/>
  </r>
  <r>
    <n v="735"/>
    <s v="A1735"/>
    <x v="1"/>
    <n v="144"/>
    <x v="650"/>
    <n v="186"/>
    <n v="29"/>
    <n v="8"/>
    <n v="5.5555555555555497E-2"/>
    <x v="93"/>
    <d v="2024-11-29T00:00:00"/>
    <s v="Hyderabad"/>
    <x v="1"/>
    <x v="1"/>
    <s v="November"/>
    <x v="3"/>
    <n v="1.2949305555555499"/>
    <n v="3.03"/>
    <n v="6.43"/>
    <n v="23.31"/>
    <n v="57.13"/>
    <n v="36.619999999999997"/>
    <n v="1.57"/>
  </r>
  <r>
    <n v="736"/>
    <s v="A1736"/>
    <x v="3"/>
    <n v="117"/>
    <x v="462"/>
    <n v="197"/>
    <n v="15"/>
    <n v="8"/>
    <n v="6.83760683760683E-2"/>
    <x v="8"/>
    <d v="2024-11-17T00:00:00"/>
    <s v="Hyderabad"/>
    <x v="0"/>
    <x v="4"/>
    <s v="November"/>
    <x v="4"/>
    <n v="1.6808547008546999"/>
    <n v="2.5299999999999998"/>
    <n v="13.11"/>
    <n v="24.58"/>
    <n v="41.36"/>
    <n v="34.75"/>
    <n v="1.41"/>
  </r>
  <r>
    <n v="737"/>
    <s v="A1737"/>
    <x v="3"/>
    <n v="160"/>
    <x v="651"/>
    <n v="210"/>
    <n v="19"/>
    <n v="7"/>
    <n v="4.3749999999999997E-2"/>
    <x v="36"/>
    <d v="2024-11-14T00:00:00"/>
    <s v="Hyderabad"/>
    <x v="0"/>
    <x v="1"/>
    <s v="November"/>
    <x v="5"/>
    <n v="1.314875"/>
    <n v="4.6399999999999997"/>
    <n v="11.07"/>
    <n v="30.05"/>
    <n v="65.41"/>
    <n v="49.71"/>
    <n v="1.65"/>
  </r>
  <r>
    <n v="738"/>
    <s v="A1738"/>
    <x v="3"/>
    <n v="146"/>
    <x v="652"/>
    <n v="199"/>
    <n v="30"/>
    <n v="8"/>
    <n v="5.4794520547945202E-2"/>
    <x v="131"/>
    <d v="2024-11-02T00:00:00"/>
    <s v="Hyderabad"/>
    <x v="0"/>
    <x v="3"/>
    <s v="November"/>
    <x v="0"/>
    <n v="1.3622602739726"/>
    <n v="2.76"/>
    <n v="6.63"/>
    <n v="24.86"/>
    <n v="105.14"/>
    <n v="51"/>
    <n v="2.0499999999999998"/>
  </r>
  <r>
    <n v="739"/>
    <s v="A1739"/>
    <x v="2"/>
    <n v="175"/>
    <x v="653"/>
    <n v="191"/>
    <n v="30"/>
    <n v="10"/>
    <n v="5.7142857142857099E-2"/>
    <x v="68"/>
    <d v="2024-11-10T00:00:00"/>
    <s v="Hyderabad"/>
    <x v="2"/>
    <x v="2"/>
    <s v="November"/>
    <x v="4"/>
    <n v="1.0908"/>
    <n v="4.58"/>
    <n v="6.36"/>
    <n v="19.09"/>
    <n v="16.3"/>
    <n v="22.2"/>
    <n v="1.1599999999999999"/>
  </r>
  <r>
    <n v="740"/>
    <s v="A1740"/>
    <x v="2"/>
    <n v="122"/>
    <x v="259"/>
    <n v="223"/>
    <n v="12"/>
    <n v="4"/>
    <n v="3.2786885245901599E-2"/>
    <x v="105"/>
    <d v="2024-11-05T00:00:00"/>
    <s v="Hyderabad"/>
    <x v="2"/>
    <x v="0"/>
    <s v="November"/>
    <x v="2"/>
    <n v="1.8291803278688501"/>
    <n v="2.5499999999999998"/>
    <n v="18.600000000000001"/>
    <n v="55.79"/>
    <n v="13.82"/>
    <n v="63.5"/>
    <n v="1.1399999999999999"/>
  </r>
  <r>
    <n v="741"/>
    <s v="A1741"/>
    <x v="2"/>
    <n v="85"/>
    <x v="654"/>
    <n v="226"/>
    <n v="23"/>
    <n v="5"/>
    <n v="5.8823529411764698E-2"/>
    <x v="85"/>
    <d v="2024-11-24T00:00:00"/>
    <s v="Hyderabad"/>
    <x v="2"/>
    <x v="2"/>
    <s v="November"/>
    <x v="4"/>
    <n v="2.6557647058823499"/>
    <n v="2.29"/>
    <n v="9.81"/>
    <n v="45.15"/>
    <n v="68.78"/>
    <n v="76.2"/>
    <n v="1.69"/>
  </r>
  <r>
    <n v="742"/>
    <s v="A1742"/>
    <x v="1"/>
    <n v="167"/>
    <x v="655"/>
    <n v="203"/>
    <n v="30"/>
    <n v="10"/>
    <n v="5.9880239520958001E-2"/>
    <x v="86"/>
    <d v="2024-11-23T00:00:00"/>
    <s v="Hyderabad"/>
    <x v="0"/>
    <x v="3"/>
    <s v="November"/>
    <x v="0"/>
    <n v="1.21407185628742"/>
    <n v="4.5999999999999996"/>
    <n v="6.76"/>
    <n v="20.27"/>
    <n v="51.42"/>
    <n v="30.7"/>
    <n v="1.51"/>
  </r>
  <r>
    <n v="743"/>
    <s v="A1743"/>
    <x v="1"/>
    <n v="158"/>
    <x v="59"/>
    <n v="180"/>
    <n v="24"/>
    <n v="9"/>
    <n v="5.6962025316455597E-2"/>
    <x v="176"/>
    <d v="2024-11-26T00:00:00"/>
    <s v="Hyderabad"/>
    <x v="2"/>
    <x v="3"/>
    <s v="November"/>
    <x v="2"/>
    <n v="1.14240506329113"/>
    <n v="5.22"/>
    <n v="7.52"/>
    <n v="20.059999999999999"/>
    <n v="95.01"/>
    <n v="39.11"/>
    <n v="1.95"/>
  </r>
  <r>
    <n v="744"/>
    <s v="A1744"/>
    <x v="3"/>
    <n v="176"/>
    <x v="656"/>
    <n v="184"/>
    <n v="25"/>
    <n v="4"/>
    <n v="2.27272727272727E-2"/>
    <x v="146"/>
    <d v="2024-11-20T00:00:00"/>
    <s v="Hyderabad"/>
    <x v="0"/>
    <x v="1"/>
    <s v="November"/>
    <x v="1"/>
    <n v="1.0480681818181801"/>
    <n v="3"/>
    <n v="7.38"/>
    <n v="46.12"/>
    <n v="36.07"/>
    <n v="62.75"/>
    <n v="1.36"/>
  </r>
  <r>
    <n v="745"/>
    <s v="A1745"/>
    <x v="1"/>
    <n v="111"/>
    <x v="657"/>
    <n v="209"/>
    <n v="10"/>
    <n v="7"/>
    <n v="6.3063063063063002E-2"/>
    <x v="142"/>
    <d v="2024-11-26T00:00:00"/>
    <s v="Hyderabad"/>
    <x v="2"/>
    <x v="5"/>
    <s v="November"/>
    <x v="2"/>
    <n v="1.8817117117117099"/>
    <n v="3.64"/>
    <n v="20.89"/>
    <n v="29.84"/>
    <n v="73.31"/>
    <n v="51.71"/>
    <n v="1.73"/>
  </r>
  <r>
    <n v="746"/>
    <s v="A1746"/>
    <x v="1"/>
    <n v="186"/>
    <x v="658"/>
    <n v="292"/>
    <n v="14"/>
    <n v="9"/>
    <n v="4.8387096774193498E-2"/>
    <x v="146"/>
    <d v="2024-11-17T00:00:00"/>
    <s v="Hyderabad"/>
    <x v="0"/>
    <x v="0"/>
    <s v="November"/>
    <x v="4"/>
    <n v="1.56753061615001"/>
    <n v="3.51"/>
    <n v="20.83"/>
    <n v="32.4"/>
    <n v="-13.91"/>
    <n v="27.89"/>
    <n v="0.86"/>
  </r>
  <r>
    <n v="747"/>
    <s v="A1747"/>
    <x v="0"/>
    <n v="177"/>
    <x v="659"/>
    <n v="240"/>
    <n v="26"/>
    <n v="4"/>
    <n v="2.2598870056497099E-2"/>
    <x v="80"/>
    <d v="2024-11-20T00:00:00"/>
    <s v="Hyderabad"/>
    <x v="1"/>
    <x v="1"/>
    <s v="November"/>
    <x v="1"/>
    <n v="1.35389830508474"/>
    <n v="5.82"/>
    <n v="9.2200000000000006"/>
    <n v="59.91"/>
    <n v="40.21"/>
    <n v="84"/>
    <n v="1.4"/>
  </r>
  <r>
    <n v="748"/>
    <s v="A1748"/>
    <x v="2"/>
    <n v="150"/>
    <x v="660"/>
    <n v="239"/>
    <n v="13"/>
    <n v="9"/>
    <n v="0.06"/>
    <x v="146"/>
    <d v="2024-11-01T00:00:00"/>
    <s v="Hyderabad"/>
    <x v="0"/>
    <x v="4"/>
    <s v="November"/>
    <x v="3"/>
    <n v="1.5937333333333299"/>
    <n v="2.85"/>
    <n v="18.39"/>
    <n v="26.56"/>
    <n v="4.99"/>
    <n v="27.89"/>
    <n v="1.05"/>
  </r>
  <r>
    <n v="749"/>
    <s v="A1749"/>
    <x v="3"/>
    <n v="160"/>
    <x v="661"/>
    <n v="192"/>
    <n v="22"/>
    <n v="10"/>
    <n v="6.25E-2"/>
    <x v="118"/>
    <d v="2024-11-12T00:00:00"/>
    <s v="Hyderabad"/>
    <x v="1"/>
    <x v="1"/>
    <s v="November"/>
    <x v="2"/>
    <n v="1.1972499999999999"/>
    <n v="3.74"/>
    <n v="8.7100000000000009"/>
    <n v="19.16"/>
    <n v="31.55"/>
    <n v="25.2"/>
    <n v="1.32"/>
  </r>
  <r>
    <n v="750"/>
    <s v="A1750"/>
    <x v="0"/>
    <n v="147"/>
    <x v="509"/>
    <n v="188"/>
    <n v="22"/>
    <n v="4"/>
    <n v="2.7210884353741398E-2"/>
    <x v="119"/>
    <d v="2024-11-25T00:00:00"/>
    <s v="Hyderabad"/>
    <x v="1"/>
    <x v="5"/>
    <s v="November"/>
    <x v="6"/>
    <n v="1.2793877551020401"/>
    <n v="2.6"/>
    <n v="8.5500000000000007"/>
    <n v="47.02"/>
    <n v="95.14"/>
    <n v="91.75"/>
    <n v="1.95"/>
  </r>
  <r>
    <n v="751"/>
    <s v="A1751"/>
    <x v="0"/>
    <n v="198"/>
    <x v="662"/>
    <n v="225"/>
    <n v="21"/>
    <n v="4"/>
    <n v="2.02020202020202E-2"/>
    <x v="113"/>
    <d v="2024-11-05T00:00:00"/>
    <s v="Hyderabad"/>
    <x v="1"/>
    <x v="4"/>
    <s v="November"/>
    <x v="2"/>
    <n v="1.1361616161616099"/>
    <n v="4.1100000000000003"/>
    <n v="10.71"/>
    <n v="56.24"/>
    <n v="45.36"/>
    <n v="81.75"/>
    <n v="1.45"/>
  </r>
  <r>
    <n v="752"/>
    <s v="A1752"/>
    <x v="1"/>
    <n v="145"/>
    <x v="663"/>
    <n v="221"/>
    <n v="10"/>
    <n v="10"/>
    <n v="6.8965517241379296E-2"/>
    <x v="205"/>
    <d v="2024-11-30T00:00:00"/>
    <s v="Hyderabad"/>
    <x v="1"/>
    <x v="3"/>
    <s v="November"/>
    <x v="0"/>
    <n v="1.5243795620437901"/>
    <n v="3.74"/>
    <n v="22.1"/>
    <n v="22.1"/>
    <n v="6.32"/>
    <n v="23.5"/>
    <n v="1.06"/>
  </r>
  <r>
    <n v="753"/>
    <s v="A1753"/>
    <x v="3"/>
    <n v="94"/>
    <x v="664"/>
    <n v="225"/>
    <n v="17"/>
    <n v="3"/>
    <n v="3.1914893617021198E-2"/>
    <x v="39"/>
    <d v="2024-11-19T00:00:00"/>
    <s v="Hyderabad"/>
    <x v="2"/>
    <x v="0"/>
    <s v="November"/>
    <x v="2"/>
    <n v="2.3960638297872299"/>
    <n v="1.8"/>
    <n v="13.25"/>
    <n v="75.08"/>
    <n v="9.67"/>
    <n v="82.33"/>
    <n v="1.1000000000000001"/>
  </r>
  <r>
    <n v="754"/>
    <s v="A1754"/>
    <x v="0"/>
    <n v="90"/>
    <x v="665"/>
    <n v="187"/>
    <n v="17"/>
    <n v="5"/>
    <n v="5.5555555555555497E-2"/>
    <x v="112"/>
    <d v="2024-11-16T00:00:00"/>
    <s v="Hyderabad"/>
    <x v="1"/>
    <x v="5"/>
    <s v="November"/>
    <x v="0"/>
    <n v="2.081"/>
    <n v="1.54"/>
    <n v="11.02"/>
    <n v="37.46"/>
    <n v="50.03"/>
    <n v="56.2"/>
    <n v="1.5"/>
  </r>
  <r>
    <n v="755"/>
    <s v="A1755"/>
    <x v="1"/>
    <n v="182"/>
    <x v="666"/>
    <n v="233"/>
    <n v="26"/>
    <n v="8"/>
    <n v="4.3956043956043897E-2"/>
    <x v="110"/>
    <d v="2024-11-10T00:00:00"/>
    <s v="Hyderabad"/>
    <x v="1"/>
    <x v="3"/>
    <s v="November"/>
    <x v="4"/>
    <n v="1.27824175824175"/>
    <n v="3.6"/>
    <n v="8.9499999999999993"/>
    <n v="29.08"/>
    <n v="59.04"/>
    <n v="46.25"/>
    <n v="1.59"/>
  </r>
  <r>
    <n v="756"/>
    <s v="A1756"/>
    <x v="1"/>
    <n v="133"/>
    <x v="667"/>
    <n v="199"/>
    <n v="16"/>
    <n v="5"/>
    <n v="3.7593984962405999E-2"/>
    <x v="205"/>
    <d v="2024-11-02T00:00:00"/>
    <s v="Hyderabad"/>
    <x v="0"/>
    <x v="3"/>
    <s v="November"/>
    <x v="0"/>
    <n v="1.4986466165413499"/>
    <n v="3.04"/>
    <n v="12.46"/>
    <n v="39.86"/>
    <n v="17.899999999999999"/>
    <n v="47"/>
    <n v="1.18"/>
  </r>
  <r>
    <n v="758"/>
    <s v="A1758"/>
    <x v="2"/>
    <n v="103"/>
    <x v="668"/>
    <n v="232"/>
    <n v="11"/>
    <n v="8"/>
    <n v="7.7669902912621297E-2"/>
    <x v="136"/>
    <d v="2024-11-26T00:00:00"/>
    <s v="Hyderabad"/>
    <x v="2"/>
    <x v="0"/>
    <s v="November"/>
    <x v="2"/>
    <n v="2.2558252427184402"/>
    <n v="2.9"/>
    <n v="21.12"/>
    <n v="29.04"/>
    <n v="45.9"/>
    <n v="42.38"/>
    <n v="1.46"/>
  </r>
  <r>
    <n v="759"/>
    <s v="A1759"/>
    <x v="3"/>
    <n v="148"/>
    <x v="669"/>
    <n v="197"/>
    <n v="27"/>
    <n v="9"/>
    <n v="6.08108108108108E-2"/>
    <x v="152"/>
    <d v="2024-11-12T00:00:00"/>
    <s v="Hyderabad"/>
    <x v="2"/>
    <x v="3"/>
    <s v="November"/>
    <x v="2"/>
    <n v="1.33121621621621"/>
    <n v="4.7300000000000004"/>
    <n v="7.3"/>
    <n v="21.89"/>
    <n v="25.88"/>
    <n v="27.56"/>
    <n v="1.26"/>
  </r>
  <r>
    <n v="760"/>
    <s v="A1760"/>
    <x v="1"/>
    <n v="151"/>
    <x v="670"/>
    <n v="199"/>
    <n v="15"/>
    <n v="10"/>
    <n v="6.6225165562913899E-2"/>
    <x v="195"/>
    <d v="2024-11-05T00:00:00"/>
    <s v="Hyderabad"/>
    <x v="2"/>
    <x v="3"/>
    <s v="November"/>
    <x v="2"/>
    <n v="1.31496688741721"/>
    <n v="2.9"/>
    <n v="13.24"/>
    <n v="19.86"/>
    <n v="76.27"/>
    <n v="35"/>
    <n v="1.76"/>
  </r>
  <r>
    <n v="761"/>
    <s v="A1761"/>
    <x v="2"/>
    <n v="148"/>
    <x v="671"/>
    <n v="210"/>
    <n v="27"/>
    <n v="4"/>
    <n v="2.7027027027027001E-2"/>
    <x v="173"/>
    <d v="2024-11-06T00:00:00"/>
    <s v="Hyderabad"/>
    <x v="1"/>
    <x v="0"/>
    <s v="November"/>
    <x v="1"/>
    <n v="1.42175675675675"/>
    <n v="2.69"/>
    <n v="7.79"/>
    <n v="52.6"/>
    <n v="31.17"/>
    <n v="69"/>
    <n v="1.31"/>
  </r>
  <r>
    <n v="762"/>
    <s v="A1762"/>
    <x v="1"/>
    <n v="103"/>
    <x v="672"/>
    <n v="196"/>
    <n v="24"/>
    <n v="8"/>
    <n v="7.7669902912621297E-2"/>
    <x v="148"/>
    <d v="2024-11-09T00:00:00"/>
    <s v="Hyderabad"/>
    <x v="1"/>
    <x v="5"/>
    <s v="November"/>
    <x v="0"/>
    <n v="1.8990291262135901"/>
    <n v="1.83"/>
    <n v="8.15"/>
    <n v="24.45"/>
    <n v="10.94"/>
    <n v="27.12"/>
    <n v="1.1100000000000001"/>
  </r>
  <r>
    <n v="763"/>
    <s v="A1763"/>
    <x v="2"/>
    <n v="115"/>
    <x v="673"/>
    <n v="184"/>
    <n v="21"/>
    <n v="7"/>
    <n v="6.08695652173913E-2"/>
    <x v="126"/>
    <d v="2024-11-07T00:00:00"/>
    <s v="Hyderabad"/>
    <x v="2"/>
    <x v="1"/>
    <s v="November"/>
    <x v="5"/>
    <n v="1.5960869565217299"/>
    <n v="2.11"/>
    <n v="8.74"/>
    <n v="26.22"/>
    <n v="91.23"/>
    <n v="50.14"/>
    <n v="1.91"/>
  </r>
  <r>
    <n v="764"/>
    <s v="A1764"/>
    <x v="3"/>
    <n v="160"/>
    <x v="674"/>
    <n v="240"/>
    <n v="29"/>
    <n v="4"/>
    <n v="2.5000000000000001E-2"/>
    <x v="206"/>
    <d v="2024-11-24T00:00:00"/>
    <s v="Hyderabad"/>
    <x v="1"/>
    <x v="5"/>
    <s v="November"/>
    <x v="4"/>
    <n v="1.4991874999999999"/>
    <n v="2.7"/>
    <n v="8.27"/>
    <n v="59.97"/>
    <n v="12.14"/>
    <n v="67.25"/>
    <n v="1.1200000000000001"/>
  </r>
  <r>
    <n v="765"/>
    <s v="A1765"/>
    <x v="0"/>
    <n v="166"/>
    <x v="675"/>
    <n v="195"/>
    <n v="14"/>
    <n v="8"/>
    <n v="4.8192771084337303E-2"/>
    <x v="119"/>
    <d v="2024-11-14T00:00:00"/>
    <s v="Hyderabad"/>
    <x v="2"/>
    <x v="3"/>
    <s v="November"/>
    <x v="5"/>
    <n v="1.1734337349397499"/>
    <n v="2.86"/>
    <n v="13.91"/>
    <n v="24.35"/>
    <n v="88.41"/>
    <n v="45.88"/>
    <n v="1.88"/>
  </r>
  <r>
    <n v="766"/>
    <s v="A1766"/>
    <x v="2"/>
    <n v="187"/>
    <x v="676"/>
    <n v="235"/>
    <n v="10"/>
    <n v="7"/>
    <n v="3.7433155080213901E-2"/>
    <x v="45"/>
    <d v="2024-11-29T00:00:00"/>
    <s v="Hyderabad"/>
    <x v="1"/>
    <x v="4"/>
    <s v="November"/>
    <x v="3"/>
    <n v="1.2562032085561401"/>
    <n v="5.7"/>
    <n v="23.49"/>
    <n v="33.56"/>
    <n v="32.39"/>
    <n v="44.43"/>
    <n v="1.32"/>
  </r>
  <r>
    <n v="767"/>
    <s v="A1767"/>
    <x v="0"/>
    <n v="172"/>
    <x v="677"/>
    <n v="243"/>
    <n v="30"/>
    <n v="9"/>
    <n v="5.2325581395348798E-2"/>
    <x v="104"/>
    <d v="2024-11-08T00:00:00"/>
    <s v="Hyderabad"/>
    <x v="1"/>
    <x v="4"/>
    <s v="November"/>
    <x v="3"/>
    <n v="1.41348837209302"/>
    <n v="5.16"/>
    <n v="8.1"/>
    <n v="27.01"/>
    <n v="72.930000000000007"/>
    <n v="46.71"/>
    <n v="1.73"/>
  </r>
  <r>
    <n v="768"/>
    <s v="A1768"/>
    <x v="0"/>
    <n v="172"/>
    <x v="678"/>
    <n v="242"/>
    <n v="24"/>
    <n v="10"/>
    <n v="5.8139534883720902E-2"/>
    <x v="1"/>
    <d v="2024-11-03T00:00:00"/>
    <s v="Hyderabad"/>
    <x v="0"/>
    <x v="0"/>
    <s v="November"/>
    <x v="4"/>
    <n v="1.40587209302325"/>
    <n v="3.1"/>
    <n v="10.08"/>
    <n v="24.18"/>
    <n v="41.85"/>
    <n v="34.299999999999997"/>
    <n v="1.42"/>
  </r>
  <r>
    <n v="769"/>
    <s v="A1769"/>
    <x v="2"/>
    <n v="187"/>
    <x v="205"/>
    <n v="187"/>
    <n v="10"/>
    <n v="8"/>
    <n v="4.2780748663101602E-2"/>
    <x v="91"/>
    <d v="2024-11-23T00:00:00"/>
    <s v="Hyderabad"/>
    <x v="2"/>
    <x v="5"/>
    <s v="November"/>
    <x v="0"/>
    <n v="1.00235294117647"/>
    <n v="3.26"/>
    <n v="18.739999999999998"/>
    <n v="23.43"/>
    <n v="28.57"/>
    <n v="30.12"/>
    <n v="1.29"/>
  </r>
  <r>
    <n v="770"/>
    <s v="A1770"/>
    <x v="3"/>
    <n v="196"/>
    <x v="679"/>
    <n v="249"/>
    <n v="26"/>
    <n v="9"/>
    <n v="4.5918367346938702E-2"/>
    <x v="66"/>
    <d v="2024-11-19T00:00:00"/>
    <s v="Hyderabad"/>
    <x v="1"/>
    <x v="0"/>
    <s v="November"/>
    <x v="2"/>
    <n v="1.27280612244897"/>
    <n v="3.95"/>
    <n v="9.6"/>
    <n v="27.72"/>
    <n v="63.15"/>
    <n v="45.22"/>
    <n v="1.63"/>
  </r>
  <r>
    <n v="771"/>
    <s v="A1771"/>
    <x v="2"/>
    <n v="131"/>
    <x v="680"/>
    <n v="241"/>
    <n v="24"/>
    <n v="7"/>
    <n v="5.3435114503816702E-2"/>
    <x v="113"/>
    <d v="2024-11-09T00:00:00"/>
    <s v="Hyderabad"/>
    <x v="2"/>
    <x v="3"/>
    <s v="November"/>
    <x v="0"/>
    <n v="1.836106870229"/>
    <n v="2.74"/>
    <n v="10.02"/>
    <n v="34.36"/>
    <n v="35.950000000000003"/>
    <n v="46.71"/>
    <n v="1.36"/>
  </r>
  <r>
    <n v="772"/>
    <s v="A1772"/>
    <x v="3"/>
    <n v="103"/>
    <x v="416"/>
    <n v="206"/>
    <n v="22"/>
    <n v="7"/>
    <n v="6.7961165048543604E-2"/>
    <x v="207"/>
    <d v="2024-11-16T00:00:00"/>
    <s v="Hyderabad"/>
    <x v="1"/>
    <x v="5"/>
    <s v="November"/>
    <x v="0"/>
    <n v="1.99902912621359"/>
    <n v="1.96"/>
    <n v="9.36"/>
    <n v="29.41"/>
    <n v="93.78"/>
    <n v="57"/>
    <n v="1.94"/>
  </r>
  <r>
    <n v="773"/>
    <s v="A1773"/>
    <x v="2"/>
    <n v="114"/>
    <x v="331"/>
    <n v="196"/>
    <n v="23"/>
    <n v="6"/>
    <n v="5.2631578947368397E-2"/>
    <x v="58"/>
    <d v="2024-11-30T00:00:00"/>
    <s v="Hyderabad"/>
    <x v="1"/>
    <x v="0"/>
    <s v="November"/>
    <x v="0"/>
    <n v="1.71938596491228"/>
    <n v="3.72"/>
    <n v="8.52"/>
    <n v="32.67"/>
    <n v="40.299999999999997"/>
    <n v="45.83"/>
    <n v="1.4"/>
  </r>
  <r>
    <n v="774"/>
    <s v="A1774"/>
    <x v="1"/>
    <n v="116"/>
    <x v="449"/>
    <n v="199"/>
    <n v="24"/>
    <n v="10"/>
    <n v="8.6206896551724102E-2"/>
    <x v="135"/>
    <d v="2024-11-21T00:00:00"/>
    <s v="Hyderabad"/>
    <x v="1"/>
    <x v="0"/>
    <s v="November"/>
    <x v="5"/>
    <n v="1.71732758620689"/>
    <n v="3.55"/>
    <n v="8.3000000000000007"/>
    <n v="19.920000000000002"/>
    <n v="2.91"/>
    <n v="20.5"/>
    <n v="1.03"/>
  </r>
  <r>
    <n v="775"/>
    <s v="A1775"/>
    <x v="1"/>
    <n v="164"/>
    <x v="681"/>
    <n v="218"/>
    <n v="10"/>
    <n v="9"/>
    <n v="5.4878048780487798E-2"/>
    <x v="130"/>
    <d v="2024-11-12T00:00:00"/>
    <s v="Hyderabad"/>
    <x v="2"/>
    <x v="4"/>
    <s v="November"/>
    <x v="2"/>
    <n v="1.32865853658536"/>
    <n v="3.06"/>
    <n v="21.79"/>
    <n v="24.21"/>
    <n v="34.01"/>
    <n v="32.44"/>
    <n v="1.34"/>
  </r>
  <r>
    <n v="776"/>
    <s v="A1776"/>
    <x v="3"/>
    <n v="160"/>
    <x v="238"/>
    <n v="244"/>
    <n v="15"/>
    <n v="10"/>
    <n v="6.25E-2"/>
    <x v="50"/>
    <d v="2024-11-26T00:00:00"/>
    <s v="Hyderabad"/>
    <x v="1"/>
    <x v="4"/>
    <s v="November"/>
    <x v="2"/>
    <n v="1.5243795620437901"/>
    <n v="2.74"/>
    <n v="16.260000000000002"/>
    <n v="24.39"/>
    <n v="6.19"/>
    <n v="25.9"/>
    <n v="1.06"/>
  </r>
  <r>
    <n v="777"/>
    <s v="A1777"/>
    <x v="1"/>
    <n v="112"/>
    <x v="81"/>
    <n v="222"/>
    <n v="17"/>
    <n v="7"/>
    <n v="6.25E-2"/>
    <x v="78"/>
    <d v="2024-11-25T00:00:00"/>
    <s v="Hyderabad"/>
    <x v="0"/>
    <x v="2"/>
    <s v="November"/>
    <x v="6"/>
    <n v="1.9783035714285699"/>
    <n v="2.33"/>
    <n v="13.03"/>
    <n v="31.65"/>
    <n v="9.2200000000000006"/>
    <n v="34.57"/>
    <n v="1.0900000000000001"/>
  </r>
  <r>
    <n v="778"/>
    <s v="A1778"/>
    <x v="0"/>
    <n v="87"/>
    <x v="682"/>
    <n v="189"/>
    <n v="11"/>
    <n v="5"/>
    <n v="5.7471264367816001E-2"/>
    <x v="142"/>
    <d v="2024-11-22T00:00:00"/>
    <s v="Hyderabad"/>
    <x v="1"/>
    <x v="0"/>
    <s v="November"/>
    <x v="3"/>
    <n v="2.1697701149425201"/>
    <n v="1.58"/>
    <n v="17.16"/>
    <n v="37.75"/>
    <n v="91.77"/>
    <n v="72.400000000000006"/>
    <n v="1.92"/>
  </r>
  <r>
    <n v="779"/>
    <s v="A1779"/>
    <x v="2"/>
    <n v="145"/>
    <x v="56"/>
    <n v="198"/>
    <n v="20"/>
    <n v="10"/>
    <n v="6.8965517241379296E-2"/>
    <x v="208"/>
    <d v="2024-11-14T00:00:00"/>
    <s v="Hyderabad"/>
    <x v="1"/>
    <x v="3"/>
    <s v="November"/>
    <x v="5"/>
    <n v="1.36862068965517"/>
    <n v="3.02"/>
    <n v="9.92"/>
    <n v="19.84"/>
    <n v="99.04"/>
    <n v="39.5"/>
    <n v="1.99"/>
  </r>
  <r>
    <n v="780"/>
    <s v="A1780"/>
    <x v="1"/>
    <n v="139"/>
    <x v="683"/>
    <n v="214"/>
    <n v="15"/>
    <n v="5"/>
    <n v="3.5971223021582698E-2"/>
    <x v="209"/>
    <d v="2024-11-01T00:00:00"/>
    <s v="Hyderabad"/>
    <x v="0"/>
    <x v="2"/>
    <s v="November"/>
    <x v="3"/>
    <n v="1.5430935251798501"/>
    <n v="2.41"/>
    <n v="14.3"/>
    <n v="42.9"/>
    <n v="69.239999999999995"/>
    <n v="72.599999999999994"/>
    <n v="1.69"/>
  </r>
  <r>
    <n v="781"/>
    <s v="A1781"/>
    <x v="2"/>
    <n v="193"/>
    <x v="684"/>
    <n v="188"/>
    <n v="30"/>
    <n v="9"/>
    <n v="4.6632124352331598E-2"/>
    <x v="39"/>
    <d v="2024-11-13T00:00:00"/>
    <s v="Hyderabad"/>
    <x v="2"/>
    <x v="4"/>
    <s v="November"/>
    <x v="1"/>
    <n v="0.97284974093264198"/>
    <n v="5.9"/>
    <n v="6.26"/>
    <n v="20.86"/>
    <n v="31.55"/>
    <n v="27.44"/>
    <n v="1.32"/>
  </r>
  <r>
    <n v="782"/>
    <s v="A1782"/>
    <x v="0"/>
    <n v="151"/>
    <x v="685"/>
    <n v="249"/>
    <n v="21"/>
    <n v="4"/>
    <n v="2.64900662251655E-2"/>
    <x v="126"/>
    <d v="2024-11-19T00:00:00"/>
    <s v="Hyderabad"/>
    <x v="0"/>
    <x v="2"/>
    <s v="November"/>
    <x v="2"/>
    <n v="1.6466887417218501"/>
    <n v="3.43"/>
    <n v="11.84"/>
    <n v="62.16"/>
    <n v="41.16"/>
    <n v="87.75"/>
    <n v="1.41"/>
  </r>
  <r>
    <n v="783"/>
    <s v="A1783"/>
    <x v="3"/>
    <n v="90"/>
    <x v="686"/>
    <n v="216"/>
    <n v="24"/>
    <n v="4"/>
    <n v="4.4444444444444398E-2"/>
    <x v="60"/>
    <d v="2024-11-04T00:00:00"/>
    <s v="Hyderabad"/>
    <x v="1"/>
    <x v="0"/>
    <s v="November"/>
    <x v="6"/>
    <n v="2.4039999999999999"/>
    <n v="2.1"/>
    <n v="9.02"/>
    <n v="54.09"/>
    <n v="66.849999999999994"/>
    <n v="90.25"/>
    <n v="1.67"/>
  </r>
  <r>
    <n v="784"/>
    <s v="A1784"/>
    <x v="0"/>
    <n v="169"/>
    <x v="6"/>
    <n v="261"/>
    <n v="11"/>
    <n v="10"/>
    <n v="5.9171597633136001E-2"/>
    <x v="60"/>
    <d v="2024-11-28T00:00:00"/>
    <s v="Hyderabad"/>
    <x v="2"/>
    <x v="4"/>
    <s v="November"/>
    <x v="5"/>
    <n v="1.5454545454545401"/>
    <n v="3.77"/>
    <n v="23.74"/>
    <n v="26.12"/>
    <n v="38.22"/>
    <n v="36.1"/>
    <n v="1.38"/>
  </r>
  <r>
    <n v="785"/>
    <s v="A1785"/>
    <x v="0"/>
    <n v="197"/>
    <x v="667"/>
    <n v="218"/>
    <n v="18"/>
    <n v="9"/>
    <n v="4.5685279187817202E-2"/>
    <x v="170"/>
    <d v="2024-11-14T00:00:00"/>
    <s v="Hyderabad"/>
    <x v="0"/>
    <x v="0"/>
    <s v="November"/>
    <x v="5"/>
    <n v="1.1081218274111599"/>
    <n v="4.5"/>
    <n v="12.13"/>
    <n v="24.26"/>
    <n v="85.98"/>
    <n v="45.11"/>
    <n v="1.86"/>
  </r>
  <r>
    <n v="786"/>
    <s v="A1786"/>
    <x v="3"/>
    <n v="132"/>
    <x v="687"/>
    <n v="219"/>
    <n v="17"/>
    <n v="3"/>
    <n v="2.27272727272727E-2"/>
    <x v="155"/>
    <d v="2024-11-24T00:00:00"/>
    <s v="Hyderabad"/>
    <x v="0"/>
    <x v="0"/>
    <s v="November"/>
    <x v="4"/>
    <n v="1.6624242424242399"/>
    <n v="3.03"/>
    <n v="12.91"/>
    <n v="73.150000000000006"/>
    <n v="81.37"/>
    <n v="132.66999999999999"/>
    <n v="1.81"/>
  </r>
  <r>
    <n v="787"/>
    <s v="A1787"/>
    <x v="0"/>
    <n v="96"/>
    <x v="171"/>
    <n v="244"/>
    <n v="11"/>
    <n v="6"/>
    <n v="6.25E-2"/>
    <x v="26"/>
    <d v="2024-11-02T00:00:00"/>
    <s v="Hyderabad"/>
    <x v="0"/>
    <x v="2"/>
    <s v="November"/>
    <x v="0"/>
    <n v="2.5365625000000001"/>
    <n v="1.74"/>
    <n v="22.14"/>
    <n v="40.58"/>
    <n v="41.27"/>
    <n v="57.33"/>
    <n v="1.41"/>
  </r>
  <r>
    <n v="788"/>
    <s v="A1788"/>
    <x v="0"/>
    <n v="160"/>
    <x v="21"/>
    <n v="230"/>
    <n v="15"/>
    <n v="6"/>
    <n v="3.7499999999999999E-2"/>
    <x v="129"/>
    <d v="2024-11-16T00:00:00"/>
    <s v="Hyderabad"/>
    <x v="1"/>
    <x v="4"/>
    <s v="November"/>
    <x v="0"/>
    <n v="1.4384999999999999"/>
    <n v="3.85"/>
    <n v="15.34"/>
    <n v="38.36"/>
    <n v="47.72"/>
    <n v="56.67"/>
    <n v="1.48"/>
  </r>
  <r>
    <n v="789"/>
    <s v="A1789"/>
    <x v="1"/>
    <n v="162"/>
    <x v="688"/>
    <n v="241"/>
    <n v="16"/>
    <n v="7"/>
    <n v="4.3209876543209798E-2"/>
    <x v="23"/>
    <d v="2024-11-15T00:00:00"/>
    <s v="Hyderabad"/>
    <x v="2"/>
    <x v="0"/>
    <s v="November"/>
    <x v="3"/>
    <n v="1.4859259259259201"/>
    <n v="3.14"/>
    <n v="15.04"/>
    <n v="34.39"/>
    <n v="40"/>
    <n v="48.14"/>
    <n v="1.4"/>
  </r>
  <r>
    <n v="790"/>
    <s v="A1790"/>
    <x v="1"/>
    <n v="171"/>
    <x v="633"/>
    <n v="234"/>
    <n v="23"/>
    <n v="5"/>
    <n v="2.9239766081871298E-2"/>
    <x v="58"/>
    <d v="2024-11-24T00:00:00"/>
    <s v="Hyderabad"/>
    <x v="2"/>
    <x v="1"/>
    <s v="November"/>
    <x v="4"/>
    <n v="1.3676023391812799"/>
    <n v="3.1"/>
    <n v="10.17"/>
    <n v="46.77"/>
    <n v="17.59"/>
    <n v="55"/>
    <n v="1.18"/>
  </r>
  <r>
    <n v="791"/>
    <s v="A1791"/>
    <x v="3"/>
    <n v="110"/>
    <x v="571"/>
    <n v="204"/>
    <n v="16"/>
    <n v="10"/>
    <n v="9.0909090909090898E-2"/>
    <x v="125"/>
    <d v="2024-11-14T00:00:00"/>
    <s v="Hyderabad"/>
    <x v="1"/>
    <x v="2"/>
    <s v="November"/>
    <x v="5"/>
    <n v="1.8570909090909"/>
    <n v="2.64"/>
    <n v="12.77"/>
    <n v="20.43"/>
    <n v="44.41"/>
    <n v="29.5"/>
    <n v="1.44"/>
  </r>
  <r>
    <n v="792"/>
    <s v="A1792"/>
    <x v="3"/>
    <n v="103"/>
    <x v="689"/>
    <n v="244"/>
    <n v="16"/>
    <n v="3"/>
    <n v="2.9126213592233E-2"/>
    <x v="189"/>
    <d v="2024-11-28T00:00:00"/>
    <s v="Hyderabad"/>
    <x v="0"/>
    <x v="4"/>
    <s v="November"/>
    <x v="5"/>
    <n v="2.3662135922330099"/>
    <n v="1.93"/>
    <n v="15.23"/>
    <n v="81.239999999999995"/>
    <n v="57.56"/>
    <n v="128"/>
    <n v="1.58"/>
  </r>
  <r>
    <n v="793"/>
    <s v="A1793"/>
    <x v="2"/>
    <n v="167"/>
    <x v="690"/>
    <n v="244"/>
    <n v="24"/>
    <n v="8"/>
    <n v="4.7904191616766401E-2"/>
    <x v="188"/>
    <d v="2024-11-05T00:00:00"/>
    <s v="Hyderabad"/>
    <x v="0"/>
    <x v="1"/>
    <s v="November"/>
    <x v="2"/>
    <n v="1.45994011976047"/>
    <n v="4.6100000000000003"/>
    <n v="10.16"/>
    <n v="30.48"/>
    <n v="-16.329999999999998"/>
    <n v="25.5"/>
    <n v="0.84"/>
  </r>
  <r>
    <n v="794"/>
    <s v="A1794"/>
    <x v="0"/>
    <n v="132"/>
    <x v="691"/>
    <n v="239"/>
    <n v="28"/>
    <n v="3"/>
    <n v="2.27272727272727E-2"/>
    <x v="181"/>
    <d v="2024-11-07T00:00:00"/>
    <s v="Hyderabad"/>
    <x v="1"/>
    <x v="5"/>
    <s v="November"/>
    <x v="5"/>
    <n v="1.8109090909090899"/>
    <n v="3.21"/>
    <n v="8.5399999999999991"/>
    <n v="79.680000000000007"/>
    <n v="50.18"/>
    <n v="119.67"/>
    <n v="1.5"/>
  </r>
  <r>
    <n v="795"/>
    <s v="A1795"/>
    <x v="1"/>
    <n v="145"/>
    <x v="504"/>
    <n v="220"/>
    <n v="29"/>
    <n v="3"/>
    <n v="2.0689655172413699E-2"/>
    <x v="205"/>
    <d v="2024-11-20T00:00:00"/>
    <s v="Hyderabad"/>
    <x v="2"/>
    <x v="1"/>
    <s v="November"/>
    <x v="1"/>
    <n v="1.5164827586206799"/>
    <n v="2.69"/>
    <n v="7.58"/>
    <n v="73.3"/>
    <n v="6.87"/>
    <n v="78.33"/>
    <n v="1.07"/>
  </r>
  <r>
    <n v="796"/>
    <s v="A1796"/>
    <x v="2"/>
    <n v="140"/>
    <x v="692"/>
    <n v="183"/>
    <n v="25"/>
    <n v="8"/>
    <n v="5.7142857142857099E-2"/>
    <x v="81"/>
    <d v="2024-11-11T00:00:00"/>
    <s v="Hyderabad"/>
    <x v="0"/>
    <x v="0"/>
    <s v="November"/>
    <x v="6"/>
    <n v="1.30992857142857"/>
    <n v="2.68"/>
    <n v="7.34"/>
    <n v="22.92"/>
    <n v="113.21"/>
    <n v="48.88"/>
    <n v="2.13"/>
  </r>
  <r>
    <n v="797"/>
    <s v="A1797"/>
    <x v="1"/>
    <n v="122"/>
    <x v="693"/>
    <n v="218"/>
    <n v="25"/>
    <n v="10"/>
    <n v="8.1967213114753995E-2"/>
    <x v="119"/>
    <d v="2024-11-26T00:00:00"/>
    <s v="Hyderabad"/>
    <x v="2"/>
    <x v="2"/>
    <s v="November"/>
    <x v="2"/>
    <n v="1.7840983606557299"/>
    <n v="3.03"/>
    <n v="8.7100000000000009"/>
    <n v="21.77"/>
    <n v="68.61"/>
    <n v="36.700000000000003"/>
    <n v="1.69"/>
  </r>
  <r>
    <n v="798"/>
    <s v="A1798"/>
    <x v="2"/>
    <n v="87"/>
    <x v="694"/>
    <n v="181"/>
    <n v="20"/>
    <n v="4"/>
    <n v="4.5977011494252797E-2"/>
    <x v="129"/>
    <d v="2024-11-08T00:00:00"/>
    <s v="Hyderabad"/>
    <x v="2"/>
    <x v="2"/>
    <s v="November"/>
    <x v="3"/>
    <n v="2.07620689655172"/>
    <n v="2.13"/>
    <n v="9.0299999999999994"/>
    <n v="45.16"/>
    <n v="88.23"/>
    <n v="85"/>
    <n v="1.88"/>
  </r>
  <r>
    <n v="799"/>
    <s v="A1799"/>
    <x v="0"/>
    <n v="141"/>
    <x v="265"/>
    <n v="200"/>
    <n v="15"/>
    <n v="5"/>
    <n v="3.54609929078014E-2"/>
    <x v="120"/>
    <d v="2024-11-27T00:00:00"/>
    <s v="Hyderabad"/>
    <x v="1"/>
    <x v="3"/>
    <s v="November"/>
    <x v="1"/>
    <n v="1.41716312056737"/>
    <n v="3.33"/>
    <n v="13.32"/>
    <n v="39.96"/>
    <n v="67.150000000000006"/>
    <n v="66.8"/>
    <n v="1.67"/>
  </r>
  <r>
    <n v="800"/>
    <s v="A1800"/>
    <x v="0"/>
    <n v="157"/>
    <x v="695"/>
    <n v="249"/>
    <n v="23"/>
    <n v="8"/>
    <n v="5.0955414012738801E-2"/>
    <x v="198"/>
    <d v="2024-11-30T00:00:00"/>
    <s v="Hyderabad"/>
    <x v="2"/>
    <x v="3"/>
    <s v="November"/>
    <x v="0"/>
    <n v="1.58535031847133"/>
    <n v="4.66"/>
    <n v="10.82"/>
    <n v="31.11"/>
    <n v="20.53"/>
    <n v="37.5"/>
    <n v="1.21"/>
  </r>
  <r>
    <n v="801"/>
    <s v="A1801"/>
    <x v="2"/>
    <n v="95"/>
    <x v="284"/>
    <n v="209"/>
    <n v="16"/>
    <n v="6"/>
    <n v="6.3157894736842093E-2"/>
    <x v="168"/>
    <d v="2024-11-05T00:00:00"/>
    <s v="Hyderabad"/>
    <x v="1"/>
    <x v="1"/>
    <s v="November"/>
    <x v="2"/>
    <n v="2.1950526315789398"/>
    <n v="1.66"/>
    <n v="13.03"/>
    <n v="34.76"/>
    <n v="82.23"/>
    <n v="63.33"/>
    <n v="1.82"/>
  </r>
  <r>
    <n v="802"/>
    <s v="A1802"/>
    <x v="3"/>
    <n v="160"/>
    <x v="696"/>
    <n v="210"/>
    <n v="20"/>
    <n v="7"/>
    <n v="4.3749999999999997E-2"/>
    <x v="163"/>
    <d v="2024-11-21T00:00:00"/>
    <s v="Hyderabad"/>
    <x v="0"/>
    <x v="1"/>
    <s v="November"/>
    <x v="5"/>
    <n v="1.3138125"/>
    <n v="3.1"/>
    <n v="10.51"/>
    <n v="30.03"/>
    <n v="79.819999999999993"/>
    <n v="54"/>
    <n v="1.8"/>
  </r>
  <r>
    <n v="803"/>
    <s v="A1803"/>
    <x v="1"/>
    <n v="133"/>
    <x v="80"/>
    <n v="217"/>
    <n v="16"/>
    <n v="6"/>
    <n v="4.5112781954887202E-2"/>
    <x v="75"/>
    <d v="2024-11-14T00:00:00"/>
    <s v="Hyderabad"/>
    <x v="1"/>
    <x v="2"/>
    <s v="November"/>
    <x v="5"/>
    <n v="1.6341353383458599"/>
    <n v="2.4500000000000002"/>
    <n v="13.58"/>
    <n v="36.22"/>
    <n v="12.73"/>
    <n v="40.83"/>
    <n v="1.1299999999999999"/>
  </r>
  <r>
    <n v="804"/>
    <s v="A1804"/>
    <x v="2"/>
    <n v="154"/>
    <x v="697"/>
    <n v="216"/>
    <n v="21"/>
    <n v="7"/>
    <n v="4.54545454545454E-2"/>
    <x v="40"/>
    <d v="2024-11-02T00:00:00"/>
    <s v="Hyderabad"/>
    <x v="1"/>
    <x v="5"/>
    <s v="November"/>
    <x v="0"/>
    <n v="1.4000649350649299"/>
    <n v="4.46"/>
    <n v="10.27"/>
    <n v="30.8"/>
    <n v="54.45"/>
    <n v="47.57"/>
    <n v="1.54"/>
  </r>
  <r>
    <n v="805"/>
    <s v="A1805"/>
    <x v="2"/>
    <n v="188"/>
    <x v="698"/>
    <n v="220"/>
    <n v="13"/>
    <n v="4"/>
    <n v="2.1276595744680799E-2"/>
    <x v="59"/>
    <d v="2024-11-29T00:00:00"/>
    <s v="Hyderabad"/>
    <x v="2"/>
    <x v="2"/>
    <s v="November"/>
    <x v="3"/>
    <n v="1.17079787234042"/>
    <n v="3.03"/>
    <n v="16.93"/>
    <n v="55.03"/>
    <n v="17.21"/>
    <n v="64.5"/>
    <n v="1.17"/>
  </r>
  <r>
    <n v="806"/>
    <s v="A1806"/>
    <x v="1"/>
    <n v="186"/>
    <x v="699"/>
    <n v="234"/>
    <n v="15"/>
    <n v="4"/>
    <n v="2.1505376344085999E-2"/>
    <x v="57"/>
    <d v="2024-11-04T00:00:00"/>
    <s v="Hyderabad"/>
    <x v="2"/>
    <x v="4"/>
    <s v="November"/>
    <x v="6"/>
    <n v="1.2558064516128999"/>
    <n v="3.67"/>
    <n v="15.57"/>
    <n v="58.4"/>
    <n v="71.680000000000007"/>
    <n v="100.25"/>
    <n v="1.72"/>
  </r>
  <r>
    <n v="807"/>
    <s v="A1807"/>
    <x v="2"/>
    <n v="101"/>
    <x v="700"/>
    <n v="249"/>
    <n v="25"/>
    <n v="9"/>
    <n v="8.9108910891089105E-2"/>
    <x v="150"/>
    <d v="2024-11-01T00:00:00"/>
    <s v="Hyderabad"/>
    <x v="1"/>
    <x v="0"/>
    <s v="November"/>
    <x v="3"/>
    <n v="2.4686138613861299"/>
    <n v="1.75"/>
    <n v="9.9700000000000006"/>
    <n v="27.7"/>
    <n v="-7.75"/>
    <n v="25.56"/>
    <n v="0.92"/>
  </r>
  <r>
    <n v="808"/>
    <s v="A1808"/>
    <x v="0"/>
    <n v="150"/>
    <x v="701"/>
    <n v="228"/>
    <n v="14"/>
    <n v="4"/>
    <n v="2.6666666666666599E-2"/>
    <x v="70"/>
    <d v="2024-11-18T00:00:00"/>
    <s v="Hyderabad"/>
    <x v="1"/>
    <x v="1"/>
    <s v="November"/>
    <x v="6"/>
    <n v="1.5169999999999999"/>
    <n v="4.51"/>
    <n v="16.25"/>
    <n v="56.89"/>
    <n v="73.150000000000006"/>
    <n v="98.5"/>
    <n v="1.73"/>
  </r>
  <r>
    <n v="809"/>
    <s v="A1809"/>
    <x v="1"/>
    <n v="127"/>
    <x v="702"/>
    <n v="229"/>
    <n v="26"/>
    <n v="8"/>
    <n v="6.2992125984251898E-2"/>
    <x v="68"/>
    <d v="2024-11-21T00:00:00"/>
    <s v="Hyderabad"/>
    <x v="2"/>
    <x v="0"/>
    <s v="November"/>
    <x v="5"/>
    <n v="1.80362204724409"/>
    <n v="2.34"/>
    <n v="8.81"/>
    <n v="28.63"/>
    <n v="-3.08"/>
    <n v="27.75"/>
    <n v="0.97"/>
  </r>
  <r>
    <n v="810"/>
    <s v="A1810"/>
    <x v="2"/>
    <n v="117"/>
    <x v="673"/>
    <n v="214"/>
    <n v="10"/>
    <n v="5"/>
    <n v="4.2735042735042701E-2"/>
    <x v="20"/>
    <d v="2024-11-19T00:00:00"/>
    <s v="Hyderabad"/>
    <x v="0"/>
    <x v="1"/>
    <s v="November"/>
    <x v="2"/>
    <n v="1.8282051282051199"/>
    <n v="2.15"/>
    <n v="21.39"/>
    <n v="42.78"/>
    <n v="72.040000000000006"/>
    <n v="73.599999999999994"/>
    <n v="1.72"/>
  </r>
  <r>
    <n v="811"/>
    <s v="A1811"/>
    <x v="1"/>
    <n v="152"/>
    <x v="703"/>
    <n v="230"/>
    <n v="15"/>
    <n v="5"/>
    <n v="3.2894736842105199E-2"/>
    <x v="209"/>
    <d v="2024-11-26T00:00:00"/>
    <s v="Hyderabad"/>
    <x v="0"/>
    <x v="0"/>
    <s v="November"/>
    <x v="2"/>
    <n v="1.5162500000000001"/>
    <n v="2.94"/>
    <n v="15.36"/>
    <n v="46.09"/>
    <n v="57.5"/>
    <n v="72.599999999999994"/>
    <n v="1.58"/>
  </r>
  <r>
    <n v="812"/>
    <s v="A1812"/>
    <x v="0"/>
    <n v="87"/>
    <x v="704"/>
    <n v="221"/>
    <n v="27"/>
    <n v="7"/>
    <n v="8.04597701149425E-2"/>
    <x v="144"/>
    <d v="2024-11-03T00:00:00"/>
    <s v="Hyderabad"/>
    <x v="0"/>
    <x v="2"/>
    <s v="November"/>
    <x v="4"/>
    <n v="2.5374712643678099"/>
    <n v="2.39"/>
    <n v="8.18"/>
    <n v="31.54"/>
    <n v="28.65"/>
    <n v="40.57"/>
    <n v="1.29"/>
  </r>
  <r>
    <n v="813"/>
    <s v="A1813"/>
    <x v="1"/>
    <n v="181"/>
    <x v="705"/>
    <n v="180"/>
    <n v="17"/>
    <n v="7"/>
    <n v="3.86740331491712E-2"/>
    <x v="0"/>
    <d v="2024-11-28T00:00:00"/>
    <s v="Hyderabad"/>
    <x v="0"/>
    <x v="1"/>
    <s v="November"/>
    <x v="5"/>
    <n v="0.99513812154696102"/>
    <n v="4.6900000000000004"/>
    <n v="10.6"/>
    <n v="25.73"/>
    <n v="114.3"/>
    <n v="55.14"/>
    <n v="2.14"/>
  </r>
  <r>
    <n v="814"/>
    <s v="A1814"/>
    <x v="3"/>
    <n v="147"/>
    <x v="706"/>
    <n v="192"/>
    <n v="17"/>
    <n v="4"/>
    <n v="2.7210884353741398E-2"/>
    <x v="159"/>
    <d v="2024-11-24T00:00:00"/>
    <s v="Hyderabad"/>
    <x v="0"/>
    <x v="4"/>
    <s v="November"/>
    <x v="4"/>
    <n v="1.3038775510203999"/>
    <n v="4.0199999999999996"/>
    <n v="11.27"/>
    <n v="47.92"/>
    <n v="-2.5099999999999998"/>
    <n v="46.71"/>
    <n v="0.97"/>
  </r>
  <r>
    <n v="815"/>
    <s v="A1815"/>
    <x v="2"/>
    <n v="173"/>
    <x v="437"/>
    <n v="232"/>
    <n v="17"/>
    <n v="5"/>
    <n v="2.8901734104046201E-2"/>
    <x v="107"/>
    <d v="2024-11-26T00:00:00"/>
    <s v="Hyderabad"/>
    <x v="0"/>
    <x v="5"/>
    <s v="November"/>
    <x v="2"/>
    <n v="1.34323699421965"/>
    <n v="3.17"/>
    <n v="13.67"/>
    <n v="46.48"/>
    <n v="37.71"/>
    <n v="64"/>
    <n v="1.38"/>
  </r>
  <r>
    <n v="816"/>
    <s v="A1816"/>
    <x v="3"/>
    <n v="123"/>
    <x v="707"/>
    <n v="212"/>
    <n v="21"/>
    <n v="4"/>
    <n v="3.2520325203252001E-2"/>
    <x v="3"/>
    <d v="2024-11-24T00:00:00"/>
    <s v="Hyderabad"/>
    <x v="2"/>
    <x v="0"/>
    <s v="November"/>
    <x v="4"/>
    <n v="1.72260162601626"/>
    <n v="3.56"/>
    <n v="10.09"/>
    <n v="52.97"/>
    <n v="17.989999999999998"/>
    <n v="62.5"/>
    <n v="1.18"/>
  </r>
  <r>
    <n v="817"/>
    <s v="A1817"/>
    <x v="3"/>
    <n v="162"/>
    <x v="708"/>
    <n v="237"/>
    <n v="13"/>
    <n v="5"/>
    <n v="3.0864197530864099E-2"/>
    <x v="148"/>
    <d v="2024-11-10T00:00:00"/>
    <s v="Hyderabad"/>
    <x v="0"/>
    <x v="3"/>
    <s v="November"/>
    <x v="4"/>
    <n v="1.46444444444444"/>
    <n v="4.1500000000000004"/>
    <n v="18.25"/>
    <n v="47.45"/>
    <n v="-8.5299999999999994"/>
    <n v="43.4"/>
    <n v="0.91"/>
  </r>
  <r>
    <n v="818"/>
    <s v="A1818"/>
    <x v="2"/>
    <n v="135"/>
    <x v="709"/>
    <n v="183"/>
    <n v="12"/>
    <n v="6"/>
    <n v="4.4444444444444398E-2"/>
    <x v="178"/>
    <d v="2024-11-30T00:00:00"/>
    <s v="Hyderabad"/>
    <x v="0"/>
    <x v="4"/>
    <s v="November"/>
    <x v="0"/>
    <n v="1.35511111111111"/>
    <n v="2.91"/>
    <n v="15.24"/>
    <n v="30.49"/>
    <n v="114.82"/>
    <n v="65.5"/>
    <n v="2.15"/>
  </r>
  <r>
    <n v="819"/>
    <s v="A1819"/>
    <x v="0"/>
    <n v="169"/>
    <x v="710"/>
    <n v="232"/>
    <n v="29"/>
    <n v="3"/>
    <n v="1.7751479289940801E-2"/>
    <x v="170"/>
    <d v="2024-11-24T00:00:00"/>
    <s v="Hyderabad"/>
    <x v="1"/>
    <x v="3"/>
    <s v="November"/>
    <x v="4"/>
    <n v="1.37485207100591"/>
    <n v="5.09"/>
    <n v="8.01"/>
    <n v="77.45"/>
    <n v="74.739999999999995"/>
    <n v="135.33000000000001"/>
    <n v="1.75"/>
  </r>
  <r>
    <n v="820"/>
    <s v="A1820"/>
    <x v="2"/>
    <n v="120"/>
    <x v="711"/>
    <n v="221"/>
    <n v="11"/>
    <n v="4"/>
    <n v="3.3333333333333298E-2"/>
    <x v="0"/>
    <d v="2024-11-17T00:00:00"/>
    <s v="Hyderabad"/>
    <x v="1"/>
    <x v="0"/>
    <s v="November"/>
    <x v="4"/>
    <n v="1.8389166666666601"/>
    <n v="3.71"/>
    <n v="20.059999999999999"/>
    <n v="55.17"/>
    <n v="74.92"/>
    <n v="96.5"/>
    <n v="1.75"/>
  </r>
  <r>
    <n v="821"/>
    <s v="A1821"/>
    <x v="2"/>
    <n v="146"/>
    <x v="214"/>
    <n v="235"/>
    <n v="30"/>
    <n v="5"/>
    <n v="3.4246575342465703E-2"/>
    <x v="8"/>
    <d v="2024-11-25T00:00:00"/>
    <s v="Hyderabad"/>
    <x v="1"/>
    <x v="3"/>
    <s v="November"/>
    <x v="6"/>
    <n v="1.60773972602739"/>
    <n v="3.03"/>
    <n v="7.82"/>
    <n v="46.95"/>
    <n v="18.43"/>
    <n v="55.6"/>
    <n v="1.18"/>
  </r>
  <r>
    <n v="822"/>
    <s v="A1822"/>
    <x v="1"/>
    <n v="167"/>
    <x v="712"/>
    <n v="189"/>
    <n v="25"/>
    <n v="4"/>
    <n v="2.39520958083832E-2"/>
    <x v="140"/>
    <d v="2024-11-06T00:00:00"/>
    <s v="Hyderabad"/>
    <x v="0"/>
    <x v="0"/>
    <s v="November"/>
    <x v="1"/>
    <n v="1.13389221556886"/>
    <n v="3.79"/>
    <n v="7.57"/>
    <n v="47.34"/>
    <n v="69.52"/>
    <n v="80.25"/>
    <n v="1.7"/>
  </r>
  <r>
    <n v="823"/>
    <s v="A1823"/>
    <x v="0"/>
    <n v="101"/>
    <x v="713"/>
    <n v="185"/>
    <n v="22"/>
    <n v="5"/>
    <n v="4.95049504950495E-2"/>
    <x v="20"/>
    <d v="2024-11-13T00:00:00"/>
    <s v="Hyderabad"/>
    <x v="1"/>
    <x v="0"/>
    <s v="November"/>
    <x v="1"/>
    <n v="1.83"/>
    <n v="2.86"/>
    <n v="8.4"/>
    <n v="36.97"/>
    <n v="99.1"/>
    <n v="73.599999999999994"/>
    <n v="1.99"/>
  </r>
  <r>
    <n v="824"/>
    <s v="A1824"/>
    <x v="2"/>
    <n v="129"/>
    <x v="714"/>
    <n v="239"/>
    <n v="19"/>
    <n v="3"/>
    <n v="2.3255813953488299E-2"/>
    <x v="152"/>
    <d v="2024-11-04T00:00:00"/>
    <s v="Hyderabad"/>
    <x v="1"/>
    <x v="2"/>
    <s v="November"/>
    <x v="6"/>
    <n v="1.85434108527131"/>
    <n v="2.76"/>
    <n v="12.59"/>
    <n v="79.739999999999995"/>
    <n v="3.67"/>
    <n v="82.67"/>
    <n v="1.04"/>
  </r>
  <r>
    <n v="825"/>
    <s v="A1825"/>
    <x v="0"/>
    <n v="153"/>
    <x v="715"/>
    <n v="234"/>
    <n v="13"/>
    <n v="8"/>
    <n v="5.22875816993464E-2"/>
    <x v="140"/>
    <d v="2024-11-01T00:00:00"/>
    <s v="Hyderabad"/>
    <x v="1"/>
    <x v="3"/>
    <s v="November"/>
    <x v="3"/>
    <n v="1.5280392156862701"/>
    <n v="2.84"/>
    <n v="17.98"/>
    <n v="29.22"/>
    <n v="37.299999999999997"/>
    <n v="40.119999999999997"/>
    <n v="1.37"/>
  </r>
  <r>
    <n v="826"/>
    <s v="A1826"/>
    <x v="2"/>
    <n v="121"/>
    <x v="716"/>
    <n v="249"/>
    <n v="16"/>
    <n v="4"/>
    <n v="3.3057851239669402E-2"/>
    <x v="190"/>
    <d v="2024-11-15T00:00:00"/>
    <s v="Hyderabad"/>
    <x v="1"/>
    <x v="3"/>
    <s v="November"/>
    <x v="3"/>
    <n v="2.0549586776859501"/>
    <n v="3.04"/>
    <n v="15.54"/>
    <n v="62.16"/>
    <n v="-4.6900000000000004"/>
    <n v="59.25"/>
    <n v="0.95"/>
  </r>
  <r>
    <n v="827"/>
    <s v="A1827"/>
    <x v="3"/>
    <n v="108"/>
    <x v="636"/>
    <n v="210"/>
    <n v="11"/>
    <n v="8"/>
    <n v="7.4074074074074001E-2"/>
    <x v="180"/>
    <d v="2024-11-08T00:00:00"/>
    <s v="Hyderabad"/>
    <x v="1"/>
    <x v="5"/>
    <s v="November"/>
    <x v="3"/>
    <n v="1.9427777777777699"/>
    <n v="1.95"/>
    <n v="19.07"/>
    <n v="26.23"/>
    <n v="44.89"/>
    <n v="38"/>
    <n v="1.45"/>
  </r>
  <r>
    <n v="828"/>
    <s v="A1828"/>
    <x v="1"/>
    <n v="85"/>
    <x v="717"/>
    <n v="212"/>
    <n v="15"/>
    <n v="10"/>
    <n v="0.11764705882352899"/>
    <x v="194"/>
    <d v="2024-11-19T00:00:00"/>
    <s v="Hyderabad"/>
    <x v="1"/>
    <x v="0"/>
    <s v="November"/>
    <x v="2"/>
    <n v="2.48964705882352"/>
    <n v="1.78"/>
    <n v="14.11"/>
    <n v="21.16"/>
    <n v="61.14"/>
    <n v="34.1"/>
    <n v="1.61"/>
  </r>
  <r>
    <n v="829"/>
    <s v="A1829"/>
    <x v="0"/>
    <n v="109"/>
    <x v="718"/>
    <n v="243"/>
    <n v="18"/>
    <n v="9"/>
    <n v="8.2568807339449504E-2"/>
    <x v="210"/>
    <d v="2024-11-11T00:00:00"/>
    <s v="Hyderabad"/>
    <x v="0"/>
    <x v="3"/>
    <s v="November"/>
    <x v="6"/>
    <n v="2.2251376146788902"/>
    <n v="2.21"/>
    <n v="13.47"/>
    <n v="26.95"/>
    <n v="7.61"/>
    <n v="29"/>
    <n v="1.08"/>
  </r>
  <r>
    <n v="830"/>
    <s v="A1830"/>
    <x v="3"/>
    <n v="119"/>
    <x v="719"/>
    <n v="216"/>
    <n v="16"/>
    <n v="4"/>
    <n v="3.3613445378151197E-2"/>
    <x v="159"/>
    <d v="2024-11-22T00:00:00"/>
    <s v="Hyderabad"/>
    <x v="2"/>
    <x v="0"/>
    <s v="November"/>
    <x v="3"/>
    <n v="1.8175630252100801"/>
    <n v="2.72"/>
    <n v="13.52"/>
    <n v="54.07"/>
    <n v="-13.61"/>
    <n v="46.71"/>
    <n v="0.86"/>
  </r>
  <r>
    <n v="831"/>
    <s v="A1831"/>
    <x v="3"/>
    <n v="143"/>
    <x v="720"/>
    <n v="186"/>
    <n v="15"/>
    <n v="8"/>
    <n v="5.5944055944055902E-2"/>
    <x v="31"/>
    <d v="2024-11-25T00:00:00"/>
    <s v="Hyderabad"/>
    <x v="0"/>
    <x v="5"/>
    <s v="November"/>
    <x v="6"/>
    <n v="1.3002797202797201"/>
    <n v="2.59"/>
    <n v="12.4"/>
    <n v="23.24"/>
    <n v="87.69"/>
    <n v="43.62"/>
    <n v="1.88"/>
  </r>
  <r>
    <n v="832"/>
    <s v="A1832"/>
    <x v="3"/>
    <n v="161"/>
    <x v="721"/>
    <n v="184"/>
    <n v="13"/>
    <n v="8"/>
    <n v="4.9689440993788803E-2"/>
    <x v="36"/>
    <d v="2024-11-30T00:00:00"/>
    <s v="Hyderabad"/>
    <x v="2"/>
    <x v="0"/>
    <s v="November"/>
    <x v="0"/>
    <n v="1.14465838509316"/>
    <n v="3.04"/>
    <n v="14.18"/>
    <n v="23.04"/>
    <n v="88.83"/>
    <n v="43.5"/>
    <n v="1.89"/>
  </r>
  <r>
    <n v="833"/>
    <s v="A1833"/>
    <x v="0"/>
    <n v="146"/>
    <x v="722"/>
    <n v="197"/>
    <n v="20"/>
    <n v="3"/>
    <n v="2.0547945205479399E-2"/>
    <x v="181"/>
    <d v="2024-11-30T00:00:00"/>
    <s v="Hyderabad"/>
    <x v="2"/>
    <x v="4"/>
    <s v="November"/>
    <x v="0"/>
    <n v="1.34849315068493"/>
    <n v="3.3"/>
    <n v="9.84"/>
    <n v="65.63"/>
    <n v="82.34"/>
    <n v="119.67"/>
    <n v="1.82"/>
  </r>
  <r>
    <n v="834"/>
    <s v="A1834"/>
    <x v="2"/>
    <n v="82"/>
    <x v="375"/>
    <n v="236"/>
    <n v="14"/>
    <n v="8"/>
    <n v="9.7560975609756101E-2"/>
    <x v="107"/>
    <d v="2024-11-06T00:00:00"/>
    <s v="Hyderabad"/>
    <x v="1"/>
    <x v="0"/>
    <s v="November"/>
    <x v="1"/>
    <n v="2.8721951219512198"/>
    <n v="1.37"/>
    <n v="16.82"/>
    <n v="29.44"/>
    <n v="35.869999999999997"/>
    <n v="40"/>
    <n v="1.36"/>
  </r>
  <r>
    <n v="835"/>
    <s v="A1835"/>
    <x v="2"/>
    <n v="88"/>
    <x v="723"/>
    <n v="244"/>
    <n v="12"/>
    <n v="8"/>
    <n v="9.0909090909090898E-2"/>
    <x v="2"/>
    <d v="2024-11-27T00:00:00"/>
    <s v="Hyderabad"/>
    <x v="1"/>
    <x v="4"/>
    <s v="November"/>
    <x v="1"/>
    <n v="2.7767045454545398"/>
    <n v="2.36"/>
    <n v="20.36"/>
    <n v="30.54"/>
    <n v="35.46"/>
    <n v="41.38"/>
    <n v="1.35"/>
  </r>
  <r>
    <n v="836"/>
    <s v="A1836"/>
    <x v="2"/>
    <n v="127"/>
    <x v="712"/>
    <n v="244"/>
    <n v="15"/>
    <n v="7"/>
    <n v="5.5118110236220402E-2"/>
    <x v="34"/>
    <d v="2024-11-22T00:00:00"/>
    <s v="Hyderabad"/>
    <x v="2"/>
    <x v="1"/>
    <s v="November"/>
    <x v="3"/>
    <n v="1.9236220472440899"/>
    <n v="2.88"/>
    <n v="16.29"/>
    <n v="34.9"/>
    <n v="53.09"/>
    <n v="53.43"/>
    <n v="1.53"/>
  </r>
  <r>
    <n v="837"/>
    <s v="A1837"/>
    <x v="3"/>
    <n v="179"/>
    <x v="129"/>
    <n v="190"/>
    <n v="15"/>
    <n v="6"/>
    <n v="3.3519553072625698E-2"/>
    <x v="0"/>
    <d v="2024-11-28T00:00:00"/>
    <s v="Hyderabad"/>
    <x v="2"/>
    <x v="1"/>
    <s v="November"/>
    <x v="5"/>
    <n v="1.0591620111731801"/>
    <n v="3.5"/>
    <n v="12.64"/>
    <n v="31.6"/>
    <n v="103.6"/>
    <n v="64.33"/>
    <n v="2.04"/>
  </r>
  <r>
    <n v="838"/>
    <s v="A1838"/>
    <x v="1"/>
    <n v="199"/>
    <x v="498"/>
    <n v="240"/>
    <n v="21"/>
    <n v="9"/>
    <n v="4.5226130653266298E-2"/>
    <x v="53"/>
    <d v="2024-11-13T00:00:00"/>
    <s v="Hyderabad"/>
    <x v="0"/>
    <x v="2"/>
    <s v="November"/>
    <x v="1"/>
    <n v="1.20628140703517"/>
    <n v="4.5199999999999996"/>
    <n v="11.43"/>
    <n v="26.67"/>
    <n v="-10.44"/>
    <n v="23.89"/>
    <n v="0.9"/>
  </r>
  <r>
    <n v="839"/>
    <s v="A1839"/>
    <x v="0"/>
    <n v="191"/>
    <x v="724"/>
    <n v="211"/>
    <n v="10"/>
    <n v="7"/>
    <n v="3.6649214659685798E-2"/>
    <x v="113"/>
    <d v="2024-11-22T00:00:00"/>
    <s v="Hyderabad"/>
    <x v="2"/>
    <x v="0"/>
    <s v="November"/>
    <x v="3"/>
    <n v="1.10523560209424"/>
    <n v="5.99"/>
    <n v="21.11"/>
    <n v="30.16"/>
    <n v="54.9"/>
    <n v="46.71"/>
    <n v="1.55"/>
  </r>
  <r>
    <n v="840"/>
    <s v="A1840"/>
    <x v="2"/>
    <n v="99"/>
    <x v="725"/>
    <n v="245"/>
    <n v="25"/>
    <n v="8"/>
    <n v="8.0808080808080801E-2"/>
    <x v="118"/>
    <d v="2024-11-19T00:00:00"/>
    <s v="Hyderabad"/>
    <x v="2"/>
    <x v="1"/>
    <s v="November"/>
    <x v="2"/>
    <n v="2.4760606060605999"/>
    <n v="2.0299999999999998"/>
    <n v="9.81"/>
    <n v="30.64"/>
    <n v="2.8"/>
    <n v="31.5"/>
    <n v="1.03"/>
  </r>
  <r>
    <n v="841"/>
    <s v="A1841"/>
    <x v="1"/>
    <n v="122"/>
    <x v="359"/>
    <n v="224"/>
    <n v="23"/>
    <n v="10"/>
    <n v="8.1967213114753995E-2"/>
    <x v="71"/>
    <d v="2024-11-14T00:00:00"/>
    <s v="Hyderabad"/>
    <x v="1"/>
    <x v="0"/>
    <s v="November"/>
    <x v="5"/>
    <n v="1.83934426229508"/>
    <n v="2.11"/>
    <n v="9.76"/>
    <n v="22.44"/>
    <n v="20.77"/>
    <n v="27.1"/>
    <n v="1.21"/>
  </r>
  <r>
    <n v="842"/>
    <s v="A1842"/>
    <x v="3"/>
    <n v="178"/>
    <x v="726"/>
    <n v="207"/>
    <n v="17"/>
    <n v="8"/>
    <n v="4.49438202247191E-2"/>
    <x v="15"/>
    <d v="2024-11-15T00:00:00"/>
    <s v="Hyderabad"/>
    <x v="1"/>
    <x v="5"/>
    <s v="November"/>
    <x v="3"/>
    <n v="1.16421348314606"/>
    <n v="4.34"/>
    <n v="12.19"/>
    <n v="25.9"/>
    <n v="58.76"/>
    <n v="41.12"/>
    <n v="1.59"/>
  </r>
  <r>
    <n v="843"/>
    <s v="A1843"/>
    <x v="2"/>
    <n v="157"/>
    <x v="727"/>
    <n v="241"/>
    <n v="17"/>
    <n v="9"/>
    <n v="5.7324840764331197E-2"/>
    <x v="111"/>
    <d v="2024-11-27T00:00:00"/>
    <s v="Hyderabad"/>
    <x v="0"/>
    <x v="0"/>
    <s v="November"/>
    <x v="1"/>
    <n v="1.53229299363057"/>
    <n v="3.56"/>
    <n v="14.15"/>
    <n v="26.73"/>
    <n v="25.95"/>
    <n v="33.67"/>
    <n v="1.26"/>
  </r>
  <r>
    <n v="844"/>
    <s v="A1844"/>
    <x v="2"/>
    <n v="199"/>
    <x v="125"/>
    <n v="217"/>
    <n v="25"/>
    <n v="9"/>
    <n v="4.5226130653266298E-2"/>
    <x v="104"/>
    <d v="2024-11-01T00:00:00"/>
    <s v="Hyderabad"/>
    <x v="0"/>
    <x v="4"/>
    <s v="November"/>
    <x v="3"/>
    <n v="1.08894472361809"/>
    <n v="3.74"/>
    <n v="8.67"/>
    <n v="24.08"/>
    <n v="94.01"/>
    <n v="46.71"/>
    <n v="1.94"/>
  </r>
  <r>
    <n v="845"/>
    <s v="A1845"/>
    <x v="1"/>
    <n v="192"/>
    <x v="728"/>
    <n v="208"/>
    <n v="17"/>
    <n v="3"/>
    <n v="1.5625E-2"/>
    <x v="98"/>
    <d v="2024-11-18T00:00:00"/>
    <s v="Hyderabad"/>
    <x v="1"/>
    <x v="3"/>
    <s v="November"/>
    <x v="6"/>
    <n v="1.0838020833333299"/>
    <n v="5.78"/>
    <n v="12.24"/>
    <n v="69.36"/>
    <n v="14.85"/>
    <n v="79.67"/>
    <n v="1.1499999999999999"/>
  </r>
  <r>
    <n v="846"/>
    <s v="A1846"/>
    <x v="0"/>
    <n v="144"/>
    <x v="729"/>
    <n v="246"/>
    <n v="18"/>
    <n v="10"/>
    <n v="6.9444444444444406E-2"/>
    <x v="160"/>
    <d v="2024-11-15T00:00:00"/>
    <s v="Hyderabad"/>
    <x v="0"/>
    <x v="5"/>
    <s v="November"/>
    <x v="3"/>
    <n v="1.70902777777777"/>
    <n v="3.47"/>
    <n v="13.67"/>
    <n v="24.61"/>
    <n v="-11.01"/>
    <n v="21.9"/>
    <n v="0.89"/>
  </r>
  <r>
    <n v="847"/>
    <s v="A1847"/>
    <x v="1"/>
    <n v="147"/>
    <x v="730"/>
    <n v="228"/>
    <n v="23"/>
    <n v="8"/>
    <n v="5.4421768707482901E-2"/>
    <x v="183"/>
    <d v="2024-11-05T00:00:00"/>
    <s v="Hyderabad"/>
    <x v="2"/>
    <x v="4"/>
    <s v="November"/>
    <x v="2"/>
    <n v="1.54829931972789"/>
    <n v="3.11"/>
    <n v="9.9"/>
    <n v="28.45"/>
    <n v="70.91"/>
    <n v="48.62"/>
    <n v="1.71"/>
  </r>
  <r>
    <n v="848"/>
    <s v="A1848"/>
    <x v="1"/>
    <n v="121"/>
    <x v="731"/>
    <n v="237"/>
    <n v="16"/>
    <n v="7"/>
    <n v="5.7851239669421399E-2"/>
    <x v="121"/>
    <d v="2024-11-25T00:00:00"/>
    <s v="Hyderabad"/>
    <x v="1"/>
    <x v="2"/>
    <s v="November"/>
    <x v="6"/>
    <n v="1.95892561983471"/>
    <n v="3.4"/>
    <n v="14.81"/>
    <n v="33.86"/>
    <n v="8"/>
    <n v="36.57"/>
    <n v="1.08"/>
  </r>
  <r>
    <n v="849"/>
    <s v="A1849"/>
    <x v="3"/>
    <n v="193"/>
    <x v="732"/>
    <n v="227"/>
    <n v="12"/>
    <n v="9"/>
    <n v="4.6632124352331598E-2"/>
    <x v="34"/>
    <d v="2024-11-02T00:00:00"/>
    <s v="Hyderabad"/>
    <x v="0"/>
    <x v="5"/>
    <s v="November"/>
    <x v="0"/>
    <n v="1.17740932642487"/>
    <n v="3.27"/>
    <n v="18.940000000000001"/>
    <n v="25.25"/>
    <n v="64.58"/>
    <n v="41.56"/>
    <n v="1.65"/>
  </r>
  <r>
    <n v="850"/>
    <s v="A1850"/>
    <x v="2"/>
    <n v="170"/>
    <x v="733"/>
    <n v="217"/>
    <n v="21"/>
    <n v="5"/>
    <n v="2.94117647058823E-2"/>
    <x v="131"/>
    <d v="2024-11-24T00:00:00"/>
    <s v="Hyderabad"/>
    <x v="2"/>
    <x v="1"/>
    <s v="November"/>
    <x v="4"/>
    <n v="1.27517647058823"/>
    <n v="3.42"/>
    <n v="10.32"/>
    <n v="43.36"/>
    <n v="88.21"/>
    <n v="81.599999999999994"/>
    <n v="1.88"/>
  </r>
  <r>
    <n v="851"/>
    <s v="A1851"/>
    <x v="3"/>
    <n v="198"/>
    <x v="734"/>
    <n v="200"/>
    <n v="14"/>
    <n v="6"/>
    <n v="3.03030303030303E-2"/>
    <x v="114"/>
    <d v="2024-11-13T00:00:00"/>
    <s v="Hyderabad"/>
    <x v="2"/>
    <x v="0"/>
    <s v="November"/>
    <x v="1"/>
    <n v="1.0081313131313101"/>
    <n v="3.34"/>
    <n v="14.26"/>
    <n v="33.270000000000003"/>
    <n v="40.42"/>
    <n v="46.71"/>
    <n v="1.4"/>
  </r>
  <r>
    <n v="852"/>
    <s v="A1852"/>
    <x v="2"/>
    <n v="133"/>
    <x v="735"/>
    <n v="189"/>
    <n v="21"/>
    <n v="6"/>
    <n v="4.5112781954887202E-2"/>
    <x v="211"/>
    <d v="2024-11-21T00:00:00"/>
    <s v="Hyderabad"/>
    <x v="0"/>
    <x v="2"/>
    <s v="November"/>
    <x v="5"/>
    <n v="1.42421052631578"/>
    <n v="3.26"/>
    <n v="9.02"/>
    <n v="31.57"/>
    <n v="112.23"/>
    <n v="67"/>
    <n v="2.12"/>
  </r>
  <r>
    <n v="853"/>
    <s v="A1853"/>
    <x v="0"/>
    <n v="82"/>
    <x v="736"/>
    <n v="208"/>
    <n v="30"/>
    <n v="8"/>
    <n v="9.7560975609756101E-2"/>
    <x v="101"/>
    <d v="2024-11-04T00:00:00"/>
    <s v="Hyderabad"/>
    <x v="1"/>
    <x v="1"/>
    <s v="November"/>
    <x v="6"/>
    <n v="2.5375609756097499"/>
    <n v="1.97"/>
    <n v="6.94"/>
    <n v="26.01"/>
    <n v="27.35"/>
    <n v="33.119999999999997"/>
    <n v="1.27"/>
  </r>
  <r>
    <n v="854"/>
    <s v="A1854"/>
    <x v="3"/>
    <n v="90"/>
    <x v="165"/>
    <n v="249"/>
    <n v="20"/>
    <n v="4"/>
    <n v="4.4444444444444398E-2"/>
    <x v="67"/>
    <d v="2024-11-15T00:00:00"/>
    <s v="Hyderabad"/>
    <x v="2"/>
    <x v="3"/>
    <s v="November"/>
    <x v="3"/>
    <n v="2.7693333333333299"/>
    <n v="2.08"/>
    <n v="12.46"/>
    <n v="62.31"/>
    <n v="32.4"/>
    <n v="82.5"/>
    <n v="1.32"/>
  </r>
  <r>
    <n v="855"/>
    <s v="A1855"/>
    <x v="1"/>
    <n v="122"/>
    <x v="737"/>
    <n v="190"/>
    <n v="25"/>
    <n v="7"/>
    <n v="5.7377049180327801E-2"/>
    <x v="204"/>
    <d v="2024-11-25T00:00:00"/>
    <s v="Hyderabad"/>
    <x v="2"/>
    <x v="5"/>
    <s v="November"/>
    <x v="6"/>
    <n v="1.5554098360655699"/>
    <n v="2.0699999999999998"/>
    <n v="7.59"/>
    <n v="27.11"/>
    <n v="45.97"/>
    <n v="39.57"/>
    <n v="1.46"/>
  </r>
  <r>
    <n v="856"/>
    <s v="A1856"/>
    <x v="0"/>
    <n v="105"/>
    <x v="738"/>
    <n v="218"/>
    <n v="17"/>
    <n v="6"/>
    <n v="5.7142857142857099E-2"/>
    <x v="100"/>
    <d v="2024-11-02T00:00:00"/>
    <s v="Hyderabad"/>
    <x v="1"/>
    <x v="4"/>
    <s v="November"/>
    <x v="0"/>
    <n v="2.0784761904761901"/>
    <n v="1.86"/>
    <n v="12.84"/>
    <n v="36.369999999999997"/>
    <n v="32.880000000000003"/>
    <n v="48.33"/>
    <n v="1.33"/>
  </r>
  <r>
    <n v="857"/>
    <s v="A1857"/>
    <x v="0"/>
    <n v="179"/>
    <x v="739"/>
    <n v="213"/>
    <n v="12"/>
    <n v="5"/>
    <n v="2.7932960893854698E-2"/>
    <x v="157"/>
    <d v="2024-11-29T00:00:00"/>
    <s v="Hyderabad"/>
    <x v="0"/>
    <x v="1"/>
    <s v="November"/>
    <x v="3"/>
    <n v="1.19139664804469"/>
    <n v="4.6500000000000004"/>
    <n v="17.77"/>
    <n v="42.65"/>
    <n v="73.03"/>
    <n v="73.8"/>
    <n v="1.73"/>
  </r>
  <r>
    <n v="858"/>
    <s v="A1858"/>
    <x v="2"/>
    <n v="91"/>
    <x v="740"/>
    <n v="228"/>
    <n v="12"/>
    <n v="10"/>
    <n v="0.109890109890109"/>
    <x v="201"/>
    <d v="2024-11-11T00:00:00"/>
    <s v="Hyderabad"/>
    <x v="0"/>
    <x v="5"/>
    <s v="November"/>
    <x v="6"/>
    <n v="2.5084615384615301"/>
    <n v="1.62"/>
    <n v="19.02"/>
    <n v="22.83"/>
    <n v="-1.87"/>
    <n v="22.4"/>
    <n v="0.98"/>
  </r>
  <r>
    <n v="859"/>
    <s v="A1859"/>
    <x v="1"/>
    <n v="168"/>
    <x v="741"/>
    <n v="196"/>
    <n v="22"/>
    <n v="10"/>
    <n v="5.95238095238095E-2"/>
    <x v="65"/>
    <d v="2024-11-04T00:00:00"/>
    <s v="Hyderabad"/>
    <x v="0"/>
    <x v="1"/>
    <s v="November"/>
    <x v="6"/>
    <n v="1.1638095238095201"/>
    <n v="3.83"/>
    <n v="8.89"/>
    <n v="19.55"/>
    <n v="62.13"/>
    <n v="31.7"/>
    <n v="1.62"/>
  </r>
  <r>
    <n v="860"/>
    <s v="A1860"/>
    <x v="1"/>
    <n v="162"/>
    <x v="680"/>
    <n v="211"/>
    <n v="20"/>
    <n v="7"/>
    <n v="4.3209876543209798E-2"/>
    <x v="192"/>
    <d v="2024-11-29T00:00:00"/>
    <s v="Hyderabad"/>
    <x v="2"/>
    <x v="5"/>
    <s v="November"/>
    <x v="3"/>
    <n v="1.30123456790123"/>
    <n v="3.39"/>
    <n v="10.54"/>
    <n v="30.11"/>
    <n v="34.25"/>
    <n v="40.43"/>
    <n v="1.34"/>
  </r>
  <r>
    <n v="861"/>
    <s v="A1861"/>
    <x v="0"/>
    <n v="130"/>
    <x v="742"/>
    <n v="219"/>
    <n v="13"/>
    <n v="10"/>
    <n v="7.69230769230769E-2"/>
    <x v="1"/>
    <d v="2024-11-09T00:00:00"/>
    <s v="Hyderabad"/>
    <x v="1"/>
    <x v="4"/>
    <s v="November"/>
    <x v="0"/>
    <n v="1.6829999999999901"/>
    <n v="2.25"/>
    <n v="16.829999999999998"/>
    <n v="21.88"/>
    <n v="56.77"/>
    <n v="34.299999999999997"/>
    <n v="1.57"/>
  </r>
  <r>
    <n v="862"/>
    <s v="A1862"/>
    <x v="3"/>
    <n v="97"/>
    <x v="743"/>
    <n v="185"/>
    <n v="13"/>
    <n v="10"/>
    <n v="0.103092783505154"/>
    <x v="115"/>
    <d v="2024-11-05T00:00:00"/>
    <s v="Hyderabad"/>
    <x v="1"/>
    <x v="0"/>
    <s v="November"/>
    <x v="2"/>
    <n v="1.9050515463917499"/>
    <n v="1.87"/>
    <n v="14.21"/>
    <n v="18.48"/>
    <n v="52.61"/>
    <n v="28.2"/>
    <n v="1.53"/>
  </r>
  <r>
    <n v="863"/>
    <s v="A1863"/>
    <x v="3"/>
    <n v="142"/>
    <x v="55"/>
    <n v="222"/>
    <n v="27"/>
    <n v="5"/>
    <n v="3.5211267605633798E-2"/>
    <x v="86"/>
    <d v="2024-11-07T00:00:00"/>
    <s v="Hyderabad"/>
    <x v="0"/>
    <x v="0"/>
    <s v="November"/>
    <x v="5"/>
    <n v="1.5653521126760499"/>
    <n v="3.36"/>
    <n v="8.23"/>
    <n v="44.46"/>
    <n v="38.11"/>
    <n v="61.4"/>
    <n v="1.38"/>
  </r>
  <r>
    <n v="864"/>
    <s v="A1864"/>
    <x v="2"/>
    <n v="138"/>
    <x v="744"/>
    <n v="198"/>
    <n v="22"/>
    <n v="7"/>
    <n v="5.0724637681159403E-2"/>
    <x v="113"/>
    <d v="2024-11-08T00:00:00"/>
    <s v="Hyderabad"/>
    <x v="0"/>
    <x v="0"/>
    <s v="November"/>
    <x v="3"/>
    <n v="1.4339855072463701"/>
    <n v="4.3899999999999997"/>
    <n v="8.99"/>
    <n v="28.27"/>
    <n v="65.239999999999995"/>
    <n v="46.71"/>
    <n v="1.65"/>
  </r>
  <r>
    <n v="865"/>
    <s v="A1865"/>
    <x v="3"/>
    <n v="186"/>
    <x v="745"/>
    <n v="238"/>
    <n v="15"/>
    <n v="5"/>
    <n v="2.68817204301075E-2"/>
    <x v="113"/>
    <d v="2024-11-14T00:00:00"/>
    <s v="Hyderabad"/>
    <x v="2"/>
    <x v="1"/>
    <s v="November"/>
    <x v="5"/>
    <n v="1.27790322580645"/>
    <n v="4.66"/>
    <n v="15.85"/>
    <n v="47.54"/>
    <n v="37.57"/>
    <n v="65.400000000000006"/>
    <n v="1.38"/>
  </r>
  <r>
    <n v="866"/>
    <s v="A1866"/>
    <x v="3"/>
    <n v="170"/>
    <x v="578"/>
    <n v="232"/>
    <n v="23"/>
    <n v="5"/>
    <n v="2.94117647058823E-2"/>
    <x v="193"/>
    <d v="2024-11-29T00:00:00"/>
    <s v="Hyderabad"/>
    <x v="1"/>
    <x v="0"/>
    <s v="November"/>
    <x v="3"/>
    <n v="1.3651764705882301"/>
    <n v="4.95"/>
    <n v="10.09"/>
    <n v="46.42"/>
    <n v="23.66"/>
    <n v="57.4"/>
    <n v="1.24"/>
  </r>
  <r>
    <n v="867"/>
    <s v="A1867"/>
    <x v="3"/>
    <n v="85"/>
    <x v="24"/>
    <n v="224"/>
    <n v="21"/>
    <n v="6"/>
    <n v="7.0588235294117604E-2"/>
    <x v="167"/>
    <d v="2024-11-04T00:00:00"/>
    <s v="Hyderabad"/>
    <x v="0"/>
    <x v="4"/>
    <s v="November"/>
    <x v="6"/>
    <n v="2.6369411764705801"/>
    <n v="2.29"/>
    <n v="10.67"/>
    <n v="37.36"/>
    <n v="76.680000000000007"/>
    <n v="66"/>
    <n v="1.77"/>
  </r>
  <r>
    <n v="868"/>
    <s v="A1868"/>
    <x v="3"/>
    <n v="115"/>
    <x v="746"/>
    <n v="240"/>
    <n v="20"/>
    <n v="8"/>
    <n v="6.9565217391304293E-2"/>
    <x v="115"/>
    <d v="2024-11-15T00:00:00"/>
    <s v="Hyderabad"/>
    <x v="0"/>
    <x v="0"/>
    <s v="November"/>
    <x v="3"/>
    <n v="2.0862608695652098"/>
    <n v="2.15"/>
    <n v="12"/>
    <n v="29.99"/>
    <n v="17.54"/>
    <n v="35.25"/>
    <n v="1.18"/>
  </r>
  <r>
    <n v="869"/>
    <s v="A1869"/>
    <x v="2"/>
    <n v="167"/>
    <x v="747"/>
    <n v="241"/>
    <n v="24"/>
    <n v="4"/>
    <n v="2.39520958083832E-2"/>
    <x v="18"/>
    <d v="2024-11-21T00:00:00"/>
    <s v="Hyderabad"/>
    <x v="1"/>
    <x v="1"/>
    <s v="November"/>
    <x v="5"/>
    <n v="1.44437125748503"/>
    <n v="3.23"/>
    <n v="10.050000000000001"/>
    <n v="60.3"/>
    <n v="28.1"/>
    <n v="77.25"/>
    <n v="1.28"/>
  </r>
  <r>
    <n v="870"/>
    <s v="A1870"/>
    <x v="0"/>
    <n v="113"/>
    <x v="631"/>
    <n v="235"/>
    <n v="18"/>
    <n v="5"/>
    <n v="4.4247787610619399E-2"/>
    <x v="212"/>
    <d v="2024-11-12T00:00:00"/>
    <s v="Hyderabad"/>
    <x v="1"/>
    <x v="1"/>
    <s v="November"/>
    <x v="2"/>
    <n v="2.07592920353982"/>
    <n v="1.91"/>
    <n v="13.03"/>
    <n v="46.92"/>
    <n v="1.46"/>
    <n v="47.6"/>
    <n v="1.01"/>
  </r>
  <r>
    <n v="871"/>
    <s v="A1871"/>
    <x v="3"/>
    <n v="175"/>
    <x v="748"/>
    <n v="246"/>
    <n v="22"/>
    <n v="10"/>
    <n v="5.7142857142857099E-2"/>
    <x v="209"/>
    <d v="2024-11-21T00:00:00"/>
    <s v="Hyderabad"/>
    <x v="1"/>
    <x v="4"/>
    <s v="November"/>
    <x v="5"/>
    <n v="1.40548571428571"/>
    <n v="3.53"/>
    <n v="11.18"/>
    <n v="24.6"/>
    <n v="47.58"/>
    <n v="36.299999999999997"/>
    <n v="1.48"/>
  </r>
  <r>
    <n v="872"/>
    <s v="A1872"/>
    <x v="0"/>
    <n v="112"/>
    <x v="424"/>
    <n v="226"/>
    <n v="22"/>
    <n v="4"/>
    <n v="3.5714285714285698E-2"/>
    <x v="159"/>
    <d v="2024-11-22T00:00:00"/>
    <s v="Hyderabad"/>
    <x v="0"/>
    <x v="4"/>
    <s v="November"/>
    <x v="3"/>
    <n v="2.0148214285714201"/>
    <n v="2.02"/>
    <n v="10.26"/>
    <n v="56.42"/>
    <n v="-17.2"/>
    <n v="46.71"/>
    <n v="0.83"/>
  </r>
  <r>
    <n v="873"/>
    <s v="A1873"/>
    <x v="1"/>
    <n v="194"/>
    <x v="749"/>
    <n v="191"/>
    <n v="19"/>
    <n v="10"/>
    <n v="5.1546391752577303E-2"/>
    <x v="94"/>
    <d v="2024-11-13T00:00:00"/>
    <s v="Hyderabad"/>
    <x v="0"/>
    <x v="3"/>
    <s v="November"/>
    <x v="1"/>
    <n v="0.98659793814432994"/>
    <n v="3.65"/>
    <n v="10.07"/>
    <n v="19.14"/>
    <n v="88.09"/>
    <n v="36"/>
    <n v="1.88"/>
  </r>
  <r>
    <n v="874"/>
    <s v="A1874"/>
    <x v="1"/>
    <n v="138"/>
    <x v="750"/>
    <n v="244"/>
    <n v="18"/>
    <n v="6"/>
    <n v="4.3478260869565202E-2"/>
    <x v="120"/>
    <d v="2024-11-28T00:00:00"/>
    <s v="Hyderabad"/>
    <x v="1"/>
    <x v="5"/>
    <s v="November"/>
    <x v="5"/>
    <n v="1.77101449275362"/>
    <n v="3.04"/>
    <n v="13.58"/>
    <n v="40.729999999999997"/>
    <n v="36.659999999999997"/>
    <n v="55.67"/>
    <n v="1.37"/>
  </r>
  <r>
    <n v="875"/>
    <s v="A1875"/>
    <x v="0"/>
    <n v="82"/>
    <x v="751"/>
    <n v="204"/>
    <n v="17"/>
    <n v="9"/>
    <n v="0.109756097560975"/>
    <x v="112"/>
    <d v="2024-11-12T00:00:00"/>
    <s v="Hyderabad"/>
    <x v="1"/>
    <x v="4"/>
    <s v="November"/>
    <x v="2"/>
    <n v="2.48768292682926"/>
    <n v="1.77"/>
    <n v="12"/>
    <n v="22.67"/>
    <n v="37.75"/>
    <n v="31.22"/>
    <n v="1.38"/>
  </r>
  <r>
    <n v="876"/>
    <s v="A1876"/>
    <x v="3"/>
    <n v="102"/>
    <x v="9"/>
    <n v="194"/>
    <n v="26"/>
    <n v="9"/>
    <n v="8.8235294117646995E-2"/>
    <x v="12"/>
    <d v="2024-11-11T00:00:00"/>
    <s v="Hyderabad"/>
    <x v="1"/>
    <x v="0"/>
    <s v="November"/>
    <x v="6"/>
    <n v="1.8977450980392101"/>
    <n v="3.04"/>
    <n v="7.44"/>
    <n v="21.51"/>
    <n v="106.64"/>
    <n v="44.44"/>
    <n v="2.0699999999999998"/>
  </r>
  <r>
    <n v="877"/>
    <s v="A1877"/>
    <x v="0"/>
    <n v="179"/>
    <x v="752"/>
    <n v="221"/>
    <n v="27"/>
    <n v="10"/>
    <n v="5.5865921787709397E-2"/>
    <x v="148"/>
    <d v="2024-11-06T00:00:00"/>
    <s v="Hyderabad"/>
    <x v="2"/>
    <x v="0"/>
    <s v="November"/>
    <x v="1"/>
    <n v="1.23731843575419"/>
    <n v="3.59"/>
    <n v="8.1999999999999993"/>
    <n v="22.15"/>
    <n v="-2.02"/>
    <n v="21.7"/>
    <n v="0.98"/>
  </r>
  <r>
    <n v="878"/>
    <s v="A1878"/>
    <x v="1"/>
    <n v="93"/>
    <x v="753"/>
    <n v="232"/>
    <n v="21"/>
    <n v="4"/>
    <n v="4.3010752688171998E-2"/>
    <x v="60"/>
    <d v="2024-11-26T00:00:00"/>
    <s v="Hyderabad"/>
    <x v="1"/>
    <x v="0"/>
    <s v="November"/>
    <x v="2"/>
    <n v="2.4947311827956899"/>
    <n v="3.08"/>
    <n v="11.05"/>
    <n v="58"/>
    <n v="55.6"/>
    <n v="90.25"/>
    <n v="1.56"/>
  </r>
  <r>
    <n v="879"/>
    <s v="A1879"/>
    <x v="2"/>
    <n v="152"/>
    <x v="754"/>
    <n v="249"/>
    <n v="24"/>
    <n v="7"/>
    <n v="4.6052631578947303E-2"/>
    <x v="155"/>
    <d v="2024-11-11T00:00:00"/>
    <s v="Hyderabad"/>
    <x v="0"/>
    <x v="4"/>
    <s v="November"/>
    <x v="6"/>
    <n v="1.63901315789473"/>
    <n v="3.26"/>
    <n v="10.38"/>
    <n v="35.590000000000003"/>
    <n v="59.76"/>
    <n v="56.86"/>
    <n v="1.6"/>
  </r>
  <r>
    <n v="880"/>
    <s v="A1880"/>
    <x v="2"/>
    <n v="81"/>
    <x v="755"/>
    <n v="213"/>
    <n v="27"/>
    <n v="7"/>
    <n v="8.6419753086419707E-2"/>
    <x v="91"/>
    <d v="2024-11-27T00:00:00"/>
    <s v="Hyderabad"/>
    <x v="0"/>
    <x v="4"/>
    <s v="November"/>
    <x v="1"/>
    <n v="2.6311111111111098"/>
    <n v="2.15"/>
    <n v="7.89"/>
    <n v="30.45"/>
    <n v="13.08"/>
    <n v="34.43"/>
    <n v="1.1299999999999999"/>
  </r>
  <r>
    <n v="881"/>
    <s v="A1881"/>
    <x v="0"/>
    <n v="130"/>
    <x v="359"/>
    <n v="242"/>
    <n v="11"/>
    <n v="7"/>
    <n v="5.3846153846153801E-2"/>
    <x v="31"/>
    <d v="2024-11-20T00:00:00"/>
    <s v="Hyderabad"/>
    <x v="0"/>
    <x v="1"/>
    <s v="November"/>
    <x v="1"/>
    <n v="1.8613076923076901"/>
    <n v="2.25"/>
    <n v="22"/>
    <n v="34.57"/>
    <n v="44.23"/>
    <n v="49.86"/>
    <n v="1.44"/>
  </r>
  <r>
    <n v="882"/>
    <s v="A1882"/>
    <x v="2"/>
    <n v="110"/>
    <x v="756"/>
    <n v="228"/>
    <n v="20"/>
    <n v="4"/>
    <n v="3.6363636363636299E-2"/>
    <x v="100"/>
    <d v="2024-11-11T00:00:00"/>
    <s v="Hyderabad"/>
    <x v="0"/>
    <x v="3"/>
    <s v="November"/>
    <x v="6"/>
    <n v="2.0722727272727202"/>
    <n v="2.42"/>
    <n v="11.4"/>
    <n v="56.99"/>
    <n v="27.22"/>
    <n v="72.5"/>
    <n v="1.27"/>
  </r>
  <r>
    <n v="883"/>
    <s v="A1883"/>
    <x v="3"/>
    <n v="122"/>
    <x v="757"/>
    <n v="189"/>
    <n v="11"/>
    <n v="4"/>
    <n v="3.2786885245901599E-2"/>
    <x v="7"/>
    <d v="2024-11-18T00:00:00"/>
    <s v="Hyderabad"/>
    <x v="2"/>
    <x v="5"/>
    <s v="November"/>
    <x v="6"/>
    <n v="1.5454545454545401"/>
    <n v="2.36"/>
    <n v="17.14"/>
    <n v="47.14"/>
    <n v="63.36"/>
    <n v="77"/>
    <n v="1.63"/>
  </r>
  <r>
    <n v="884"/>
    <s v="A1884"/>
    <x v="2"/>
    <n v="113"/>
    <x v="758"/>
    <n v="184"/>
    <n v="27"/>
    <n v="5"/>
    <n v="4.4247787610619399E-2"/>
    <x v="173"/>
    <d v="2024-11-20T00:00:00"/>
    <s v="Hyderabad"/>
    <x v="2"/>
    <x v="2"/>
    <s v="November"/>
    <x v="1"/>
    <n v="1.63017699115044"/>
    <n v="2.15"/>
    <n v="6.82"/>
    <n v="36.840000000000003"/>
    <n v="49.83"/>
    <n v="55.2"/>
    <n v="1.5"/>
  </r>
  <r>
    <n v="885"/>
    <s v="A1885"/>
    <x v="1"/>
    <n v="140"/>
    <x v="652"/>
    <n v="224"/>
    <n v="28"/>
    <n v="6"/>
    <n v="4.2857142857142802E-2"/>
    <x v="40"/>
    <d v="2024-11-21T00:00:00"/>
    <s v="Hyderabad"/>
    <x v="1"/>
    <x v="1"/>
    <s v="November"/>
    <x v="5"/>
    <n v="1.59928571428571"/>
    <n v="2.64"/>
    <n v="8"/>
    <n v="37.32"/>
    <n v="48.73"/>
    <n v="55.5"/>
    <n v="1.49"/>
  </r>
  <r>
    <n v="886"/>
    <s v="A1886"/>
    <x v="3"/>
    <n v="170"/>
    <x v="759"/>
    <n v="248"/>
    <n v="27"/>
    <n v="3"/>
    <n v="1.7647058823529401E-2"/>
    <x v="126"/>
    <d v="2024-11-20T00:00:00"/>
    <s v="Hyderabad"/>
    <x v="0"/>
    <x v="0"/>
    <s v="November"/>
    <x v="1"/>
    <n v="1.46141176470588"/>
    <n v="5.08"/>
    <n v="9.1999999999999993"/>
    <n v="82.81"/>
    <n v="41.28"/>
    <n v="117"/>
    <n v="1.41"/>
  </r>
  <r>
    <n v="887"/>
    <s v="A1887"/>
    <x v="2"/>
    <n v="176"/>
    <x v="760"/>
    <n v="245"/>
    <n v="19"/>
    <n v="8"/>
    <n v="4.54545454545454E-2"/>
    <x v="181"/>
    <d v="2024-11-25T00:00:00"/>
    <s v="Hyderabad"/>
    <x v="2"/>
    <x v="5"/>
    <s v="November"/>
    <x v="6"/>
    <n v="1.39392045454545"/>
    <n v="2.95"/>
    <n v="12.91"/>
    <n v="30.67"/>
    <n v="46.33"/>
    <n v="44.88"/>
    <n v="1.46"/>
  </r>
  <r>
    <n v="888"/>
    <s v="A1888"/>
    <x v="3"/>
    <n v="156"/>
    <x v="761"/>
    <n v="246"/>
    <n v="19"/>
    <n v="5"/>
    <n v="3.2051282051282E-2"/>
    <x v="58"/>
    <d v="2024-11-05T00:00:00"/>
    <s v="Hyderabad"/>
    <x v="1"/>
    <x v="3"/>
    <s v="November"/>
    <x v="2"/>
    <n v="1.57884615384615"/>
    <n v="3.03"/>
    <n v="12.96"/>
    <n v="49.26"/>
    <n v="11.65"/>
    <n v="55"/>
    <n v="1.1200000000000001"/>
  </r>
  <r>
    <n v="889"/>
    <s v="A1889"/>
    <x v="2"/>
    <n v="195"/>
    <x v="758"/>
    <n v="242"/>
    <n v="10"/>
    <n v="4"/>
    <n v="2.0512820512820499E-2"/>
    <x v="99"/>
    <d v="2024-11-08T00:00:00"/>
    <s v="Hyderabad"/>
    <x v="2"/>
    <x v="4"/>
    <s v="November"/>
    <x v="3"/>
    <n v="1.2410256410256399"/>
    <n v="3.7"/>
    <n v="24.2"/>
    <n v="60.5"/>
    <n v="43.39"/>
    <n v="86.75"/>
    <n v="1.43"/>
  </r>
  <r>
    <n v="890"/>
    <s v="A1890"/>
    <x v="1"/>
    <n v="162"/>
    <x v="552"/>
    <n v="184"/>
    <n v="18"/>
    <n v="4"/>
    <n v="2.4691358024691301E-2"/>
    <x v="53"/>
    <d v="2024-11-18T00:00:00"/>
    <s v="Hyderabad"/>
    <x v="2"/>
    <x v="2"/>
    <s v="November"/>
    <x v="6"/>
    <n v="1.1355555555555501"/>
    <n v="3.69"/>
    <n v="10.220000000000001"/>
    <n v="45.99"/>
    <n v="16.87"/>
    <n v="53.75"/>
    <n v="1.17"/>
  </r>
  <r>
    <n v="891"/>
    <s v="A1891"/>
    <x v="3"/>
    <n v="138"/>
    <x v="762"/>
    <n v="192"/>
    <n v="28"/>
    <n v="7"/>
    <n v="5.0724637681159403E-2"/>
    <x v="14"/>
    <d v="2024-11-01T00:00:00"/>
    <s v="Hyderabad"/>
    <x v="2"/>
    <x v="3"/>
    <s v="November"/>
    <x v="3"/>
    <n v="1.3880434782608599"/>
    <n v="3.15"/>
    <n v="6.84"/>
    <n v="27.36"/>
    <n v="86.9"/>
    <n v="51.14"/>
    <n v="1.87"/>
  </r>
  <r>
    <n v="892"/>
    <s v="A1892"/>
    <x v="1"/>
    <n v="177"/>
    <x v="763"/>
    <n v="226"/>
    <n v="15"/>
    <n v="4"/>
    <n v="2.2598870056497099E-2"/>
    <x v="123"/>
    <d v="2024-11-22T00:00:00"/>
    <s v="Hyderabad"/>
    <x v="1"/>
    <x v="4"/>
    <s v="November"/>
    <x v="3"/>
    <n v="1.2758192090395399"/>
    <n v="4.46"/>
    <n v="15.05"/>
    <n v="56.46"/>
    <n v="38.159999999999997"/>
    <n v="78"/>
    <n v="1.38"/>
  </r>
  <r>
    <n v="893"/>
    <s v="A1893"/>
    <x v="0"/>
    <n v="159"/>
    <x v="764"/>
    <n v="217"/>
    <n v="21"/>
    <n v="7"/>
    <n v="4.40251572327044E-2"/>
    <x v="18"/>
    <d v="2024-11-17T00:00:00"/>
    <s v="Hyderabad"/>
    <x v="2"/>
    <x v="4"/>
    <s v="November"/>
    <x v="4"/>
    <n v="1.3664779874213799"/>
    <n v="4.72"/>
    <n v="10.35"/>
    <n v="31.04"/>
    <n v="42.22"/>
    <n v="44.14"/>
    <n v="1.42"/>
  </r>
  <r>
    <n v="894"/>
    <s v="A1894"/>
    <x v="1"/>
    <n v="111"/>
    <x v="246"/>
    <n v="229"/>
    <n v="13"/>
    <n v="3"/>
    <n v="2.7027027027027001E-2"/>
    <x v="93"/>
    <d v="2024-11-01T00:00:00"/>
    <s v="Hyderabad"/>
    <x v="0"/>
    <x v="0"/>
    <s v="November"/>
    <x v="3"/>
    <n v="2.06315315315315"/>
    <n v="2.76"/>
    <n v="17.62"/>
    <n v="76.34"/>
    <n v="27.94"/>
    <n v="97.67"/>
    <n v="1.28"/>
  </r>
  <r>
    <n v="895"/>
    <s v="A1895"/>
    <x v="0"/>
    <n v="184"/>
    <x v="765"/>
    <n v="189"/>
    <n v="14"/>
    <n v="6"/>
    <n v="3.2608695652173898E-2"/>
    <x v="102"/>
    <d v="2024-11-17T00:00:00"/>
    <s v="Hyderabad"/>
    <x v="2"/>
    <x v="2"/>
    <s v="November"/>
    <x v="4"/>
    <n v="1.02793478260869"/>
    <n v="3.31"/>
    <n v="13.51"/>
    <n v="31.52"/>
    <n v="34.82"/>
    <n v="42.5"/>
    <n v="1.35"/>
  </r>
  <r>
    <n v="896"/>
    <s v="A1896"/>
    <x v="1"/>
    <n v="128"/>
    <x v="766"/>
    <n v="188"/>
    <n v="10"/>
    <n v="3"/>
    <n v="2.34375E-2"/>
    <x v="68"/>
    <d v="2024-11-14T00:00:00"/>
    <s v="Hyderabad"/>
    <x v="0"/>
    <x v="4"/>
    <s v="November"/>
    <x v="5"/>
    <n v="1.4703906250000001"/>
    <n v="2.84"/>
    <n v="18.82"/>
    <n v="62.74"/>
    <n v="17.95"/>
    <n v="74"/>
    <n v="1.18"/>
  </r>
  <r>
    <n v="897"/>
    <s v="A1897"/>
    <x v="1"/>
    <n v="164"/>
    <x v="767"/>
    <n v="219"/>
    <n v="22"/>
    <n v="6"/>
    <n v="3.65853658536585E-2"/>
    <x v="111"/>
    <d v="2024-11-09T00:00:00"/>
    <s v="Hyderabad"/>
    <x v="1"/>
    <x v="0"/>
    <s v="November"/>
    <x v="0"/>
    <n v="1.33628048780487"/>
    <n v="4.26"/>
    <n v="9.9600000000000009"/>
    <n v="36.520000000000003"/>
    <n v="38.26"/>
    <n v="50.5"/>
    <n v="1.38"/>
  </r>
  <r>
    <n v="898"/>
    <s v="A1898"/>
    <x v="2"/>
    <n v="120"/>
    <x v="768"/>
    <n v="228"/>
    <n v="19"/>
    <n v="4"/>
    <n v="3.3333333333333298E-2"/>
    <x v="37"/>
    <d v="2024-11-22T00:00:00"/>
    <s v="Hyderabad"/>
    <x v="2"/>
    <x v="4"/>
    <s v="November"/>
    <x v="3"/>
    <n v="1.9025000000000001"/>
    <n v="3.46"/>
    <n v="12.02"/>
    <n v="57.08"/>
    <n v="27.46"/>
    <n v="72.75"/>
    <n v="1.27"/>
  </r>
  <r>
    <n v="899"/>
    <s v="A1899"/>
    <x v="1"/>
    <n v="89"/>
    <x v="769"/>
    <n v="239"/>
    <n v="10"/>
    <n v="4"/>
    <n v="4.49438202247191E-2"/>
    <x v="159"/>
    <d v="2024-11-11T00:00:00"/>
    <s v="Hyderabad"/>
    <x v="1"/>
    <x v="0"/>
    <s v="November"/>
    <x v="6"/>
    <n v="2.6901123595505601"/>
    <n v="2.74"/>
    <n v="23.94"/>
    <n v="59.86"/>
    <n v="-21.95"/>
    <n v="46.71"/>
    <n v="0.78"/>
  </r>
  <r>
    <n v="900"/>
    <s v="A1900"/>
    <x v="3"/>
    <n v="91"/>
    <x v="43"/>
    <n v="231"/>
    <n v="24"/>
    <n v="6"/>
    <n v="6.5934065934065894E-2"/>
    <x v="114"/>
    <d v="2024-11-14T00:00:00"/>
    <s v="Hyderabad"/>
    <x v="2"/>
    <x v="4"/>
    <s v="November"/>
    <x v="5"/>
    <n v="2.5434065934065901"/>
    <n v="2.4500000000000002"/>
    <n v="9.64"/>
    <n v="38.57"/>
    <n v="21.1"/>
    <n v="46.71"/>
    <n v="1.21"/>
  </r>
  <r>
    <n v="901"/>
    <s v="A1901"/>
    <x v="0"/>
    <n v="143"/>
    <x v="20"/>
    <n v="192"/>
    <n v="20"/>
    <n v="5"/>
    <n v="3.4965034965034898E-2"/>
    <x v="171"/>
    <d v="2024-11-30T00:00:00"/>
    <s v="Hyderabad"/>
    <x v="2"/>
    <x v="5"/>
    <s v="November"/>
    <x v="0"/>
    <n v="1.34041958041958"/>
    <n v="3.45"/>
    <n v="9.58"/>
    <n v="38.340000000000003"/>
    <n v="55.47"/>
    <n v="59.6"/>
    <n v="1.55"/>
  </r>
  <r>
    <n v="902"/>
    <s v="A1902"/>
    <x v="1"/>
    <n v="176"/>
    <x v="770"/>
    <n v="239"/>
    <n v="14"/>
    <n v="8"/>
    <n v="4.54545454545454E-2"/>
    <x v="103"/>
    <d v="2024-11-02T00:00:00"/>
    <s v="Hyderabad"/>
    <x v="2"/>
    <x v="2"/>
    <s v="November"/>
    <x v="0"/>
    <n v="1.35761363636363"/>
    <n v="3.05"/>
    <n v="17.07"/>
    <n v="29.87"/>
    <n v="-13.37"/>
    <n v="25.88"/>
    <n v="0.87"/>
  </r>
  <r>
    <n v="903"/>
    <s v="A1903"/>
    <x v="3"/>
    <n v="151"/>
    <x v="771"/>
    <n v="214"/>
    <n v="20"/>
    <n v="5"/>
    <n v="3.3112582781456901E-2"/>
    <x v="10"/>
    <d v="2024-11-21T00:00:00"/>
    <s v="Hyderabad"/>
    <x v="0"/>
    <x v="1"/>
    <s v="November"/>
    <x v="5"/>
    <n v="1.41913907284768"/>
    <n v="3.43"/>
    <n v="10.71"/>
    <n v="42.86"/>
    <n v="81.06"/>
    <n v="77.599999999999994"/>
    <n v="1.81"/>
  </r>
  <r>
    <n v="904"/>
    <s v="A1904"/>
    <x v="2"/>
    <n v="134"/>
    <x v="772"/>
    <n v="222"/>
    <n v="19"/>
    <n v="5"/>
    <n v="3.7313432835820802E-2"/>
    <x v="208"/>
    <d v="2024-11-24T00:00:00"/>
    <s v="Hyderabad"/>
    <x v="0"/>
    <x v="2"/>
    <s v="November"/>
    <x v="4"/>
    <n v="1.65410447761194"/>
    <n v="3.7"/>
    <n v="11.67"/>
    <n v="44.33"/>
    <n v="78.209999999999994"/>
    <n v="79"/>
    <n v="1.78"/>
  </r>
  <r>
    <n v="905"/>
    <s v="A1905"/>
    <x v="0"/>
    <n v="191"/>
    <x v="773"/>
    <n v="223"/>
    <n v="27"/>
    <n v="6"/>
    <n v="3.1413612565444997E-2"/>
    <x v="39"/>
    <d v="2024-11-03T00:00:00"/>
    <s v="Hyderabad"/>
    <x v="0"/>
    <x v="2"/>
    <s v="November"/>
    <x v="4"/>
    <n v="1.1690052356020899"/>
    <n v="6.25"/>
    <n v="8.27"/>
    <n v="37.21"/>
    <n v="10.62"/>
    <n v="41.17"/>
    <n v="1.1100000000000001"/>
  </r>
  <r>
    <n v="906"/>
    <s v="A1906"/>
    <x v="1"/>
    <n v="170"/>
    <x v="774"/>
    <n v="266"/>
    <n v="21"/>
    <n v="3"/>
    <n v="1.7647058823529401E-2"/>
    <x v="16"/>
    <d v="2024-11-05T00:00:00"/>
    <s v="Hyderabad"/>
    <x v="0"/>
    <x v="2"/>
    <s v="November"/>
    <x v="2"/>
    <n v="1.56753061615001"/>
    <n v="5.41"/>
    <n v="12.69"/>
    <n v="88.83"/>
    <n v="29.84"/>
    <n v="115.33"/>
    <n v="1.3"/>
  </r>
  <r>
    <n v="907"/>
    <s v="A1907"/>
    <x v="3"/>
    <n v="112"/>
    <x v="775"/>
    <n v="229"/>
    <n v="10"/>
    <n v="8"/>
    <n v="7.1428571428571397E-2"/>
    <x v="110"/>
    <d v="2024-11-13T00:00:00"/>
    <s v="Hyderabad"/>
    <x v="1"/>
    <x v="5"/>
    <s v="November"/>
    <x v="1"/>
    <n v="2.04232142857142"/>
    <n v="2.81"/>
    <n v="22.87"/>
    <n v="28.59"/>
    <n v="61.76"/>
    <n v="46.25"/>
    <n v="1.62"/>
  </r>
  <r>
    <n v="908"/>
    <s v="A1908"/>
    <x v="2"/>
    <n v="169"/>
    <x v="776"/>
    <n v="247"/>
    <n v="28"/>
    <n v="3"/>
    <n v="1.7751479289940801E-2"/>
    <x v="173"/>
    <d v="2024-11-25T00:00:00"/>
    <s v="Hyderabad"/>
    <x v="0"/>
    <x v="4"/>
    <s v="November"/>
    <x v="6"/>
    <n v="1.45952662721893"/>
    <n v="4.67"/>
    <n v="8.81"/>
    <n v="82.22"/>
    <n v="11.89"/>
    <n v="92"/>
    <n v="1.1200000000000001"/>
  </r>
  <r>
    <n v="909"/>
    <s v="A1909"/>
    <x v="1"/>
    <n v="172"/>
    <x v="777"/>
    <n v="242"/>
    <n v="26"/>
    <n v="3"/>
    <n v="1.7441860465116199E-2"/>
    <x v="126"/>
    <d v="2024-11-06T00:00:00"/>
    <s v="Hyderabad"/>
    <x v="0"/>
    <x v="1"/>
    <s v="November"/>
    <x v="1"/>
    <n v="1.4079651162790601"/>
    <n v="3.66"/>
    <n v="9.31"/>
    <n v="80.72"/>
    <n v="44.94"/>
    <n v="117"/>
    <n v="1.45"/>
  </r>
  <r>
    <n v="910"/>
    <s v="A1910"/>
    <x v="2"/>
    <n v="162"/>
    <x v="778"/>
    <n v="219"/>
    <n v="30"/>
    <n v="7"/>
    <n v="4.3209876543209798E-2"/>
    <x v="161"/>
    <d v="2024-11-26T00:00:00"/>
    <s v="Hyderabad"/>
    <x v="0"/>
    <x v="1"/>
    <s v="November"/>
    <x v="2"/>
    <n v="1.35234567901234"/>
    <n v="2.85"/>
    <n v="7.3"/>
    <n v="31.3"/>
    <n v="20.5"/>
    <n v="37.71"/>
    <n v="1.21"/>
  </r>
  <r>
    <n v="911"/>
    <s v="A1911"/>
    <x v="3"/>
    <n v="183"/>
    <x v="779"/>
    <n v="243"/>
    <n v="29"/>
    <n v="8"/>
    <n v="4.3715846994535498E-2"/>
    <x v="187"/>
    <d v="2024-11-09T00:00:00"/>
    <s v="Hyderabad"/>
    <x v="1"/>
    <x v="3"/>
    <s v="November"/>
    <x v="0"/>
    <n v="1.3289071038251301"/>
    <n v="4.3600000000000003"/>
    <n v="8.39"/>
    <n v="30.4"/>
    <n v="33.64"/>
    <n v="40.619999999999997"/>
    <n v="1.34"/>
  </r>
  <r>
    <n v="912"/>
    <s v="A1912"/>
    <x v="1"/>
    <n v="108"/>
    <x v="780"/>
    <n v="184"/>
    <n v="23"/>
    <n v="8"/>
    <n v="7.4074074074074001E-2"/>
    <x v="191"/>
    <d v="2024-11-23T00:00:00"/>
    <s v="Hyderabad"/>
    <x v="0"/>
    <x v="3"/>
    <s v="November"/>
    <x v="0"/>
    <n v="1.7060185185185099"/>
    <n v="1.82"/>
    <n v="8.01"/>
    <n v="23.03"/>
    <n v="119.81"/>
    <n v="50.62"/>
    <n v="2.2000000000000002"/>
  </r>
  <r>
    <n v="913"/>
    <s v="A1913"/>
    <x v="3"/>
    <n v="126"/>
    <x v="781"/>
    <n v="192"/>
    <n v="24"/>
    <n v="5"/>
    <n v="3.9682539682539597E-2"/>
    <x v="155"/>
    <d v="2024-11-28T00:00:00"/>
    <s v="Hyderabad"/>
    <x v="1"/>
    <x v="5"/>
    <s v="November"/>
    <x v="5"/>
    <n v="1.5243795620437901"/>
    <n v="3.33"/>
    <n v="8"/>
    <n v="38.409999999999997"/>
    <n v="107.21"/>
    <n v="79.599999999999994"/>
    <n v="2.0699999999999998"/>
  </r>
  <r>
    <n v="914"/>
    <s v="A1914"/>
    <x v="2"/>
    <n v="174"/>
    <x v="782"/>
    <n v="223"/>
    <n v="25"/>
    <n v="3"/>
    <n v="1.72413793103448E-2"/>
    <x v="54"/>
    <d v="2024-11-19T00:00:00"/>
    <s v="Hyderabad"/>
    <x v="2"/>
    <x v="0"/>
    <s v="November"/>
    <x v="2"/>
    <n v="1.27959770114942"/>
    <n v="4.87"/>
    <n v="8.91"/>
    <n v="74.22"/>
    <n v="-37.06"/>
    <n v="46.71"/>
    <n v="0.63"/>
  </r>
  <r>
    <n v="915"/>
    <s v="A1915"/>
    <x v="0"/>
    <n v="122"/>
    <x v="783"/>
    <n v="237"/>
    <n v="13"/>
    <n v="6"/>
    <n v="4.9180327868852403E-2"/>
    <x v="188"/>
    <d v="2024-11-15T00:00:00"/>
    <s v="Hyderabad"/>
    <x v="0"/>
    <x v="1"/>
    <s v="November"/>
    <x v="3"/>
    <n v="1.9390983606557299"/>
    <n v="2.63"/>
    <n v="18.2"/>
    <n v="39.43"/>
    <n v="-13.77"/>
    <n v="34"/>
    <n v="0.86"/>
  </r>
  <r>
    <n v="916"/>
    <s v="A1916"/>
    <x v="1"/>
    <n v="191"/>
    <x v="784"/>
    <n v="238"/>
    <n v="27"/>
    <n v="10"/>
    <n v="5.23560209424083E-2"/>
    <x v="64"/>
    <d v="2024-11-05T00:00:00"/>
    <s v="Hyderabad"/>
    <x v="0"/>
    <x v="1"/>
    <s v="November"/>
    <x v="2"/>
    <n v="1.2439790575916201"/>
    <n v="5.53"/>
    <n v="8.8000000000000007"/>
    <n v="23.76"/>
    <n v="96.61"/>
    <n v="46.71"/>
    <n v="1.97"/>
  </r>
  <r>
    <n v="917"/>
    <s v="A1917"/>
    <x v="0"/>
    <n v="122"/>
    <x v="267"/>
    <n v="203"/>
    <n v="23"/>
    <n v="8"/>
    <n v="6.5573770491803199E-2"/>
    <x v="89"/>
    <d v="2024-11-22T00:00:00"/>
    <s v="Hyderabad"/>
    <x v="2"/>
    <x v="3"/>
    <s v="November"/>
    <x v="3"/>
    <n v="1.6630327868852399"/>
    <n v="2.7"/>
    <n v="8.82"/>
    <n v="25.36"/>
    <n v="50.82"/>
    <n v="38.25"/>
    <n v="1.51"/>
  </r>
  <r>
    <n v="918"/>
    <s v="A1918"/>
    <x v="0"/>
    <n v="175"/>
    <x v="785"/>
    <n v="186"/>
    <n v="28"/>
    <n v="10"/>
    <n v="5.7142857142857099E-2"/>
    <x v="96"/>
    <d v="2024-11-18T00:00:00"/>
    <s v="Hyderabad"/>
    <x v="0"/>
    <x v="5"/>
    <s v="November"/>
    <x v="6"/>
    <n v="1.0642857142857101"/>
    <n v="3.61"/>
    <n v="6.65"/>
    <n v="18.62"/>
    <n v="116.91"/>
    <n v="40.4"/>
    <n v="2.17"/>
  </r>
  <r>
    <n v="919"/>
    <s v="A1919"/>
    <x v="1"/>
    <n v="123"/>
    <x v="786"/>
    <n v="181"/>
    <n v="24"/>
    <n v="9"/>
    <n v="7.3170731707316999E-2"/>
    <x v="47"/>
    <d v="2024-11-21T00:00:00"/>
    <s v="Hyderabad"/>
    <x v="2"/>
    <x v="1"/>
    <s v="November"/>
    <x v="5"/>
    <n v="1.4686178861788599"/>
    <n v="2.4900000000000002"/>
    <n v="7.53"/>
    <n v="20.07"/>
    <n v="97.08"/>
    <n v="39.56"/>
    <n v="1.97"/>
  </r>
  <r>
    <n v="920"/>
    <s v="A1920"/>
    <x v="3"/>
    <n v="135"/>
    <x v="787"/>
    <n v="239"/>
    <n v="20"/>
    <n v="7"/>
    <n v="5.1851851851851802E-2"/>
    <x v="55"/>
    <d v="2024-11-21T00:00:00"/>
    <s v="Hyderabad"/>
    <x v="2"/>
    <x v="5"/>
    <s v="November"/>
    <x v="5"/>
    <n v="1.772"/>
    <n v="2.35"/>
    <n v="11.96"/>
    <n v="34.17"/>
    <n v="4.09"/>
    <n v="35.57"/>
    <n v="1.04"/>
  </r>
  <r>
    <n v="921"/>
    <s v="A1921"/>
    <x v="2"/>
    <n v="140"/>
    <x v="751"/>
    <n v="188"/>
    <n v="24"/>
    <n v="5"/>
    <n v="3.5714285714285698E-2"/>
    <x v="131"/>
    <d v="2024-11-11T00:00:00"/>
    <s v="Hyderabad"/>
    <x v="2"/>
    <x v="5"/>
    <s v="November"/>
    <x v="6"/>
    <n v="1.3417857142857099"/>
    <n v="3.03"/>
    <n v="7.83"/>
    <n v="37.57"/>
    <n v="117.19"/>
    <n v="81.599999999999994"/>
    <n v="2.17"/>
  </r>
  <r>
    <n v="922"/>
    <s v="A1922"/>
    <x v="2"/>
    <n v="90"/>
    <x v="788"/>
    <n v="188"/>
    <n v="12"/>
    <n v="4"/>
    <n v="4.4444444444444398E-2"/>
    <x v="159"/>
    <d v="2024-11-17T00:00:00"/>
    <s v="Hyderabad"/>
    <x v="1"/>
    <x v="4"/>
    <s v="November"/>
    <x v="4"/>
    <n v="2.0893333333333302"/>
    <n v="1.61"/>
    <n v="15.67"/>
    <n v="47.01"/>
    <n v="-0.63"/>
    <n v="46.71"/>
    <n v="0.99"/>
  </r>
  <r>
    <n v="923"/>
    <s v="A1923"/>
    <x v="3"/>
    <n v="161"/>
    <x v="789"/>
    <n v="234"/>
    <n v="27"/>
    <n v="8"/>
    <n v="4.9689440993788803E-2"/>
    <x v="205"/>
    <d v="2024-11-16T00:00:00"/>
    <s v="Hyderabad"/>
    <x v="2"/>
    <x v="5"/>
    <s v="November"/>
    <x v="0"/>
    <n v="1.45403726708074"/>
    <n v="3.03"/>
    <n v="8.67"/>
    <n v="29.26"/>
    <n v="0.38"/>
    <n v="29.38"/>
    <n v="1"/>
  </r>
  <r>
    <n v="924"/>
    <s v="A1924"/>
    <x v="1"/>
    <n v="89"/>
    <x v="352"/>
    <n v="205"/>
    <n v="19"/>
    <n v="6"/>
    <n v="6.7415730337078594E-2"/>
    <x v="174"/>
    <d v="2024-11-28T00:00:00"/>
    <s v="Hyderabad"/>
    <x v="0"/>
    <x v="2"/>
    <s v="November"/>
    <x v="5"/>
    <n v="2.30752808988764"/>
    <n v="2.9"/>
    <n v="10.81"/>
    <n v="34.229999999999997"/>
    <n v="50.95"/>
    <n v="51.67"/>
    <n v="1.51"/>
  </r>
  <r>
    <n v="925"/>
    <s v="A1925"/>
    <x v="3"/>
    <n v="128"/>
    <x v="790"/>
    <n v="181"/>
    <n v="24"/>
    <n v="10"/>
    <n v="7.8125E-2"/>
    <x v="177"/>
    <d v="2024-11-13T00:00:00"/>
    <s v="Hyderabad"/>
    <x v="2"/>
    <x v="0"/>
    <s v="November"/>
    <x v="1"/>
    <n v="1.4127343750000001"/>
    <n v="3.03"/>
    <n v="7.53"/>
    <n v="18.079999999999998"/>
    <n v="22.21"/>
    <n v="22.1"/>
    <n v="1.22"/>
  </r>
  <r>
    <n v="926"/>
    <s v="A1926"/>
    <x v="0"/>
    <n v="148"/>
    <x v="791"/>
    <n v="204"/>
    <n v="23"/>
    <n v="3"/>
    <n v="2.0270270270270199E-2"/>
    <x v="2"/>
    <d v="2024-11-05T00:00:00"/>
    <s v="Hyderabad"/>
    <x v="0"/>
    <x v="2"/>
    <s v="November"/>
    <x v="2"/>
    <n v="1.3752702702702699"/>
    <n v="3.28"/>
    <n v="8.85"/>
    <n v="67.849999999999994"/>
    <n v="62.62"/>
    <n v="110.33"/>
    <n v="1.63"/>
  </r>
  <r>
    <n v="927"/>
    <s v="A1927"/>
    <x v="0"/>
    <n v="96"/>
    <x v="792"/>
    <n v="228"/>
    <n v="16"/>
    <n v="9"/>
    <n v="9.375E-2"/>
    <x v="82"/>
    <d v="2024-11-04T00:00:00"/>
    <s v="Hyderabad"/>
    <x v="0"/>
    <x v="0"/>
    <s v="November"/>
    <x v="6"/>
    <n v="2.3792708333333299"/>
    <n v="2.77"/>
    <n v="14.28"/>
    <n v="25.38"/>
    <n v="-7.62"/>
    <n v="23.44"/>
    <n v="0.92"/>
  </r>
  <r>
    <n v="928"/>
    <s v="A1928"/>
    <x v="2"/>
    <n v="126"/>
    <x v="11"/>
    <n v="209"/>
    <n v="18"/>
    <n v="7"/>
    <n v="5.5555555555555497E-2"/>
    <x v="162"/>
    <d v="2024-11-06T00:00:00"/>
    <s v="Hyderabad"/>
    <x v="0"/>
    <x v="0"/>
    <s v="November"/>
    <x v="1"/>
    <n v="1.6566666666666601"/>
    <n v="3.49"/>
    <n v="11.6"/>
    <n v="29.82"/>
    <n v="8.27"/>
    <n v="32.29"/>
    <n v="1.08"/>
  </r>
  <r>
    <n v="929"/>
    <s v="A1929"/>
    <x v="1"/>
    <n v="115"/>
    <x v="177"/>
    <n v="228"/>
    <n v="30"/>
    <n v="3"/>
    <n v="2.6086956521739101E-2"/>
    <x v="197"/>
    <d v="2024-11-13T00:00:00"/>
    <s v="Hyderabad"/>
    <x v="2"/>
    <x v="0"/>
    <s v="November"/>
    <x v="1"/>
    <n v="1.98060869565217"/>
    <n v="3.56"/>
    <n v="7.59"/>
    <n v="75.92"/>
    <n v="14.15"/>
    <n v="86.67"/>
    <n v="1.1399999999999999"/>
  </r>
  <r>
    <n v="930"/>
    <s v="A1930"/>
    <x v="3"/>
    <n v="135"/>
    <x v="793"/>
    <n v="246"/>
    <n v="28"/>
    <n v="9"/>
    <n v="6.6666666666666596E-2"/>
    <x v="24"/>
    <d v="2024-11-03T00:00:00"/>
    <s v="Hyderabad"/>
    <x v="0"/>
    <x v="2"/>
    <s v="November"/>
    <x v="4"/>
    <n v="1.8211851851851799"/>
    <n v="2.48"/>
    <n v="8.7799999999999994"/>
    <n v="27.32"/>
    <n v="20.8"/>
    <n v="33"/>
    <n v="1.21"/>
  </r>
  <r>
    <n v="931"/>
    <s v="A1931"/>
    <x v="1"/>
    <n v="158"/>
    <x v="168"/>
    <n v="192"/>
    <n v="26"/>
    <n v="4"/>
    <n v="2.53164556962025E-2"/>
    <x v="159"/>
    <d v="2024-11-29T00:00:00"/>
    <s v="Hyderabad"/>
    <x v="0"/>
    <x v="2"/>
    <s v="November"/>
    <x v="3"/>
    <n v="1.21417721518987"/>
    <n v="3.5"/>
    <n v="7.38"/>
    <n v="47.96"/>
    <n v="-2.6"/>
    <n v="46.71"/>
    <n v="0.97"/>
  </r>
  <r>
    <n v="932"/>
    <s v="A1932"/>
    <x v="0"/>
    <n v="80"/>
    <x v="488"/>
    <n v="200"/>
    <n v="12"/>
    <n v="7"/>
    <n v="8.7499999999999994E-2"/>
    <x v="16"/>
    <d v="2024-11-22T00:00:00"/>
    <s v="Hyderabad"/>
    <x v="0"/>
    <x v="0"/>
    <s v="November"/>
    <x v="3"/>
    <n v="2.4940000000000002"/>
    <n v="2.12"/>
    <n v="16.63"/>
    <n v="28.5"/>
    <n v="73.42"/>
    <n v="49.43"/>
    <n v="1.73"/>
  </r>
  <r>
    <n v="933"/>
    <s v="A1933"/>
    <x v="3"/>
    <n v="190"/>
    <x v="643"/>
    <n v="205"/>
    <n v="28"/>
    <n v="10"/>
    <n v="5.2631578947368397E-2"/>
    <x v="67"/>
    <d v="2024-11-25T00:00:00"/>
    <s v="Hyderabad"/>
    <x v="1"/>
    <x v="4"/>
    <s v="November"/>
    <x v="6"/>
    <n v="1.08010526315789"/>
    <n v="5.49"/>
    <n v="7.33"/>
    <n v="20.52"/>
    <n v="60.8"/>
    <n v="33"/>
    <n v="1.61"/>
  </r>
  <r>
    <n v="934"/>
    <s v="A1934"/>
    <x v="3"/>
    <n v="135"/>
    <x v="794"/>
    <n v="242"/>
    <n v="10"/>
    <n v="5"/>
    <n v="3.7037037037037E-2"/>
    <x v="65"/>
    <d v="2024-11-22T00:00:00"/>
    <s v="Hyderabad"/>
    <x v="0"/>
    <x v="1"/>
    <s v="November"/>
    <x v="3"/>
    <n v="1.79199999999999"/>
    <n v="2.95"/>
    <n v="24.19"/>
    <n v="48.38"/>
    <n v="31.04"/>
    <n v="63.4"/>
    <n v="1.31"/>
  </r>
  <r>
    <n v="935"/>
    <s v="A1935"/>
    <x v="3"/>
    <n v="149"/>
    <x v="795"/>
    <n v="242"/>
    <n v="23"/>
    <n v="4"/>
    <n v="2.68456375838926E-2"/>
    <x v="208"/>
    <d v="2024-11-19T00:00:00"/>
    <s v="Hyderabad"/>
    <x v="0"/>
    <x v="3"/>
    <s v="November"/>
    <x v="2"/>
    <n v="1.6251006711409299"/>
    <n v="4.29"/>
    <n v="10.53"/>
    <n v="60.54"/>
    <n v="63.13"/>
    <n v="98.75"/>
    <n v="1.63"/>
  </r>
  <r>
    <n v="936"/>
    <s v="A1936"/>
    <x v="1"/>
    <n v="164"/>
    <x v="308"/>
    <n v="233"/>
    <n v="10"/>
    <n v="8"/>
    <n v="4.8780487804878002E-2"/>
    <x v="20"/>
    <d v="2024-11-04T00:00:00"/>
    <s v="Hyderabad"/>
    <x v="2"/>
    <x v="2"/>
    <s v="November"/>
    <x v="6"/>
    <n v="1.4184146341463399"/>
    <n v="5.26"/>
    <n v="23.26"/>
    <n v="29.08"/>
    <n v="58.2"/>
    <n v="46"/>
    <n v="1.58"/>
  </r>
  <r>
    <n v="937"/>
    <s v="A1937"/>
    <x v="3"/>
    <n v="132"/>
    <x v="187"/>
    <n v="181"/>
    <n v="10"/>
    <n v="7"/>
    <n v="5.3030303030302997E-2"/>
    <x v="41"/>
    <d v="2024-11-16T00:00:00"/>
    <s v="Hyderabad"/>
    <x v="0"/>
    <x v="1"/>
    <s v="November"/>
    <x v="0"/>
    <n v="1.36916666666666"/>
    <n v="2.4300000000000002"/>
    <n v="18.07"/>
    <n v="25.82"/>
    <n v="95.32"/>
    <n v="50.43"/>
    <n v="1.95"/>
  </r>
  <r>
    <n v="938"/>
    <s v="A1938"/>
    <x v="2"/>
    <n v="198"/>
    <x v="796"/>
    <n v="245"/>
    <n v="27"/>
    <n v="7"/>
    <n v="3.5353535353535297E-2"/>
    <x v="212"/>
    <d v="2024-11-01T00:00:00"/>
    <s v="Hyderabad"/>
    <x v="2"/>
    <x v="4"/>
    <s v="November"/>
    <x v="3"/>
    <n v="1.23858585858585"/>
    <n v="4.4000000000000004"/>
    <n v="9.08"/>
    <n v="35.03"/>
    <n v="-2.95"/>
    <n v="34"/>
    <n v="0.97"/>
  </r>
  <r>
    <n v="939"/>
    <s v="A1939"/>
    <x v="1"/>
    <n v="153"/>
    <x v="797"/>
    <n v="226"/>
    <n v="12"/>
    <n v="7"/>
    <n v="4.5751633986928102E-2"/>
    <x v="69"/>
    <d v="2024-11-21T00:00:00"/>
    <s v="Hyderabad"/>
    <x v="0"/>
    <x v="4"/>
    <s v="November"/>
    <x v="5"/>
    <n v="1.47882352941176"/>
    <n v="4.66"/>
    <n v="18.86"/>
    <n v="32.32"/>
    <n v="65.739999999999995"/>
    <n v="53.57"/>
    <n v="1.66"/>
  </r>
  <r>
    <n v="940"/>
    <s v="A1940"/>
    <x v="0"/>
    <n v="142"/>
    <x v="798"/>
    <n v="235"/>
    <n v="19"/>
    <n v="7"/>
    <n v="4.92957746478873E-2"/>
    <x v="154"/>
    <d v="2024-11-08T00:00:00"/>
    <s v="Hyderabad"/>
    <x v="0"/>
    <x v="2"/>
    <s v="November"/>
    <x v="3"/>
    <n v="1.65556338028169"/>
    <n v="4.1399999999999997"/>
    <n v="12.37"/>
    <n v="33.58"/>
    <n v="15.7"/>
    <n v="38.86"/>
    <n v="1.1599999999999999"/>
  </r>
  <r>
    <n v="941"/>
    <s v="A1941"/>
    <x v="1"/>
    <n v="91"/>
    <x v="799"/>
    <n v="194"/>
    <n v="19"/>
    <n v="7"/>
    <n v="7.69230769230769E-2"/>
    <x v="121"/>
    <d v="2024-11-19T00:00:00"/>
    <s v="Hyderabad"/>
    <x v="1"/>
    <x v="2"/>
    <s v="November"/>
    <x v="2"/>
    <n v="2.13340659340659"/>
    <n v="1.98"/>
    <n v="10.220000000000001"/>
    <n v="27.73"/>
    <n v="31.86"/>
    <n v="36.57"/>
    <n v="1.32"/>
  </r>
  <r>
    <n v="942"/>
    <s v="A1942"/>
    <x v="3"/>
    <n v="154"/>
    <x v="417"/>
    <n v="191"/>
    <n v="21"/>
    <n v="3"/>
    <n v="1.94805194805194E-2"/>
    <x v="174"/>
    <d v="2024-11-23T00:00:00"/>
    <s v="Hyderabad"/>
    <x v="0"/>
    <x v="3"/>
    <s v="November"/>
    <x v="0"/>
    <n v="1.24012987012987"/>
    <n v="3.21"/>
    <n v="9.09"/>
    <n v="63.66"/>
    <n v="62.32"/>
    <n v="103.33"/>
    <n v="1.62"/>
  </r>
  <r>
    <n v="943"/>
    <s v="A1943"/>
    <x v="0"/>
    <n v="115"/>
    <x v="800"/>
    <n v="230"/>
    <n v="26"/>
    <n v="4"/>
    <n v="3.4782608695652098E-2"/>
    <x v="197"/>
    <d v="2024-11-07T00:00:00"/>
    <s v="Hyderabad"/>
    <x v="1"/>
    <x v="0"/>
    <s v="November"/>
    <x v="5"/>
    <n v="2.00252173913043"/>
    <n v="2.1"/>
    <n v="8.86"/>
    <n v="57.57"/>
    <n v="12.9"/>
    <n v="65"/>
    <n v="1.1299999999999999"/>
  </r>
  <r>
    <n v="944"/>
    <s v="A1944"/>
    <x v="3"/>
    <n v="86"/>
    <x v="801"/>
    <n v="191"/>
    <n v="18"/>
    <n v="9"/>
    <n v="0.104651162790697"/>
    <x v="200"/>
    <d v="2024-11-20T00:00:00"/>
    <s v="Hyderabad"/>
    <x v="2"/>
    <x v="1"/>
    <s v="November"/>
    <x v="1"/>
    <n v="2.2241860465116199"/>
    <n v="1.57"/>
    <n v="10.63"/>
    <n v="21.25"/>
    <n v="28.61"/>
    <n v="27.33"/>
    <n v="1.29"/>
  </r>
  <r>
    <n v="945"/>
    <s v="A1945"/>
    <x v="0"/>
    <n v="116"/>
    <x v="802"/>
    <n v="239"/>
    <n v="15"/>
    <n v="10"/>
    <n v="8.6206896551724102E-2"/>
    <x v="130"/>
    <d v="2024-11-14T00:00:00"/>
    <s v="Hyderabad"/>
    <x v="2"/>
    <x v="4"/>
    <s v="November"/>
    <x v="5"/>
    <n v="2.0570689655172401"/>
    <n v="3.64"/>
    <n v="15.91"/>
    <n v="23.86"/>
    <n v="22.37"/>
    <n v="29.2"/>
    <n v="1.22"/>
  </r>
  <r>
    <n v="946"/>
    <s v="A1946"/>
    <x v="1"/>
    <n v="144"/>
    <x v="803"/>
    <n v="238"/>
    <n v="21"/>
    <n v="10"/>
    <n v="6.9444444444444406E-2"/>
    <x v="141"/>
    <d v="2024-11-02T00:00:00"/>
    <s v="Hyderabad"/>
    <x v="0"/>
    <x v="1"/>
    <s v="November"/>
    <x v="0"/>
    <n v="1.6525694444444401"/>
    <n v="4.0199999999999996"/>
    <n v="11.33"/>
    <n v="23.8"/>
    <n v="-0.83"/>
    <n v="23.6"/>
    <n v="0.99"/>
  </r>
  <r>
    <n v="947"/>
    <s v="A1947"/>
    <x v="0"/>
    <n v="101"/>
    <x v="804"/>
    <n v="204"/>
    <n v="30"/>
    <n v="10"/>
    <n v="9.9009900990099001E-2"/>
    <x v="6"/>
    <d v="2024-11-21T00:00:00"/>
    <s v="Hyderabad"/>
    <x v="0"/>
    <x v="3"/>
    <s v="November"/>
    <x v="5"/>
    <n v="2.02069306930693"/>
    <n v="2.41"/>
    <n v="6.8"/>
    <n v="20.41"/>
    <n v="64.14"/>
    <n v="33.5"/>
    <n v="1.64"/>
  </r>
  <r>
    <n v="948"/>
    <s v="A1948"/>
    <x v="2"/>
    <n v="116"/>
    <x v="805"/>
    <n v="246"/>
    <n v="10"/>
    <n v="5"/>
    <n v="4.3103448275862002E-2"/>
    <x v="53"/>
    <d v="2024-11-05T00:00:00"/>
    <s v="Hyderabad"/>
    <x v="2"/>
    <x v="2"/>
    <s v="November"/>
    <x v="2"/>
    <n v="2.12060344827586"/>
    <n v="2.75"/>
    <n v="24.6"/>
    <n v="49.2"/>
    <n v="-12.6"/>
    <n v="43"/>
    <n v="0.87"/>
  </r>
  <r>
    <n v="949"/>
    <s v="A1949"/>
    <x v="1"/>
    <n v="187"/>
    <x v="806"/>
    <n v="193"/>
    <n v="24"/>
    <n v="6"/>
    <n v="3.20855614973262E-2"/>
    <x v="130"/>
    <d v="2024-11-20T00:00:00"/>
    <s v="Hyderabad"/>
    <x v="2"/>
    <x v="4"/>
    <s v="November"/>
    <x v="1"/>
    <n v="1.0336363636363599"/>
    <n v="5.85"/>
    <n v="8.0500000000000007"/>
    <n v="32.21"/>
    <n v="51.07"/>
    <n v="48.67"/>
    <n v="1.51"/>
  </r>
  <r>
    <n v="950"/>
    <s v="A1950"/>
    <x v="0"/>
    <n v="114"/>
    <x v="549"/>
    <n v="193"/>
    <n v="26"/>
    <n v="6"/>
    <n v="5.2631578947368397E-2"/>
    <x v="126"/>
    <d v="2024-11-08T00:00:00"/>
    <s v="Hyderabad"/>
    <x v="2"/>
    <x v="3"/>
    <s v="November"/>
    <x v="3"/>
    <n v="1.6913157894736801"/>
    <n v="2.63"/>
    <n v="7.42"/>
    <n v="32.14"/>
    <n v="82.04"/>
    <n v="58.5"/>
    <n v="1.82"/>
  </r>
  <r>
    <n v="951"/>
    <s v="A1951"/>
    <x v="0"/>
    <n v="141"/>
    <x v="63"/>
    <n v="199"/>
    <n v="20"/>
    <n v="9"/>
    <n v="6.3829787234042507E-2"/>
    <x v="77"/>
    <d v="2024-11-21T00:00:00"/>
    <s v="Hyderabad"/>
    <x v="0"/>
    <x v="1"/>
    <s v="November"/>
    <x v="5"/>
    <n v="1.4079432624113399"/>
    <n v="3.9"/>
    <n v="9.93"/>
    <n v="22.06"/>
    <n v="90.91"/>
    <n v="42.11"/>
    <n v="1.91"/>
  </r>
  <r>
    <n v="952"/>
    <s v="A1952"/>
    <x v="1"/>
    <n v="167"/>
    <x v="807"/>
    <n v="182"/>
    <n v="18"/>
    <n v="9"/>
    <n v="5.3892215568862201E-2"/>
    <x v="104"/>
    <d v="2024-11-23T00:00:00"/>
    <s v="Hyderabad"/>
    <x v="2"/>
    <x v="3"/>
    <s v="November"/>
    <x v="0"/>
    <n v="1.0895209580838301"/>
    <n v="2.99"/>
    <n v="10.11"/>
    <n v="20.22"/>
    <n v="131.07"/>
    <n v="46.71"/>
    <n v="2.31"/>
  </r>
  <r>
    <n v="953"/>
    <s v="A1953"/>
    <x v="3"/>
    <n v="186"/>
    <x v="494"/>
    <n v="204"/>
    <n v="26"/>
    <n v="6"/>
    <n v="3.2258064516128997E-2"/>
    <x v="208"/>
    <d v="2024-11-21T00:00:00"/>
    <s v="Hyderabad"/>
    <x v="0"/>
    <x v="2"/>
    <s v="November"/>
    <x v="5"/>
    <n v="1.0984408602150499"/>
    <n v="3.97"/>
    <n v="7.86"/>
    <n v="34.049999999999997"/>
    <n v="93.33"/>
    <n v="65.83"/>
    <n v="1.93"/>
  </r>
  <r>
    <n v="954"/>
    <s v="A1954"/>
    <x v="0"/>
    <n v="147"/>
    <x v="808"/>
    <n v="206"/>
    <n v="21"/>
    <n v="7"/>
    <n v="4.7619047619047603E-2"/>
    <x v="45"/>
    <d v="2024-11-28T00:00:00"/>
    <s v="Hyderabad"/>
    <x v="1"/>
    <x v="2"/>
    <s v="November"/>
    <x v="5"/>
    <n v="1.4040816326530601"/>
    <n v="3.03"/>
    <n v="9.83"/>
    <n v="29.49"/>
    <n v="50.68"/>
    <n v="44.43"/>
    <n v="1.51"/>
  </r>
  <r>
    <n v="955"/>
    <s v="A1955"/>
    <x v="1"/>
    <n v="136"/>
    <x v="809"/>
    <n v="236"/>
    <n v="26"/>
    <n v="9"/>
    <n v="6.6176470588235295E-2"/>
    <x v="171"/>
    <d v="2024-11-15T00:00:00"/>
    <s v="Hyderabad"/>
    <x v="0"/>
    <x v="0"/>
    <s v="November"/>
    <x v="3"/>
    <n v="1.7368382352941101"/>
    <n v="3.95"/>
    <n v="9.09"/>
    <n v="26.25"/>
    <n v="26.16"/>
    <n v="33.11"/>
    <n v="1.26"/>
  </r>
  <r>
    <n v="956"/>
    <s v="A1956"/>
    <x v="3"/>
    <n v="185"/>
    <x v="810"/>
    <n v="246"/>
    <n v="17"/>
    <n v="9"/>
    <n v="4.8648648648648603E-2"/>
    <x v="55"/>
    <d v="2024-11-09T00:00:00"/>
    <s v="Hyderabad"/>
    <x v="1"/>
    <x v="4"/>
    <s v="November"/>
    <x v="0"/>
    <n v="1.3292432432432399"/>
    <n v="4.97"/>
    <n v="14.47"/>
    <n v="27.32"/>
    <n v="1.26"/>
    <n v="27.67"/>
    <n v="1.01"/>
  </r>
  <r>
    <n v="957"/>
    <s v="A1957"/>
    <x v="1"/>
    <n v="162"/>
    <x v="176"/>
    <n v="201"/>
    <n v="11"/>
    <n v="9"/>
    <n v="5.5555555555555497E-2"/>
    <x v="179"/>
    <d v="2024-11-16T00:00:00"/>
    <s v="Hyderabad"/>
    <x v="1"/>
    <x v="1"/>
    <s v="November"/>
    <x v="0"/>
    <n v="1.2403703703703699"/>
    <n v="4.8499999999999996"/>
    <n v="18.27"/>
    <n v="22.33"/>
    <n v="84.63"/>
    <n v="41.22"/>
    <n v="1.85"/>
  </r>
  <r>
    <n v="958"/>
    <s v="A1958"/>
    <x v="1"/>
    <n v="91"/>
    <x v="811"/>
    <n v="234"/>
    <n v="23"/>
    <n v="5"/>
    <n v="5.4945054945054903E-2"/>
    <x v="84"/>
    <d v="2024-11-24T00:00:00"/>
    <s v="Hyderabad"/>
    <x v="0"/>
    <x v="4"/>
    <s v="November"/>
    <x v="4"/>
    <n v="2.5716483516483502"/>
    <n v="2.46"/>
    <n v="10.17"/>
    <n v="46.8"/>
    <n v="-0.19"/>
    <n v="46.71"/>
    <n v="1"/>
  </r>
  <r>
    <n v="959"/>
    <s v="A1959"/>
    <x v="2"/>
    <n v="109"/>
    <x v="812"/>
    <n v="224"/>
    <n v="30"/>
    <n v="4"/>
    <n v="3.6697247706422E-2"/>
    <x v="123"/>
    <d v="2024-11-13T00:00:00"/>
    <s v="Hyderabad"/>
    <x v="2"/>
    <x v="5"/>
    <s v="November"/>
    <x v="1"/>
    <n v="2.05834862385321"/>
    <n v="1.93"/>
    <n v="7.48"/>
    <n v="56.09"/>
    <n v="39.06"/>
    <n v="78"/>
    <n v="1.39"/>
  </r>
  <r>
    <n v="960"/>
    <s v="A1960"/>
    <x v="1"/>
    <n v="88"/>
    <x v="813"/>
    <n v="195"/>
    <n v="14"/>
    <n v="4"/>
    <n v="4.54545454545454E-2"/>
    <x v="146"/>
    <d v="2024-11-15T00:00:00"/>
    <s v="Hyderabad"/>
    <x v="0"/>
    <x v="1"/>
    <s v="November"/>
    <x v="3"/>
    <n v="2.2202272727272701"/>
    <n v="2.2000000000000002"/>
    <n v="13.96"/>
    <n v="48.84"/>
    <n v="28.47"/>
    <n v="62.75"/>
    <n v="1.28"/>
  </r>
  <r>
    <n v="961"/>
    <s v="A1961"/>
    <x v="2"/>
    <n v="189"/>
    <x v="814"/>
    <n v="205"/>
    <n v="28"/>
    <n v="7"/>
    <n v="3.7037037037037E-2"/>
    <x v="145"/>
    <d v="2024-11-27T00:00:00"/>
    <s v="Hyderabad"/>
    <x v="0"/>
    <x v="5"/>
    <s v="November"/>
    <x v="1"/>
    <n v="1.0860317460317399"/>
    <n v="5.54"/>
    <n v="7.33"/>
    <n v="29.32"/>
    <n v="14"/>
    <n v="33.43"/>
    <n v="1.1399999999999999"/>
  </r>
  <r>
    <n v="962"/>
    <s v="A1962"/>
    <x v="3"/>
    <n v="154"/>
    <x v="815"/>
    <n v="219"/>
    <n v="30"/>
    <n v="6"/>
    <n v="3.8961038961038898E-2"/>
    <x v="44"/>
    <d v="2024-11-10T00:00:00"/>
    <s v="Hyderabad"/>
    <x v="0"/>
    <x v="2"/>
    <s v="November"/>
    <x v="4"/>
    <n v="1.4201298701298699"/>
    <n v="4.97"/>
    <n v="7.29"/>
    <n v="36.450000000000003"/>
    <n v="27.57"/>
    <n v="46.5"/>
    <n v="1.28"/>
  </r>
  <r>
    <n v="963"/>
    <s v="A1963"/>
    <x v="2"/>
    <n v="106"/>
    <x v="816"/>
    <n v="243"/>
    <n v="24"/>
    <n v="5"/>
    <n v="4.71698113207547E-2"/>
    <x v="99"/>
    <d v="2024-11-04T00:00:00"/>
    <s v="Hyderabad"/>
    <x v="1"/>
    <x v="0"/>
    <s v="November"/>
    <x v="6"/>
    <n v="2.2897169811320701"/>
    <n v="3.51"/>
    <n v="10.11"/>
    <n v="48.54"/>
    <n v="42.97"/>
    <n v="69.400000000000006"/>
    <n v="1.43"/>
  </r>
  <r>
    <n v="964"/>
    <s v="A1964"/>
    <x v="1"/>
    <n v="134"/>
    <x v="817"/>
    <n v="202"/>
    <n v="17"/>
    <n v="5"/>
    <n v="3.7313432835820802E-2"/>
    <x v="57"/>
    <d v="2024-11-23T00:00:00"/>
    <s v="Hyderabad"/>
    <x v="2"/>
    <x v="3"/>
    <s v="November"/>
    <x v="0"/>
    <n v="1.5098507462686499"/>
    <n v="3.03"/>
    <n v="11.9"/>
    <n v="40.46"/>
    <n v="98.2"/>
    <n v="80.2"/>
    <n v="1.98"/>
  </r>
  <r>
    <n v="965"/>
    <s v="A1965"/>
    <x v="3"/>
    <n v="84"/>
    <x v="292"/>
    <n v="229"/>
    <n v="25"/>
    <n v="9"/>
    <n v="0.107142857142857"/>
    <x v="170"/>
    <d v="2024-11-26T00:00:00"/>
    <s v="Hyderabad"/>
    <x v="0"/>
    <x v="5"/>
    <s v="November"/>
    <x v="2"/>
    <n v="2.72166666666666"/>
    <n v="1.48"/>
    <n v="9.14"/>
    <n v="25.4"/>
    <n v="77.59"/>
    <n v="45.11"/>
    <n v="1.78"/>
  </r>
  <r>
    <n v="966"/>
    <s v="A1966"/>
    <x v="0"/>
    <n v="190"/>
    <x v="818"/>
    <n v="198"/>
    <n v="12"/>
    <n v="4"/>
    <n v="2.1052631578947299E-2"/>
    <x v="188"/>
    <d v="2024-11-07T00:00:00"/>
    <s v="Hyderabad"/>
    <x v="0"/>
    <x v="2"/>
    <s v="November"/>
    <x v="5"/>
    <n v="1.0430526315789399"/>
    <n v="4.24"/>
    <n v="16.52"/>
    <n v="49.54"/>
    <n v="2.94"/>
    <n v="51"/>
    <n v="1.03"/>
  </r>
  <r>
    <n v="967"/>
    <s v="A1967"/>
    <x v="0"/>
    <n v="156"/>
    <x v="819"/>
    <n v="199"/>
    <n v="26"/>
    <n v="8"/>
    <n v="5.1282051282051197E-2"/>
    <x v="33"/>
    <d v="2024-11-04T00:00:00"/>
    <s v="Hyderabad"/>
    <x v="2"/>
    <x v="2"/>
    <s v="November"/>
    <x v="6"/>
    <n v="1.2775641025641"/>
    <n v="3.27"/>
    <n v="7.67"/>
    <n v="24.91"/>
    <n v="86.65"/>
    <n v="46.5"/>
    <n v="1.87"/>
  </r>
  <r>
    <n v="968"/>
    <s v="A1968"/>
    <x v="1"/>
    <n v="167"/>
    <x v="671"/>
    <n v="199"/>
    <n v="23"/>
    <n v="9"/>
    <n v="5.3892215568862201E-2"/>
    <x v="148"/>
    <d v="2024-11-14T00:00:00"/>
    <s v="Hyderabad"/>
    <x v="0"/>
    <x v="1"/>
    <s v="November"/>
    <x v="5"/>
    <n v="1.1911377245508901"/>
    <n v="3.03"/>
    <n v="8.65"/>
    <n v="22.1"/>
    <n v="9.09"/>
    <n v="24.11"/>
    <n v="1.0900000000000001"/>
  </r>
  <r>
    <n v="969"/>
    <s v="A1969"/>
    <x v="3"/>
    <n v="170"/>
    <x v="820"/>
    <n v="203"/>
    <n v="27"/>
    <n v="6"/>
    <n v="3.5294117647058802E-2"/>
    <x v="153"/>
    <d v="2024-11-04T00:00:00"/>
    <s v="Hyderabad"/>
    <x v="1"/>
    <x v="3"/>
    <s v="November"/>
    <x v="6"/>
    <n v="1.19188235294117"/>
    <n v="3.55"/>
    <n v="7.5"/>
    <n v="33.770000000000003"/>
    <n v="38.19"/>
    <n v="46.67"/>
    <n v="1.38"/>
  </r>
  <r>
    <n v="970"/>
    <s v="A1970"/>
    <x v="3"/>
    <n v="86"/>
    <x v="821"/>
    <n v="193"/>
    <n v="26"/>
    <n v="5"/>
    <n v="5.8139534883720902E-2"/>
    <x v="120"/>
    <d v="2024-11-23T00:00:00"/>
    <s v="Hyderabad"/>
    <x v="0"/>
    <x v="0"/>
    <s v="November"/>
    <x v="0"/>
    <n v="2.2459302325581301"/>
    <n v="2.17"/>
    <n v="7.43"/>
    <n v="38.630000000000003"/>
    <n v="72.92"/>
    <n v="66.8"/>
    <n v="1.73"/>
  </r>
  <r>
    <n v="971"/>
    <s v="A1971"/>
    <x v="1"/>
    <n v="143"/>
    <x v="822"/>
    <n v="236"/>
    <n v="10"/>
    <n v="3"/>
    <n v="2.09790209790209E-2"/>
    <x v="168"/>
    <d v="2024-11-16T00:00:00"/>
    <s v="Hyderabad"/>
    <x v="2"/>
    <x v="2"/>
    <s v="November"/>
    <x v="0"/>
    <n v="1.6529370629370601"/>
    <n v="2.69"/>
    <n v="23.64"/>
    <n v="78.790000000000006"/>
    <n v="60.76"/>
    <n v="126.67"/>
    <n v="1.61"/>
  </r>
  <r>
    <n v="972"/>
    <s v="A1972"/>
    <x v="3"/>
    <n v="84"/>
    <x v="576"/>
    <n v="207"/>
    <n v="23"/>
    <n v="3"/>
    <n v="3.5714285714285698E-2"/>
    <x v="140"/>
    <d v="2024-11-17T00:00:00"/>
    <s v="Hyderabad"/>
    <x v="0"/>
    <x v="0"/>
    <s v="November"/>
    <x v="4"/>
    <n v="2.4619047619047598"/>
    <n v="2.4300000000000002"/>
    <n v="8.99"/>
    <n v="68.930000000000007"/>
    <n v="55.22"/>
    <n v="107"/>
    <n v="1.55"/>
  </r>
  <r>
    <n v="973"/>
    <s v="A1973"/>
    <x v="1"/>
    <n v="145"/>
    <x v="393"/>
    <n v="237"/>
    <n v="29"/>
    <n v="8"/>
    <n v="5.5172413793103399E-2"/>
    <x v="71"/>
    <d v="2024-11-23T00:00:00"/>
    <s v="Hyderabad"/>
    <x v="2"/>
    <x v="1"/>
    <s v="November"/>
    <x v="0"/>
    <n v="1.63393103448275"/>
    <n v="3.81"/>
    <n v="8.17"/>
    <n v="29.62"/>
    <n v="14.38"/>
    <n v="33.880000000000003"/>
    <n v="1.1399999999999999"/>
  </r>
  <r>
    <n v="974"/>
    <s v="A1974"/>
    <x v="2"/>
    <n v="126"/>
    <x v="567"/>
    <n v="235"/>
    <n v="25"/>
    <n v="8"/>
    <n v="6.3492063492063405E-2"/>
    <x v="198"/>
    <d v="2024-11-23T00:00:00"/>
    <s v="Hyderabad"/>
    <x v="0"/>
    <x v="4"/>
    <s v="November"/>
    <x v="0"/>
    <n v="1.86230158730158"/>
    <n v="2.7"/>
    <n v="9.39"/>
    <n v="29.33"/>
    <n v="27.85"/>
    <n v="37.5"/>
    <n v="1.28"/>
  </r>
  <r>
    <n v="975"/>
    <s v="A1975"/>
    <x v="3"/>
    <n v="156"/>
    <x v="823"/>
    <n v="189"/>
    <n v="14"/>
    <n v="6"/>
    <n v="3.8461538461538401E-2"/>
    <x v="168"/>
    <d v="2024-11-15T00:00:00"/>
    <s v="Hyderabad"/>
    <x v="1"/>
    <x v="2"/>
    <s v="November"/>
    <x v="3"/>
    <n v="1.21384615384615"/>
    <n v="4.7699999999999996"/>
    <n v="13.53"/>
    <n v="31.56"/>
    <n v="100.68"/>
    <n v="63.33"/>
    <n v="2.0099999999999998"/>
  </r>
  <r>
    <n v="976"/>
    <s v="A1976"/>
    <x v="3"/>
    <n v="124"/>
    <x v="554"/>
    <n v="182"/>
    <n v="18"/>
    <n v="9"/>
    <n v="7.25806451612903E-2"/>
    <x v="96"/>
    <d v="2024-11-22T00:00:00"/>
    <s v="Hyderabad"/>
    <x v="0"/>
    <x v="3"/>
    <s v="November"/>
    <x v="3"/>
    <n v="1.4679032258064499"/>
    <n v="2.93"/>
    <n v="10.11"/>
    <n v="20.22"/>
    <n v="121.95"/>
    <n v="44.89"/>
    <n v="2.2200000000000002"/>
  </r>
  <r>
    <n v="977"/>
    <s v="A1977"/>
    <x v="2"/>
    <n v="197"/>
    <x v="824"/>
    <n v="218"/>
    <n v="28"/>
    <n v="7"/>
    <n v="3.5532994923857801E-2"/>
    <x v="154"/>
    <d v="2024-11-18T00:00:00"/>
    <s v="Hyderabad"/>
    <x v="1"/>
    <x v="0"/>
    <s v="November"/>
    <x v="6"/>
    <n v="1.1056345177664899"/>
    <n v="3.36"/>
    <n v="7.78"/>
    <n v="31.12"/>
    <n v="24.88"/>
    <n v="38.86"/>
    <n v="1.25"/>
  </r>
  <r>
    <n v="978"/>
    <s v="A1978"/>
    <x v="0"/>
    <n v="106"/>
    <x v="825"/>
    <n v="215"/>
    <n v="12"/>
    <n v="5"/>
    <n v="4.71698113207547E-2"/>
    <x v="189"/>
    <d v="2024-11-25T00:00:00"/>
    <s v="Hyderabad"/>
    <x v="1"/>
    <x v="0"/>
    <s v="November"/>
    <x v="6"/>
    <n v="2.0241509433962199"/>
    <n v="3.42"/>
    <n v="17.88"/>
    <n v="42.91"/>
    <n v="78.97"/>
    <n v="76.8"/>
    <n v="1.79"/>
  </r>
  <r>
    <n v="979"/>
    <s v="A1979"/>
    <x v="3"/>
    <n v="129"/>
    <x v="826"/>
    <n v="230"/>
    <n v="23"/>
    <n v="7"/>
    <n v="5.4263565891472798E-2"/>
    <x v="126"/>
    <d v="2024-11-25T00:00:00"/>
    <s v="Hyderabad"/>
    <x v="2"/>
    <x v="0"/>
    <s v="November"/>
    <x v="6"/>
    <n v="1.78395348837209"/>
    <n v="2.66"/>
    <n v="10.01"/>
    <n v="32.880000000000003"/>
    <n v="52.52"/>
    <n v="50.14"/>
    <n v="1.53"/>
  </r>
  <r>
    <n v="980"/>
    <s v="A1980"/>
    <x v="3"/>
    <n v="93"/>
    <x v="827"/>
    <n v="245"/>
    <n v="11"/>
    <n v="8"/>
    <n v="8.6021505376343996E-2"/>
    <x v="158"/>
    <d v="2024-11-24T00:00:00"/>
    <s v="Hyderabad"/>
    <x v="0"/>
    <x v="4"/>
    <s v="November"/>
    <x v="4"/>
    <n v="2.6315053763440801"/>
    <n v="2.29"/>
    <n v="22.25"/>
    <n v="30.59"/>
    <n v="-10.92"/>
    <n v="27.25"/>
    <n v="0.89"/>
  </r>
  <r>
    <n v="981"/>
    <s v="A1981"/>
    <x v="2"/>
    <n v="96"/>
    <x v="828"/>
    <n v="220"/>
    <n v="16"/>
    <n v="8"/>
    <n v="8.3333333333333301E-2"/>
    <x v="32"/>
    <d v="2024-11-07T00:00:00"/>
    <s v="Hyderabad"/>
    <x v="2"/>
    <x v="2"/>
    <s v="November"/>
    <x v="5"/>
    <n v="2.288125"/>
    <n v="2.36"/>
    <n v="13.73"/>
    <n v="27.46"/>
    <n v="70.13"/>
    <n v="46.71"/>
    <n v="1.7"/>
  </r>
  <r>
    <n v="982"/>
    <s v="A1982"/>
    <x v="3"/>
    <n v="135"/>
    <x v="550"/>
    <n v="196"/>
    <n v="12"/>
    <n v="9"/>
    <n v="6.6666666666666596E-2"/>
    <x v="153"/>
    <d v="2024-11-08T00:00:00"/>
    <s v="Hyderabad"/>
    <x v="1"/>
    <x v="5"/>
    <s v="November"/>
    <x v="3"/>
    <n v="1.45318518518518"/>
    <n v="3.05"/>
    <n v="16.350000000000001"/>
    <n v="21.8"/>
    <n v="42.73"/>
    <n v="31.11"/>
    <n v="1.43"/>
  </r>
  <r>
    <n v="983"/>
    <s v="A1983"/>
    <x v="2"/>
    <n v="138"/>
    <x v="829"/>
    <n v="205"/>
    <n v="15"/>
    <n v="9"/>
    <n v="6.5217391304347797E-2"/>
    <x v="50"/>
    <d v="2024-11-22T00:00:00"/>
    <s v="Hyderabad"/>
    <x v="1"/>
    <x v="4"/>
    <s v="November"/>
    <x v="3"/>
    <n v="1.48449275362318"/>
    <n v="2.58"/>
    <n v="13.66"/>
    <n v="22.76"/>
    <n v="26.43"/>
    <n v="28.78"/>
    <n v="1.26"/>
  </r>
  <r>
    <n v="984"/>
    <s v="A1984"/>
    <x v="3"/>
    <n v="92"/>
    <x v="830"/>
    <n v="247"/>
    <n v="19"/>
    <n v="4"/>
    <n v="4.3478260869565202E-2"/>
    <x v="211"/>
    <d v="2024-11-07T00:00:00"/>
    <s v="Hyderabad"/>
    <x v="0"/>
    <x v="3"/>
    <s v="November"/>
    <x v="5"/>
    <n v="2.69010869565217"/>
    <n v="1.88"/>
    <n v="13.03"/>
    <n v="61.87"/>
    <n v="62.43"/>
    <n v="100.5"/>
    <n v="1.62"/>
  </r>
  <r>
    <n v="985"/>
    <s v="A1985"/>
    <x v="0"/>
    <n v="151"/>
    <x v="658"/>
    <n v="232"/>
    <n v="13"/>
    <n v="9"/>
    <n v="5.9602649006622502E-2"/>
    <x v="0"/>
    <d v="2024-11-05T00:00:00"/>
    <s v="Hyderabad"/>
    <x v="1"/>
    <x v="2"/>
    <s v="November"/>
    <x v="2"/>
    <n v="1.53682119205298"/>
    <n v="2.85"/>
    <n v="17.850000000000001"/>
    <n v="25.78"/>
    <n v="66.34"/>
    <n v="42.89"/>
    <n v="1.66"/>
  </r>
  <r>
    <n v="986"/>
    <s v="A1986"/>
    <x v="0"/>
    <n v="189"/>
    <x v="539"/>
    <n v="210"/>
    <n v="25"/>
    <n v="6"/>
    <n v="3.1746031746031703E-2"/>
    <x v="208"/>
    <d v="2024-11-26T00:00:00"/>
    <s v="Hyderabad"/>
    <x v="2"/>
    <x v="4"/>
    <s v="November"/>
    <x v="2"/>
    <n v="1.1102645502645501"/>
    <n v="6.24"/>
    <n v="8.39"/>
    <n v="34.97"/>
    <n v="88.24"/>
    <n v="65.83"/>
    <n v="1.88"/>
  </r>
  <r>
    <n v="987"/>
    <s v="A1987"/>
    <x v="0"/>
    <n v="97"/>
    <x v="298"/>
    <n v="181"/>
    <n v="24"/>
    <n v="5"/>
    <n v="5.1546391752577303E-2"/>
    <x v="182"/>
    <d v="2024-11-07T00:00:00"/>
    <s v="Hyderabad"/>
    <x v="2"/>
    <x v="5"/>
    <s v="November"/>
    <x v="5"/>
    <n v="1.8610309278350501"/>
    <n v="2.84"/>
    <n v="7.52"/>
    <n v="36.1"/>
    <n v="73.39"/>
    <n v="62.6"/>
    <n v="1.73"/>
  </r>
  <r>
    <n v="988"/>
    <s v="A1988"/>
    <x v="1"/>
    <n v="178"/>
    <x v="208"/>
    <n v="201"/>
    <n v="12"/>
    <n v="9"/>
    <n v="5.0561797752808897E-2"/>
    <x v="140"/>
    <d v="2024-11-18T00:00:00"/>
    <s v="Hyderabad"/>
    <x v="0"/>
    <x v="0"/>
    <s v="November"/>
    <x v="6"/>
    <n v="1.1270224719101101"/>
    <n v="3.75"/>
    <n v="16.72"/>
    <n v="22.29"/>
    <n v="60.01"/>
    <n v="35.67"/>
    <n v="1.6"/>
  </r>
  <r>
    <n v="989"/>
    <s v="A1989"/>
    <x v="3"/>
    <n v="164"/>
    <x v="831"/>
    <n v="192"/>
    <n v="12"/>
    <n v="8"/>
    <n v="4.8780487804878002E-2"/>
    <x v="131"/>
    <d v="2024-11-07T00:00:00"/>
    <s v="Hyderabad"/>
    <x v="0"/>
    <x v="1"/>
    <s v="November"/>
    <x v="5"/>
    <n v="1.1728048780487801"/>
    <n v="5.42"/>
    <n v="16.03"/>
    <n v="24.04"/>
    <n v="112.12"/>
    <n v="51"/>
    <n v="2.12"/>
  </r>
  <r>
    <n v="990"/>
    <s v="A1990"/>
    <x v="3"/>
    <n v="94"/>
    <x v="397"/>
    <n v="231"/>
    <n v="21"/>
    <n v="5"/>
    <n v="5.31914893617021E-2"/>
    <x v="29"/>
    <d v="2024-11-03T00:00:00"/>
    <s v="Hyderabad"/>
    <x v="0"/>
    <x v="2"/>
    <s v="November"/>
    <x v="4"/>
    <n v="2.4619148936170201"/>
    <n v="1.73"/>
    <n v="11.02"/>
    <n v="46.28"/>
    <n v="-1.91"/>
    <n v="45.4"/>
    <n v="0.98"/>
  </r>
  <r>
    <n v="991"/>
    <s v="A1991"/>
    <x v="3"/>
    <n v="176"/>
    <x v="832"/>
    <n v="205"/>
    <n v="29"/>
    <n v="7"/>
    <n v="3.9772727272727203E-2"/>
    <x v="2"/>
    <d v="2024-11-13T00:00:00"/>
    <s v="Hyderabad"/>
    <x v="2"/>
    <x v="4"/>
    <s v="November"/>
    <x v="1"/>
    <n v="1.1621022727272701"/>
    <n v="5.83"/>
    <n v="7.05"/>
    <n v="29.22"/>
    <n v="61.83"/>
    <n v="47.29"/>
    <n v="1.62"/>
  </r>
  <r>
    <n v="992"/>
    <s v="A1992"/>
    <x v="0"/>
    <n v="165"/>
    <x v="833"/>
    <n v="193"/>
    <n v="23"/>
    <n v="5"/>
    <n v="3.03030303030303E-2"/>
    <x v="165"/>
    <d v="2024-11-12T00:00:00"/>
    <s v="Hyderabad"/>
    <x v="1"/>
    <x v="3"/>
    <s v="November"/>
    <x v="2"/>
    <n v="1.1668484848484799"/>
    <n v="3.09"/>
    <n v="8.3699999999999992"/>
    <n v="38.51"/>
    <n v="48.55"/>
    <n v="57.2"/>
    <n v="1.49"/>
  </r>
  <r>
    <n v="993"/>
    <s v="A1993"/>
    <x v="1"/>
    <n v="188"/>
    <x v="694"/>
    <n v="237"/>
    <n v="18"/>
    <n v="8"/>
    <n v="4.2553191489361701E-2"/>
    <x v="38"/>
    <d v="2024-11-06T00:00:00"/>
    <s v="Hyderabad"/>
    <x v="2"/>
    <x v="1"/>
    <s v="November"/>
    <x v="1"/>
    <n v="1.2609042553191401"/>
    <n v="4.6100000000000003"/>
    <n v="13.17"/>
    <n v="29.63"/>
    <n v="59.04"/>
    <n v="47.12"/>
    <n v="1.59"/>
  </r>
  <r>
    <n v="994"/>
    <s v="A1994"/>
    <x v="2"/>
    <n v="87"/>
    <x v="613"/>
    <n v="206"/>
    <n v="16"/>
    <n v="6"/>
    <n v="6.8965517241379296E-2"/>
    <x v="30"/>
    <d v="2024-11-09T00:00:00"/>
    <s v="Hyderabad"/>
    <x v="0"/>
    <x v="4"/>
    <s v="November"/>
    <x v="0"/>
    <n v="2.3645977011494201"/>
    <n v="1.8"/>
    <n v="12.86"/>
    <n v="34.29"/>
    <n v="3.05"/>
    <n v="35.33"/>
    <n v="1.03"/>
  </r>
  <r>
    <n v="995"/>
    <s v="A1995"/>
    <x v="0"/>
    <n v="106"/>
    <x v="834"/>
    <n v="197"/>
    <n v="17"/>
    <n v="4"/>
    <n v="3.7735849056603703E-2"/>
    <x v="18"/>
    <d v="2024-11-29T00:00:00"/>
    <s v="Hyderabad"/>
    <x v="2"/>
    <x v="3"/>
    <s v="November"/>
    <x v="3"/>
    <n v="1.8556603773584901"/>
    <n v="2.2400000000000002"/>
    <n v="11.57"/>
    <n v="49.18"/>
    <n v="57.09"/>
    <n v="77.25"/>
    <n v="1.57"/>
  </r>
  <r>
    <n v="996"/>
    <s v="A1996"/>
    <x v="2"/>
    <n v="198"/>
    <x v="835"/>
    <n v="218"/>
    <n v="10"/>
    <n v="8"/>
    <n v="4.0404040404040401E-2"/>
    <x v="101"/>
    <d v="2024-11-17T00:00:00"/>
    <s v="Hyderabad"/>
    <x v="1"/>
    <x v="3"/>
    <s v="November"/>
    <x v="4"/>
    <n v="1.1030303030302999"/>
    <n v="4.74"/>
    <n v="21.84"/>
    <n v="27.3"/>
    <n v="21.34"/>
    <n v="33.119999999999997"/>
    <n v="1.21"/>
  </r>
  <r>
    <n v="997"/>
    <s v="A1997"/>
    <x v="3"/>
    <n v="121"/>
    <x v="836"/>
    <n v="203"/>
    <n v="25"/>
    <n v="6"/>
    <n v="4.9586776859504099E-2"/>
    <x v="3"/>
    <d v="2024-11-14T00:00:00"/>
    <s v="Hyderabad"/>
    <x v="2"/>
    <x v="2"/>
    <s v="November"/>
    <x v="5"/>
    <n v="1.6770247933884199"/>
    <n v="2.08"/>
    <n v="8.1199999999999992"/>
    <n v="33.82"/>
    <n v="23.2"/>
    <n v="41.67"/>
    <n v="1.23"/>
  </r>
  <r>
    <n v="998"/>
    <s v="A1998"/>
    <x v="0"/>
    <n v="120"/>
    <x v="837"/>
    <n v="203"/>
    <n v="21"/>
    <n v="4"/>
    <n v="3.3333333333333298E-2"/>
    <x v="82"/>
    <d v="2024-11-26T00:00:00"/>
    <s v="Hyderabad"/>
    <x v="2"/>
    <x v="4"/>
    <s v="November"/>
    <x v="2"/>
    <n v="1.69"/>
    <n v="2.79"/>
    <n v="9.66"/>
    <n v="50.7"/>
    <n v="4.04"/>
    <n v="52.75"/>
    <n v="1.04"/>
  </r>
  <r>
    <n v="999"/>
    <s v="A1999"/>
    <x v="2"/>
    <n v="189"/>
    <x v="670"/>
    <n v="211"/>
    <n v="21"/>
    <n v="10"/>
    <n v="5.29100529100529E-2"/>
    <x v="63"/>
    <d v="2024-11-11T00:00:00"/>
    <s v="Hyderabad"/>
    <x v="1"/>
    <x v="1"/>
    <s v="November"/>
    <x v="6"/>
    <n v="1.1157142857142801"/>
    <n v="3.63"/>
    <n v="10.039999999999999"/>
    <n v="21.09"/>
    <n v="50.8"/>
    <n v="31.8"/>
    <n v="1.51"/>
  </r>
  <r>
    <n v="1000"/>
    <s v="A2000"/>
    <x v="0"/>
    <n v="131"/>
    <x v="838"/>
    <n v="229"/>
    <n v="30"/>
    <n v="6"/>
    <n v="4.5801526717557203E-2"/>
    <x v="50"/>
    <d v="2024-11-03T00:00:00"/>
    <s v="Hyderabad"/>
    <x v="2"/>
    <x v="5"/>
    <s v="November"/>
    <x v="4"/>
    <n v="1.74526717557251"/>
    <n v="2.85"/>
    <n v="7.62"/>
    <n v="38.1"/>
    <n v="13.28"/>
    <n v="43.17"/>
    <n v="1.1299999999999999"/>
  </r>
  <r>
    <n v="1001"/>
    <s v="A2001"/>
    <x v="1"/>
    <n v="99"/>
    <x v="839"/>
    <n v="207"/>
    <n v="10"/>
    <n v="9"/>
    <n v="9.0909090909090898E-2"/>
    <x v="119"/>
    <d v="2024-11-14T00:00:00"/>
    <s v="Hyderabad"/>
    <x v="1"/>
    <x v="5"/>
    <s v="November"/>
    <x v="5"/>
    <n v="2.0951515151515099"/>
    <n v="2.44"/>
    <n v="20.74"/>
    <n v="23.05"/>
    <n v="76.94"/>
    <n v="40.78"/>
    <n v="1.77"/>
  </r>
  <r>
    <n v="1002"/>
    <s v="A2002"/>
    <x v="0"/>
    <n v="199"/>
    <x v="198"/>
    <n v="244"/>
    <n v="23"/>
    <n v="7"/>
    <n v="3.5175879396984903E-2"/>
    <x v="7"/>
    <d v="2024-11-15T00:00:00"/>
    <s v="Hyderabad"/>
    <x v="0"/>
    <x v="3"/>
    <s v="November"/>
    <x v="3"/>
    <n v="1.2251256281406999"/>
    <n v="4.88"/>
    <n v="10.6"/>
    <n v="34.83"/>
    <n v="26.33"/>
    <n v="44"/>
    <n v="1.26"/>
  </r>
  <r>
    <n v="1003"/>
    <s v="A2003"/>
    <x v="2"/>
    <n v="180"/>
    <x v="840"/>
    <n v="241"/>
    <n v="21"/>
    <n v="8"/>
    <n v="4.4444444444444398E-2"/>
    <x v="102"/>
    <d v="2024-11-11T00:00:00"/>
    <s v="Hyderabad"/>
    <x v="0"/>
    <x v="4"/>
    <s v="November"/>
    <x v="6"/>
    <n v="1.3375555555555501"/>
    <n v="4.3499999999999996"/>
    <n v="11.46"/>
    <n v="30.1"/>
    <n v="5.91"/>
    <n v="31.88"/>
    <n v="1.06"/>
  </r>
  <r>
    <n v="1004"/>
    <s v="A2004"/>
    <x v="1"/>
    <n v="88"/>
    <x v="841"/>
    <n v="193"/>
    <n v="29"/>
    <n v="3"/>
    <n v="3.4090909090908998E-2"/>
    <x v="132"/>
    <d v="2024-11-14T00:00:00"/>
    <s v="Hyderabad"/>
    <x v="2"/>
    <x v="2"/>
    <s v="November"/>
    <x v="5"/>
    <n v="2.19602272727272"/>
    <n v="2.64"/>
    <n v="6.66"/>
    <n v="64.42"/>
    <n v="47.48"/>
    <n v="95"/>
    <n v="1.47"/>
  </r>
  <r>
    <n v="1005"/>
    <s v="A2005"/>
    <x v="1"/>
    <n v="140"/>
    <x v="842"/>
    <n v="249"/>
    <n v="20"/>
    <n v="9"/>
    <n v="6.4285714285714196E-2"/>
    <x v="71"/>
    <d v="2024-11-22T00:00:00"/>
    <s v="Hyderabad"/>
    <x v="1"/>
    <x v="0"/>
    <s v="November"/>
    <x v="3"/>
    <n v="1.7809285714285701"/>
    <n v="3.8"/>
    <n v="12.47"/>
    <n v="27.7"/>
    <n v="8.69"/>
    <n v="30.11"/>
    <n v="1.0900000000000001"/>
  </r>
  <r>
    <n v="1006"/>
    <s v="A2006"/>
    <x v="2"/>
    <n v="166"/>
    <x v="843"/>
    <n v="224"/>
    <n v="23"/>
    <n v="9"/>
    <n v="5.4216867469879498E-2"/>
    <x v="193"/>
    <d v="2024-11-07T00:00:00"/>
    <s v="Hyderabad"/>
    <x v="2"/>
    <x v="2"/>
    <s v="November"/>
    <x v="5"/>
    <n v="1.34909638554216"/>
    <n v="3.56"/>
    <n v="9.74"/>
    <n v="24.88"/>
    <n v="28.15"/>
    <n v="31.89"/>
    <n v="1.28"/>
  </r>
  <r>
    <n v="1007"/>
    <s v="A2007"/>
    <x v="3"/>
    <n v="185"/>
    <x v="286"/>
    <n v="199"/>
    <n v="30"/>
    <n v="4"/>
    <n v="2.1621621621621599E-2"/>
    <x v="133"/>
    <d v="2024-11-13T00:00:00"/>
    <s v="Hyderabad"/>
    <x v="0"/>
    <x v="3"/>
    <s v="November"/>
    <x v="1"/>
    <n v="1.0738378378378299"/>
    <n v="5.04"/>
    <n v="6.62"/>
    <n v="49.66"/>
    <n v="47.99"/>
    <n v="73.5"/>
    <n v="1.48"/>
  </r>
  <r>
    <n v="1008"/>
    <s v="A2008"/>
    <x v="1"/>
    <n v="139"/>
    <x v="68"/>
    <n v="242"/>
    <n v="25"/>
    <n v="5"/>
    <n v="3.5971223021582698E-2"/>
    <x v="71"/>
    <d v="2024-11-26T00:00:00"/>
    <s v="Hyderabad"/>
    <x v="2"/>
    <x v="0"/>
    <s v="November"/>
    <x v="2"/>
    <n v="1.74187050359712"/>
    <n v="3.44"/>
    <n v="9.68"/>
    <n v="48.42"/>
    <n v="11.93"/>
    <n v="54.2"/>
    <n v="1.1200000000000001"/>
  </r>
  <r>
    <n v="1009"/>
    <s v="A2009"/>
    <x v="3"/>
    <n v="142"/>
    <x v="844"/>
    <n v="199"/>
    <n v="27"/>
    <n v="3"/>
    <n v="2.1126760563380202E-2"/>
    <x v="42"/>
    <d v="2024-11-30T00:00:00"/>
    <s v="Hyderabad"/>
    <x v="2"/>
    <x v="5"/>
    <s v="November"/>
    <x v="0"/>
    <n v="1.4012676056338"/>
    <n v="3.16"/>
    <n v="7.37"/>
    <n v="66.33"/>
    <n v="62.33"/>
    <n v="107.67"/>
    <n v="1.62"/>
  </r>
  <r>
    <n v="1010"/>
    <s v="A2010"/>
    <x v="2"/>
    <n v="173"/>
    <x v="320"/>
    <n v="197"/>
    <n v="20"/>
    <n v="10"/>
    <n v="5.7803468208092401E-2"/>
    <x v="166"/>
    <d v="2024-11-26T00:00:00"/>
    <s v="Hyderabad"/>
    <x v="0"/>
    <x v="3"/>
    <s v="November"/>
    <x v="2"/>
    <n v="1.1387861271676301"/>
    <n v="4.67"/>
    <n v="9.85"/>
    <n v="19.7"/>
    <n v="4.5599999999999996"/>
    <n v="20.6"/>
    <n v="1.05"/>
  </r>
  <r>
    <n v="1011"/>
    <s v="A2011"/>
    <x v="2"/>
    <n v="177"/>
    <x v="845"/>
    <n v="274"/>
    <n v="27"/>
    <n v="3"/>
    <n v="1.6949152542372801E-2"/>
    <x v="145"/>
    <d v="2024-11-25T00:00:00"/>
    <s v="Hyderabad"/>
    <x v="2"/>
    <x v="0"/>
    <s v="November"/>
    <x v="6"/>
    <n v="1.5486459462801201"/>
    <n v="3.03"/>
    <n v="10.15"/>
    <n v="91.37"/>
    <n v="-14.63"/>
    <n v="78"/>
    <n v="0.85"/>
  </r>
  <r>
    <n v="1012"/>
    <s v="A2012"/>
    <x v="3"/>
    <n v="153"/>
    <x v="846"/>
    <n v="206"/>
    <n v="24"/>
    <n v="3"/>
    <n v="1.9607843137254902E-2"/>
    <x v="187"/>
    <d v="2024-11-10T00:00:00"/>
    <s v="Hyderabad"/>
    <x v="0"/>
    <x v="0"/>
    <s v="November"/>
    <x v="4"/>
    <n v="1.34457516339869"/>
    <n v="2.9"/>
    <n v="8.57"/>
    <n v="68.569999999999993"/>
    <n v="57.98"/>
    <n v="108.33"/>
    <n v="1.58"/>
  </r>
  <r>
    <n v="1013"/>
    <s v="A2013"/>
    <x v="1"/>
    <n v="104"/>
    <x v="847"/>
    <n v="241"/>
    <n v="17"/>
    <n v="6"/>
    <n v="5.7692307692307598E-2"/>
    <x v="212"/>
    <d v="2024-11-28T00:00:00"/>
    <s v="Hyderabad"/>
    <x v="1"/>
    <x v="2"/>
    <s v="November"/>
    <x v="5"/>
    <n v="2.3187500000000001"/>
    <n v="2"/>
    <n v="14.19"/>
    <n v="40.19"/>
    <n v="-1.31"/>
    <n v="39.67"/>
    <n v="0.99"/>
  </r>
  <r>
    <n v="1014"/>
    <s v="A2014"/>
    <x v="2"/>
    <n v="120"/>
    <x v="848"/>
    <n v="198"/>
    <n v="15"/>
    <n v="10"/>
    <n v="8.3333333333333301E-2"/>
    <x v="0"/>
    <d v="2024-11-27T00:00:00"/>
    <s v="Hyderabad"/>
    <x v="0"/>
    <x v="3"/>
    <s v="November"/>
    <x v="1"/>
    <n v="1.65408333333333"/>
    <n v="2.83"/>
    <n v="13.23"/>
    <n v="19.850000000000001"/>
    <n v="94.47"/>
    <n v="38.6"/>
    <n v="1.94"/>
  </r>
  <r>
    <n v="1015"/>
    <s v="A2015"/>
    <x v="3"/>
    <n v="100"/>
    <x v="247"/>
    <n v="248"/>
    <n v="23"/>
    <n v="8"/>
    <n v="0.08"/>
    <x v="178"/>
    <d v="2024-11-14T00:00:00"/>
    <s v="Hyderabad"/>
    <x v="1"/>
    <x v="0"/>
    <s v="November"/>
    <x v="5"/>
    <n v="2.4794999999999998"/>
    <n v="2.69"/>
    <n v="10.78"/>
    <n v="30.99"/>
    <n v="58.5"/>
    <n v="49.12"/>
    <n v="1.58"/>
  </r>
  <r>
    <n v="1016"/>
    <s v="A2016"/>
    <x v="2"/>
    <n v="106"/>
    <x v="849"/>
    <n v="238"/>
    <n v="28"/>
    <n v="7"/>
    <n v="6.6037735849056603E-2"/>
    <x v="49"/>
    <d v="2024-11-02T00:00:00"/>
    <s v="Hyderabad"/>
    <x v="1"/>
    <x v="5"/>
    <s v="November"/>
    <x v="0"/>
    <n v="2.2442452830188602"/>
    <n v="2.91"/>
    <n v="8.5"/>
    <n v="33.979999999999997"/>
    <n v="34.1"/>
    <n v="45.57"/>
    <n v="1.34"/>
  </r>
  <r>
    <n v="1017"/>
    <s v="A2017"/>
    <x v="2"/>
    <n v="136"/>
    <x v="850"/>
    <n v="227"/>
    <n v="28"/>
    <n v="9"/>
    <n v="6.6176470588235295E-2"/>
    <x v="151"/>
    <d v="2024-11-19T00:00:00"/>
    <s v="Hyderabad"/>
    <x v="2"/>
    <x v="0"/>
    <s v="November"/>
    <x v="2"/>
    <n v="1.6722794117647"/>
    <n v="3.32"/>
    <n v="8.1199999999999992"/>
    <n v="25.27"/>
    <n v="15.2"/>
    <n v="29.11"/>
    <n v="1.1499999999999999"/>
  </r>
  <r>
    <n v="1018"/>
    <s v="A2018"/>
    <x v="2"/>
    <n v="121"/>
    <x v="764"/>
    <n v="247"/>
    <n v="25"/>
    <n v="6"/>
    <n v="4.9586776859504099E-2"/>
    <x v="98"/>
    <d v="2024-11-02T00:00:00"/>
    <s v="Hyderabad"/>
    <x v="0"/>
    <x v="4"/>
    <s v="November"/>
    <x v="0"/>
    <n v="2.0376859504132199"/>
    <n v="3.59"/>
    <n v="9.86"/>
    <n v="41.09"/>
    <n v="-3.07"/>
    <n v="39.83"/>
    <n v="0.97"/>
  </r>
  <r>
    <n v="1019"/>
    <s v="A2019"/>
    <x v="2"/>
    <n v="153"/>
    <x v="851"/>
    <n v="231"/>
    <n v="29"/>
    <n v="5"/>
    <n v="3.2679738562091498E-2"/>
    <x v="60"/>
    <d v="2024-11-28T00:00:00"/>
    <s v="Hyderabad"/>
    <x v="2"/>
    <x v="1"/>
    <s v="November"/>
    <x v="5"/>
    <n v="1.51209150326797"/>
    <n v="4.53"/>
    <n v="7.98"/>
    <n v="46.27"/>
    <n v="56.04"/>
    <n v="72.2"/>
    <n v="1.56"/>
  </r>
  <r>
    <n v="1020"/>
    <s v="A2020"/>
    <x v="3"/>
    <n v="111"/>
    <x v="852"/>
    <n v="213"/>
    <n v="29"/>
    <n v="3"/>
    <n v="2.7027027027027001E-2"/>
    <x v="167"/>
    <d v="2024-11-25T00:00:00"/>
    <s v="Hyderabad"/>
    <x v="2"/>
    <x v="5"/>
    <s v="November"/>
    <x v="6"/>
    <n v="1.9219819819819799"/>
    <n v="2.2200000000000002"/>
    <n v="7.36"/>
    <n v="71.11"/>
    <n v="85.62"/>
    <n v="132"/>
    <n v="1.86"/>
  </r>
  <r>
    <n v="1021"/>
    <s v="A2021"/>
    <x v="1"/>
    <n v="156"/>
    <x v="853"/>
    <n v="198"/>
    <n v="29"/>
    <n v="7"/>
    <n v="4.4871794871794803E-2"/>
    <x v="81"/>
    <d v="2024-11-17T00:00:00"/>
    <s v="Hyderabad"/>
    <x v="0"/>
    <x v="3"/>
    <s v="November"/>
    <x v="4"/>
    <n v="1.27096153846153"/>
    <n v="2.88"/>
    <n v="6.84"/>
    <n v="28.32"/>
    <n v="97.21"/>
    <n v="55.86"/>
    <n v="1.97"/>
  </r>
  <r>
    <n v="1022"/>
    <s v="A2022"/>
    <x v="1"/>
    <n v="137"/>
    <x v="508"/>
    <n v="227"/>
    <n v="18"/>
    <n v="6"/>
    <n v="4.3795620437956199E-2"/>
    <x v="114"/>
    <d v="2024-11-27T00:00:00"/>
    <s v="Hyderabad"/>
    <x v="2"/>
    <x v="5"/>
    <s v="November"/>
    <x v="1"/>
    <n v="1.6563503649635001"/>
    <n v="3.57"/>
    <n v="12.61"/>
    <n v="37.82"/>
    <n v="23.52"/>
    <n v="46.71"/>
    <n v="1.24"/>
  </r>
  <r>
    <n v="1023"/>
    <s v="A2023"/>
    <x v="2"/>
    <n v="138"/>
    <x v="854"/>
    <n v="246"/>
    <n v="24"/>
    <n v="6"/>
    <n v="4.3478260869565202E-2"/>
    <x v="123"/>
    <d v="2024-11-01T00:00:00"/>
    <s v="Hyderabad"/>
    <x v="2"/>
    <x v="0"/>
    <s v="November"/>
    <x v="3"/>
    <n v="1.78478260869565"/>
    <n v="4.5999999999999996"/>
    <n v="10.26"/>
    <n v="41.05"/>
    <n v="26.67"/>
    <n v="52"/>
    <n v="1.27"/>
  </r>
  <r>
    <n v="1024"/>
    <s v="A2024"/>
    <x v="3"/>
    <n v="96"/>
    <x v="855"/>
    <n v="238"/>
    <n v="17"/>
    <n v="4"/>
    <n v="4.1666666666666602E-2"/>
    <x v="117"/>
    <d v="2024-11-07T00:00:00"/>
    <s v="Hyderabad"/>
    <x v="1"/>
    <x v="4"/>
    <s v="November"/>
    <x v="5"/>
    <n v="2.4797916666666602"/>
    <n v="2.4300000000000002"/>
    <n v="14"/>
    <n v="59.52"/>
    <n v="49.96"/>
    <n v="89.25"/>
    <n v="1.5"/>
  </r>
  <r>
    <n v="1025"/>
    <s v="A2025"/>
    <x v="3"/>
    <n v="180"/>
    <x v="856"/>
    <n v="194"/>
    <n v="21"/>
    <n v="5"/>
    <n v="2.77777777777777E-2"/>
    <x v="130"/>
    <d v="2024-11-10T00:00:00"/>
    <s v="Hyderabad"/>
    <x v="2"/>
    <x v="4"/>
    <s v="November"/>
    <x v="4"/>
    <n v="1.08038888888888"/>
    <n v="5.88"/>
    <n v="9.26"/>
    <n v="38.89"/>
    <n v="50.15"/>
    <n v="58.4"/>
    <n v="1.5"/>
  </r>
  <r>
    <n v="1026"/>
    <s v="A2026"/>
    <x v="2"/>
    <n v="132"/>
    <x v="857"/>
    <n v="209"/>
    <n v="16"/>
    <n v="7"/>
    <n v="5.3030303030302997E-2"/>
    <x v="160"/>
    <d v="2024-11-26T00:00:00"/>
    <s v="Hyderabad"/>
    <x v="1"/>
    <x v="4"/>
    <s v="November"/>
    <x v="2"/>
    <n v="1.58007575757575"/>
    <n v="2.39"/>
    <n v="13.04"/>
    <n v="29.8"/>
    <n v="5"/>
    <n v="31.29"/>
    <n v="1.05"/>
  </r>
  <r>
    <n v="1027"/>
    <s v="A2027"/>
    <x v="0"/>
    <n v="147"/>
    <x v="858"/>
    <n v="234"/>
    <n v="20"/>
    <n v="7"/>
    <n v="4.7619047619047603E-2"/>
    <x v="26"/>
    <d v="2024-11-01T00:00:00"/>
    <s v="Hyderabad"/>
    <x v="0"/>
    <x v="1"/>
    <s v="November"/>
    <x v="3"/>
    <n v="1.5896598639455699"/>
    <n v="2.74"/>
    <n v="11.68"/>
    <n v="33.380000000000003"/>
    <n v="47.21"/>
    <n v="49.14"/>
    <n v="1.47"/>
  </r>
  <r>
    <n v="1028"/>
    <s v="A2028"/>
    <x v="1"/>
    <n v="84"/>
    <x v="730"/>
    <n v="214"/>
    <n v="20"/>
    <n v="5"/>
    <n v="5.95238095238095E-2"/>
    <x v="124"/>
    <d v="2024-11-21T00:00:00"/>
    <s v="Hyderabad"/>
    <x v="2"/>
    <x v="1"/>
    <s v="November"/>
    <x v="5"/>
    <n v="2.5438095238095202"/>
    <n v="1.78"/>
    <n v="10.68"/>
    <n v="42.74"/>
    <n v="34.78"/>
    <n v="57.6"/>
    <n v="1.35"/>
  </r>
  <r>
    <n v="1029"/>
    <s v="A2029"/>
    <x v="1"/>
    <n v="82"/>
    <x v="165"/>
    <n v="229"/>
    <n v="18"/>
    <n v="8"/>
    <n v="9.7560975609756101E-2"/>
    <x v="7"/>
    <d v="2024-11-04T00:00:00"/>
    <s v="Hyderabad"/>
    <x v="0"/>
    <x v="5"/>
    <s v="November"/>
    <x v="6"/>
    <n v="2.7887804878048699"/>
    <n v="1.89"/>
    <n v="12.7"/>
    <n v="28.58"/>
    <n v="34.69"/>
    <n v="38.5"/>
    <n v="1.35"/>
  </r>
  <r>
    <n v="1030"/>
    <s v="A2030"/>
    <x v="0"/>
    <n v="173"/>
    <x v="859"/>
    <n v="271"/>
    <n v="28"/>
    <n v="9"/>
    <n v="5.2023121387283197E-2"/>
    <x v="5"/>
    <d v="2024-11-06T00:00:00"/>
    <s v="Hyderabad"/>
    <x v="0"/>
    <x v="2"/>
    <s v="November"/>
    <x v="1"/>
    <n v="1.56753061615001"/>
    <n v="3.96"/>
    <n v="9.69"/>
    <n v="30.13"/>
    <n v="-1.17"/>
    <n v="29.78"/>
    <n v="0.99"/>
  </r>
  <r>
    <n v="1031"/>
    <s v="A2031"/>
    <x v="3"/>
    <n v="89"/>
    <x v="732"/>
    <n v="227"/>
    <n v="13"/>
    <n v="7"/>
    <n v="7.8651685393258397E-2"/>
    <x v="74"/>
    <d v="2024-11-10T00:00:00"/>
    <s v="Hyderabad"/>
    <x v="1"/>
    <x v="3"/>
    <s v="November"/>
    <x v="4"/>
    <n v="2.5499999999999998"/>
    <n v="1.51"/>
    <n v="17.46"/>
    <n v="32.42"/>
    <n v="-4.82"/>
    <n v="30.86"/>
    <n v="0.95"/>
  </r>
  <r>
    <n v="1032"/>
    <s v="A2032"/>
    <x v="0"/>
    <n v="198"/>
    <x v="860"/>
    <n v="207"/>
    <n v="19"/>
    <n v="6"/>
    <n v="3.03030303030303E-2"/>
    <x v="26"/>
    <d v="2024-11-11T00:00:00"/>
    <s v="Hyderabad"/>
    <x v="1"/>
    <x v="5"/>
    <s v="November"/>
    <x v="6"/>
    <n v="1.04484848484848"/>
    <n v="5.66"/>
    <n v="10.89"/>
    <n v="34.479999999999997"/>
    <n v="66.28"/>
    <n v="57.33"/>
    <n v="1.66"/>
  </r>
  <r>
    <n v="1033"/>
    <s v="A2033"/>
    <x v="1"/>
    <n v="135"/>
    <x v="861"/>
    <n v="208"/>
    <n v="25"/>
    <n v="9"/>
    <n v="6.6666666666666596E-2"/>
    <x v="5"/>
    <d v="2024-11-03T00:00:00"/>
    <s v="Hyderabad"/>
    <x v="0"/>
    <x v="4"/>
    <s v="November"/>
    <x v="4"/>
    <n v="1.5393333333333299"/>
    <n v="3.25"/>
    <n v="8.31"/>
    <n v="23.09"/>
    <n v="28.96"/>
    <n v="29.78"/>
    <n v="1.29"/>
  </r>
  <r>
    <n v="1034"/>
    <s v="A2034"/>
    <x v="3"/>
    <n v="94"/>
    <x v="862"/>
    <n v="190"/>
    <n v="16"/>
    <n v="6"/>
    <n v="6.3829787234042507E-2"/>
    <x v="118"/>
    <d v="2024-11-16T00:00:00"/>
    <s v="Hyderabad"/>
    <x v="2"/>
    <x v="3"/>
    <s v="November"/>
    <x v="0"/>
    <n v="2.02648936170212"/>
    <n v="1.73"/>
    <n v="11.91"/>
    <n v="31.75"/>
    <n v="32.29"/>
    <n v="42"/>
    <n v="1.32"/>
  </r>
  <r>
    <n v="1035"/>
    <s v="A2035"/>
    <x v="1"/>
    <n v="151"/>
    <x v="313"/>
    <n v="225"/>
    <n v="13"/>
    <n v="6"/>
    <n v="3.9735099337748297E-2"/>
    <x v="114"/>
    <d v="2024-11-21T00:00:00"/>
    <s v="Hyderabad"/>
    <x v="0"/>
    <x v="0"/>
    <s v="November"/>
    <x v="5"/>
    <n v="1.4887417218543"/>
    <n v="4.6399999999999997"/>
    <n v="17.29"/>
    <n v="37.47"/>
    <n v="24.68"/>
    <n v="46.71"/>
    <n v="1.25"/>
  </r>
  <r>
    <n v="1036"/>
    <s v="A2036"/>
    <x v="2"/>
    <n v="113"/>
    <x v="863"/>
    <n v="205"/>
    <n v="28"/>
    <n v="3"/>
    <n v="2.6548672566371601E-2"/>
    <x v="39"/>
    <d v="2024-11-17T00:00:00"/>
    <s v="Hyderabad"/>
    <x v="1"/>
    <x v="4"/>
    <s v="November"/>
    <x v="4"/>
    <n v="1.81530973451327"/>
    <n v="2.1"/>
    <n v="7.33"/>
    <n v="68.38"/>
    <n v="20.41"/>
    <n v="82.33"/>
    <n v="1.2"/>
  </r>
  <r>
    <n v="1037"/>
    <s v="A2037"/>
    <x v="0"/>
    <n v="164"/>
    <x v="864"/>
    <n v="213"/>
    <n v="11"/>
    <n v="8"/>
    <n v="4.8780487804878002E-2"/>
    <x v="32"/>
    <d v="2024-11-22T00:00:00"/>
    <s v="Hyderabad"/>
    <x v="0"/>
    <x v="5"/>
    <s v="November"/>
    <x v="3"/>
    <n v="1.2987804878048701"/>
    <n v="3.04"/>
    <n v="19.36"/>
    <n v="26.62"/>
    <n v="75.45"/>
    <n v="46.71"/>
    <n v="1.75"/>
  </r>
  <r>
    <n v="1038"/>
    <s v="A2038"/>
    <x v="3"/>
    <n v="135"/>
    <x v="865"/>
    <n v="224"/>
    <n v="16"/>
    <n v="6"/>
    <n v="4.4444444444444398E-2"/>
    <x v="94"/>
    <d v="2024-11-07T00:00:00"/>
    <s v="Hyderabad"/>
    <x v="1"/>
    <x v="3"/>
    <s v="November"/>
    <x v="5"/>
    <n v="1.65948148148148"/>
    <n v="2.67"/>
    <n v="14"/>
    <n v="37.340000000000003"/>
    <n v="60.69"/>
    <n v="60"/>
    <n v="1.61"/>
  </r>
  <r>
    <n v="1039"/>
    <s v="A2039"/>
    <x v="3"/>
    <n v="116"/>
    <x v="700"/>
    <n v="219"/>
    <n v="10"/>
    <n v="7"/>
    <n v="6.0344827586206899E-2"/>
    <x v="34"/>
    <d v="2024-11-23T00:00:00"/>
    <s v="Hyderabad"/>
    <x v="1"/>
    <x v="4"/>
    <s v="November"/>
    <x v="0"/>
    <n v="1.88525862068965"/>
    <n v="2.0099999999999998"/>
    <n v="21.87"/>
    <n v="31.24"/>
    <n v="71.02"/>
    <n v="53.43"/>
    <n v="1.71"/>
  </r>
  <r>
    <n v="1040"/>
    <s v="A2040"/>
    <x v="2"/>
    <n v="136"/>
    <x v="866"/>
    <n v="220"/>
    <n v="14"/>
    <n v="6"/>
    <n v="4.4117647058823498E-2"/>
    <x v="20"/>
    <d v="2024-11-01T00:00:00"/>
    <s v="Hyderabad"/>
    <x v="1"/>
    <x v="1"/>
    <s v="November"/>
    <x v="3"/>
    <n v="1.6198529411764699"/>
    <n v="3.03"/>
    <n v="15.74"/>
    <n v="36.72"/>
    <n v="67.040000000000006"/>
    <n v="61.33"/>
    <n v="1.67"/>
  </r>
  <r>
    <n v="1041"/>
    <s v="A2041"/>
    <x v="2"/>
    <n v="164"/>
    <x v="867"/>
    <n v="245"/>
    <n v="28"/>
    <n v="7"/>
    <n v="4.2682926829268199E-2"/>
    <x v="115"/>
    <d v="2024-11-01T00:00:00"/>
    <s v="Hyderabad"/>
    <x v="2"/>
    <x v="0"/>
    <s v="November"/>
    <x v="3"/>
    <n v="1.49548780487804"/>
    <n v="4.05"/>
    <n v="8.76"/>
    <n v="35.04"/>
    <n v="14.98"/>
    <n v="40.29"/>
    <n v="1.1499999999999999"/>
  </r>
  <r>
    <n v="1042"/>
    <s v="A2042"/>
    <x v="3"/>
    <n v="146"/>
    <x v="868"/>
    <n v="225"/>
    <n v="26"/>
    <n v="3"/>
    <n v="2.0547945205479399E-2"/>
    <x v="25"/>
    <d v="2024-11-10T00:00:00"/>
    <s v="Hyderabad"/>
    <x v="0"/>
    <x v="4"/>
    <s v="November"/>
    <x v="4"/>
    <n v="1.5443835616438299"/>
    <n v="2.5499999999999998"/>
    <n v="8.67"/>
    <n v="75.16"/>
    <n v="49.9"/>
    <n v="112.67"/>
    <n v="1.5"/>
  </r>
  <r>
    <n v="1043"/>
    <s v="A2043"/>
    <x v="3"/>
    <n v="181"/>
    <x v="869"/>
    <n v="190"/>
    <n v="22"/>
    <n v="5"/>
    <n v="2.7624309392265099E-2"/>
    <x v="134"/>
    <d v="2024-11-10T00:00:00"/>
    <s v="Hyderabad"/>
    <x v="1"/>
    <x v="0"/>
    <s v="November"/>
    <x v="4"/>
    <n v="1.05110497237569"/>
    <n v="5.61"/>
    <n v="8.65"/>
    <n v="38.049999999999997"/>
    <n v="79.760000000000005"/>
    <n v="68.400000000000006"/>
    <n v="1.8"/>
  </r>
  <r>
    <n v="1044"/>
    <s v="A2044"/>
    <x v="2"/>
    <n v="156"/>
    <x v="870"/>
    <n v="245"/>
    <n v="29"/>
    <n v="3"/>
    <n v="1.9230769230769201E-2"/>
    <x v="12"/>
    <d v="2024-11-20T00:00:00"/>
    <s v="Hyderabad"/>
    <x v="0"/>
    <x v="2"/>
    <s v="November"/>
    <x v="1"/>
    <n v="1.5687179487179399"/>
    <n v="3.74"/>
    <n v="8.44"/>
    <n v="81.569999999999993"/>
    <n v="63.45"/>
    <n v="133.33000000000001"/>
    <n v="1.63"/>
  </r>
  <r>
    <n v="1045"/>
    <s v="A2045"/>
    <x v="3"/>
    <n v="182"/>
    <x v="871"/>
    <n v="240"/>
    <n v="12"/>
    <n v="7"/>
    <n v="3.8461538461538401E-2"/>
    <x v="152"/>
    <d v="2024-11-13T00:00:00"/>
    <s v="Hyderabad"/>
    <x v="2"/>
    <x v="3"/>
    <s v="November"/>
    <x v="1"/>
    <n v="1.32060439560439"/>
    <n v="4.51"/>
    <n v="20.03"/>
    <n v="34.340000000000003"/>
    <n v="3.18"/>
    <n v="35.43"/>
    <n v="1.03"/>
  </r>
  <r>
    <n v="1046"/>
    <s v="A2046"/>
    <x v="0"/>
    <n v="137"/>
    <x v="872"/>
    <n v="184"/>
    <n v="19"/>
    <n v="3"/>
    <n v="2.18978102189781E-2"/>
    <x v="55"/>
    <d v="2024-11-29T00:00:00"/>
    <s v="Hyderabad"/>
    <x v="2"/>
    <x v="2"/>
    <s v="November"/>
    <x v="3"/>
    <n v="1.3456934306569299"/>
    <n v="4.3499999999999996"/>
    <n v="9.6999999999999993"/>
    <n v="61.45"/>
    <n v="35.06"/>
    <n v="83"/>
    <n v="1.35"/>
  </r>
  <r>
    <n v="1047"/>
    <s v="A2047"/>
    <x v="3"/>
    <n v="93"/>
    <x v="0"/>
    <n v="238"/>
    <n v="27"/>
    <n v="3"/>
    <n v="3.2258064516128997E-2"/>
    <x v="175"/>
    <d v="2024-11-30T00:00:00"/>
    <s v="Hyderabad"/>
    <x v="1"/>
    <x v="4"/>
    <s v="November"/>
    <x v="0"/>
    <n v="2.5555913978494602"/>
    <n v="2.0699999999999998"/>
    <n v="8.8000000000000007"/>
    <n v="79.22"/>
    <n v="-5.33"/>
    <n v="75"/>
    <n v="0.95"/>
  </r>
  <r>
    <n v="1048"/>
    <s v="A2048"/>
    <x v="1"/>
    <n v="136"/>
    <x v="83"/>
    <n v="229"/>
    <n v="22"/>
    <n v="5"/>
    <n v="3.6764705882352901E-2"/>
    <x v="79"/>
    <d v="2024-11-19T00:00:00"/>
    <s v="Hyderabad"/>
    <x v="0"/>
    <x v="0"/>
    <s v="November"/>
    <x v="2"/>
    <n v="1.6824999999999899"/>
    <n v="2.9"/>
    <n v="10.4"/>
    <n v="45.76"/>
    <n v="33.29"/>
    <n v="61"/>
    <n v="1.33"/>
  </r>
  <r>
    <n v="1049"/>
    <s v="A2049"/>
    <x v="0"/>
    <n v="194"/>
    <x v="873"/>
    <n v="195"/>
    <n v="22"/>
    <n v="10"/>
    <n v="5.1546391752577303E-2"/>
    <x v="202"/>
    <d v="2024-11-08T00:00:00"/>
    <s v="Hyderabad"/>
    <x v="2"/>
    <x v="1"/>
    <s v="November"/>
    <x v="3"/>
    <n v="1.00469072164948"/>
    <n v="3.45"/>
    <n v="8.86"/>
    <n v="19.489999999999998"/>
    <n v="68.28"/>
    <n v="32.799999999999997"/>
    <n v="1.68"/>
  </r>
  <r>
    <n v="1050"/>
    <s v="A2050"/>
    <x v="1"/>
    <n v="141"/>
    <x v="48"/>
    <n v="195"/>
    <n v="11"/>
    <n v="5"/>
    <n v="3.54609929078014E-2"/>
    <x v="178"/>
    <d v="2024-11-12T00:00:00"/>
    <s v="Hyderabad"/>
    <x v="2"/>
    <x v="0"/>
    <s v="November"/>
    <x v="2"/>
    <n v="1.3829078014184299"/>
    <n v="3.03"/>
    <n v="17.73"/>
    <n v="39"/>
    <n v="101.55"/>
    <n v="78.599999999999994"/>
    <n v="2.02"/>
  </r>
  <r>
    <n v="1051"/>
    <s v="A2051"/>
    <x v="2"/>
    <n v="181"/>
    <x v="874"/>
    <n v="191"/>
    <n v="15"/>
    <n v="4"/>
    <n v="2.2099447513812098E-2"/>
    <x v="150"/>
    <d v="2024-11-21T00:00:00"/>
    <s v="Hyderabad"/>
    <x v="0"/>
    <x v="3"/>
    <s v="November"/>
    <x v="5"/>
    <n v="1.05541436464088"/>
    <n v="5.91"/>
    <n v="12.74"/>
    <n v="47.76"/>
    <n v="20.399999999999999"/>
    <n v="57.5"/>
    <n v="1.2"/>
  </r>
  <r>
    <n v="1052"/>
    <s v="A2052"/>
    <x v="0"/>
    <n v="156"/>
    <x v="823"/>
    <n v="245"/>
    <n v="30"/>
    <n v="8"/>
    <n v="5.1282051282051197E-2"/>
    <x v="32"/>
    <d v="2024-11-05T00:00:00"/>
    <s v="Hyderabad"/>
    <x v="2"/>
    <x v="0"/>
    <s v="November"/>
    <x v="2"/>
    <n v="1.57224358974358"/>
    <n v="4.7699999999999996"/>
    <n v="8.18"/>
    <n v="30.66"/>
    <n v="52.37"/>
    <n v="46.71"/>
    <n v="1.52"/>
  </r>
  <r>
    <n v="1053"/>
    <s v="A2053"/>
    <x v="2"/>
    <n v="128"/>
    <x v="875"/>
    <n v="182"/>
    <n v="28"/>
    <n v="5"/>
    <n v="3.90625E-2"/>
    <x v="24"/>
    <d v="2024-11-25T00:00:00"/>
    <s v="Hyderabad"/>
    <x v="1"/>
    <x v="5"/>
    <s v="November"/>
    <x v="6"/>
    <n v="1.4193750000000001"/>
    <n v="2.97"/>
    <n v="6.49"/>
    <n v="36.340000000000003"/>
    <n v="63.47"/>
    <n v="59.4"/>
    <n v="1.63"/>
  </r>
  <r>
    <n v="1054"/>
    <s v="A2054"/>
    <x v="0"/>
    <n v="133"/>
    <x v="876"/>
    <n v="223"/>
    <n v="16"/>
    <n v="6"/>
    <n v="4.5112781954887202E-2"/>
    <x v="71"/>
    <d v="2024-11-16T00:00:00"/>
    <s v="Hyderabad"/>
    <x v="2"/>
    <x v="3"/>
    <s v="November"/>
    <x v="0"/>
    <n v="1.67992481203007"/>
    <n v="2.2400000000000002"/>
    <n v="13.96"/>
    <n v="37.24"/>
    <n v="21.29"/>
    <n v="45.17"/>
    <n v="1.21"/>
  </r>
  <r>
    <n v="1055"/>
    <s v="A2055"/>
    <x v="2"/>
    <n v="118"/>
    <x v="510"/>
    <n v="233"/>
    <n v="17"/>
    <n v="3"/>
    <n v="2.5423728813559299E-2"/>
    <x v="36"/>
    <d v="2024-11-27T00:00:00"/>
    <s v="Hyderabad"/>
    <x v="1"/>
    <x v="1"/>
    <s v="November"/>
    <x v="1"/>
    <n v="1.97872881355932"/>
    <n v="2.46"/>
    <n v="13.73"/>
    <n v="77.83"/>
    <n v="49.04"/>
    <n v="116"/>
    <n v="1.49"/>
  </r>
  <r>
    <n v="1056"/>
    <s v="A2056"/>
    <x v="0"/>
    <n v="191"/>
    <x v="877"/>
    <n v="205"/>
    <n v="26"/>
    <n v="6"/>
    <n v="3.1413612565444997E-2"/>
    <x v="202"/>
    <d v="2024-11-20T00:00:00"/>
    <s v="Hyderabad"/>
    <x v="1"/>
    <x v="1"/>
    <s v="November"/>
    <x v="1"/>
    <n v="1.0726178010471199"/>
    <n v="3.65"/>
    <n v="7.88"/>
    <n v="34.15"/>
    <n v="60.1"/>
    <n v="54.67"/>
    <n v="1.6"/>
  </r>
  <r>
    <n v="1057"/>
    <s v="A2057"/>
    <x v="2"/>
    <n v="172"/>
    <x v="785"/>
    <n v="242"/>
    <n v="27"/>
    <n v="4"/>
    <n v="2.3255813953488299E-2"/>
    <x v="144"/>
    <d v="2024-11-21T00:00:00"/>
    <s v="Hyderabad"/>
    <x v="2"/>
    <x v="2"/>
    <s v="November"/>
    <x v="5"/>
    <n v="1.4088953488372"/>
    <n v="3.55"/>
    <n v="8.98"/>
    <n v="60.58"/>
    <n v="17.2"/>
    <n v="71"/>
    <n v="1.17"/>
  </r>
  <r>
    <n v="1058"/>
    <s v="A2058"/>
    <x v="0"/>
    <n v="143"/>
    <x v="878"/>
    <n v="222"/>
    <n v="21"/>
    <n v="9"/>
    <n v="6.2937062937062901E-2"/>
    <x v="104"/>
    <d v="2024-11-22T00:00:00"/>
    <s v="Hyderabad"/>
    <x v="2"/>
    <x v="0"/>
    <s v="November"/>
    <x v="3"/>
    <n v="1.55342657342657"/>
    <n v="2.69"/>
    <n v="10.58"/>
    <n v="24.68"/>
    <n v="89.26"/>
    <n v="46.71"/>
    <n v="1.89"/>
  </r>
  <r>
    <n v="1059"/>
    <s v="A2059"/>
    <x v="2"/>
    <n v="110"/>
    <x v="879"/>
    <n v="194"/>
    <n v="28"/>
    <n v="3"/>
    <n v="2.7272727272727199E-2"/>
    <x v="144"/>
    <d v="2024-11-25T00:00:00"/>
    <s v="Hyderabad"/>
    <x v="2"/>
    <x v="5"/>
    <s v="November"/>
    <x v="6"/>
    <n v="1.7657272727272699"/>
    <n v="2.5"/>
    <n v="6.94"/>
    <n v="64.739999999999995"/>
    <n v="46.22"/>
    <n v="94.67"/>
    <n v="1.46"/>
  </r>
  <r>
    <n v="1060"/>
    <s v="A2060"/>
    <x v="1"/>
    <n v="119"/>
    <x v="880"/>
    <n v="196"/>
    <n v="11"/>
    <n v="10"/>
    <n v="8.4033613445378103E-2"/>
    <x v="36"/>
    <d v="2024-11-22T00:00:00"/>
    <s v="Hyderabad"/>
    <x v="2"/>
    <x v="0"/>
    <s v="November"/>
    <x v="3"/>
    <n v="1.6505882352941099"/>
    <n v="2.04"/>
    <n v="17.86"/>
    <n v="19.64"/>
    <n v="77.17"/>
    <n v="34.799999999999997"/>
    <n v="1.77"/>
  </r>
  <r>
    <n v="1061"/>
    <s v="A2061"/>
    <x v="1"/>
    <n v="178"/>
    <x v="881"/>
    <n v="202"/>
    <n v="20"/>
    <n v="9"/>
    <n v="5.0561797752808897E-2"/>
    <x v="22"/>
    <d v="2024-11-21T00:00:00"/>
    <s v="Hyderabad"/>
    <x v="1"/>
    <x v="1"/>
    <s v="November"/>
    <x v="5"/>
    <n v="1.13426966292134"/>
    <n v="3.34"/>
    <n v="10.1"/>
    <n v="22.43"/>
    <n v="46.61"/>
    <n v="32.89"/>
    <n v="1.47"/>
  </r>
  <r>
    <n v="1062"/>
    <s v="A2062"/>
    <x v="2"/>
    <n v="108"/>
    <x v="731"/>
    <n v="191"/>
    <n v="17"/>
    <n v="4"/>
    <n v="3.7037037037037E-2"/>
    <x v="178"/>
    <d v="2024-11-28T00:00:00"/>
    <s v="Hyderabad"/>
    <x v="0"/>
    <x v="2"/>
    <s v="November"/>
    <x v="5"/>
    <n v="1.7670370370370301"/>
    <n v="3.04"/>
    <n v="11.23"/>
    <n v="47.71"/>
    <n v="105.93"/>
    <n v="98.25"/>
    <n v="2.06"/>
  </r>
  <r>
    <n v="1063"/>
    <s v="A2063"/>
    <x v="3"/>
    <n v="95"/>
    <x v="882"/>
    <n v="235"/>
    <n v="20"/>
    <n v="5"/>
    <n v="5.2631578947368397E-2"/>
    <x v="17"/>
    <d v="2024-11-18T00:00:00"/>
    <s v="Hyderabad"/>
    <x v="1"/>
    <x v="2"/>
    <s v="November"/>
    <x v="6"/>
    <n v="2.4714736842105198"/>
    <n v="2.35"/>
    <n v="11.74"/>
    <n v="46.96"/>
    <n v="55.03"/>
    <n v="72.8"/>
    <n v="1.55"/>
  </r>
  <r>
    <n v="1064"/>
    <s v="A2064"/>
    <x v="3"/>
    <n v="198"/>
    <x v="883"/>
    <n v="224"/>
    <n v="13"/>
    <n v="3"/>
    <n v="1.51515151515151E-2"/>
    <x v="158"/>
    <d v="2024-11-09T00:00:00"/>
    <s v="Hyderabad"/>
    <x v="0"/>
    <x v="2"/>
    <s v="November"/>
    <x v="0"/>
    <n v="1.1316666666666599"/>
    <n v="5.54"/>
    <n v="17.239999999999998"/>
    <n v="74.69"/>
    <n v="-2.71"/>
    <n v="72.67"/>
    <n v="0.97"/>
  </r>
  <r>
    <n v="1065"/>
    <s v="A2065"/>
    <x v="1"/>
    <n v="134"/>
    <x v="472"/>
    <n v="234"/>
    <n v="15"/>
    <n v="4"/>
    <n v="2.9850746268656699E-2"/>
    <x v="175"/>
    <d v="2024-11-27T00:00:00"/>
    <s v="Hyderabad"/>
    <x v="1"/>
    <x v="1"/>
    <s v="November"/>
    <x v="1"/>
    <n v="1.74455223880597"/>
    <n v="2.41"/>
    <n v="15.58"/>
    <n v="58.44"/>
    <n v="-3.75"/>
    <n v="56.25"/>
    <n v="0.96"/>
  </r>
  <r>
    <n v="1066"/>
    <s v="A2066"/>
    <x v="2"/>
    <n v="83"/>
    <x v="210"/>
    <n v="228"/>
    <n v="29"/>
    <n v="10"/>
    <n v="0.120481927710843"/>
    <x v="24"/>
    <d v="2024-11-07T00:00:00"/>
    <s v="Hyderabad"/>
    <x v="1"/>
    <x v="0"/>
    <s v="November"/>
    <x v="5"/>
    <n v="2.75060240963855"/>
    <n v="1.7"/>
    <n v="7.87"/>
    <n v="22.83"/>
    <n v="30.09"/>
    <n v="29.7"/>
    <n v="1.3"/>
  </r>
  <r>
    <n v="1067"/>
    <s v="A2067"/>
    <x v="2"/>
    <n v="187"/>
    <x v="884"/>
    <n v="236"/>
    <n v="13"/>
    <n v="3"/>
    <n v="1.60427807486631E-2"/>
    <x v="183"/>
    <d v="2024-11-18T00:00:00"/>
    <s v="Hyderabad"/>
    <x v="0"/>
    <x v="2"/>
    <s v="November"/>
    <x v="6"/>
    <n v="1.26219251336898"/>
    <n v="3.93"/>
    <n v="18.16"/>
    <n v="78.680000000000007"/>
    <n v="64.81"/>
    <n v="129.66999999999999"/>
    <n v="1.65"/>
  </r>
  <r>
    <n v="1068"/>
    <s v="A2068"/>
    <x v="1"/>
    <n v="81"/>
    <x v="885"/>
    <n v="245"/>
    <n v="23"/>
    <n v="8"/>
    <n v="9.8765432098765399E-2"/>
    <x v="102"/>
    <d v="2024-11-26T00:00:00"/>
    <s v="Hyderabad"/>
    <x v="1"/>
    <x v="2"/>
    <s v="November"/>
    <x v="2"/>
    <n v="3.0287654320987598"/>
    <n v="1.43"/>
    <n v="10.67"/>
    <n v="30.67"/>
    <n v="3.94"/>
    <n v="31.88"/>
    <n v="1.04"/>
  </r>
  <r>
    <n v="1069"/>
    <s v="A2069"/>
    <x v="0"/>
    <n v="144"/>
    <x v="886"/>
    <n v="184"/>
    <n v="19"/>
    <n v="8"/>
    <n v="5.5555555555555497E-2"/>
    <x v="201"/>
    <d v="2024-11-26T00:00:00"/>
    <s v="Hyderabad"/>
    <x v="0"/>
    <x v="0"/>
    <s v="November"/>
    <x v="2"/>
    <n v="1.2803472222222201"/>
    <n v="2.5"/>
    <n v="9.6999999999999993"/>
    <n v="23.05"/>
    <n v="21.49"/>
    <n v="28"/>
    <n v="1.21"/>
  </r>
  <r>
    <n v="1070"/>
    <s v="A2070"/>
    <x v="2"/>
    <n v="161"/>
    <x v="130"/>
    <n v="222"/>
    <n v="10"/>
    <n v="8"/>
    <n v="4.9689440993788803E-2"/>
    <x v="199"/>
    <d v="2024-11-13T00:00:00"/>
    <s v="Hyderabad"/>
    <x v="2"/>
    <x v="4"/>
    <s v="November"/>
    <x v="1"/>
    <n v="1.37844720496894"/>
    <n v="2.79"/>
    <n v="22.19"/>
    <n v="27.74"/>
    <n v="68.069999999999993"/>
    <n v="46.62"/>
    <n v="1.68"/>
  </r>
  <r>
    <n v="1071"/>
    <s v="A2071"/>
    <x v="1"/>
    <n v="90"/>
    <x v="722"/>
    <n v="220"/>
    <n v="10"/>
    <n v="4"/>
    <n v="4.4444444444444398E-2"/>
    <x v="132"/>
    <d v="2024-11-08T00:00:00"/>
    <s v="Hyderabad"/>
    <x v="0"/>
    <x v="2"/>
    <s v="November"/>
    <x v="3"/>
    <n v="2.4418888888888799"/>
    <n v="2.0299999999999998"/>
    <n v="21.98"/>
    <n v="54.94"/>
    <n v="29.68"/>
    <n v="71.25"/>
    <n v="1.3"/>
  </r>
  <r>
    <n v="1072"/>
    <s v="A2072"/>
    <x v="3"/>
    <n v="128"/>
    <x v="887"/>
    <n v="232"/>
    <n v="26"/>
    <n v="8"/>
    <n v="6.25E-2"/>
    <x v="7"/>
    <d v="2024-11-26T00:00:00"/>
    <s v="Hyderabad"/>
    <x v="2"/>
    <x v="5"/>
    <s v="November"/>
    <x v="2"/>
    <n v="1.8103125"/>
    <n v="2.54"/>
    <n v="8.91"/>
    <n v="28.96"/>
    <n v="32.92"/>
    <n v="38.5"/>
    <n v="1.33"/>
  </r>
  <r>
    <n v="1073"/>
    <s v="A2073"/>
    <x v="2"/>
    <n v="195"/>
    <x v="888"/>
    <n v="200"/>
    <n v="25"/>
    <n v="7"/>
    <n v="3.5897435897435798E-2"/>
    <x v="92"/>
    <d v="2024-11-30T00:00:00"/>
    <s v="Hyderabad"/>
    <x v="2"/>
    <x v="3"/>
    <s v="November"/>
    <x v="0"/>
    <n v="1.0274871794871701"/>
    <n v="4.3099999999999996"/>
    <n v="8.01"/>
    <n v="28.62"/>
    <n v="36.75"/>
    <n v="39.14"/>
    <n v="1.37"/>
  </r>
  <r>
    <n v="1074"/>
    <s v="A2074"/>
    <x v="2"/>
    <n v="160"/>
    <x v="67"/>
    <n v="244"/>
    <n v="28"/>
    <n v="4"/>
    <n v="2.5000000000000001E-2"/>
    <x v="20"/>
    <d v="2024-11-22T00:00:00"/>
    <s v="Hyderabad"/>
    <x v="1"/>
    <x v="0"/>
    <s v="November"/>
    <x v="3"/>
    <n v="1.5243795620437901"/>
    <n v="2.78"/>
    <n v="8.7100000000000009"/>
    <n v="60.98"/>
    <n v="50.88"/>
    <n v="92"/>
    <n v="1.51"/>
  </r>
  <r>
    <n v="1075"/>
    <s v="A2075"/>
    <x v="0"/>
    <n v="176"/>
    <x v="889"/>
    <n v="238"/>
    <n v="17"/>
    <n v="10"/>
    <n v="5.6818181818181802E-2"/>
    <x v="70"/>
    <d v="2024-11-11T00:00:00"/>
    <s v="Hyderabad"/>
    <x v="0"/>
    <x v="5"/>
    <s v="November"/>
    <x v="6"/>
    <n v="1.35198863636363"/>
    <n v="3.9"/>
    <n v="14"/>
    <n v="23.8"/>
    <n v="65.58"/>
    <n v="39.4"/>
    <n v="1.66"/>
  </r>
  <r>
    <n v="1076"/>
    <s v="A2076"/>
    <x v="2"/>
    <n v="157"/>
    <x v="670"/>
    <n v="229"/>
    <n v="14"/>
    <n v="8"/>
    <n v="5.0955414012738801E-2"/>
    <x v="171"/>
    <d v="2024-11-09T00:00:00"/>
    <s v="Hyderabad"/>
    <x v="1"/>
    <x v="2"/>
    <s v="November"/>
    <x v="0"/>
    <n v="1.4568152866241999"/>
    <n v="3.02"/>
    <n v="16.34"/>
    <n v="28.59"/>
    <n v="30.29"/>
    <n v="37.25"/>
    <n v="1.3"/>
  </r>
  <r>
    <n v="1077"/>
    <s v="A2077"/>
    <x v="0"/>
    <n v="104"/>
    <x v="890"/>
    <n v="234"/>
    <n v="19"/>
    <n v="6"/>
    <n v="5.7692307692307598E-2"/>
    <x v="79"/>
    <d v="2024-11-23T00:00:00"/>
    <s v="Hyderabad"/>
    <x v="1"/>
    <x v="0"/>
    <s v="November"/>
    <x v="0"/>
    <n v="2.2495192307692302"/>
    <n v="2.2000000000000002"/>
    <n v="12.31"/>
    <n v="38.99"/>
    <n v="30.37"/>
    <n v="50.83"/>
    <n v="1.3"/>
  </r>
  <r>
    <n v="1078"/>
    <s v="A2078"/>
    <x v="2"/>
    <n v="117"/>
    <x v="891"/>
    <n v="242"/>
    <n v="12"/>
    <n v="5"/>
    <n v="4.2735042735042701E-2"/>
    <x v="130"/>
    <d v="2024-11-29T00:00:00"/>
    <s v="Hyderabad"/>
    <x v="1"/>
    <x v="0"/>
    <s v="November"/>
    <x v="3"/>
    <n v="2.0704273504273498"/>
    <n v="3.88"/>
    <n v="20.190000000000001"/>
    <n v="48.45"/>
    <n v="20.54"/>
    <n v="58.4"/>
    <n v="1.21"/>
  </r>
  <r>
    <n v="1079"/>
    <s v="A2079"/>
    <x v="1"/>
    <n v="138"/>
    <x v="682"/>
    <n v="193"/>
    <n v="27"/>
    <n v="6"/>
    <n v="4.3478260869565202E-2"/>
    <x v="127"/>
    <d v="2024-11-02T00:00:00"/>
    <s v="Hyderabad"/>
    <x v="2"/>
    <x v="0"/>
    <s v="November"/>
    <x v="0"/>
    <n v="1.3977536231884"/>
    <n v="2.5099999999999998"/>
    <n v="7.14"/>
    <n v="32.15"/>
    <n v="33.24"/>
    <n v="42.83"/>
    <n v="1.33"/>
  </r>
  <r>
    <n v="1080"/>
    <s v="A2080"/>
    <x v="2"/>
    <n v="84"/>
    <x v="892"/>
    <n v="233"/>
    <n v="26"/>
    <n v="5"/>
    <n v="5.95238095238095E-2"/>
    <x v="115"/>
    <d v="2024-11-06T00:00:00"/>
    <s v="Hyderabad"/>
    <x v="0"/>
    <x v="1"/>
    <s v="November"/>
    <x v="1"/>
    <n v="2.7685714285714198"/>
    <n v="2.2400000000000002"/>
    <n v="8.94"/>
    <n v="46.51"/>
    <n v="21.26"/>
    <n v="56.4"/>
    <n v="1.21"/>
  </r>
  <r>
    <n v="1081"/>
    <s v="A2081"/>
    <x v="2"/>
    <n v="102"/>
    <x v="893"/>
    <n v="182"/>
    <n v="15"/>
    <n v="6"/>
    <n v="5.8823529411764698E-2"/>
    <x v="38"/>
    <d v="2024-11-14T00:00:00"/>
    <s v="Hyderabad"/>
    <x v="2"/>
    <x v="2"/>
    <s v="November"/>
    <x v="5"/>
    <n v="1.78656862745098"/>
    <n v="2.29"/>
    <n v="12.15"/>
    <n v="30.37"/>
    <n v="106.88"/>
    <n v="62.83"/>
    <n v="2.0699999999999998"/>
  </r>
  <r>
    <n v="1082"/>
    <s v="A2082"/>
    <x v="1"/>
    <n v="122"/>
    <x v="342"/>
    <n v="202"/>
    <n v="27"/>
    <n v="3"/>
    <n v="2.4590163934426201E-2"/>
    <x v="189"/>
    <d v="2024-11-11T00:00:00"/>
    <s v="Hyderabad"/>
    <x v="2"/>
    <x v="5"/>
    <s v="November"/>
    <x v="6"/>
    <n v="1.65573770491803"/>
    <n v="2.21"/>
    <n v="7.48"/>
    <n v="67.33"/>
    <n v="90.1"/>
    <n v="128"/>
    <n v="1.9"/>
  </r>
  <r>
    <n v="1083"/>
    <s v="A2083"/>
    <x v="3"/>
    <n v="198"/>
    <x v="894"/>
    <n v="235"/>
    <n v="10"/>
    <n v="10"/>
    <n v="5.0505050505050497E-2"/>
    <x v="202"/>
    <d v="2024-11-27T00:00:00"/>
    <s v="Hyderabad"/>
    <x v="2"/>
    <x v="4"/>
    <s v="November"/>
    <x v="1"/>
    <n v="1.1849494949494901"/>
    <n v="3.57"/>
    <n v="23.46"/>
    <n v="23.46"/>
    <n v="39.799999999999997"/>
    <n v="32.799999999999997"/>
    <n v="1.4"/>
  </r>
  <r>
    <n v="1084"/>
    <s v="A2084"/>
    <x v="3"/>
    <n v="152"/>
    <x v="556"/>
    <n v="204"/>
    <n v="22"/>
    <n v="4"/>
    <n v="2.6315789473684199E-2"/>
    <x v="203"/>
    <d v="2024-11-20T00:00:00"/>
    <s v="Hyderabad"/>
    <x v="0"/>
    <x v="4"/>
    <s v="November"/>
    <x v="1"/>
    <n v="1.3448026315789401"/>
    <n v="2.68"/>
    <n v="9.2899999999999991"/>
    <n v="51.1"/>
    <n v="79.05"/>
    <n v="91.5"/>
    <n v="1.79"/>
  </r>
  <r>
    <n v="1085"/>
    <s v="A2085"/>
    <x v="0"/>
    <n v="147"/>
    <x v="293"/>
    <n v="180"/>
    <n v="20"/>
    <n v="6"/>
    <n v="4.08163265306122E-2"/>
    <x v="173"/>
    <d v="2024-11-21T00:00:00"/>
    <s v="Hyderabad"/>
    <x v="0"/>
    <x v="2"/>
    <s v="November"/>
    <x v="5"/>
    <n v="1.2247619047619001"/>
    <n v="3.19"/>
    <n v="9"/>
    <n v="30.01"/>
    <n v="53.3"/>
    <n v="46"/>
    <n v="1.53"/>
  </r>
  <r>
    <n v="1086"/>
    <s v="A2086"/>
    <x v="3"/>
    <n v="108"/>
    <x v="895"/>
    <n v="230"/>
    <n v="12"/>
    <n v="10"/>
    <n v="9.2592592592592504E-2"/>
    <x v="30"/>
    <d v="2024-11-19T00:00:00"/>
    <s v="Hyderabad"/>
    <x v="0"/>
    <x v="1"/>
    <s v="November"/>
    <x v="2"/>
    <n v="2.1312037037036999"/>
    <n v="1.98"/>
    <n v="19.18"/>
    <n v="23.02"/>
    <n v="-7.89"/>
    <n v="21.2"/>
    <n v="0.92"/>
  </r>
  <r>
    <n v="1087"/>
    <s v="A2087"/>
    <x v="1"/>
    <n v="137"/>
    <x v="896"/>
    <n v="196"/>
    <n v="23"/>
    <n v="5"/>
    <n v="3.6496350364963501E-2"/>
    <x v="3"/>
    <d v="2024-11-26T00:00:00"/>
    <s v="Hyderabad"/>
    <x v="2"/>
    <x v="3"/>
    <s v="November"/>
    <x v="2"/>
    <n v="1.4341605839416001"/>
    <n v="2.6"/>
    <n v="8.5399999999999991"/>
    <n v="39.299999999999997"/>
    <n v="27.24"/>
    <n v="50"/>
    <n v="1.27"/>
  </r>
  <r>
    <n v="1088"/>
    <s v="A2088"/>
    <x v="3"/>
    <n v="131"/>
    <x v="897"/>
    <n v="209"/>
    <n v="16"/>
    <n v="9"/>
    <n v="6.8702290076335798E-2"/>
    <x v="80"/>
    <d v="2024-11-12T00:00:00"/>
    <s v="Hyderabad"/>
    <x v="1"/>
    <x v="2"/>
    <s v="November"/>
    <x v="2"/>
    <n v="1.59832061068702"/>
    <n v="3.03"/>
    <n v="13.09"/>
    <n v="23.26"/>
    <n v="60.47"/>
    <n v="37.33"/>
    <n v="1.6"/>
  </r>
  <r>
    <n v="1089"/>
    <s v="A2089"/>
    <x v="2"/>
    <n v="80"/>
    <x v="367"/>
    <n v="237"/>
    <n v="13"/>
    <n v="4"/>
    <n v="0.05"/>
    <x v="178"/>
    <d v="2024-11-21T00:00:00"/>
    <s v="Hyderabad"/>
    <x v="0"/>
    <x v="0"/>
    <s v="November"/>
    <x v="5"/>
    <n v="2.9602499999999998"/>
    <n v="2.13"/>
    <n v="18.22"/>
    <n v="59.2"/>
    <n v="65.95"/>
    <n v="98.25"/>
    <n v="1.66"/>
  </r>
  <r>
    <n v="1090"/>
    <s v="A2090"/>
    <x v="3"/>
    <n v="114"/>
    <x v="898"/>
    <n v="249"/>
    <n v="10"/>
    <n v="7"/>
    <n v="6.14035087719298E-2"/>
    <x v="194"/>
    <d v="2024-11-10T00:00:00"/>
    <s v="Hyderabad"/>
    <x v="0"/>
    <x v="5"/>
    <s v="November"/>
    <x v="4"/>
    <n v="2.1803508771929798"/>
    <n v="2.74"/>
    <n v="24.86"/>
    <n v="35.51"/>
    <n v="37.19"/>
    <n v="48.71"/>
    <n v="1.37"/>
  </r>
  <r>
    <n v="1091"/>
    <s v="A2091"/>
    <x v="1"/>
    <n v="123"/>
    <x v="127"/>
    <n v="223"/>
    <n v="15"/>
    <n v="7"/>
    <n v="5.6910569105690999E-2"/>
    <x v="15"/>
    <d v="2024-11-18T00:00:00"/>
    <s v="Hyderabad"/>
    <x v="1"/>
    <x v="5"/>
    <s v="November"/>
    <x v="6"/>
    <n v="1.8130081300812999"/>
    <n v="2.69"/>
    <n v="14.87"/>
    <n v="31.86"/>
    <n v="47.53"/>
    <n v="47"/>
    <n v="1.48"/>
  </r>
  <r>
    <n v="1092"/>
    <s v="A2092"/>
    <x v="2"/>
    <n v="168"/>
    <x v="899"/>
    <n v="234"/>
    <n v="23"/>
    <n v="5"/>
    <n v="2.9761904761904701E-2"/>
    <x v="120"/>
    <d v="2024-11-27T00:00:00"/>
    <s v="Hyderabad"/>
    <x v="1"/>
    <x v="5"/>
    <s v="November"/>
    <x v="1"/>
    <n v="1.3901190476190399"/>
    <n v="4.13"/>
    <n v="10.15"/>
    <n v="46.71"/>
    <n v="43.02"/>
    <n v="66.8"/>
    <n v="1.43"/>
  </r>
  <r>
    <n v="1093"/>
    <s v="A2093"/>
    <x v="1"/>
    <n v="180"/>
    <x v="900"/>
    <n v="218"/>
    <n v="28"/>
    <n v="9"/>
    <n v="0.05"/>
    <x v="75"/>
    <d v="2024-11-06T00:00:00"/>
    <s v="Hyderabad"/>
    <x v="1"/>
    <x v="0"/>
    <s v="November"/>
    <x v="1"/>
    <n v="1.2137222222222199"/>
    <n v="5.86"/>
    <n v="7.8"/>
    <n v="24.27"/>
    <n v="12.14"/>
    <n v="27.22"/>
    <n v="1.1200000000000001"/>
  </r>
  <r>
    <n v="1094"/>
    <s v="A2094"/>
    <x v="1"/>
    <n v="117"/>
    <x v="901"/>
    <n v="241"/>
    <n v="18"/>
    <n v="3"/>
    <n v="2.5641025641025599E-2"/>
    <x v="8"/>
    <d v="2024-11-06T00:00:00"/>
    <s v="Hyderabad"/>
    <x v="2"/>
    <x v="5"/>
    <s v="November"/>
    <x v="1"/>
    <n v="2.05709401709401"/>
    <n v="2.1800000000000002"/>
    <n v="13.37"/>
    <n v="80.23"/>
    <n v="15.51"/>
    <n v="92.67"/>
    <n v="1.1599999999999999"/>
  </r>
  <r>
    <n v="1095"/>
    <s v="A2095"/>
    <x v="1"/>
    <n v="103"/>
    <x v="902"/>
    <n v="221"/>
    <n v="21"/>
    <n v="10"/>
    <n v="9.7087378640776698E-2"/>
    <x v="64"/>
    <d v="2024-11-25T00:00:00"/>
    <s v="Hyderabad"/>
    <x v="1"/>
    <x v="4"/>
    <s v="November"/>
    <x v="6"/>
    <n v="2.1461165048543598"/>
    <n v="2.11"/>
    <n v="10.53"/>
    <n v="22.1"/>
    <n v="111.33"/>
    <n v="46.71"/>
    <n v="2.11"/>
  </r>
  <r>
    <n v="1096"/>
    <s v="A2096"/>
    <x v="3"/>
    <n v="140"/>
    <x v="665"/>
    <n v="211"/>
    <n v="26"/>
    <n v="9"/>
    <n v="6.4285714285714196E-2"/>
    <x v="197"/>
    <d v="2024-11-15T00:00:00"/>
    <s v="Hyderabad"/>
    <x v="0"/>
    <x v="3"/>
    <s v="November"/>
    <x v="3"/>
    <n v="1.50771428571428"/>
    <n v="2.39"/>
    <n v="8.1199999999999992"/>
    <n v="23.45"/>
    <n v="23.18"/>
    <n v="28.89"/>
    <n v="1.23"/>
  </r>
  <r>
    <n v="1097"/>
    <s v="A2097"/>
    <x v="2"/>
    <n v="158"/>
    <x v="903"/>
    <n v="199"/>
    <n v="21"/>
    <n v="8"/>
    <n v="5.0632911392405E-2"/>
    <x v="36"/>
    <d v="2024-11-04T00:00:00"/>
    <s v="Hyderabad"/>
    <x v="0"/>
    <x v="0"/>
    <s v="November"/>
    <x v="6"/>
    <n v="1.25886075949367"/>
    <n v="3.45"/>
    <n v="9.4700000000000006"/>
    <n v="24.86"/>
    <n v="74.959999999999994"/>
    <n v="43.5"/>
    <n v="1.75"/>
  </r>
  <r>
    <n v="1098"/>
    <s v="A2098"/>
    <x v="1"/>
    <n v="162"/>
    <x v="904"/>
    <n v="232"/>
    <n v="12"/>
    <n v="7"/>
    <n v="4.3209876543209798E-2"/>
    <x v="15"/>
    <d v="2024-11-09T00:00:00"/>
    <s v="Hyderabad"/>
    <x v="2"/>
    <x v="2"/>
    <s v="November"/>
    <x v="0"/>
    <n v="1.43228395061728"/>
    <n v="2.74"/>
    <n v="19.34"/>
    <n v="33.15"/>
    <n v="41.79"/>
    <n v="47"/>
    <n v="1.42"/>
  </r>
  <r>
    <n v="1099"/>
    <s v="A2099"/>
    <x v="1"/>
    <n v="122"/>
    <x v="529"/>
    <n v="207"/>
    <n v="20"/>
    <n v="3"/>
    <n v="2.4590163934426201E-2"/>
    <x v="55"/>
    <d v="2024-11-24T00:00:00"/>
    <s v="Hyderabad"/>
    <x v="2"/>
    <x v="4"/>
    <s v="November"/>
    <x v="4"/>
    <n v="1.69491803278688"/>
    <n v="3.55"/>
    <n v="10.34"/>
    <n v="68.930000000000007"/>
    <n v="20.420000000000002"/>
    <n v="83"/>
    <n v="1.2"/>
  </r>
  <r>
    <n v="1100"/>
    <s v="A2100"/>
    <x v="2"/>
    <n v="89"/>
    <x v="905"/>
    <n v="199"/>
    <n v="23"/>
    <n v="10"/>
    <n v="0.112359550561797"/>
    <x v="96"/>
    <d v="2024-11-16T00:00:00"/>
    <s v="Hyderabad"/>
    <x v="1"/>
    <x v="0"/>
    <s v="November"/>
    <x v="0"/>
    <n v="2.2335955056179699"/>
    <n v="2.06"/>
    <n v="8.64"/>
    <n v="19.88"/>
    <n v="103.23"/>
    <n v="40.4"/>
    <n v="2.0299999999999998"/>
  </r>
  <r>
    <n v="1101"/>
    <s v="A2101"/>
    <x v="0"/>
    <n v="119"/>
    <x v="906"/>
    <n v="189"/>
    <n v="20"/>
    <n v="5"/>
    <n v="4.2016806722689003E-2"/>
    <x v="5"/>
    <d v="2024-11-15T00:00:00"/>
    <s v="Hyderabad"/>
    <x v="2"/>
    <x v="3"/>
    <s v="November"/>
    <x v="3"/>
    <n v="1.5842857142857101"/>
    <n v="3.01"/>
    <n v="9.43"/>
    <n v="37.71"/>
    <n v="42.15"/>
    <n v="53.6"/>
    <n v="1.42"/>
  </r>
  <r>
    <n v="1102"/>
    <s v="A2102"/>
    <x v="1"/>
    <n v="155"/>
    <x v="907"/>
    <n v="201"/>
    <n v="20"/>
    <n v="3"/>
    <n v="1.9354838709677399E-2"/>
    <x v="75"/>
    <d v="2024-11-30T00:00:00"/>
    <s v="Hyderabad"/>
    <x v="1"/>
    <x v="1"/>
    <s v="November"/>
    <x v="0"/>
    <n v="1.2955483870967699"/>
    <n v="3.67"/>
    <n v="10.039999999999999"/>
    <n v="66.94"/>
    <n v="22.01"/>
    <n v="81.67"/>
    <n v="1.22"/>
  </r>
  <r>
    <n v="1103"/>
    <s v="A2103"/>
    <x v="2"/>
    <n v="112"/>
    <x v="908"/>
    <n v="244"/>
    <n v="30"/>
    <n v="4"/>
    <n v="3.5714285714285698E-2"/>
    <x v="207"/>
    <d v="2024-11-01T00:00:00"/>
    <s v="Hyderabad"/>
    <x v="1"/>
    <x v="5"/>
    <s v="November"/>
    <x v="3"/>
    <n v="2.1749999999999998"/>
    <n v="3.03"/>
    <n v="8.1199999999999992"/>
    <n v="60.9"/>
    <n v="63.79"/>
    <n v="99.75"/>
    <n v="1.64"/>
  </r>
  <r>
    <n v="1104"/>
    <s v="A2104"/>
    <x v="3"/>
    <n v="179"/>
    <x v="909"/>
    <n v="231"/>
    <n v="25"/>
    <n v="9"/>
    <n v="5.0279329608938501E-2"/>
    <x v="208"/>
    <d v="2024-11-19T00:00:00"/>
    <s v="Hyderabad"/>
    <x v="1"/>
    <x v="4"/>
    <s v="November"/>
    <x v="2"/>
    <n v="1.2917877094971999"/>
    <n v="4.2699999999999996"/>
    <n v="9.25"/>
    <n v="25.69"/>
    <n v="70.83"/>
    <n v="43.89"/>
    <n v="1.71"/>
  </r>
  <r>
    <n v="1105"/>
    <s v="A2105"/>
    <x v="1"/>
    <n v="194"/>
    <x v="910"/>
    <n v="218"/>
    <n v="29"/>
    <n v="9"/>
    <n v="4.6391752577319499E-2"/>
    <x v="24"/>
    <d v="2024-11-25T00:00:00"/>
    <s v="Hyderabad"/>
    <x v="1"/>
    <x v="1"/>
    <s v="November"/>
    <x v="6"/>
    <n v="1.1233505154639101"/>
    <n v="3.03"/>
    <n v="7.51"/>
    <n v="24.21"/>
    <n v="36.28"/>
    <n v="33"/>
    <n v="1.36"/>
  </r>
  <r>
    <n v="1106"/>
    <s v="A2106"/>
    <x v="0"/>
    <n v="101"/>
    <x v="911"/>
    <n v="194"/>
    <n v="27"/>
    <n v="3"/>
    <n v="2.9702970297029702E-2"/>
    <x v="126"/>
    <d v="2024-11-11T00:00:00"/>
    <s v="Hyderabad"/>
    <x v="1"/>
    <x v="0"/>
    <s v="November"/>
    <x v="6"/>
    <n v="1.9219801980197999"/>
    <n v="2.97"/>
    <n v="7.19"/>
    <n v="64.709999999999994"/>
    <n v="80.819999999999993"/>
    <n v="117"/>
    <n v="1.81"/>
  </r>
  <r>
    <n v="1107"/>
    <s v="A2107"/>
    <x v="0"/>
    <n v="110"/>
    <x v="502"/>
    <n v="250"/>
    <n v="17"/>
    <n v="6"/>
    <n v="5.4545454545454501E-2"/>
    <x v="71"/>
    <d v="2024-11-22T00:00:00"/>
    <s v="Hyderabad"/>
    <x v="1"/>
    <x v="0"/>
    <s v="November"/>
    <x v="3"/>
    <n v="2.2716363636363601"/>
    <n v="3.25"/>
    <n v="14.7"/>
    <n v="41.65"/>
    <n v="8.4499999999999993"/>
    <n v="45.17"/>
    <n v="1.08"/>
  </r>
  <r>
    <n v="1108"/>
    <s v="A2108"/>
    <x v="0"/>
    <n v="179"/>
    <x v="912"/>
    <n v="204"/>
    <n v="20"/>
    <n v="9"/>
    <n v="5.0279329608938501E-2"/>
    <x v="7"/>
    <d v="2024-11-22T00:00:00"/>
    <s v="Hyderabad"/>
    <x v="2"/>
    <x v="2"/>
    <s v="November"/>
    <x v="3"/>
    <n v="1.14245810055865"/>
    <n v="3.34"/>
    <n v="10.220000000000001"/>
    <n v="22.72"/>
    <n v="50.61"/>
    <n v="34.22"/>
    <n v="1.51"/>
  </r>
  <r>
    <n v="1109"/>
    <s v="A2109"/>
    <x v="2"/>
    <n v="193"/>
    <x v="913"/>
    <n v="197"/>
    <n v="27"/>
    <n v="10"/>
    <n v="5.1813471502590601E-2"/>
    <x v="99"/>
    <d v="2024-11-29T00:00:00"/>
    <s v="Hyderabad"/>
    <x v="1"/>
    <x v="1"/>
    <s v="November"/>
    <x v="3"/>
    <n v="1.0221761658030999"/>
    <n v="4.1900000000000004"/>
    <n v="7.31"/>
    <n v="19.73"/>
    <n v="75.89"/>
    <n v="34.700000000000003"/>
    <n v="1.76"/>
  </r>
  <r>
    <n v="1110"/>
    <s v="A2110"/>
    <x v="2"/>
    <n v="188"/>
    <x v="914"/>
    <n v="234"/>
    <n v="14"/>
    <n v="8"/>
    <n v="4.2553191489361701E-2"/>
    <x v="22"/>
    <d v="2024-11-17T00:00:00"/>
    <s v="Hyderabad"/>
    <x v="1"/>
    <x v="5"/>
    <s v="November"/>
    <x v="4"/>
    <n v="1.2456382978723399"/>
    <n v="4.2300000000000004"/>
    <n v="16.73"/>
    <n v="29.27"/>
    <n v="26.4"/>
    <n v="37"/>
    <n v="1.26"/>
  </r>
  <r>
    <n v="1111"/>
    <s v="A2111"/>
    <x v="3"/>
    <n v="124"/>
    <x v="915"/>
    <n v="211"/>
    <n v="11"/>
    <n v="7"/>
    <n v="5.6451612903225798E-2"/>
    <x v="94"/>
    <d v="2024-11-08T00:00:00"/>
    <s v="Hyderabad"/>
    <x v="2"/>
    <x v="2"/>
    <s v="November"/>
    <x v="3"/>
    <n v="1.7049193548387001"/>
    <n v="3.04"/>
    <n v="19.22"/>
    <n v="30.2"/>
    <n v="70.290000000000006"/>
    <n v="51.43"/>
    <n v="1.7"/>
  </r>
  <r>
    <n v="1112"/>
    <s v="A2112"/>
    <x v="2"/>
    <n v="177"/>
    <x v="476"/>
    <n v="213"/>
    <n v="15"/>
    <n v="4"/>
    <n v="2.2598870056497099E-2"/>
    <x v="192"/>
    <d v="2024-11-06T00:00:00"/>
    <s v="Hyderabad"/>
    <x v="0"/>
    <x v="5"/>
    <s v="November"/>
    <x v="1"/>
    <n v="1.2059887005649701"/>
    <n v="4.18"/>
    <n v="14.23"/>
    <n v="53.36"/>
    <n v="32.58"/>
    <n v="70.75"/>
    <n v="1.33"/>
  </r>
  <r>
    <n v="1113"/>
    <s v="A2113"/>
    <x v="1"/>
    <n v="152"/>
    <x v="916"/>
    <n v="214"/>
    <n v="22"/>
    <n v="7"/>
    <n v="4.6052631578947303E-2"/>
    <x v="131"/>
    <d v="2024-11-20T00:00:00"/>
    <s v="Hyderabad"/>
    <x v="2"/>
    <x v="5"/>
    <s v="November"/>
    <x v="1"/>
    <n v="1.40940789473684"/>
    <n v="4.08"/>
    <n v="9.74"/>
    <n v="30.6"/>
    <n v="90.45"/>
    <n v="58.29"/>
    <n v="1.9"/>
  </r>
  <r>
    <n v="1114"/>
    <s v="A2114"/>
    <x v="1"/>
    <n v="168"/>
    <x v="91"/>
    <n v="214"/>
    <n v="15"/>
    <n v="9"/>
    <n v="5.3571428571428499E-2"/>
    <x v="72"/>
    <d v="2024-11-24T00:00:00"/>
    <s v="Hyderabad"/>
    <x v="1"/>
    <x v="3"/>
    <s v="November"/>
    <x v="4"/>
    <n v="1.27672619047619"/>
    <n v="3.57"/>
    <n v="14.3"/>
    <n v="23.83"/>
    <n v="39.4"/>
    <n v="33.22"/>
    <n v="1.39"/>
  </r>
  <r>
    <n v="1115"/>
    <s v="A2115"/>
    <x v="3"/>
    <n v="171"/>
    <x v="689"/>
    <n v="230"/>
    <n v="11"/>
    <n v="3"/>
    <n v="1.7543859649122799E-2"/>
    <x v="26"/>
    <d v="2024-11-03T00:00:00"/>
    <s v="Hyderabad"/>
    <x v="1"/>
    <x v="1"/>
    <s v="November"/>
    <x v="4"/>
    <n v="1.343216374269"/>
    <n v="3.21"/>
    <n v="20.88"/>
    <n v="76.56"/>
    <n v="49.77"/>
    <n v="114.67"/>
    <n v="1.5"/>
  </r>
  <r>
    <n v="1116"/>
    <s v="A2116"/>
    <x v="0"/>
    <n v="150"/>
    <x v="917"/>
    <n v="203"/>
    <n v="29"/>
    <n v="10"/>
    <n v="6.6666666666666596E-2"/>
    <x v="7"/>
    <d v="2024-11-10T00:00:00"/>
    <s v="Hyderabad"/>
    <x v="2"/>
    <x v="0"/>
    <s v="November"/>
    <x v="4"/>
    <n v="1.3503333333333301"/>
    <n v="3.91"/>
    <n v="6.98"/>
    <n v="20.260000000000002"/>
    <n v="52.06"/>
    <n v="30.8"/>
    <n v="1.52"/>
  </r>
  <r>
    <n v="1117"/>
    <s v="A2117"/>
    <x v="3"/>
    <n v="147"/>
    <x v="918"/>
    <n v="194"/>
    <n v="23"/>
    <n v="9"/>
    <n v="6.1224489795918297E-2"/>
    <x v="170"/>
    <d v="2024-11-16T00:00:00"/>
    <s v="Hyderabad"/>
    <x v="1"/>
    <x v="4"/>
    <s v="November"/>
    <x v="0"/>
    <n v="1.31945578231292"/>
    <n v="3.04"/>
    <n v="8.43"/>
    <n v="21.55"/>
    <n v="109.32"/>
    <n v="45.11"/>
    <n v="2.09"/>
  </r>
  <r>
    <n v="1118"/>
    <s v="A2118"/>
    <x v="2"/>
    <n v="174"/>
    <x v="730"/>
    <n v="269"/>
    <n v="25"/>
    <n v="10"/>
    <n v="5.7471264367816001E-2"/>
    <x v="39"/>
    <d v="2024-11-21T00:00:00"/>
    <s v="Hyderabad"/>
    <x v="2"/>
    <x v="5"/>
    <s v="November"/>
    <x v="5"/>
    <n v="1.5454545454545401"/>
    <n v="3.69"/>
    <n v="10.76"/>
    <n v="26.89"/>
    <n v="-8.15"/>
    <n v="24.7"/>
    <n v="0.92"/>
  </r>
  <r>
    <n v="1119"/>
    <s v="A2119"/>
    <x v="1"/>
    <n v="127"/>
    <x v="919"/>
    <n v="228"/>
    <n v="24"/>
    <n v="6"/>
    <n v="4.7244094488188899E-2"/>
    <x v="140"/>
    <d v="2024-11-14T00:00:00"/>
    <s v="Hyderabad"/>
    <x v="0"/>
    <x v="3"/>
    <s v="November"/>
    <x v="5"/>
    <n v="1.79472440944881"/>
    <n v="4.0599999999999996"/>
    <n v="9.5"/>
    <n v="37.99"/>
    <n v="40.83"/>
    <n v="53.5"/>
    <n v="1.41"/>
  </r>
  <r>
    <n v="1120"/>
    <s v="A2120"/>
    <x v="0"/>
    <n v="148"/>
    <x v="920"/>
    <n v="244"/>
    <n v="18"/>
    <n v="4"/>
    <n v="2.7027027027027001E-2"/>
    <x v="58"/>
    <d v="2024-11-30T00:00:00"/>
    <s v="Hyderabad"/>
    <x v="0"/>
    <x v="2"/>
    <s v="November"/>
    <x v="0"/>
    <n v="1.65148648648648"/>
    <n v="2.88"/>
    <n v="13.58"/>
    <n v="61.1"/>
    <n v="12.51"/>
    <n v="68.75"/>
    <n v="1.1299999999999999"/>
  </r>
  <r>
    <n v="1121"/>
    <s v="A2121"/>
    <x v="0"/>
    <n v="112"/>
    <x v="921"/>
    <n v="246"/>
    <n v="26"/>
    <n v="10"/>
    <n v="8.9285714285714204E-2"/>
    <x v="64"/>
    <d v="2024-11-10T00:00:00"/>
    <s v="Hyderabad"/>
    <x v="1"/>
    <x v="3"/>
    <s v="November"/>
    <x v="4"/>
    <n v="2.1988392857142798"/>
    <n v="2.12"/>
    <n v="9.4700000000000006"/>
    <n v="24.63"/>
    <n v="89.69"/>
    <n v="46.71"/>
    <n v="1.9"/>
  </r>
  <r>
    <n v="1122"/>
    <s v="A2122"/>
    <x v="1"/>
    <n v="184"/>
    <x v="922"/>
    <n v="241"/>
    <n v="15"/>
    <n v="7"/>
    <n v="3.8043478260869498E-2"/>
    <x v="154"/>
    <d v="2024-11-23T00:00:00"/>
    <s v="Hyderabad"/>
    <x v="2"/>
    <x v="5"/>
    <s v="November"/>
    <x v="0"/>
    <n v="1.3080434782608601"/>
    <n v="4.71"/>
    <n v="16.05"/>
    <n v="34.380000000000003"/>
    <n v="13.01"/>
    <n v="38.86"/>
    <n v="1.1299999999999999"/>
  </r>
  <r>
    <n v="1123"/>
    <s v="A2123"/>
    <x v="1"/>
    <n v="116"/>
    <x v="213"/>
    <n v="197"/>
    <n v="23"/>
    <n v="9"/>
    <n v="7.7586206896551699E-2"/>
    <x v="93"/>
    <d v="2024-11-06T00:00:00"/>
    <s v="Hyderabad"/>
    <x v="1"/>
    <x v="5"/>
    <s v="November"/>
    <x v="1"/>
    <n v="1.6961206896551699"/>
    <n v="3.43"/>
    <n v="8.5500000000000007"/>
    <n v="21.86"/>
    <n v="48.92"/>
    <n v="32.56"/>
    <n v="1.49"/>
  </r>
  <r>
    <n v="1124"/>
    <s v="A2124"/>
    <x v="2"/>
    <n v="152"/>
    <x v="923"/>
    <n v="190"/>
    <n v="17"/>
    <n v="5"/>
    <n v="3.2894736842105199E-2"/>
    <x v="163"/>
    <d v="2024-11-26T00:00:00"/>
    <s v="Hyderabad"/>
    <x v="1"/>
    <x v="5"/>
    <s v="November"/>
    <x v="2"/>
    <n v="1.2482236842105201"/>
    <n v="3.85"/>
    <n v="11.16"/>
    <n v="37.950000000000003"/>
    <n v="99.23"/>
    <n v="75.599999999999994"/>
    <n v="1.99"/>
  </r>
  <r>
    <n v="1125"/>
    <s v="A2125"/>
    <x v="2"/>
    <n v="197"/>
    <x v="261"/>
    <n v="210"/>
    <n v="24"/>
    <n v="9"/>
    <n v="4.5685279187817202E-2"/>
    <x v="189"/>
    <d v="2024-11-26T00:00:00"/>
    <s v="Hyderabad"/>
    <x v="0"/>
    <x v="1"/>
    <s v="November"/>
    <x v="2"/>
    <n v="1.0676649746192799"/>
    <n v="5.27"/>
    <n v="8.76"/>
    <n v="23.37"/>
    <n v="82.57"/>
    <n v="42.67"/>
    <n v="1.83"/>
  </r>
  <r>
    <n v="1126"/>
    <s v="A2126"/>
    <x v="1"/>
    <n v="115"/>
    <x v="924"/>
    <n v="234"/>
    <n v="21"/>
    <n v="6"/>
    <n v="5.2173913043478203E-2"/>
    <x v="43"/>
    <d v="2024-11-08T00:00:00"/>
    <s v="Hyderabad"/>
    <x v="1"/>
    <x v="0"/>
    <s v="November"/>
    <x v="3"/>
    <n v="2.0306086956521701"/>
    <n v="1.97"/>
    <n v="11.12"/>
    <n v="38.92"/>
    <n v="13.91"/>
    <n v="44.33"/>
    <n v="1.1399999999999999"/>
  </r>
  <r>
    <n v="1127"/>
    <s v="A2127"/>
    <x v="1"/>
    <n v="192"/>
    <x v="851"/>
    <n v="219"/>
    <n v="28"/>
    <n v="7"/>
    <n v="3.6458333333333301E-2"/>
    <x v="112"/>
    <d v="2024-11-15T00:00:00"/>
    <s v="Hyderabad"/>
    <x v="1"/>
    <x v="4"/>
    <s v="November"/>
    <x v="3"/>
    <n v="1.1419791666666601"/>
    <n v="5.68"/>
    <n v="7.83"/>
    <n v="31.32"/>
    <n v="28.16"/>
    <n v="40.14"/>
    <n v="1.28"/>
  </r>
  <r>
    <n v="1128"/>
    <s v="A2128"/>
    <x v="1"/>
    <n v="88"/>
    <x v="479"/>
    <n v="247"/>
    <n v="21"/>
    <n v="6"/>
    <n v="6.8181818181818094E-2"/>
    <x v="156"/>
    <d v="2024-11-25T00:00:00"/>
    <s v="Hyderabad"/>
    <x v="2"/>
    <x v="2"/>
    <s v="November"/>
    <x v="6"/>
    <n v="2.8047727272727201"/>
    <n v="1.52"/>
    <n v="11.75"/>
    <n v="41.14"/>
    <n v="-15.73"/>
    <n v="34.67"/>
    <n v="0.84"/>
  </r>
  <r>
    <n v="1129"/>
    <s v="A2129"/>
    <x v="1"/>
    <n v="134"/>
    <x v="925"/>
    <n v="240"/>
    <n v="29"/>
    <n v="8"/>
    <n v="5.9701492537313397E-2"/>
    <x v="115"/>
    <d v="2024-11-24T00:00:00"/>
    <s v="Hyderabad"/>
    <x v="1"/>
    <x v="0"/>
    <s v="November"/>
    <x v="4"/>
    <n v="1.79029850746268"/>
    <n v="2.85"/>
    <n v="8.27"/>
    <n v="29.99"/>
    <n v="17.55"/>
    <n v="35.25"/>
    <n v="1.18"/>
  </r>
  <r>
    <n v="1130"/>
    <s v="A2130"/>
    <x v="0"/>
    <n v="160"/>
    <x v="926"/>
    <n v="217"/>
    <n v="21"/>
    <n v="10"/>
    <n v="6.25E-2"/>
    <x v="195"/>
    <d v="2024-11-30T00:00:00"/>
    <s v="Hyderabad"/>
    <x v="2"/>
    <x v="0"/>
    <s v="November"/>
    <x v="0"/>
    <n v="1.3540624999999999"/>
    <n v="2.85"/>
    <n v="10.32"/>
    <n v="21.66"/>
    <n v="61.55"/>
    <n v="35"/>
    <n v="1.62"/>
  </r>
  <r>
    <n v="1131"/>
    <s v="A2131"/>
    <x v="3"/>
    <n v="195"/>
    <x v="927"/>
    <n v="218"/>
    <n v="12"/>
    <n v="7"/>
    <n v="3.5897435897435798E-2"/>
    <x v="147"/>
    <d v="2024-11-25T00:00:00"/>
    <s v="Hyderabad"/>
    <x v="1"/>
    <x v="4"/>
    <s v="November"/>
    <x v="6"/>
    <n v="1.1182564102564101"/>
    <n v="6.14"/>
    <n v="18.170000000000002"/>
    <n v="31.15"/>
    <n v="38.04"/>
    <n v="43"/>
    <n v="1.38"/>
  </r>
  <r>
    <n v="1132"/>
    <s v="A2132"/>
    <x v="3"/>
    <n v="142"/>
    <x v="170"/>
    <n v="190"/>
    <n v="22"/>
    <n v="7"/>
    <n v="4.92957746478873E-2"/>
    <x v="7"/>
    <d v="2024-11-20T00:00:00"/>
    <s v="Hyderabad"/>
    <x v="1"/>
    <x v="0"/>
    <s v="November"/>
    <x v="1"/>
    <n v="1.34147887323943"/>
    <n v="2.8"/>
    <n v="8.66"/>
    <n v="27.21"/>
    <n v="61.69"/>
    <n v="44"/>
    <n v="1.62"/>
  </r>
  <r>
    <n v="1133"/>
    <s v="A2133"/>
    <x v="2"/>
    <n v="81"/>
    <x v="928"/>
    <n v="236"/>
    <n v="15"/>
    <n v="4"/>
    <n v="4.9382716049382699E-2"/>
    <x v="61"/>
    <d v="2024-11-12T00:00:00"/>
    <s v="Hyderabad"/>
    <x v="0"/>
    <x v="4"/>
    <s v="November"/>
    <x v="2"/>
    <n v="2.91444444444444"/>
    <n v="1.36"/>
    <n v="15.74"/>
    <n v="59.02"/>
    <n v="11.41"/>
    <n v="65.75"/>
    <n v="1.1100000000000001"/>
  </r>
  <r>
    <n v="1134"/>
    <s v="A2134"/>
    <x v="3"/>
    <n v="128"/>
    <x v="929"/>
    <n v="202"/>
    <n v="16"/>
    <n v="4"/>
    <n v="3.125E-2"/>
    <x v="171"/>
    <d v="2024-11-25T00:00:00"/>
    <s v="Hyderabad"/>
    <x v="1"/>
    <x v="5"/>
    <s v="November"/>
    <x v="6"/>
    <n v="1.5775781250000001"/>
    <n v="3.02"/>
    <n v="12.62"/>
    <n v="50.48"/>
    <n v="47.58"/>
    <n v="74.5"/>
    <n v="1.48"/>
  </r>
  <r>
    <n v="1135"/>
    <s v="A2135"/>
    <x v="2"/>
    <n v="115"/>
    <x v="930"/>
    <n v="225"/>
    <n v="22"/>
    <n v="9"/>
    <n v="7.8260869565217397E-2"/>
    <x v="2"/>
    <d v="2024-11-01T00:00:00"/>
    <s v="Hyderabad"/>
    <x v="0"/>
    <x v="2"/>
    <s v="November"/>
    <x v="3"/>
    <n v="1.9593043478260801"/>
    <n v="2.9"/>
    <n v="10.24"/>
    <n v="25.04"/>
    <n v="46.9"/>
    <n v="36.78"/>
    <n v="1.47"/>
  </r>
  <r>
    <n v="1136"/>
    <s v="A2136"/>
    <x v="3"/>
    <n v="172"/>
    <x v="931"/>
    <n v="244"/>
    <n v="28"/>
    <n v="5"/>
    <n v="2.9069767441860399E-2"/>
    <x v="76"/>
    <d v="2024-11-13T00:00:00"/>
    <s v="Hyderabad"/>
    <x v="2"/>
    <x v="4"/>
    <s v="November"/>
    <x v="1"/>
    <n v="1.41587209302325"/>
    <n v="3.95"/>
    <n v="8.6999999999999993"/>
    <n v="48.71"/>
    <n v="0.19"/>
    <n v="48.8"/>
    <n v="1"/>
  </r>
  <r>
    <n v="1137"/>
    <s v="A2137"/>
    <x v="1"/>
    <n v="91"/>
    <x v="932"/>
    <n v="245"/>
    <n v="21"/>
    <n v="7"/>
    <n v="7.69230769230769E-2"/>
    <x v="3"/>
    <d v="2024-11-26T00:00:00"/>
    <s v="Hyderabad"/>
    <x v="0"/>
    <x v="4"/>
    <s v="November"/>
    <x v="2"/>
    <n v="2.6946153846153802"/>
    <n v="1.72"/>
    <n v="11.68"/>
    <n v="35.03"/>
    <n v="1.95"/>
    <n v="35.71"/>
    <n v="1.02"/>
  </r>
  <r>
    <n v="1138"/>
    <s v="A2138"/>
    <x v="3"/>
    <n v="166"/>
    <x v="370"/>
    <n v="247"/>
    <n v="21"/>
    <n v="7"/>
    <n v="4.2168674698795101E-2"/>
    <x v="164"/>
    <d v="2024-11-09T00:00:00"/>
    <s v="Hyderabad"/>
    <x v="0"/>
    <x v="3"/>
    <s v="November"/>
    <x v="0"/>
    <n v="1.48506024096385"/>
    <n v="3.08"/>
    <n v="11.74"/>
    <n v="35.22"/>
    <n v="30.62"/>
    <n v="46"/>
    <n v="1.31"/>
  </r>
  <r>
    <n v="1139"/>
    <s v="A2139"/>
    <x v="0"/>
    <n v="155"/>
    <x v="933"/>
    <n v="199"/>
    <n v="13"/>
    <n v="6"/>
    <n v="3.8709677419354799E-2"/>
    <x v="8"/>
    <d v="2024-11-01T00:00:00"/>
    <s v="Hyderabad"/>
    <x v="1"/>
    <x v="3"/>
    <s v="November"/>
    <x v="3"/>
    <n v="1.2868387096774101"/>
    <n v="5.08"/>
    <n v="15.34"/>
    <n v="33.24"/>
    <n v="39.380000000000003"/>
    <n v="46.33"/>
    <n v="1.39"/>
  </r>
  <r>
    <n v="1140"/>
    <s v="A2140"/>
    <x v="1"/>
    <n v="127"/>
    <x v="934"/>
    <n v="218"/>
    <n v="26"/>
    <n v="7"/>
    <n v="5.5118110236220402E-2"/>
    <x v="124"/>
    <d v="2024-11-02T00:00:00"/>
    <s v="Hyderabad"/>
    <x v="2"/>
    <x v="0"/>
    <s v="November"/>
    <x v="0"/>
    <n v="1.71685039370078"/>
    <n v="2.74"/>
    <n v="8.39"/>
    <n v="31.15"/>
    <n v="32.090000000000003"/>
    <n v="41.14"/>
    <n v="1.32"/>
  </r>
  <r>
    <n v="1141"/>
    <s v="A2141"/>
    <x v="1"/>
    <n v="94"/>
    <x v="935"/>
    <n v="204"/>
    <n v="22"/>
    <n v="6"/>
    <n v="6.3829787234042507E-2"/>
    <x v="114"/>
    <d v="2024-11-14T00:00:00"/>
    <s v="Hyderabad"/>
    <x v="0"/>
    <x v="3"/>
    <s v="November"/>
    <x v="5"/>
    <n v="2.1689361702127599"/>
    <n v="1.69"/>
    <n v="9.27"/>
    <n v="33.979999999999997"/>
    <n v="37.479999999999997"/>
    <n v="46.71"/>
    <n v="1.37"/>
  </r>
  <r>
    <n v="1142"/>
    <s v="A2142"/>
    <x v="0"/>
    <n v="90"/>
    <x v="530"/>
    <n v="193"/>
    <n v="21"/>
    <n v="8"/>
    <n v="8.8888888888888795E-2"/>
    <x v="17"/>
    <d v="2024-11-07T00:00:00"/>
    <s v="Hyderabad"/>
    <x v="0"/>
    <x v="1"/>
    <s v="November"/>
    <x v="5"/>
    <n v="2.1425555555555502"/>
    <n v="1.73"/>
    <n v="9.18"/>
    <n v="24.1"/>
    <n v="88.77"/>
    <n v="45.5"/>
    <n v="1.89"/>
  </r>
  <r>
    <n v="1143"/>
    <s v="A2143"/>
    <x v="2"/>
    <n v="161"/>
    <x v="936"/>
    <n v="203"/>
    <n v="12"/>
    <n v="4"/>
    <n v="2.4844720496894401E-2"/>
    <x v="159"/>
    <d v="2024-11-28T00:00:00"/>
    <s v="Hyderabad"/>
    <x v="2"/>
    <x v="4"/>
    <s v="November"/>
    <x v="5"/>
    <n v="1.2624223602484399"/>
    <n v="2.8"/>
    <n v="16.940000000000001"/>
    <n v="50.81"/>
    <n v="-8.07"/>
    <n v="46.71"/>
    <n v="0.92"/>
  </r>
  <r>
    <n v="1144"/>
    <s v="A2144"/>
    <x v="3"/>
    <n v="157"/>
    <x v="937"/>
    <n v="245"/>
    <n v="24"/>
    <n v="6"/>
    <n v="3.8216560509554097E-2"/>
    <x v="114"/>
    <d v="2024-11-22T00:00:00"/>
    <s v="Hyderabad"/>
    <x v="1"/>
    <x v="5"/>
    <s v="November"/>
    <x v="3"/>
    <n v="1.56248407643312"/>
    <n v="2.86"/>
    <n v="10.220000000000001"/>
    <n v="40.880000000000003"/>
    <n v="14.26"/>
    <n v="46.71"/>
    <n v="1.1399999999999999"/>
  </r>
  <r>
    <n v="1145"/>
    <s v="A2145"/>
    <x v="2"/>
    <n v="157"/>
    <x v="938"/>
    <n v="203"/>
    <n v="27"/>
    <n v="8"/>
    <n v="5.0955414012738801E-2"/>
    <x v="153"/>
    <d v="2024-11-03T00:00:00"/>
    <s v="Hyderabad"/>
    <x v="1"/>
    <x v="5"/>
    <s v="November"/>
    <x v="4"/>
    <n v="1.2920382165605"/>
    <n v="3.84"/>
    <n v="7.51"/>
    <n v="25.36"/>
    <n v="38.03"/>
    <n v="35"/>
    <n v="1.38"/>
  </r>
  <r>
    <n v="1146"/>
    <s v="A2146"/>
    <x v="1"/>
    <n v="179"/>
    <x v="939"/>
    <n v="182"/>
    <n v="27"/>
    <n v="5"/>
    <n v="2.7932960893854698E-2"/>
    <x v="206"/>
    <d v="2024-11-13T00:00:00"/>
    <s v="Hyderabad"/>
    <x v="2"/>
    <x v="2"/>
    <s v="November"/>
    <x v="1"/>
    <n v="1.01508379888268"/>
    <n v="4.01"/>
    <n v="6.73"/>
    <n v="36.340000000000003"/>
    <n v="48.05"/>
    <n v="53.8"/>
    <n v="1.48"/>
  </r>
  <r>
    <n v="1147"/>
    <s v="A2147"/>
    <x v="3"/>
    <n v="165"/>
    <x v="940"/>
    <n v="221"/>
    <n v="23"/>
    <n v="6"/>
    <n v="3.6363636363636299E-2"/>
    <x v="164"/>
    <d v="2024-11-04T00:00:00"/>
    <s v="Hyderabad"/>
    <x v="1"/>
    <x v="5"/>
    <s v="November"/>
    <x v="6"/>
    <n v="1.3372727272727201"/>
    <n v="2.78"/>
    <n v="9.59"/>
    <n v="36.78"/>
    <n v="45.93"/>
    <n v="53.67"/>
    <n v="1.46"/>
  </r>
  <r>
    <n v="1148"/>
    <s v="A2148"/>
    <x v="0"/>
    <n v="167"/>
    <x v="941"/>
    <n v="232"/>
    <n v="13"/>
    <n v="5"/>
    <n v="2.9940119760479E-2"/>
    <x v="117"/>
    <d v="2024-11-03T00:00:00"/>
    <s v="Hyderabad"/>
    <x v="0"/>
    <x v="4"/>
    <s v="November"/>
    <x v="4"/>
    <n v="1.38706586826347"/>
    <n v="3.73"/>
    <n v="17.82"/>
    <n v="46.33"/>
    <n v="54.12"/>
    <n v="71.400000000000006"/>
    <n v="1.54"/>
  </r>
  <r>
    <n v="1149"/>
    <s v="A2149"/>
    <x v="1"/>
    <n v="126"/>
    <x v="942"/>
    <n v="183"/>
    <n v="29"/>
    <n v="8"/>
    <n v="6.3492063492063405E-2"/>
    <x v="158"/>
    <d v="2024-11-19T00:00:00"/>
    <s v="Hyderabad"/>
    <x v="1"/>
    <x v="4"/>
    <s v="November"/>
    <x v="2"/>
    <n v="1.44873015873015"/>
    <n v="2.99"/>
    <n v="6.29"/>
    <n v="22.82"/>
    <n v="19.43"/>
    <n v="27.25"/>
    <n v="1.19"/>
  </r>
  <r>
    <n v="1150"/>
    <s v="A2150"/>
    <x v="0"/>
    <n v="134"/>
    <x v="588"/>
    <n v="220"/>
    <n v="13"/>
    <n v="5"/>
    <n v="3.7313432835820802E-2"/>
    <x v="47"/>
    <d v="2024-11-29T00:00:00"/>
    <s v="Hyderabad"/>
    <x v="1"/>
    <x v="2"/>
    <s v="November"/>
    <x v="3"/>
    <n v="1.6424626865671601"/>
    <n v="2.97"/>
    <n v="16.93"/>
    <n v="44.02"/>
    <n v="61.75"/>
    <n v="71.2"/>
    <n v="1.62"/>
  </r>
  <r>
    <n v="1151"/>
    <s v="A2151"/>
    <x v="3"/>
    <n v="142"/>
    <x v="383"/>
    <n v="191"/>
    <n v="13"/>
    <n v="5"/>
    <n v="3.5211267605633798E-2"/>
    <x v="172"/>
    <d v="2024-11-05T00:00:00"/>
    <s v="Hyderabad"/>
    <x v="1"/>
    <x v="0"/>
    <s v="November"/>
    <x v="2"/>
    <n v="1.3445774647887301"/>
    <n v="4.51"/>
    <n v="14.69"/>
    <n v="38.19"/>
    <n v="85.93"/>
    <n v="71"/>
    <n v="1.86"/>
  </r>
  <r>
    <n v="1152"/>
    <s v="A2152"/>
    <x v="3"/>
    <n v="133"/>
    <x v="943"/>
    <n v="199"/>
    <n v="22"/>
    <n v="3"/>
    <n v="2.2556390977443601E-2"/>
    <x v="186"/>
    <d v="2024-11-11T00:00:00"/>
    <s v="Hyderabad"/>
    <x v="0"/>
    <x v="0"/>
    <s v="November"/>
    <x v="6"/>
    <n v="1.49571428571428"/>
    <n v="3.03"/>
    <n v="9.0399999999999991"/>
    <n v="66.31"/>
    <n v="66.89"/>
    <n v="110.67"/>
    <n v="1.67"/>
  </r>
  <r>
    <n v="1153"/>
    <s v="A2153"/>
    <x v="0"/>
    <n v="163"/>
    <x v="944"/>
    <n v="185"/>
    <n v="12"/>
    <n v="3"/>
    <n v="1.84049079754601E-2"/>
    <x v="102"/>
    <d v="2024-11-11T00:00:00"/>
    <s v="Hyderabad"/>
    <x v="2"/>
    <x v="3"/>
    <s v="November"/>
    <x v="6"/>
    <n v="1.1339877300613399"/>
    <n v="2.74"/>
    <n v="15.4"/>
    <n v="61.61"/>
    <n v="37.96"/>
    <n v="85"/>
    <n v="1.38"/>
  </r>
  <r>
    <n v="1154"/>
    <s v="A2154"/>
    <x v="1"/>
    <n v="171"/>
    <x v="945"/>
    <n v="235"/>
    <n v="25"/>
    <n v="6"/>
    <n v="3.5087719298245598E-2"/>
    <x v="114"/>
    <d v="2024-11-21T00:00:00"/>
    <s v="Hyderabad"/>
    <x v="0"/>
    <x v="1"/>
    <s v="November"/>
    <x v="5"/>
    <n v="1.37561403508771"/>
    <n v="3.52"/>
    <n v="9.41"/>
    <n v="39.200000000000003"/>
    <n v="19.149999999999999"/>
    <n v="46.71"/>
    <n v="1.19"/>
  </r>
  <r>
    <n v="1155"/>
    <s v="A2155"/>
    <x v="3"/>
    <n v="97"/>
    <x v="946"/>
    <n v="221"/>
    <n v="15"/>
    <n v="10"/>
    <n v="0.103092783505154"/>
    <x v="154"/>
    <d v="2024-11-07T00:00:00"/>
    <s v="Hyderabad"/>
    <x v="2"/>
    <x v="1"/>
    <s v="November"/>
    <x v="5"/>
    <n v="2.2823711340206101"/>
    <n v="2.08"/>
    <n v="14.76"/>
    <n v="22.14"/>
    <n v="22.86"/>
    <n v="27.2"/>
    <n v="1.23"/>
  </r>
  <r>
    <n v="1156"/>
    <s v="A2156"/>
    <x v="1"/>
    <n v="176"/>
    <x v="947"/>
    <n v="194"/>
    <n v="15"/>
    <n v="9"/>
    <n v="5.1136363636363598E-2"/>
    <x v="16"/>
    <d v="2024-11-12T00:00:00"/>
    <s v="Hyderabad"/>
    <x v="2"/>
    <x v="0"/>
    <s v="November"/>
    <x v="2"/>
    <n v="1.1006818181818101"/>
    <n v="5.28"/>
    <n v="12.91"/>
    <n v="21.52"/>
    <n v="78.61"/>
    <n v="38.44"/>
    <n v="1.79"/>
  </r>
  <r>
    <n v="1157"/>
    <s v="A2157"/>
    <x v="1"/>
    <n v="129"/>
    <x v="948"/>
    <n v="214"/>
    <n v="10"/>
    <n v="6"/>
    <n v="4.6511627906976702E-2"/>
    <x v="147"/>
    <d v="2024-11-18T00:00:00"/>
    <s v="Hyderabad"/>
    <x v="0"/>
    <x v="5"/>
    <s v="November"/>
    <x v="6"/>
    <n v="1.65674418604651"/>
    <n v="2.21"/>
    <n v="21.37"/>
    <n v="35.619999999999997"/>
    <n v="40.840000000000003"/>
    <n v="50.17"/>
    <n v="1.41"/>
  </r>
  <r>
    <n v="1158"/>
    <s v="A2158"/>
    <x v="2"/>
    <n v="178"/>
    <x v="949"/>
    <n v="218"/>
    <n v="29"/>
    <n v="6"/>
    <n v="3.3707865168539297E-2"/>
    <x v="30"/>
    <d v="2024-11-15T00:00:00"/>
    <s v="Hyderabad"/>
    <x v="1"/>
    <x v="0"/>
    <s v="November"/>
    <x v="3"/>
    <n v="1.2244943820224701"/>
    <n v="4.51"/>
    <n v="7.52"/>
    <n v="36.33"/>
    <n v="-2.73"/>
    <n v="35.33"/>
    <n v="0.97"/>
  </r>
  <r>
    <n v="1159"/>
    <s v="A2159"/>
    <x v="3"/>
    <n v="111"/>
    <x v="598"/>
    <n v="215"/>
    <n v="15"/>
    <n v="10"/>
    <n v="9.0090090090090003E-2"/>
    <x v="136"/>
    <d v="2024-11-14T00:00:00"/>
    <s v="Hyderabad"/>
    <x v="2"/>
    <x v="4"/>
    <s v="November"/>
    <x v="5"/>
    <n v="1.9412612612612601"/>
    <n v="2.93"/>
    <n v="14.37"/>
    <n v="21.55"/>
    <n v="57.32"/>
    <n v="33.9"/>
    <n v="1.57"/>
  </r>
  <r>
    <n v="1160"/>
    <s v="A2160"/>
    <x v="0"/>
    <n v="156"/>
    <x v="950"/>
    <n v="193"/>
    <n v="11"/>
    <n v="5"/>
    <n v="3.2051282051282E-2"/>
    <x v="86"/>
    <d v="2024-11-26T00:00:00"/>
    <s v="Hyderabad"/>
    <x v="1"/>
    <x v="0"/>
    <s v="November"/>
    <x v="2"/>
    <n v="1.2369230769230699"/>
    <n v="3.72"/>
    <n v="17.54"/>
    <n v="38.590000000000003"/>
    <n v="59.1"/>
    <n v="61.4"/>
    <n v="1.59"/>
  </r>
  <r>
    <n v="1161"/>
    <s v="A2161"/>
    <x v="1"/>
    <n v="103"/>
    <x v="152"/>
    <n v="193"/>
    <n v="20"/>
    <n v="5"/>
    <n v="4.85436893203883E-2"/>
    <x v="124"/>
    <d v="2024-11-19T00:00:00"/>
    <s v="Hyderabad"/>
    <x v="2"/>
    <x v="1"/>
    <s v="November"/>
    <x v="2"/>
    <n v="1.87446601941747"/>
    <n v="3.02"/>
    <n v="9.65"/>
    <n v="38.61"/>
    <n v="49.17"/>
    <n v="57.6"/>
    <n v="1.49"/>
  </r>
  <r>
    <n v="1162"/>
    <s v="A2162"/>
    <x v="2"/>
    <n v="145"/>
    <x v="951"/>
    <n v="203"/>
    <n v="29"/>
    <n v="5"/>
    <n v="3.4482758620689599E-2"/>
    <x v="65"/>
    <d v="2024-11-23T00:00:00"/>
    <s v="Hyderabad"/>
    <x v="2"/>
    <x v="3"/>
    <s v="November"/>
    <x v="0"/>
    <n v="1.4022758620689599"/>
    <n v="2.91"/>
    <n v="7.01"/>
    <n v="40.67"/>
    <n v="55.9"/>
    <n v="63.4"/>
    <n v="1.56"/>
  </r>
  <r>
    <n v="1163"/>
    <s v="A2163"/>
    <x v="3"/>
    <n v="156"/>
    <x v="33"/>
    <n v="185"/>
    <n v="29"/>
    <n v="4"/>
    <n v="2.5641025641025599E-2"/>
    <x v="23"/>
    <d v="2024-11-18T00:00:00"/>
    <s v="Hyderabad"/>
    <x v="1"/>
    <x v="2"/>
    <s v="November"/>
    <x v="6"/>
    <n v="1.1883974358974301"/>
    <n v="2.83"/>
    <n v="6.39"/>
    <n v="46.35"/>
    <n v="81.78"/>
    <n v="84.25"/>
    <n v="1.82"/>
  </r>
  <r>
    <n v="1164"/>
    <s v="A2164"/>
    <x v="2"/>
    <n v="127"/>
    <x v="952"/>
    <n v="215"/>
    <n v="20"/>
    <n v="7"/>
    <n v="5.5118110236220402E-2"/>
    <x v="19"/>
    <d v="2024-11-13T00:00:00"/>
    <s v="Hyderabad"/>
    <x v="0"/>
    <x v="5"/>
    <s v="November"/>
    <x v="1"/>
    <n v="1.6903149606299199"/>
    <n v="3.34"/>
    <n v="10.73"/>
    <n v="30.67"/>
    <n v="64.900000000000006"/>
    <n v="50.57"/>
    <n v="1.65"/>
  </r>
  <r>
    <n v="1165"/>
    <s v="A2165"/>
    <x v="0"/>
    <n v="121"/>
    <x v="953"/>
    <n v="247"/>
    <n v="13"/>
    <n v="9"/>
    <n v="7.43801652892562E-2"/>
    <x v="50"/>
    <d v="2024-11-01T00:00:00"/>
    <s v="Hyderabad"/>
    <x v="2"/>
    <x v="4"/>
    <s v="November"/>
    <x v="3"/>
    <n v="2.0395041322314"/>
    <n v="2.39"/>
    <n v="18.98"/>
    <n v="27.42"/>
    <n v="4.95"/>
    <n v="28.78"/>
    <n v="1.05"/>
  </r>
  <r>
    <n v="1166"/>
    <s v="A2166"/>
    <x v="1"/>
    <n v="98"/>
    <x v="954"/>
    <n v="234"/>
    <n v="17"/>
    <n v="4"/>
    <n v="4.08163265306122E-2"/>
    <x v="63"/>
    <d v="2024-11-11T00:00:00"/>
    <s v="Hyderabad"/>
    <x v="2"/>
    <x v="0"/>
    <s v="November"/>
    <x v="6"/>
    <n v="2.3893877551020402"/>
    <n v="2.3199999999999998"/>
    <n v="13.77"/>
    <n v="58.54"/>
    <n v="35.799999999999997"/>
    <n v="79.5"/>
    <n v="1.36"/>
  </r>
  <r>
    <n v="1167"/>
    <s v="A2167"/>
    <x v="0"/>
    <n v="156"/>
    <x v="52"/>
    <n v="223"/>
    <n v="14"/>
    <n v="10"/>
    <n v="6.4102564102564097E-2"/>
    <x v="42"/>
    <d v="2024-11-20T00:00:00"/>
    <s v="Hyderabad"/>
    <x v="1"/>
    <x v="4"/>
    <s v="November"/>
    <x v="1"/>
    <n v="1.43089743589743"/>
    <n v="4.71"/>
    <n v="15.94"/>
    <n v="22.32"/>
    <n v="44.7"/>
    <n v="32.299999999999997"/>
    <n v="1.45"/>
  </r>
  <r>
    <n v="1168"/>
    <s v="A2168"/>
    <x v="1"/>
    <n v="191"/>
    <x v="955"/>
    <n v="204"/>
    <n v="27"/>
    <n v="4"/>
    <n v="2.09424083769633E-2"/>
    <x v="159"/>
    <d v="2024-11-30T00:00:00"/>
    <s v="Hyderabad"/>
    <x v="1"/>
    <x v="4"/>
    <s v="November"/>
    <x v="0"/>
    <n v="1.06554973821989"/>
    <n v="4.75"/>
    <n v="7.54"/>
    <n v="50.88"/>
    <n v="-8.19"/>
    <n v="46.71"/>
    <n v="0.92"/>
  </r>
  <r>
    <n v="1169"/>
    <s v="A2169"/>
    <x v="3"/>
    <n v="193"/>
    <x v="956"/>
    <n v="206"/>
    <n v="18"/>
    <n v="3"/>
    <n v="1.55440414507772E-2"/>
    <x v="22"/>
    <d v="2024-11-07T00:00:00"/>
    <s v="Hyderabad"/>
    <x v="1"/>
    <x v="2"/>
    <s v="November"/>
    <x v="5"/>
    <n v="1.06492227979274"/>
    <n v="3.79"/>
    <n v="11.42"/>
    <n v="68.510000000000005"/>
    <n v="44.02"/>
    <n v="98.67"/>
    <n v="1.44"/>
  </r>
  <r>
    <n v="1170"/>
    <s v="A2170"/>
    <x v="1"/>
    <n v="167"/>
    <x v="957"/>
    <n v="245"/>
    <n v="11"/>
    <n v="9"/>
    <n v="5.3892215568862201E-2"/>
    <x v="72"/>
    <d v="2024-11-10T00:00:00"/>
    <s v="Hyderabad"/>
    <x v="2"/>
    <x v="2"/>
    <s v="November"/>
    <x v="4"/>
    <n v="1.4647904191616701"/>
    <n v="3.03"/>
    <n v="22.24"/>
    <n v="27.18"/>
    <n v="22.23"/>
    <n v="33.22"/>
    <n v="1.22"/>
  </r>
  <r>
    <n v="1171"/>
    <s v="A2171"/>
    <x v="3"/>
    <n v="177"/>
    <x v="958"/>
    <n v="191"/>
    <n v="10"/>
    <n v="5"/>
    <n v="2.8248587570621399E-2"/>
    <x v="127"/>
    <d v="2024-11-19T00:00:00"/>
    <s v="Hyderabad"/>
    <x v="1"/>
    <x v="1"/>
    <s v="November"/>
    <x v="2"/>
    <n v="1.0764406779661"/>
    <n v="3.25"/>
    <n v="19.05"/>
    <n v="38.11"/>
    <n v="34.89"/>
    <n v="51.4"/>
    <n v="1.35"/>
  </r>
  <r>
    <n v="1172"/>
    <s v="A2172"/>
    <x v="1"/>
    <n v="175"/>
    <x v="959"/>
    <n v="208"/>
    <n v="25"/>
    <n v="3"/>
    <n v="1.7142857142857099E-2"/>
    <x v="164"/>
    <d v="2024-11-11T00:00:00"/>
    <s v="Hyderabad"/>
    <x v="2"/>
    <x v="2"/>
    <s v="November"/>
    <x v="6"/>
    <n v="1.1912"/>
    <n v="3.05"/>
    <n v="8.34"/>
    <n v="69.489999999999995"/>
    <n v="54.47"/>
    <n v="107.33"/>
    <n v="1.54"/>
  </r>
  <r>
    <n v="1173"/>
    <s v="A2173"/>
    <x v="3"/>
    <n v="122"/>
    <x v="960"/>
    <n v="249"/>
    <n v="25"/>
    <n v="4"/>
    <n v="3.2786885245901599E-2"/>
    <x v="47"/>
    <d v="2024-11-11T00:00:00"/>
    <s v="Hyderabad"/>
    <x v="0"/>
    <x v="1"/>
    <s v="November"/>
    <x v="6"/>
    <n v="2.03852459016393"/>
    <n v="2.61"/>
    <n v="9.9499999999999993"/>
    <n v="62.18"/>
    <n v="43.14"/>
    <n v="89"/>
    <n v="1.43"/>
  </r>
  <r>
    <n v="1174"/>
    <s v="A2174"/>
    <x v="0"/>
    <n v="121"/>
    <x v="961"/>
    <n v="224"/>
    <n v="19"/>
    <n v="3"/>
    <n v="2.4793388429752001E-2"/>
    <x v="102"/>
    <d v="2024-11-26T00:00:00"/>
    <s v="Hyderabad"/>
    <x v="1"/>
    <x v="4"/>
    <s v="November"/>
    <x v="2"/>
    <n v="1.8499999999999901"/>
    <n v="2.96"/>
    <n v="11.78"/>
    <n v="74.62"/>
    <n v="13.92"/>
    <n v="85"/>
    <n v="1.1399999999999999"/>
  </r>
  <r>
    <n v="1175"/>
    <s v="A2175"/>
    <x v="3"/>
    <n v="125"/>
    <x v="962"/>
    <n v="187"/>
    <n v="10"/>
    <n v="9"/>
    <n v="7.1999999999999995E-2"/>
    <x v="212"/>
    <d v="2024-11-06T00:00:00"/>
    <s v="Hyderabad"/>
    <x v="0"/>
    <x v="3"/>
    <s v="November"/>
    <x v="1"/>
    <n v="1.4927999999999999"/>
    <n v="2.76"/>
    <n v="18.66"/>
    <n v="20.73"/>
    <n v="27.55"/>
    <n v="26.44"/>
    <n v="1.28"/>
  </r>
  <r>
    <n v="1176"/>
    <s v="A2176"/>
    <x v="2"/>
    <n v="81"/>
    <x v="963"/>
    <n v="203"/>
    <n v="10"/>
    <n v="7"/>
    <n v="8.6419753086419707E-2"/>
    <x v="211"/>
    <d v="2024-11-27T00:00:00"/>
    <s v="Hyderabad"/>
    <x v="1"/>
    <x v="3"/>
    <s v="November"/>
    <x v="1"/>
    <n v="2.5055555555555502"/>
    <n v="2.0499999999999998"/>
    <n v="20.29"/>
    <n v="28.99"/>
    <n v="98.08"/>
    <n v="57.43"/>
    <n v="1.98"/>
  </r>
  <r>
    <n v="1177"/>
    <s v="A2177"/>
    <x v="0"/>
    <n v="112"/>
    <x v="964"/>
    <n v="249"/>
    <n v="28"/>
    <n v="3"/>
    <n v="2.6785714285714201E-2"/>
    <x v="140"/>
    <d v="2024-11-26T00:00:00"/>
    <s v="Hyderabad"/>
    <x v="0"/>
    <x v="5"/>
    <s v="November"/>
    <x v="2"/>
    <n v="2.2252678571428501"/>
    <n v="2.5"/>
    <n v="8.9"/>
    <n v="83.08"/>
    <n v="28.8"/>
    <n v="107"/>
    <n v="1.29"/>
  </r>
  <r>
    <n v="1178"/>
    <s v="A2178"/>
    <x v="2"/>
    <n v="152"/>
    <x v="294"/>
    <n v="182"/>
    <n v="24"/>
    <n v="4"/>
    <n v="2.6315789473684199E-2"/>
    <x v="194"/>
    <d v="2024-11-05T00:00:00"/>
    <s v="Hyderabad"/>
    <x v="1"/>
    <x v="5"/>
    <s v="November"/>
    <x v="2"/>
    <n v="1.19743421052631"/>
    <n v="2.87"/>
    <n v="7.58"/>
    <n v="45.5"/>
    <n v="87.35"/>
    <n v="85.25"/>
    <n v="1.87"/>
  </r>
  <r>
    <n v="1179"/>
    <s v="A2179"/>
    <x v="2"/>
    <n v="134"/>
    <x v="965"/>
    <n v="245"/>
    <n v="26"/>
    <n v="5"/>
    <n v="3.7313432835820802E-2"/>
    <x v="84"/>
    <d v="2024-11-14T00:00:00"/>
    <s v="Hyderabad"/>
    <x v="2"/>
    <x v="5"/>
    <s v="November"/>
    <x v="5"/>
    <n v="1.83134328358208"/>
    <n v="2.6"/>
    <n v="9.44"/>
    <n v="49.08"/>
    <n v="-4.82"/>
    <n v="46.71"/>
    <n v="0.95"/>
  </r>
  <r>
    <n v="1180"/>
    <s v="A2180"/>
    <x v="2"/>
    <n v="111"/>
    <x v="966"/>
    <n v="192"/>
    <n v="19"/>
    <n v="5"/>
    <n v="4.5045045045045001E-2"/>
    <x v="89"/>
    <d v="2024-11-06T00:00:00"/>
    <s v="Hyderabad"/>
    <x v="0"/>
    <x v="5"/>
    <s v="November"/>
    <x v="1"/>
    <n v="1.73099099099099"/>
    <n v="2.79"/>
    <n v="10.11"/>
    <n v="38.43"/>
    <n v="59.26"/>
    <n v="61.2"/>
    <n v="1.59"/>
  </r>
  <r>
    <n v="1181"/>
    <s v="A2181"/>
    <x v="0"/>
    <n v="194"/>
    <x v="954"/>
    <n v="187"/>
    <n v="12"/>
    <n v="10"/>
    <n v="5.1546391752577303E-2"/>
    <x v="194"/>
    <d v="2024-11-07T00:00:00"/>
    <s v="Hyderabad"/>
    <x v="2"/>
    <x v="3"/>
    <s v="November"/>
    <x v="5"/>
    <n v="0.96567010309278301"/>
    <n v="4.5999999999999996"/>
    <n v="15.61"/>
    <n v="18.73"/>
    <n v="82.02"/>
    <n v="34.1"/>
    <n v="1.82"/>
  </r>
  <r>
    <n v="1182"/>
    <s v="A2182"/>
    <x v="3"/>
    <n v="150"/>
    <x v="967"/>
    <n v="242"/>
    <n v="25"/>
    <n v="7"/>
    <n v="4.6666666666666599E-2"/>
    <x v="130"/>
    <d v="2024-11-11T00:00:00"/>
    <s v="Hyderabad"/>
    <x v="0"/>
    <x v="2"/>
    <s v="November"/>
    <x v="6"/>
    <n v="1.6120000000000001"/>
    <n v="2.54"/>
    <n v="9.67"/>
    <n v="34.54"/>
    <n v="20.76"/>
    <n v="41.71"/>
    <n v="1.21"/>
  </r>
  <r>
    <n v="1183"/>
    <s v="A2183"/>
    <x v="3"/>
    <n v="100"/>
    <x v="968"/>
    <n v="225"/>
    <n v="13"/>
    <n v="9"/>
    <n v="0.09"/>
    <x v="90"/>
    <d v="2024-11-15T00:00:00"/>
    <s v="Hyderabad"/>
    <x v="1"/>
    <x v="3"/>
    <s v="November"/>
    <x v="3"/>
    <n v="2.2479"/>
    <n v="1.68"/>
    <n v="17.29"/>
    <n v="24.98"/>
    <n v="72.16"/>
    <n v="43"/>
    <n v="1.72"/>
  </r>
  <r>
    <n v="1184"/>
    <s v="A2184"/>
    <x v="2"/>
    <n v="186"/>
    <x v="969"/>
    <n v="236"/>
    <n v="18"/>
    <n v="4"/>
    <n v="2.1505376344085999E-2"/>
    <x v="170"/>
    <d v="2024-11-24T00:00:00"/>
    <s v="Hyderabad"/>
    <x v="2"/>
    <x v="2"/>
    <s v="November"/>
    <x v="4"/>
    <n v="1.2698924731182699"/>
    <n v="3.62"/>
    <n v="13.12"/>
    <n v="59.05"/>
    <n v="71.89"/>
    <n v="101.5"/>
    <n v="1.72"/>
  </r>
  <r>
    <n v="1185"/>
    <s v="A2185"/>
    <x v="3"/>
    <n v="130"/>
    <x v="970"/>
    <n v="243"/>
    <n v="12"/>
    <n v="8"/>
    <n v="6.15384615384615E-2"/>
    <x v="169"/>
    <d v="2024-11-01T00:00:00"/>
    <s v="Hyderabad"/>
    <x v="0"/>
    <x v="2"/>
    <s v="November"/>
    <x v="3"/>
    <n v="1.8718461538461499"/>
    <n v="3.5"/>
    <n v="20.28"/>
    <n v="30.42"/>
    <n v="24.11"/>
    <n v="37.75"/>
    <n v="1.24"/>
  </r>
  <r>
    <n v="1186"/>
    <s v="A2186"/>
    <x v="3"/>
    <n v="158"/>
    <x v="971"/>
    <n v="186"/>
    <n v="27"/>
    <n v="10"/>
    <n v="6.3291139240506306E-2"/>
    <x v="211"/>
    <d v="2024-11-06T00:00:00"/>
    <s v="Hyderabad"/>
    <x v="2"/>
    <x v="4"/>
    <s v="November"/>
    <x v="1"/>
    <n v="1.17879746835443"/>
    <n v="3.77"/>
    <n v="6.9"/>
    <n v="18.62"/>
    <n v="115.84"/>
    <n v="40.200000000000003"/>
    <n v="2.16"/>
  </r>
  <r>
    <n v="1187"/>
    <s v="A2187"/>
    <x v="1"/>
    <n v="155"/>
    <x v="972"/>
    <n v="248"/>
    <n v="22"/>
    <n v="8"/>
    <n v="5.1612903225806403E-2"/>
    <x v="9"/>
    <d v="2024-11-06T00:00:00"/>
    <s v="Hyderabad"/>
    <x v="2"/>
    <x v="4"/>
    <s v="November"/>
    <x v="1"/>
    <n v="1.60103225806451"/>
    <n v="3.03"/>
    <n v="11.28"/>
    <n v="31.02"/>
    <n v="-15.38"/>
    <n v="26.25"/>
    <n v="0.85"/>
  </r>
  <r>
    <n v="1188"/>
    <s v="A2188"/>
    <x v="2"/>
    <n v="190"/>
    <x v="973"/>
    <n v="209"/>
    <n v="14"/>
    <n v="6"/>
    <n v="3.1578947368420998E-2"/>
    <x v="57"/>
    <d v="2024-11-06T00:00:00"/>
    <s v="Hyderabad"/>
    <x v="0"/>
    <x v="1"/>
    <s v="November"/>
    <x v="1"/>
    <n v="1.10184210526315"/>
    <n v="3.18"/>
    <n v="14.95"/>
    <n v="34.89"/>
    <n v="91.55"/>
    <n v="66.83"/>
    <n v="1.92"/>
  </r>
  <r>
    <n v="1189"/>
    <s v="A2189"/>
    <x v="0"/>
    <n v="191"/>
    <x v="974"/>
    <n v="183"/>
    <n v="20"/>
    <n v="6"/>
    <n v="3.1413612565444997E-2"/>
    <x v="167"/>
    <d v="2024-11-28T00:00:00"/>
    <s v="Hyderabad"/>
    <x v="2"/>
    <x v="3"/>
    <s v="November"/>
    <x v="5"/>
    <n v="0.95984293193717196"/>
    <n v="5.93"/>
    <n v="9.17"/>
    <n v="30.56"/>
    <n v="116"/>
    <n v="66"/>
    <n v="2.16"/>
  </r>
  <r>
    <n v="1190"/>
    <s v="A2190"/>
    <x v="3"/>
    <n v="145"/>
    <x v="975"/>
    <n v="202"/>
    <n v="17"/>
    <n v="3"/>
    <n v="2.0689655172413699E-2"/>
    <x v="30"/>
    <d v="2024-11-13T00:00:00"/>
    <s v="Hyderabad"/>
    <x v="1"/>
    <x v="2"/>
    <s v="November"/>
    <x v="1"/>
    <n v="1.3935862068965501"/>
    <n v="2.52"/>
    <n v="11.89"/>
    <n v="67.36"/>
    <n v="4.91"/>
    <n v="70.67"/>
    <n v="1.05"/>
  </r>
  <r>
    <n v="1191"/>
    <s v="A2191"/>
    <x v="2"/>
    <n v="102"/>
    <x v="976"/>
    <n v="189"/>
    <n v="28"/>
    <n v="8"/>
    <n v="7.8431372549019607E-2"/>
    <x v="2"/>
    <d v="2024-11-16T00:00:00"/>
    <s v="Hyderabad"/>
    <x v="2"/>
    <x v="5"/>
    <s v="November"/>
    <x v="0"/>
    <n v="1.85029411764705"/>
    <n v="1.79"/>
    <n v="6.74"/>
    <n v="23.59"/>
    <n v="75.38"/>
    <n v="41.38"/>
    <n v="1.75"/>
  </r>
  <r>
    <n v="1192"/>
    <s v="A2192"/>
    <x v="0"/>
    <n v="86"/>
    <x v="977"/>
    <n v="217"/>
    <n v="13"/>
    <n v="3"/>
    <n v="3.4883720930232502E-2"/>
    <x v="15"/>
    <d v="2024-11-22T00:00:00"/>
    <s v="Hyderabad"/>
    <x v="0"/>
    <x v="2"/>
    <s v="November"/>
    <x v="3"/>
    <n v="2.5265116279069701"/>
    <n v="1.64"/>
    <n v="16.71"/>
    <n v="72.430000000000007"/>
    <n v="51.42"/>
    <n v="109.67"/>
    <n v="1.51"/>
  </r>
  <r>
    <n v="1193"/>
    <s v="A2193"/>
    <x v="1"/>
    <n v="115"/>
    <x v="978"/>
    <n v="228"/>
    <n v="24"/>
    <n v="3"/>
    <n v="2.6086956521739101E-2"/>
    <x v="117"/>
    <d v="2024-11-15T00:00:00"/>
    <s v="Hyderabad"/>
    <x v="0"/>
    <x v="0"/>
    <s v="November"/>
    <x v="3"/>
    <n v="1.9805217391304299"/>
    <n v="2.25"/>
    <n v="9.49"/>
    <n v="75.92"/>
    <n v="56.74"/>
    <n v="119"/>
    <n v="1.57"/>
  </r>
  <r>
    <n v="1194"/>
    <s v="A2194"/>
    <x v="1"/>
    <n v="83"/>
    <x v="818"/>
    <n v="205"/>
    <n v="27"/>
    <n v="8"/>
    <n v="9.6385542168674704E-2"/>
    <x v="204"/>
    <d v="2024-11-02T00:00:00"/>
    <s v="Hyderabad"/>
    <x v="2"/>
    <x v="4"/>
    <s v="November"/>
    <x v="0"/>
    <n v="2.46843373493975"/>
    <n v="1.85"/>
    <n v="7.59"/>
    <n v="25.61"/>
    <n v="35.200000000000003"/>
    <n v="34.619999999999997"/>
    <n v="1.35"/>
  </r>
  <r>
    <n v="1195"/>
    <s v="A2195"/>
    <x v="1"/>
    <n v="178"/>
    <x v="643"/>
    <n v="239"/>
    <n v="16"/>
    <n v="5"/>
    <n v="2.8089887640449399E-2"/>
    <x v="21"/>
    <d v="2024-11-16T00:00:00"/>
    <s v="Hyderabad"/>
    <x v="1"/>
    <x v="0"/>
    <s v="November"/>
    <x v="0"/>
    <n v="1.3424719101123499"/>
    <n v="5.14"/>
    <n v="14.94"/>
    <n v="47.79"/>
    <n v="12.99"/>
    <n v="54"/>
    <n v="1.1299999999999999"/>
  </r>
  <r>
    <n v="1196"/>
    <s v="A2196"/>
    <x v="3"/>
    <n v="148"/>
    <x v="979"/>
    <n v="192"/>
    <n v="12"/>
    <n v="6"/>
    <n v="4.0540540540540501E-2"/>
    <x v="158"/>
    <d v="2024-11-17T00:00:00"/>
    <s v="Hyderabad"/>
    <x v="2"/>
    <x v="1"/>
    <s v="November"/>
    <x v="4"/>
    <n v="1.29675675675675"/>
    <n v="2.91"/>
    <n v="15.99"/>
    <n v="31.99"/>
    <n v="13.59"/>
    <n v="36.33"/>
    <n v="1.1399999999999999"/>
  </r>
  <r>
    <n v="1197"/>
    <s v="A2197"/>
    <x v="2"/>
    <n v="101"/>
    <x v="677"/>
    <n v="223"/>
    <n v="14"/>
    <n v="10"/>
    <n v="9.9009900990099001E-2"/>
    <x v="206"/>
    <d v="2024-11-03T00:00:00"/>
    <s v="Hyderabad"/>
    <x v="2"/>
    <x v="1"/>
    <s v="November"/>
    <x v="4"/>
    <n v="2.21"/>
    <n v="3.03"/>
    <n v="15.94"/>
    <n v="22.32"/>
    <n v="20.51"/>
    <n v="26.9"/>
    <n v="1.21"/>
  </r>
  <r>
    <n v="1198"/>
    <s v="A2198"/>
    <x v="0"/>
    <n v="101"/>
    <x v="696"/>
    <n v="204"/>
    <n v="30"/>
    <n v="5"/>
    <n v="4.95049504950495E-2"/>
    <x v="94"/>
    <d v="2024-11-13T00:00:00"/>
    <s v="Hyderabad"/>
    <x v="0"/>
    <x v="3"/>
    <s v="November"/>
    <x v="1"/>
    <n v="2.0172277227722701"/>
    <n v="1.96"/>
    <n v="6.79"/>
    <n v="40.75"/>
    <n v="76.7"/>
    <n v="72"/>
    <n v="1.77"/>
  </r>
  <r>
    <n v="1199"/>
    <s v="A2199"/>
    <x v="0"/>
    <n v="113"/>
    <x v="570"/>
    <n v="246"/>
    <n v="19"/>
    <n v="7"/>
    <n v="6.19469026548672E-2"/>
    <x v="44"/>
    <d v="2024-11-20T00:00:00"/>
    <s v="Hyderabad"/>
    <x v="1"/>
    <x v="3"/>
    <s v="November"/>
    <x v="1"/>
    <n v="2.1742477876106099"/>
    <n v="2"/>
    <n v="12.93"/>
    <n v="35.1"/>
    <n v="13.56"/>
    <n v="39.86"/>
    <n v="1.1399999999999999"/>
  </r>
  <r>
    <n v="1200"/>
    <s v="A2200"/>
    <x v="1"/>
    <n v="97"/>
    <x v="980"/>
    <n v="229"/>
    <n v="14"/>
    <n v="6"/>
    <n v="6.1855670103092703E-2"/>
    <x v="43"/>
    <d v="2024-11-07T00:00:00"/>
    <s v="Hyderabad"/>
    <x v="0"/>
    <x v="5"/>
    <s v="November"/>
    <x v="5"/>
    <n v="2.3605154639175199"/>
    <n v="1.75"/>
    <n v="16.36"/>
    <n v="38.159999999999997"/>
    <n v="16.170000000000002"/>
    <n v="44.33"/>
    <n v="1.1599999999999999"/>
  </r>
  <r>
    <n v="1201"/>
    <s v="A2201"/>
    <x v="2"/>
    <n v="155"/>
    <x v="181"/>
    <n v="208"/>
    <n v="23"/>
    <n v="4"/>
    <n v="2.5806451612903201E-2"/>
    <x v="83"/>
    <d v="2024-11-27T00:00:00"/>
    <s v="Hyderabad"/>
    <x v="0"/>
    <x v="4"/>
    <s v="November"/>
    <x v="1"/>
    <n v="1.34296774193548"/>
    <n v="4.2300000000000004"/>
    <n v="9.0500000000000007"/>
    <n v="52.04"/>
    <n v="87.36"/>
    <n v="97.5"/>
    <n v="1.87"/>
  </r>
  <r>
    <n v="1202"/>
    <s v="A2202"/>
    <x v="0"/>
    <n v="109"/>
    <x v="22"/>
    <n v="223"/>
    <n v="17"/>
    <n v="7"/>
    <n v="6.4220183486238494E-2"/>
    <x v="52"/>
    <d v="2024-11-23T00:00:00"/>
    <s v="Hyderabad"/>
    <x v="2"/>
    <x v="0"/>
    <s v="November"/>
    <x v="0"/>
    <n v="2.0430275229357799"/>
    <n v="2.1"/>
    <n v="13.1"/>
    <n v="31.81"/>
    <n v="54.92"/>
    <n v="49.29"/>
    <n v="1.55"/>
  </r>
  <r>
    <n v="1203"/>
    <s v="A2203"/>
    <x v="1"/>
    <n v="181"/>
    <x v="981"/>
    <n v="227"/>
    <n v="30"/>
    <n v="6"/>
    <n v="3.3149171270718203E-2"/>
    <x v="124"/>
    <d v="2024-11-30T00:00:00"/>
    <s v="Hyderabad"/>
    <x v="0"/>
    <x v="1"/>
    <s v="November"/>
    <x v="0"/>
    <n v="1.25618784530386"/>
    <n v="4.96"/>
    <n v="7.58"/>
    <n v="37.9"/>
    <n v="26.67"/>
    <n v="48"/>
    <n v="1.27"/>
  </r>
  <r>
    <n v="1204"/>
    <s v="A2204"/>
    <x v="3"/>
    <n v="131"/>
    <x v="982"/>
    <n v="194"/>
    <n v="27"/>
    <n v="3"/>
    <n v="2.2900763358778602E-2"/>
    <x v="54"/>
    <d v="2024-11-25T00:00:00"/>
    <s v="Hyderabad"/>
    <x v="2"/>
    <x v="2"/>
    <s v="November"/>
    <x v="6"/>
    <n v="1.47847328244274"/>
    <n v="3.61"/>
    <n v="7.17"/>
    <n v="64.56"/>
    <n v="-27.64"/>
    <n v="46.71"/>
    <n v="0.72"/>
  </r>
  <r>
    <n v="1205"/>
    <s v="A2205"/>
    <x v="3"/>
    <n v="171"/>
    <x v="983"/>
    <n v="225"/>
    <n v="26"/>
    <n v="3"/>
    <n v="1.7543859649122799E-2"/>
    <x v="142"/>
    <d v="2024-11-02T00:00:00"/>
    <s v="Hyderabad"/>
    <x v="0"/>
    <x v="4"/>
    <s v="November"/>
    <x v="0"/>
    <n v="1.31707602339181"/>
    <n v="3.03"/>
    <n v="8.66"/>
    <n v="75.069999999999993"/>
    <n v="60.73"/>
    <n v="120.67"/>
    <n v="1.61"/>
  </r>
  <r>
    <n v="1206"/>
    <s v="A2206"/>
    <x v="2"/>
    <n v="109"/>
    <x v="984"/>
    <n v="216"/>
    <n v="15"/>
    <n v="3"/>
    <n v="2.7522935779816501E-2"/>
    <x v="193"/>
    <d v="2024-11-18T00:00:00"/>
    <s v="Hyderabad"/>
    <x v="2"/>
    <x v="0"/>
    <s v="November"/>
    <x v="6"/>
    <n v="1.9794495412844"/>
    <n v="2.09"/>
    <n v="14.38"/>
    <n v="71.92"/>
    <n v="33.020000000000003"/>
    <n v="95.67"/>
    <n v="1.33"/>
  </r>
  <r>
    <n v="1207"/>
    <s v="A2207"/>
    <x v="0"/>
    <n v="191"/>
    <x v="841"/>
    <n v="188"/>
    <n v="13"/>
    <n v="5"/>
    <n v="2.6178010471204102E-2"/>
    <x v="8"/>
    <d v="2024-11-26T00:00:00"/>
    <s v="Hyderabad"/>
    <x v="0"/>
    <x v="0"/>
    <s v="November"/>
    <x v="2"/>
    <n v="0.98277486910994705"/>
    <n v="5.73"/>
    <n v="14.44"/>
    <n v="37.54"/>
    <n v="48.1"/>
    <n v="55.6"/>
    <n v="1.48"/>
  </r>
  <r>
    <n v="1208"/>
    <s v="A2208"/>
    <x v="3"/>
    <n v="101"/>
    <x v="985"/>
    <n v="222"/>
    <n v="11"/>
    <n v="10"/>
    <n v="9.9009900990099001E-2"/>
    <x v="210"/>
    <d v="2024-11-21T00:00:00"/>
    <s v="Hyderabad"/>
    <x v="1"/>
    <x v="3"/>
    <s v="November"/>
    <x v="5"/>
    <n v="2.2028712871287102"/>
    <n v="2.2799999999999998"/>
    <n v="20.23"/>
    <n v="22.25"/>
    <n v="17.309999999999999"/>
    <n v="26.1"/>
    <n v="1.17"/>
  </r>
  <r>
    <n v="1209"/>
    <s v="A2209"/>
    <x v="2"/>
    <n v="152"/>
    <x v="230"/>
    <n v="210"/>
    <n v="11"/>
    <n v="7"/>
    <n v="4.6052631578947303E-2"/>
    <x v="113"/>
    <d v="2024-11-23T00:00:00"/>
    <s v="Hyderabad"/>
    <x v="1"/>
    <x v="4"/>
    <s v="November"/>
    <x v="0"/>
    <n v="1.38342105263157"/>
    <n v="2.92"/>
    <n v="19.12"/>
    <n v="30.04"/>
    <n v="55.51"/>
    <n v="46.71"/>
    <n v="1.56"/>
  </r>
  <r>
    <n v="1210"/>
    <s v="A2210"/>
    <x v="2"/>
    <n v="164"/>
    <x v="986"/>
    <n v="242"/>
    <n v="27"/>
    <n v="4"/>
    <n v="2.4390243902439001E-2"/>
    <x v="17"/>
    <d v="2024-11-21T00:00:00"/>
    <s v="Hyderabad"/>
    <x v="0"/>
    <x v="3"/>
    <s v="November"/>
    <x v="5"/>
    <n v="1.4734756097560899"/>
    <n v="4.25"/>
    <n v="8.9499999999999993"/>
    <n v="60.41"/>
    <n v="50.63"/>
    <n v="91"/>
    <n v="1.51"/>
  </r>
  <r>
    <n v="1211"/>
    <s v="A2211"/>
    <x v="2"/>
    <n v="83"/>
    <x v="20"/>
    <n v="203"/>
    <n v="23"/>
    <n v="10"/>
    <n v="0.120481927710843"/>
    <x v="174"/>
    <d v="2024-11-26T00:00:00"/>
    <s v="Hyderabad"/>
    <x v="1"/>
    <x v="0"/>
    <s v="November"/>
    <x v="2"/>
    <n v="2.44710843373494"/>
    <n v="2"/>
    <n v="8.83"/>
    <n v="20.309999999999999"/>
    <n v="52.63"/>
    <n v="31"/>
    <n v="1.53"/>
  </r>
  <r>
    <n v="1212"/>
    <s v="A2212"/>
    <x v="3"/>
    <n v="199"/>
    <x v="133"/>
    <n v="240"/>
    <n v="21"/>
    <n v="4"/>
    <n v="2.01005025125628E-2"/>
    <x v="187"/>
    <d v="2024-11-30T00:00:00"/>
    <s v="Hyderabad"/>
    <x v="1"/>
    <x v="3"/>
    <s v="November"/>
    <x v="0"/>
    <n v="1.2039698492462301"/>
    <n v="3.38"/>
    <n v="11.41"/>
    <n v="59.9"/>
    <n v="35.65"/>
    <n v="81.25"/>
    <n v="1.36"/>
  </r>
  <r>
    <n v="1213"/>
    <s v="A2213"/>
    <x v="0"/>
    <n v="141"/>
    <x v="871"/>
    <n v="206"/>
    <n v="28"/>
    <n v="6"/>
    <n v="4.2553191489361701E-2"/>
    <x v="55"/>
    <d v="2024-11-08T00:00:00"/>
    <s v="Hyderabad"/>
    <x v="0"/>
    <x v="2"/>
    <s v="November"/>
    <x v="3"/>
    <n v="1.4595744680850999"/>
    <n v="3.49"/>
    <n v="7.35"/>
    <n v="34.299999999999997"/>
    <n v="20.99"/>
    <n v="41.5"/>
    <n v="1.21"/>
  </r>
  <r>
    <n v="1214"/>
    <s v="A2214"/>
    <x v="2"/>
    <n v="131"/>
    <x v="987"/>
    <n v="215"/>
    <n v="26"/>
    <n v="7"/>
    <n v="5.3435114503816702E-2"/>
    <x v="8"/>
    <d v="2024-11-08T00:00:00"/>
    <s v="Hyderabad"/>
    <x v="2"/>
    <x v="2"/>
    <s v="November"/>
    <x v="3"/>
    <n v="1.6439694656488499"/>
    <n v="2.74"/>
    <n v="8.2799999999999994"/>
    <n v="30.77"/>
    <n v="29.09"/>
    <n v="39.71"/>
    <n v="1.29"/>
  </r>
  <r>
    <n v="1215"/>
    <s v="A2215"/>
    <x v="0"/>
    <n v="163"/>
    <x v="988"/>
    <n v="229"/>
    <n v="30"/>
    <n v="7"/>
    <n v="4.2944785276073601E-2"/>
    <x v="90"/>
    <d v="2024-11-19T00:00:00"/>
    <s v="Hyderabad"/>
    <x v="2"/>
    <x v="0"/>
    <s v="November"/>
    <x v="2"/>
    <n v="1.4072392638036799"/>
    <n v="3.04"/>
    <n v="7.65"/>
    <n v="32.770000000000003"/>
    <n v="68.72"/>
    <n v="55.29"/>
    <n v="1.69"/>
  </r>
  <r>
    <n v="1216"/>
    <s v="A2216"/>
    <x v="0"/>
    <n v="164"/>
    <x v="407"/>
    <n v="223"/>
    <n v="13"/>
    <n v="5"/>
    <n v="3.04878048780487E-2"/>
    <x v="136"/>
    <d v="2024-11-23T00:00:00"/>
    <s v="Hyderabad"/>
    <x v="0"/>
    <x v="5"/>
    <s v="November"/>
    <x v="0"/>
    <n v="1.3606707317073099"/>
    <n v="3.05"/>
    <n v="17.170000000000002"/>
    <n v="44.63"/>
    <n v="51.92"/>
    <n v="67.8"/>
    <n v="1.52"/>
  </r>
  <r>
    <n v="1217"/>
    <s v="A2217"/>
    <x v="1"/>
    <n v="149"/>
    <x v="701"/>
    <n v="198"/>
    <n v="23"/>
    <n v="4"/>
    <n v="2.68456375838926E-2"/>
    <x v="91"/>
    <d v="2024-11-17T00:00:00"/>
    <s v="Hyderabad"/>
    <x v="1"/>
    <x v="2"/>
    <s v="November"/>
    <x v="4"/>
    <n v="1.3272483221476501"/>
    <n v="4.4800000000000004"/>
    <n v="8.6"/>
    <n v="49.44"/>
    <n v="21.86"/>
    <n v="60.25"/>
    <n v="1.22"/>
  </r>
  <r>
    <n v="1218"/>
    <s v="A2218"/>
    <x v="3"/>
    <n v="112"/>
    <x v="989"/>
    <n v="215"/>
    <n v="26"/>
    <n v="6"/>
    <n v="5.3571428571428499E-2"/>
    <x v="111"/>
    <d v="2024-11-03T00:00:00"/>
    <s v="Hyderabad"/>
    <x v="0"/>
    <x v="0"/>
    <s v="November"/>
    <x v="4"/>
    <n v="1.9200892857142799"/>
    <n v="2.89"/>
    <n v="8.27"/>
    <n v="35.840000000000003"/>
    <n v="40.9"/>
    <n v="50.5"/>
    <n v="1.41"/>
  </r>
  <r>
    <n v="1219"/>
    <s v="A2219"/>
    <x v="1"/>
    <n v="139"/>
    <x v="964"/>
    <n v="205"/>
    <n v="28"/>
    <n v="4"/>
    <n v="2.8776978417266098E-2"/>
    <x v="163"/>
    <d v="2024-11-24T00:00:00"/>
    <s v="Hyderabad"/>
    <x v="2"/>
    <x v="4"/>
    <s v="November"/>
    <x v="4"/>
    <n v="1.4781294964028699"/>
    <n v="3.1"/>
    <n v="7.34"/>
    <n v="51.36"/>
    <n v="83.98"/>
    <n v="94.5"/>
    <n v="1.84"/>
  </r>
  <r>
    <n v="1220"/>
    <s v="A2220"/>
    <x v="1"/>
    <n v="105"/>
    <x v="299"/>
    <n v="240"/>
    <n v="26"/>
    <n v="8"/>
    <n v="7.6190476190476197E-2"/>
    <x v="165"/>
    <d v="2024-11-03T00:00:00"/>
    <s v="Hyderabad"/>
    <x v="0"/>
    <x v="2"/>
    <s v="November"/>
    <x v="4"/>
    <n v="2.2896190476190399"/>
    <n v="3.1"/>
    <n v="9.25"/>
    <n v="30.05"/>
    <n v="18.96"/>
    <n v="35.75"/>
    <n v="1.19"/>
  </r>
  <r>
    <n v="1221"/>
    <s v="A2221"/>
    <x v="0"/>
    <n v="83"/>
    <x v="990"/>
    <n v="237"/>
    <n v="22"/>
    <n v="4"/>
    <n v="4.8192771084337303E-2"/>
    <x v="213"/>
    <d v="2024-11-21T00:00:00"/>
    <s v="Hyderabad"/>
    <x v="0"/>
    <x v="0"/>
    <s v="November"/>
    <x v="5"/>
    <n v="2.8543373493975901"/>
    <n v="1.64"/>
    <n v="10.77"/>
    <n v="59.23"/>
    <n v="-23.28"/>
    <n v="45.44"/>
    <n v="0.77"/>
  </r>
  <r>
    <n v="1222"/>
    <s v="A2222"/>
    <x v="2"/>
    <n v="127"/>
    <x v="377"/>
    <n v="210"/>
    <n v="27"/>
    <n v="3"/>
    <n v="2.3622047244094401E-2"/>
    <x v="141"/>
    <d v="2024-11-28T00:00:00"/>
    <s v="Hyderabad"/>
    <x v="0"/>
    <x v="0"/>
    <s v="November"/>
    <x v="5"/>
    <n v="1.6509448818897601"/>
    <n v="2.14"/>
    <n v="7.77"/>
    <n v="69.89"/>
    <n v="12.56"/>
    <n v="78.67"/>
    <n v="1.1299999999999999"/>
  </r>
  <r>
    <n v="1223"/>
    <s v="A2223"/>
    <x v="2"/>
    <n v="133"/>
    <x v="991"/>
    <n v="216"/>
    <n v="18"/>
    <n v="9"/>
    <n v="6.7669172932330796E-2"/>
    <x v="69"/>
    <d v="2024-11-08T00:00:00"/>
    <s v="Hyderabad"/>
    <x v="0"/>
    <x v="2"/>
    <s v="November"/>
    <x v="3"/>
    <n v="1.6252631578947301"/>
    <n v="3.1"/>
    <n v="12.01"/>
    <n v="24.02"/>
    <n v="73.48"/>
    <n v="41.67"/>
    <n v="1.73"/>
  </r>
  <r>
    <n v="1224"/>
    <s v="A2224"/>
    <x v="3"/>
    <n v="197"/>
    <x v="868"/>
    <n v="185"/>
    <n v="14"/>
    <n v="5"/>
    <n v="2.5380710659898401E-2"/>
    <x v="161"/>
    <d v="2024-11-05T00:00:00"/>
    <s v="Hyderabad"/>
    <x v="2"/>
    <x v="3"/>
    <s v="November"/>
    <x v="2"/>
    <n v="0.93954314720812104"/>
    <n v="3.44"/>
    <n v="13.22"/>
    <n v="37.020000000000003"/>
    <n v="42.63"/>
    <n v="52.8"/>
    <n v="1.43"/>
  </r>
  <r>
    <n v="1225"/>
    <s v="A2225"/>
    <x v="2"/>
    <n v="125"/>
    <x v="47"/>
    <n v="222"/>
    <n v="30"/>
    <n v="7"/>
    <n v="5.6000000000000001E-2"/>
    <x v="132"/>
    <d v="2024-11-08T00:00:00"/>
    <s v="Hyderabad"/>
    <x v="2"/>
    <x v="5"/>
    <s v="November"/>
    <x v="3"/>
    <n v="1.7754399999999999"/>
    <n v="2.4500000000000002"/>
    <n v="7.4"/>
    <n v="31.7"/>
    <n v="28.42"/>
    <n v="40.71"/>
    <n v="1.28"/>
  </r>
  <r>
    <n v="1226"/>
    <s v="A2226"/>
    <x v="2"/>
    <n v="147"/>
    <x v="992"/>
    <n v="211"/>
    <n v="12"/>
    <n v="9"/>
    <n v="6.1224489795918297E-2"/>
    <x v="17"/>
    <d v="2024-11-28T00:00:00"/>
    <s v="Hyderabad"/>
    <x v="0"/>
    <x v="3"/>
    <s v="November"/>
    <x v="5"/>
    <n v="1.4349659863945501"/>
    <n v="2.81"/>
    <n v="17.579999999999998"/>
    <n v="23.44"/>
    <n v="72.56"/>
    <n v="40.44"/>
    <n v="1.73"/>
  </r>
  <r>
    <n v="1227"/>
    <s v="A2227"/>
    <x v="2"/>
    <n v="153"/>
    <x v="993"/>
    <n v="198"/>
    <n v="16"/>
    <n v="4"/>
    <n v="2.61437908496732E-2"/>
    <x v="179"/>
    <d v="2024-11-20T00:00:00"/>
    <s v="Hyderabad"/>
    <x v="1"/>
    <x v="0"/>
    <s v="November"/>
    <x v="1"/>
    <n v="1.29673202614379"/>
    <n v="4.17"/>
    <n v="12.4"/>
    <n v="49.6"/>
    <n v="87"/>
    <n v="92.75"/>
    <n v="1.87"/>
  </r>
  <r>
    <n v="1228"/>
    <s v="A2228"/>
    <x v="0"/>
    <n v="196"/>
    <x v="529"/>
    <n v="213"/>
    <n v="15"/>
    <n v="5"/>
    <n v="2.5510204081632602E-2"/>
    <x v="13"/>
    <d v="2024-11-26T00:00:00"/>
    <s v="Hyderabad"/>
    <x v="2"/>
    <x v="0"/>
    <s v="November"/>
    <x v="2"/>
    <n v="1.08663265306122"/>
    <n v="5.7"/>
    <n v="14.2"/>
    <n v="42.6"/>
    <n v="47.43"/>
    <n v="62.8"/>
    <n v="1.47"/>
  </r>
  <r>
    <n v="1229"/>
    <s v="A2229"/>
    <x v="1"/>
    <n v="87"/>
    <x v="539"/>
    <n v="234"/>
    <n v="17"/>
    <n v="7"/>
    <n v="8.04597701149425E-2"/>
    <x v="212"/>
    <d v="2024-11-05T00:00:00"/>
    <s v="Hyderabad"/>
    <x v="0"/>
    <x v="2"/>
    <s v="November"/>
    <x v="2"/>
    <n v="2.6925287356321799"/>
    <n v="2.87"/>
    <n v="13.78"/>
    <n v="33.46"/>
    <n v="1.6"/>
    <n v="34"/>
    <n v="1.02"/>
  </r>
  <r>
    <n v="1230"/>
    <s v="A2230"/>
    <x v="0"/>
    <n v="151"/>
    <x v="994"/>
    <n v="188"/>
    <n v="15"/>
    <n v="8"/>
    <n v="5.2980132450331098E-2"/>
    <x v="198"/>
    <d v="2024-11-25T00:00:00"/>
    <s v="Hyderabad"/>
    <x v="2"/>
    <x v="5"/>
    <s v="November"/>
    <x v="6"/>
    <n v="1.2464900662251599"/>
    <n v="2.5299999999999998"/>
    <n v="12.55"/>
    <n v="23.53"/>
    <n v="59.39"/>
    <n v="37.5"/>
    <n v="1.59"/>
  </r>
  <r>
    <n v="1231"/>
    <s v="A2231"/>
    <x v="2"/>
    <n v="93"/>
    <x v="494"/>
    <n v="198"/>
    <n v="15"/>
    <n v="4"/>
    <n v="4.3010752688171998E-2"/>
    <x v="160"/>
    <d v="2024-11-25T00:00:00"/>
    <s v="Hyderabad"/>
    <x v="1"/>
    <x v="2"/>
    <s v="November"/>
    <x v="6"/>
    <n v="2.1240860215053701"/>
    <n v="1.98"/>
    <n v="13.17"/>
    <n v="49.38"/>
    <n v="10.86"/>
    <n v="54.75"/>
    <n v="1.1100000000000001"/>
  </r>
  <r>
    <n v="1232"/>
    <s v="A2232"/>
    <x v="1"/>
    <n v="145"/>
    <x v="995"/>
    <n v="195"/>
    <n v="26"/>
    <n v="5"/>
    <n v="3.4482758620689599E-2"/>
    <x v="194"/>
    <d v="2024-11-24T00:00:00"/>
    <s v="Hyderabad"/>
    <x v="0"/>
    <x v="4"/>
    <s v="November"/>
    <x v="4"/>
    <n v="1.3445517241379299"/>
    <n v="4.7"/>
    <n v="7.5"/>
    <n v="38.99"/>
    <n v="74.91"/>
    <n v="68.2"/>
    <n v="1.75"/>
  </r>
  <r>
    <n v="1233"/>
    <s v="A2233"/>
    <x v="3"/>
    <n v="128"/>
    <x v="996"/>
    <n v="186"/>
    <n v="25"/>
    <n v="5"/>
    <n v="3.90625E-2"/>
    <x v="18"/>
    <d v="2024-11-20T00:00:00"/>
    <s v="Hyderabad"/>
    <x v="2"/>
    <x v="4"/>
    <s v="November"/>
    <x v="1"/>
    <n v="1.4497656249999999"/>
    <n v="3.83"/>
    <n v="7.42"/>
    <n v="37.11"/>
    <n v="66.510000000000005"/>
    <n v="61.8"/>
    <n v="1.67"/>
  </r>
  <r>
    <n v="1234"/>
    <s v="A2234"/>
    <x v="0"/>
    <n v="134"/>
    <x v="997"/>
    <n v="244"/>
    <n v="15"/>
    <n v="3"/>
    <n v="2.2388059701492501E-2"/>
    <x v="25"/>
    <d v="2024-11-24T00:00:00"/>
    <s v="Hyderabad"/>
    <x v="0"/>
    <x v="4"/>
    <s v="November"/>
    <x v="4"/>
    <n v="1.81768656716417"/>
    <n v="2.4300000000000002"/>
    <n v="16.239999999999998"/>
    <n v="81.19"/>
    <n v="38.770000000000003"/>
    <n v="112.67"/>
    <n v="1.39"/>
  </r>
  <r>
    <n v="1235"/>
    <s v="A2235"/>
    <x v="1"/>
    <n v="104"/>
    <x v="998"/>
    <n v="207"/>
    <n v="28"/>
    <n v="5"/>
    <n v="4.8076923076923003E-2"/>
    <x v="191"/>
    <d v="2024-11-11T00:00:00"/>
    <s v="Hyderabad"/>
    <x v="0"/>
    <x v="3"/>
    <s v="November"/>
    <x v="6"/>
    <n v="1.9859615384615299"/>
    <n v="2.81"/>
    <n v="7.38"/>
    <n v="41.31"/>
    <n v="96.09"/>
    <n v="81"/>
    <n v="1.96"/>
  </r>
  <r>
    <n v="1236"/>
    <s v="A2236"/>
    <x v="2"/>
    <n v="177"/>
    <x v="999"/>
    <n v="216"/>
    <n v="26"/>
    <n v="10"/>
    <n v="5.6497175141242903E-2"/>
    <x v="7"/>
    <d v="2024-11-20T00:00:00"/>
    <s v="Hyderabad"/>
    <x v="2"/>
    <x v="2"/>
    <s v="November"/>
    <x v="1"/>
    <n v="1.22305084745762"/>
    <n v="4.7"/>
    <n v="8.33"/>
    <n v="21.65"/>
    <n v="42.28"/>
    <n v="30.8"/>
    <n v="1.42"/>
  </r>
  <r>
    <n v="1237"/>
    <s v="A2237"/>
    <x v="0"/>
    <n v="94"/>
    <x v="1000"/>
    <n v="249"/>
    <n v="15"/>
    <n v="3"/>
    <n v="3.1914893617021198E-2"/>
    <x v="54"/>
    <d v="2024-11-14T00:00:00"/>
    <s v="Hyderabad"/>
    <x v="1"/>
    <x v="5"/>
    <s v="November"/>
    <x v="5"/>
    <n v="2.6498936170212701"/>
    <n v="1.72"/>
    <n v="16.61"/>
    <n v="83.03"/>
    <n v="-43.74"/>
    <n v="46.71"/>
    <n v="0.56000000000000005"/>
  </r>
  <r>
    <n v="1238"/>
    <s v="A2238"/>
    <x v="1"/>
    <n v="198"/>
    <x v="1001"/>
    <n v="206"/>
    <n v="13"/>
    <n v="10"/>
    <n v="5.0505050505050497E-2"/>
    <x v="94"/>
    <d v="2024-11-12T00:00:00"/>
    <s v="Hyderabad"/>
    <x v="0"/>
    <x v="5"/>
    <s v="November"/>
    <x v="2"/>
    <n v="1.0380303030303"/>
    <n v="3.76"/>
    <n v="15.81"/>
    <n v="20.55"/>
    <n v="75.16"/>
    <n v="36"/>
    <n v="1.75"/>
  </r>
  <r>
    <n v="1239"/>
    <s v="A2239"/>
    <x v="1"/>
    <n v="140"/>
    <x v="1002"/>
    <n v="186"/>
    <n v="23"/>
    <n v="6"/>
    <n v="4.2857142857142802E-2"/>
    <x v="186"/>
    <d v="2024-11-09T00:00:00"/>
    <s v="Hyderabad"/>
    <x v="2"/>
    <x v="5"/>
    <s v="November"/>
    <x v="0"/>
    <n v="1.3286428571428499"/>
    <n v="3.18"/>
    <n v="8.09"/>
    <n v="31"/>
    <n v="78.489999999999995"/>
    <n v="55.33"/>
    <n v="1.78"/>
  </r>
  <r>
    <n v="1240"/>
    <s v="A2240"/>
    <x v="2"/>
    <n v="137"/>
    <x v="673"/>
    <n v="238"/>
    <n v="20"/>
    <n v="5"/>
    <n v="3.6496350364963501E-2"/>
    <x v="183"/>
    <d v="2024-11-25T00:00:00"/>
    <s v="Hyderabad"/>
    <x v="2"/>
    <x v="0"/>
    <s v="November"/>
    <x v="6"/>
    <n v="1.7336496350364901"/>
    <n v="2.52"/>
    <n v="11.88"/>
    <n v="47.5"/>
    <n v="63.78"/>
    <n v="77.8"/>
    <n v="1.64"/>
  </r>
  <r>
    <n v="1241"/>
    <s v="A2241"/>
    <x v="2"/>
    <n v="153"/>
    <x v="1003"/>
    <n v="236"/>
    <n v="25"/>
    <n v="8"/>
    <n v="5.22875816993464E-2"/>
    <x v="212"/>
    <d v="2024-11-19T00:00:00"/>
    <s v="Hyderabad"/>
    <x v="2"/>
    <x v="5"/>
    <s v="November"/>
    <x v="2"/>
    <n v="1.5454545454545401"/>
    <n v="4.99"/>
    <n v="9.4600000000000009"/>
    <n v="29.56"/>
    <n v="0.65"/>
    <n v="29.75"/>
    <n v="1.01"/>
  </r>
  <r>
    <n v="1242"/>
    <s v="A2242"/>
    <x v="1"/>
    <n v="177"/>
    <x v="1004"/>
    <n v="240"/>
    <n v="26"/>
    <n v="10"/>
    <n v="5.6497175141242903E-2"/>
    <x v="64"/>
    <d v="2024-11-08T00:00:00"/>
    <s v="Hyderabad"/>
    <x v="1"/>
    <x v="3"/>
    <s v="November"/>
    <x v="3"/>
    <n v="1.3564406779661"/>
    <n v="3.03"/>
    <n v="9.23"/>
    <n v="24.01"/>
    <n v="94.57"/>
    <n v="46.71"/>
    <n v="1.95"/>
  </r>
  <r>
    <n v="1243"/>
    <s v="A2243"/>
    <x v="0"/>
    <n v="100"/>
    <x v="209"/>
    <n v="157"/>
    <n v="13"/>
    <n v="6"/>
    <n v="0.06"/>
    <x v="134"/>
    <d v="2024-11-18T00:00:00"/>
    <s v="Hyderabad"/>
    <x v="0"/>
    <x v="5"/>
    <s v="November"/>
    <x v="6"/>
    <n v="1.56753061615001"/>
    <n v="2.4700000000000002"/>
    <n v="12.06"/>
    <n v="26.13"/>
    <n v="118.18"/>
    <n v="57"/>
    <n v="2.1800000000000002"/>
  </r>
  <r>
    <n v="1244"/>
    <s v="A2244"/>
    <x v="1"/>
    <n v="160"/>
    <x v="738"/>
    <n v="195"/>
    <n v="25"/>
    <n v="6"/>
    <n v="3.7499999999999999E-2"/>
    <x v="113"/>
    <d v="2024-11-16T00:00:00"/>
    <s v="Hyderabad"/>
    <x v="2"/>
    <x v="2"/>
    <s v="November"/>
    <x v="0"/>
    <n v="1.2213749999999901"/>
    <n v="2.83"/>
    <n v="7.82"/>
    <n v="32.57"/>
    <n v="67.33"/>
    <n v="54.5"/>
    <n v="1.67"/>
  </r>
  <r>
    <n v="1245"/>
    <s v="A2245"/>
    <x v="2"/>
    <n v="194"/>
    <x v="1005"/>
    <n v="244"/>
    <n v="23"/>
    <n v="5"/>
    <n v="2.5773195876288599E-2"/>
    <x v="84"/>
    <d v="2024-11-02T00:00:00"/>
    <s v="Hyderabad"/>
    <x v="1"/>
    <x v="2"/>
    <s v="November"/>
    <x v="0"/>
    <n v="1.25948453608247"/>
    <n v="5.17"/>
    <n v="10.62"/>
    <n v="48.87"/>
    <n v="-4.41"/>
    <n v="46.71"/>
    <n v="0.96"/>
  </r>
  <r>
    <n v="1246"/>
    <s v="A2246"/>
    <x v="3"/>
    <n v="128"/>
    <x v="1006"/>
    <n v="202"/>
    <n v="26"/>
    <n v="7"/>
    <n v="5.46875E-2"/>
    <x v="113"/>
    <d v="2024-11-16T00:00:00"/>
    <s v="Hyderabad"/>
    <x v="2"/>
    <x v="3"/>
    <s v="November"/>
    <x v="0"/>
    <n v="1.58078125"/>
    <n v="2.5499999999999998"/>
    <n v="7.78"/>
    <n v="28.91"/>
    <n v="61.61"/>
    <n v="46.71"/>
    <n v="1.62"/>
  </r>
  <r>
    <n v="1247"/>
    <s v="A2247"/>
    <x v="3"/>
    <n v="80"/>
    <x v="588"/>
    <n v="236"/>
    <n v="11"/>
    <n v="5"/>
    <n v="6.25E-2"/>
    <x v="207"/>
    <d v="2024-11-20T00:00:00"/>
    <s v="Hyderabad"/>
    <x v="0"/>
    <x v="1"/>
    <s v="November"/>
    <x v="1"/>
    <n v="2.9558749999999998"/>
    <n v="1.78"/>
    <n v="21.5"/>
    <n v="47.29"/>
    <n v="68.73"/>
    <n v="79.8"/>
    <n v="1.69"/>
  </r>
  <r>
    <n v="1248"/>
    <s v="A2248"/>
    <x v="0"/>
    <n v="81"/>
    <x v="1007"/>
    <n v="210"/>
    <n v="10"/>
    <n v="9"/>
    <n v="0.11111111111111099"/>
    <x v="96"/>
    <d v="2024-11-09T00:00:00"/>
    <s v="Hyderabad"/>
    <x v="2"/>
    <x v="3"/>
    <s v="November"/>
    <x v="0"/>
    <n v="2.5869135802469101"/>
    <n v="1.39"/>
    <n v="20.95"/>
    <n v="23.28"/>
    <n v="92.8"/>
    <n v="44.89"/>
    <n v="1.93"/>
  </r>
  <r>
    <n v="1249"/>
    <s v="A2249"/>
    <x v="2"/>
    <n v="102"/>
    <x v="1008"/>
    <n v="198"/>
    <n v="29"/>
    <n v="4"/>
    <n v="3.9215686274509803E-2"/>
    <x v="136"/>
    <d v="2024-11-19T00:00:00"/>
    <s v="Hyderabad"/>
    <x v="2"/>
    <x v="1"/>
    <s v="November"/>
    <x v="2"/>
    <n v="1.9449999999999901"/>
    <n v="1.9"/>
    <n v="6.84"/>
    <n v="49.6"/>
    <n v="70.88"/>
    <n v="84.75"/>
    <n v="1.71"/>
  </r>
  <r>
    <n v="1250"/>
    <s v="A2250"/>
    <x v="1"/>
    <n v="197"/>
    <x v="1009"/>
    <n v="203"/>
    <n v="15"/>
    <n v="3"/>
    <n v="1.5228426395939E-2"/>
    <x v="92"/>
    <d v="2024-11-05T00:00:00"/>
    <s v="Hyderabad"/>
    <x v="1"/>
    <x v="2"/>
    <s v="November"/>
    <x v="2"/>
    <n v="1.0290355329949199"/>
    <n v="4.87"/>
    <n v="13.51"/>
    <n v="67.569999999999993"/>
    <n v="35.159999999999997"/>
    <n v="91.33"/>
    <n v="1.35"/>
  </r>
  <r>
    <n v="1251"/>
    <s v="A2251"/>
    <x v="1"/>
    <n v="84"/>
    <x v="1010"/>
    <n v="198"/>
    <n v="17"/>
    <n v="3"/>
    <n v="3.5714285714285698E-2"/>
    <x v="29"/>
    <d v="2024-11-02T00:00:00"/>
    <s v="Hyderabad"/>
    <x v="1"/>
    <x v="5"/>
    <s v="November"/>
    <x v="0"/>
    <n v="2.36238095238095"/>
    <n v="1.88"/>
    <n v="11.67"/>
    <n v="66.150000000000006"/>
    <n v="14.39"/>
    <n v="75.67"/>
    <n v="1.1399999999999999"/>
  </r>
  <r>
    <n v="1252"/>
    <s v="A2252"/>
    <x v="1"/>
    <n v="119"/>
    <x v="1011"/>
    <n v="223"/>
    <n v="18"/>
    <n v="3"/>
    <n v="2.5210084033613401E-2"/>
    <x v="147"/>
    <d v="2024-11-18T00:00:00"/>
    <s v="Hyderabad"/>
    <x v="0"/>
    <x v="2"/>
    <s v="November"/>
    <x v="6"/>
    <n v="1.8714285714285701"/>
    <n v="2.58"/>
    <n v="12.37"/>
    <n v="74.23"/>
    <n v="35.159999999999997"/>
    <n v="100.33"/>
    <n v="1.35"/>
  </r>
  <r>
    <n v="1253"/>
    <s v="A2253"/>
    <x v="0"/>
    <n v="96"/>
    <x v="994"/>
    <n v="226"/>
    <n v="27"/>
    <n v="10"/>
    <n v="0.10416666666666601"/>
    <x v="148"/>
    <d v="2024-11-21T00:00:00"/>
    <s v="Hyderabad"/>
    <x v="1"/>
    <x v="2"/>
    <s v="November"/>
    <x v="5"/>
    <n v="2.34989583333333"/>
    <n v="1.61"/>
    <n v="8.36"/>
    <n v="22.56"/>
    <n v="-3.81"/>
    <n v="21.7"/>
    <n v="0.96"/>
  </r>
  <r>
    <n v="1254"/>
    <s v="A2254"/>
    <x v="2"/>
    <n v="144"/>
    <x v="1012"/>
    <n v="197"/>
    <n v="29"/>
    <n v="6"/>
    <n v="4.1666666666666602E-2"/>
    <x v="140"/>
    <d v="2024-11-29T00:00:00"/>
    <s v="Hyderabad"/>
    <x v="1"/>
    <x v="5"/>
    <s v="November"/>
    <x v="3"/>
    <n v="1.3657638888888799"/>
    <n v="2.52"/>
    <n v="6.78"/>
    <n v="32.78"/>
    <n v="63.22"/>
    <n v="53.5"/>
    <n v="1.63"/>
  </r>
  <r>
    <n v="1255"/>
    <s v="A2255"/>
    <x v="3"/>
    <n v="148"/>
    <x v="833"/>
    <n v="223"/>
    <n v="21"/>
    <n v="9"/>
    <n v="6.08108108108108E-2"/>
    <x v="102"/>
    <d v="2024-11-20T00:00:00"/>
    <s v="Hyderabad"/>
    <x v="2"/>
    <x v="2"/>
    <s v="November"/>
    <x v="1"/>
    <n v="1.50918918918918"/>
    <n v="2.77"/>
    <n v="10.64"/>
    <n v="24.82"/>
    <n v="14.17"/>
    <n v="28.33"/>
    <n v="1.1399999999999999"/>
  </r>
  <r>
    <n v="1256"/>
    <s v="A2256"/>
    <x v="3"/>
    <n v="151"/>
    <x v="626"/>
    <n v="224"/>
    <n v="27"/>
    <n v="7"/>
    <n v="4.6357615894039701E-2"/>
    <x v="37"/>
    <d v="2024-11-05T00:00:00"/>
    <s v="Hyderabad"/>
    <x v="1"/>
    <x v="3"/>
    <s v="November"/>
    <x v="2"/>
    <n v="1.4853642384105901"/>
    <n v="3.08"/>
    <n v="8.31"/>
    <n v="32.04"/>
    <n v="29.74"/>
    <n v="41.57"/>
    <n v="1.3"/>
  </r>
  <r>
    <n v="1257"/>
    <s v="A2257"/>
    <x v="2"/>
    <n v="175"/>
    <x v="863"/>
    <n v="188"/>
    <n v="17"/>
    <n v="9"/>
    <n v="5.14285714285714E-2"/>
    <x v="103"/>
    <d v="2024-11-21T00:00:00"/>
    <s v="Hyderabad"/>
    <x v="2"/>
    <x v="2"/>
    <s v="November"/>
    <x v="5"/>
    <n v="1.0728"/>
    <n v="3.25"/>
    <n v="11.04"/>
    <n v="20.86"/>
    <n v="10.26"/>
    <n v="23"/>
    <n v="1.1000000000000001"/>
  </r>
  <r>
    <n v="1258"/>
    <s v="A2258"/>
    <x v="2"/>
    <n v="189"/>
    <x v="643"/>
    <n v="225"/>
    <n v="20"/>
    <n v="9"/>
    <n v="4.7619047619047603E-2"/>
    <x v="144"/>
    <d v="2024-11-21T00:00:00"/>
    <s v="Hyderabad"/>
    <x v="0"/>
    <x v="3"/>
    <s v="November"/>
    <x v="5"/>
    <n v="1.1889947089946999"/>
    <n v="5.46"/>
    <n v="11.24"/>
    <n v="24.97"/>
    <n v="26.38"/>
    <n v="31.56"/>
    <n v="1.26"/>
  </r>
  <r>
    <n v="1259"/>
    <s v="A2259"/>
    <x v="3"/>
    <n v="157"/>
    <x v="1013"/>
    <n v="184"/>
    <n v="12"/>
    <n v="10"/>
    <n v="6.3694267515923497E-2"/>
    <x v="91"/>
    <d v="2024-11-29T00:00:00"/>
    <s v="Hyderabad"/>
    <x v="0"/>
    <x v="1"/>
    <s v="November"/>
    <x v="3"/>
    <n v="1.17127388535031"/>
    <n v="2.88"/>
    <n v="15.32"/>
    <n v="18.39"/>
    <n v="31.06"/>
    <n v="24.1"/>
    <n v="1.31"/>
  </r>
  <r>
    <n v="1260"/>
    <s v="A2260"/>
    <x v="0"/>
    <n v="126"/>
    <x v="861"/>
    <n v="202"/>
    <n v="27"/>
    <n v="10"/>
    <n v="7.9365079365079305E-2"/>
    <x v="95"/>
    <d v="2024-11-21T00:00:00"/>
    <s v="Hyderabad"/>
    <x v="0"/>
    <x v="5"/>
    <s v="November"/>
    <x v="5"/>
    <n v="1.59968253968253"/>
    <n v="3.03"/>
    <n v="7.47"/>
    <n v="20.16"/>
    <n v="13.61"/>
    <n v="22.9"/>
    <n v="1.1399999999999999"/>
  </r>
  <r>
    <n v="1261"/>
    <s v="A2261"/>
    <x v="2"/>
    <n v="85"/>
    <x v="1014"/>
    <n v="204"/>
    <n v="30"/>
    <n v="7"/>
    <n v="8.2352941176470504E-2"/>
    <x v="139"/>
    <d v="2024-11-14T00:00:00"/>
    <s v="Hyderabad"/>
    <x v="1"/>
    <x v="0"/>
    <s v="November"/>
    <x v="5"/>
    <n v="2.4004705882352901"/>
    <n v="2.25"/>
    <n v="6.8"/>
    <n v="29.15"/>
    <n v="24"/>
    <n v="36.14"/>
    <n v="1.24"/>
  </r>
  <r>
    <n v="1262"/>
    <s v="A2262"/>
    <x v="3"/>
    <n v="89"/>
    <x v="1015"/>
    <n v="194"/>
    <n v="13"/>
    <n v="10"/>
    <n v="0.112359550561797"/>
    <x v="178"/>
    <d v="2024-11-15T00:00:00"/>
    <s v="Hyderabad"/>
    <x v="0"/>
    <x v="0"/>
    <s v="November"/>
    <x v="3"/>
    <n v="2.1744943820224698"/>
    <n v="2.4900000000000002"/>
    <n v="14.89"/>
    <n v="19.350000000000001"/>
    <n v="103.07"/>
    <n v="39.299999999999997"/>
    <n v="2.0299999999999998"/>
  </r>
  <r>
    <n v="1263"/>
    <s v="A2263"/>
    <x v="0"/>
    <n v="152"/>
    <x v="1016"/>
    <n v="197"/>
    <n v="10"/>
    <n v="5"/>
    <n v="3.2894736842105199E-2"/>
    <x v="132"/>
    <d v="2024-11-11T00:00:00"/>
    <s v="Hyderabad"/>
    <x v="0"/>
    <x v="5"/>
    <s v="November"/>
    <x v="6"/>
    <n v="1.2938157894736799"/>
    <n v="3.71"/>
    <n v="19.670000000000002"/>
    <n v="39.33"/>
    <n v="44.92"/>
    <n v="57"/>
    <n v="1.45"/>
  </r>
  <r>
    <n v="1264"/>
    <s v="A2264"/>
    <x v="3"/>
    <n v="126"/>
    <x v="1017"/>
    <n v="182"/>
    <n v="22"/>
    <n v="9"/>
    <n v="7.1428571428571397E-2"/>
    <x v="145"/>
    <d v="2024-11-27T00:00:00"/>
    <s v="Hyderabad"/>
    <x v="1"/>
    <x v="4"/>
    <s v="November"/>
    <x v="1"/>
    <n v="1.4411111111111099"/>
    <n v="3.15"/>
    <n v="8.25"/>
    <n v="20.18"/>
    <n v="28.87"/>
    <n v="26"/>
    <n v="1.29"/>
  </r>
  <r>
    <n v="1265"/>
    <s v="A2265"/>
    <x v="1"/>
    <n v="153"/>
    <x v="1018"/>
    <n v="243"/>
    <n v="24"/>
    <n v="6"/>
    <n v="3.9215686274509803E-2"/>
    <x v="182"/>
    <d v="2024-11-10T00:00:00"/>
    <s v="Hyderabad"/>
    <x v="1"/>
    <x v="1"/>
    <s v="November"/>
    <x v="4"/>
    <n v="1.5890849673202601"/>
    <n v="4.5599999999999996"/>
    <n v="10.130000000000001"/>
    <n v="40.520000000000003"/>
    <n v="28.74"/>
    <n v="52.17"/>
    <n v="1.29"/>
  </r>
  <r>
    <n v="1266"/>
    <s v="A2266"/>
    <x v="0"/>
    <n v="98"/>
    <x v="1019"/>
    <n v="187"/>
    <n v="10"/>
    <n v="3"/>
    <n v="3.06122448979591E-2"/>
    <x v="95"/>
    <d v="2024-11-07T00:00:00"/>
    <s v="Hyderabad"/>
    <x v="0"/>
    <x v="0"/>
    <s v="November"/>
    <x v="5"/>
    <n v="1.90326530612244"/>
    <n v="2.04"/>
    <n v="18.649999999999999"/>
    <n v="62.17"/>
    <n v="22.78"/>
    <n v="76.33"/>
    <n v="1.23"/>
  </r>
  <r>
    <n v="1267"/>
    <s v="A2267"/>
    <x v="2"/>
    <n v="145"/>
    <x v="1020"/>
    <n v="195"/>
    <n v="17"/>
    <n v="6"/>
    <n v="4.1379310344827502E-2"/>
    <x v="115"/>
    <d v="2024-11-07T00:00:00"/>
    <s v="Hyderabad"/>
    <x v="0"/>
    <x v="5"/>
    <s v="November"/>
    <x v="5"/>
    <n v="1.34303448275862"/>
    <n v="3.02"/>
    <n v="11.46"/>
    <n v="32.46"/>
    <n v="44.81"/>
    <n v="47"/>
    <n v="1.45"/>
  </r>
  <r>
    <n v="1268"/>
    <s v="A2268"/>
    <x v="1"/>
    <n v="179"/>
    <x v="1021"/>
    <n v="221"/>
    <n v="23"/>
    <n v="6"/>
    <n v="3.3519553072625698E-2"/>
    <x v="57"/>
    <d v="2024-11-14T00:00:00"/>
    <s v="Hyderabad"/>
    <x v="2"/>
    <x v="1"/>
    <s v="November"/>
    <x v="5"/>
    <n v="1.23391061452513"/>
    <n v="4.7699999999999996"/>
    <n v="9.6"/>
    <n v="36.81"/>
    <n v="81.55"/>
    <n v="66.83"/>
    <n v="1.82"/>
  </r>
  <r>
    <n v="1269"/>
    <s v="A2269"/>
    <x v="1"/>
    <n v="108"/>
    <x v="1022"/>
    <n v="187"/>
    <n v="19"/>
    <n v="10"/>
    <n v="9.2592592592592504E-2"/>
    <x v="88"/>
    <d v="2024-11-15T00:00:00"/>
    <s v="Hyderabad"/>
    <x v="1"/>
    <x v="2"/>
    <s v="November"/>
    <x v="3"/>
    <n v="1.73324074074074"/>
    <n v="2.2999999999999998"/>
    <n v="9.85"/>
    <n v="18.72"/>
    <n v="21.8"/>
    <n v="22.8"/>
    <n v="1.22"/>
  </r>
  <r>
    <n v="1270"/>
    <s v="A2270"/>
    <x v="2"/>
    <n v="191"/>
    <x v="1023"/>
    <n v="217"/>
    <n v="25"/>
    <n v="5"/>
    <n v="2.6178010471204102E-2"/>
    <x v="34"/>
    <d v="2024-11-24T00:00:00"/>
    <s v="Hyderabad"/>
    <x v="2"/>
    <x v="3"/>
    <s v="November"/>
    <x v="4"/>
    <n v="1.13429319371727"/>
    <n v="5.42"/>
    <n v="8.67"/>
    <n v="43.33"/>
    <n v="72.63"/>
    <n v="74.8"/>
    <n v="1.73"/>
  </r>
  <r>
    <n v="1271"/>
    <s v="A2271"/>
    <x v="1"/>
    <n v="183"/>
    <x v="1024"/>
    <n v="212"/>
    <n v="10"/>
    <n v="9"/>
    <n v="4.9180327868852403E-2"/>
    <x v="7"/>
    <d v="2024-11-07T00:00:00"/>
    <s v="Hyderabad"/>
    <x v="2"/>
    <x v="2"/>
    <s v="November"/>
    <x v="5"/>
    <n v="1.15890710382513"/>
    <n v="5.44"/>
    <n v="21.21"/>
    <n v="23.56"/>
    <n v="45.23"/>
    <n v="34.22"/>
    <n v="1.45"/>
  </r>
  <r>
    <n v="1272"/>
    <s v="A2272"/>
    <x v="3"/>
    <n v="175"/>
    <x v="1025"/>
    <n v="223"/>
    <n v="14"/>
    <n v="3"/>
    <n v="1.7142857142857099E-2"/>
    <x v="86"/>
    <d v="2024-11-04T00:00:00"/>
    <s v="Hyderabad"/>
    <x v="1"/>
    <x v="5"/>
    <s v="November"/>
    <x v="6"/>
    <n v="1.276"/>
    <n v="2.95"/>
    <n v="15.95"/>
    <n v="74.430000000000007"/>
    <n v="37.479999999999997"/>
    <n v="102.33"/>
    <n v="1.37"/>
  </r>
  <r>
    <n v="1273"/>
    <s v="A2273"/>
    <x v="0"/>
    <n v="97"/>
    <x v="1026"/>
    <n v="196"/>
    <n v="13"/>
    <n v="3"/>
    <n v="3.0927835051546299E-2"/>
    <x v="184"/>
    <d v="2024-11-11T00:00:00"/>
    <s v="Hyderabad"/>
    <x v="0"/>
    <x v="1"/>
    <s v="November"/>
    <x v="6"/>
    <n v="2.01546391752577"/>
    <n v="2.73"/>
    <n v="15.04"/>
    <n v="65.17"/>
    <n v="61.13"/>
    <n v="105"/>
    <n v="1.61"/>
  </r>
  <r>
    <n v="1274"/>
    <s v="A2274"/>
    <x v="3"/>
    <n v="159"/>
    <x v="349"/>
    <n v="237"/>
    <n v="13"/>
    <n v="8"/>
    <n v="5.0314465408804999E-2"/>
    <x v="38"/>
    <d v="2024-11-16T00:00:00"/>
    <s v="Hyderabad"/>
    <x v="2"/>
    <x v="3"/>
    <s v="November"/>
    <x v="0"/>
    <n v="1.4889937106918201"/>
    <n v="3.78"/>
    <n v="18.21"/>
    <n v="29.59"/>
    <n v="59.24"/>
    <n v="47.12"/>
    <n v="1.59"/>
  </r>
  <r>
    <n v="1275"/>
    <s v="A2275"/>
    <x v="0"/>
    <n v="125"/>
    <x v="1027"/>
    <n v="224"/>
    <n v="22"/>
    <n v="9"/>
    <n v="7.1999999999999995E-2"/>
    <x v="144"/>
    <d v="2024-11-02T00:00:00"/>
    <s v="Hyderabad"/>
    <x v="2"/>
    <x v="5"/>
    <s v="November"/>
    <x v="0"/>
    <n v="1.7955999999999901"/>
    <n v="3.47"/>
    <n v="10.199999999999999"/>
    <n v="24.94"/>
    <n v="26.53"/>
    <n v="31.56"/>
    <n v="1.27"/>
  </r>
  <r>
    <n v="1276"/>
    <s v="A2276"/>
    <x v="2"/>
    <n v="193"/>
    <x v="1028"/>
    <n v="199"/>
    <n v="13"/>
    <n v="9"/>
    <n v="4.6632124352331598E-2"/>
    <x v="15"/>
    <d v="2024-11-08T00:00:00"/>
    <s v="Hyderabad"/>
    <x v="1"/>
    <x v="2"/>
    <s v="November"/>
    <x v="3"/>
    <n v="1.0324870466321201"/>
    <n v="3.03"/>
    <n v="15.33"/>
    <n v="22.14"/>
    <n v="65.099999999999994"/>
    <n v="36.56"/>
    <n v="1.65"/>
  </r>
  <r>
    <n v="1277"/>
    <s v="A2277"/>
    <x v="2"/>
    <n v="110"/>
    <x v="692"/>
    <n v="233"/>
    <n v="16"/>
    <n v="4"/>
    <n v="3.6363636363636299E-2"/>
    <x v="31"/>
    <d v="2024-11-15T00:00:00"/>
    <s v="Hyderabad"/>
    <x v="1"/>
    <x v="3"/>
    <s v="November"/>
    <x v="3"/>
    <n v="2.1187272727272699"/>
    <n v="2.11"/>
    <n v="14.57"/>
    <n v="58.26"/>
    <n v="49.75"/>
    <n v="87.25"/>
    <n v="1.5"/>
  </r>
  <r>
    <n v="1278"/>
    <s v="A2278"/>
    <x v="0"/>
    <n v="83"/>
    <x v="557"/>
    <n v="231"/>
    <n v="27"/>
    <n v="3"/>
    <n v="3.6144578313252997E-2"/>
    <x v="120"/>
    <d v="2024-11-04T00:00:00"/>
    <s v="Hyderabad"/>
    <x v="0"/>
    <x v="2"/>
    <s v="November"/>
    <x v="6"/>
    <n v="2.78361445783132"/>
    <n v="1.58"/>
    <n v="8.56"/>
    <n v="77.010000000000005"/>
    <n v="44.56"/>
    <n v="111.33"/>
    <n v="1.45"/>
  </r>
  <r>
    <n v="1279"/>
    <s v="A2279"/>
    <x v="1"/>
    <n v="166"/>
    <x v="1029"/>
    <n v="218"/>
    <n v="13"/>
    <n v="3"/>
    <n v="1.8072289156626498E-2"/>
    <x v="118"/>
    <d v="2024-11-22T00:00:00"/>
    <s v="Hyderabad"/>
    <x v="0"/>
    <x v="4"/>
    <s v="November"/>
    <x v="3"/>
    <n v="1.31530120481927"/>
    <n v="3.01"/>
    <n v="16.8"/>
    <n v="72.78"/>
    <n v="15.42"/>
    <n v="84"/>
    <n v="1.1499999999999999"/>
  </r>
  <r>
    <n v="1280"/>
    <s v="A2280"/>
    <x v="0"/>
    <n v="108"/>
    <x v="1030"/>
    <n v="214"/>
    <n v="20"/>
    <n v="3"/>
    <n v="2.77777777777777E-2"/>
    <x v="65"/>
    <d v="2024-11-27T00:00:00"/>
    <s v="Hyderabad"/>
    <x v="0"/>
    <x v="0"/>
    <s v="November"/>
    <x v="1"/>
    <n v="1.9854629629629601"/>
    <n v="2.93"/>
    <n v="10.72"/>
    <n v="71.48"/>
    <n v="47.83"/>
    <n v="105.67"/>
    <n v="1.48"/>
  </r>
  <r>
    <n v="1281"/>
    <s v="A2281"/>
    <x v="2"/>
    <n v="84"/>
    <x v="1031"/>
    <n v="192"/>
    <n v="15"/>
    <n v="7"/>
    <n v="8.3333333333333301E-2"/>
    <x v="43"/>
    <d v="2024-11-13T00:00:00"/>
    <s v="Hyderabad"/>
    <x v="0"/>
    <x v="1"/>
    <s v="November"/>
    <x v="1"/>
    <n v="2.28523809523809"/>
    <n v="1.85"/>
    <n v="12.8"/>
    <n v="27.42"/>
    <n v="38.57"/>
    <n v="38"/>
    <n v="1.39"/>
  </r>
  <r>
    <n v="1282"/>
    <s v="A2282"/>
    <x v="0"/>
    <n v="117"/>
    <x v="747"/>
    <n v="181"/>
    <n v="16"/>
    <n v="10"/>
    <n v="8.5470085470085402E-2"/>
    <x v="64"/>
    <d v="2024-11-20T00:00:00"/>
    <s v="Hyderabad"/>
    <x v="2"/>
    <x v="2"/>
    <s v="November"/>
    <x v="1"/>
    <n v="1.5454545454545401"/>
    <n v="2.2599999999999998"/>
    <n v="11.3"/>
    <n v="18.079999999999998"/>
    <n v="158.35"/>
    <n v="46.71"/>
    <n v="2.58"/>
  </r>
  <r>
    <n v="1283"/>
    <s v="A2283"/>
    <x v="0"/>
    <n v="195"/>
    <x v="1032"/>
    <n v="205"/>
    <n v="24"/>
    <n v="4"/>
    <n v="2.0512820512820499E-2"/>
    <x v="71"/>
    <d v="2024-11-14T00:00:00"/>
    <s v="Hyderabad"/>
    <x v="1"/>
    <x v="3"/>
    <s v="November"/>
    <x v="5"/>
    <n v="1.0528205128205099"/>
    <n v="6.25"/>
    <n v="8.5500000000000007"/>
    <n v="51.32"/>
    <n v="32"/>
    <n v="67.75"/>
    <n v="1.32"/>
  </r>
  <r>
    <n v="1284"/>
    <s v="A2284"/>
    <x v="3"/>
    <n v="149"/>
    <x v="1033"/>
    <n v="220"/>
    <n v="17"/>
    <n v="3"/>
    <n v="2.0134228187919399E-2"/>
    <x v="54"/>
    <d v="2024-11-29T00:00:00"/>
    <s v="Hyderabad"/>
    <x v="1"/>
    <x v="2"/>
    <s v="November"/>
    <x v="3"/>
    <n v="1.47818791946308"/>
    <n v="4.08"/>
    <n v="12.96"/>
    <n v="73.42"/>
    <n v="-36.369999999999997"/>
    <n v="46.71"/>
    <n v="0.64"/>
  </r>
  <r>
    <n v="1285"/>
    <s v="A2285"/>
    <x v="1"/>
    <n v="142"/>
    <x v="793"/>
    <n v="237"/>
    <n v="14"/>
    <n v="7"/>
    <n v="4.92957746478873E-2"/>
    <x v="50"/>
    <d v="2024-11-20T00:00:00"/>
    <s v="Hyderabad"/>
    <x v="2"/>
    <x v="4"/>
    <s v="November"/>
    <x v="1"/>
    <n v="1.66964788732394"/>
    <n v="2.61"/>
    <n v="16.93"/>
    <n v="33.869999999999997"/>
    <n v="9.24"/>
    <n v="37"/>
    <n v="1.0900000000000001"/>
  </r>
  <r>
    <n v="1286"/>
    <s v="A2286"/>
    <x v="1"/>
    <n v="98"/>
    <x v="1034"/>
    <n v="182"/>
    <n v="16"/>
    <n v="5"/>
    <n v="5.10204081632653E-2"/>
    <x v="174"/>
    <d v="2024-11-19T00:00:00"/>
    <s v="Hyderabad"/>
    <x v="0"/>
    <x v="0"/>
    <s v="November"/>
    <x v="2"/>
    <n v="1.86010204081632"/>
    <n v="1.79"/>
    <n v="11.39"/>
    <n v="36.46"/>
    <n v="70.06"/>
    <n v="62"/>
    <n v="1.7"/>
  </r>
  <r>
    <n v="1287"/>
    <s v="A2287"/>
    <x v="1"/>
    <n v="169"/>
    <x v="1035"/>
    <n v="265"/>
    <n v="11"/>
    <n v="3"/>
    <n v="1.7751479289940801E-2"/>
    <x v="126"/>
    <d v="2024-11-14T00:00:00"/>
    <s v="Hyderabad"/>
    <x v="0"/>
    <x v="3"/>
    <s v="November"/>
    <x v="5"/>
    <n v="1.56753061615001"/>
    <n v="4.47"/>
    <n v="24.08"/>
    <n v="88.3"/>
    <n v="32.5"/>
    <n v="117"/>
    <n v="1.32"/>
  </r>
  <r>
    <n v="1288"/>
    <s v="A2288"/>
    <x v="3"/>
    <n v="99"/>
    <x v="1036"/>
    <n v="151"/>
    <n v="18"/>
    <n v="6"/>
    <n v="6.0606060606060601E-2"/>
    <x v="94"/>
    <d v="2024-11-29T00:00:00"/>
    <s v="Hyderabad"/>
    <x v="1"/>
    <x v="4"/>
    <s v="November"/>
    <x v="3"/>
    <n v="1.5243795620437901"/>
    <n v="3.24"/>
    <n v="8.3800000000000008"/>
    <n v="25.15"/>
    <n v="138.55000000000001"/>
    <n v="60"/>
    <n v="2.39"/>
  </r>
  <r>
    <n v="1289"/>
    <s v="A2289"/>
    <x v="2"/>
    <n v="170"/>
    <x v="27"/>
    <n v="191"/>
    <n v="22"/>
    <n v="7"/>
    <n v="4.1176470588235203E-2"/>
    <x v="29"/>
    <d v="2024-11-09T00:00:00"/>
    <s v="Hyderabad"/>
    <x v="0"/>
    <x v="2"/>
    <s v="November"/>
    <x v="0"/>
    <n v="1.12147058823529"/>
    <n v="3.22"/>
    <n v="8.67"/>
    <n v="27.24"/>
    <n v="19.07"/>
    <n v="32.43"/>
    <n v="1.19"/>
  </r>
  <r>
    <n v="1290"/>
    <s v="A2290"/>
    <x v="3"/>
    <n v="107"/>
    <x v="1037"/>
    <n v="249"/>
    <n v="22"/>
    <n v="4"/>
    <n v="3.73831775700934E-2"/>
    <x v="202"/>
    <d v="2024-11-05T00:00:00"/>
    <s v="Hyderabad"/>
    <x v="1"/>
    <x v="3"/>
    <s v="November"/>
    <x v="2"/>
    <n v="2.3267289719626101"/>
    <n v="3.03"/>
    <n v="11.32"/>
    <n v="62.24"/>
    <n v="31.75"/>
    <n v="82"/>
    <n v="1.32"/>
  </r>
  <r>
    <n v="1291"/>
    <s v="A2291"/>
    <x v="0"/>
    <n v="156"/>
    <x v="1038"/>
    <n v="182"/>
    <n v="26"/>
    <n v="10"/>
    <n v="6.4102564102564097E-2"/>
    <x v="25"/>
    <d v="2024-11-16T00:00:00"/>
    <s v="Hyderabad"/>
    <x v="1"/>
    <x v="1"/>
    <s v="November"/>
    <x v="0"/>
    <n v="1.1676282051282001"/>
    <n v="3.04"/>
    <n v="7.01"/>
    <n v="18.22"/>
    <n v="85.56"/>
    <n v="33.799999999999997"/>
    <n v="1.86"/>
  </r>
  <r>
    <n v="1292"/>
    <s v="A2292"/>
    <x v="0"/>
    <n v="91"/>
    <x v="766"/>
    <n v="242"/>
    <n v="20"/>
    <n v="3"/>
    <n v="3.2967032967032898E-2"/>
    <x v="10"/>
    <d v="2024-11-22T00:00:00"/>
    <s v="Hyderabad"/>
    <x v="1"/>
    <x v="2"/>
    <s v="November"/>
    <x v="3"/>
    <n v="2.6572527472527399"/>
    <n v="2.02"/>
    <n v="12.09"/>
    <n v="80.599999999999994"/>
    <n v="60.46"/>
    <n v="129.33000000000001"/>
    <n v="1.6"/>
  </r>
  <r>
    <n v="1293"/>
    <s v="A2293"/>
    <x v="1"/>
    <n v="140"/>
    <x v="405"/>
    <n v="229"/>
    <n v="15"/>
    <n v="4"/>
    <n v="2.8571428571428501E-2"/>
    <x v="172"/>
    <d v="2024-11-20T00:00:00"/>
    <s v="Hyderabad"/>
    <x v="1"/>
    <x v="2"/>
    <s v="November"/>
    <x v="1"/>
    <n v="1.63321428571428"/>
    <n v="3.02"/>
    <n v="15.24"/>
    <n v="57.16"/>
    <n v="55.26"/>
    <n v="88.75"/>
    <n v="1.55"/>
  </r>
  <r>
    <n v="1294"/>
    <s v="A2294"/>
    <x v="2"/>
    <n v="142"/>
    <x v="1039"/>
    <n v="229"/>
    <n v="20"/>
    <n v="10"/>
    <n v="7.0422535211267595E-2"/>
    <x v="207"/>
    <d v="2024-11-01T00:00:00"/>
    <s v="Hyderabad"/>
    <x v="1"/>
    <x v="0"/>
    <s v="November"/>
    <x v="3"/>
    <n v="1.61274647887323"/>
    <n v="4.5"/>
    <n v="11.45"/>
    <n v="22.9"/>
    <n v="74.23"/>
    <n v="39.9"/>
    <n v="1.74"/>
  </r>
  <r>
    <n v="1295"/>
    <s v="A2295"/>
    <x v="1"/>
    <n v="198"/>
    <x v="1040"/>
    <n v="196"/>
    <n v="27"/>
    <n v="4"/>
    <n v="2.02020202020202E-2"/>
    <x v="206"/>
    <d v="2024-11-10T00:00:00"/>
    <s v="Hyderabad"/>
    <x v="0"/>
    <x v="2"/>
    <s v="November"/>
    <x v="4"/>
    <n v="0.98944444444444402"/>
    <n v="5.75"/>
    <n v="7.26"/>
    <n v="48.98"/>
    <n v="37.31"/>
    <n v="67.25"/>
    <n v="1.37"/>
  </r>
  <r>
    <n v="1296"/>
    <s v="A2296"/>
    <x v="1"/>
    <n v="88"/>
    <x v="1041"/>
    <n v="210"/>
    <n v="23"/>
    <n v="8"/>
    <n v="9.0909090909090898E-2"/>
    <x v="81"/>
    <d v="2024-11-11T00:00:00"/>
    <s v="Hyderabad"/>
    <x v="2"/>
    <x v="2"/>
    <s v="November"/>
    <x v="6"/>
    <n v="2.3920454545454501"/>
    <n v="2.0699999999999998"/>
    <n v="9.15"/>
    <n v="26.31"/>
    <n v="85.75"/>
    <n v="48.88"/>
    <n v="1.86"/>
  </r>
  <r>
    <n v="1297"/>
    <s v="A2297"/>
    <x v="3"/>
    <n v="130"/>
    <x v="1042"/>
    <n v="201"/>
    <n v="26"/>
    <n v="5"/>
    <n v="3.8461538461538401E-2"/>
    <x v="43"/>
    <d v="2024-11-15T00:00:00"/>
    <s v="Hyderabad"/>
    <x v="2"/>
    <x v="5"/>
    <s v="November"/>
    <x v="3"/>
    <n v="1.54692307692307"/>
    <n v="2.64"/>
    <n v="7.73"/>
    <n v="40.22"/>
    <n v="32.270000000000003"/>
    <n v="53.2"/>
    <n v="1.32"/>
  </r>
  <r>
    <n v="1298"/>
    <s v="A2298"/>
    <x v="0"/>
    <n v="186"/>
    <x v="1043"/>
    <n v="214"/>
    <n v="26"/>
    <n v="4"/>
    <n v="2.1505376344085999E-2"/>
    <x v="52"/>
    <d v="2024-11-02T00:00:00"/>
    <s v="Hyderabad"/>
    <x v="2"/>
    <x v="0"/>
    <s v="November"/>
    <x v="0"/>
    <n v="1.15032258064516"/>
    <n v="5.2"/>
    <n v="8.23"/>
    <n v="53.49"/>
    <n v="61.25"/>
    <n v="86.25"/>
    <n v="1.61"/>
  </r>
  <r>
    <n v="1299"/>
    <s v="A2299"/>
    <x v="0"/>
    <n v="146"/>
    <x v="1044"/>
    <n v="203"/>
    <n v="19"/>
    <n v="5"/>
    <n v="3.4246575342465703E-2"/>
    <x v="152"/>
    <d v="2024-11-28T00:00:00"/>
    <s v="Hyderabad"/>
    <x v="1"/>
    <x v="5"/>
    <s v="November"/>
    <x v="5"/>
    <n v="1.3908904109589"/>
    <n v="2.5"/>
    <n v="10.69"/>
    <n v="40.61"/>
    <n v="22.13"/>
    <n v="49.6"/>
    <n v="1.22"/>
  </r>
  <r>
    <n v="1300"/>
    <s v="A2300"/>
    <x v="3"/>
    <n v="199"/>
    <x v="920"/>
    <n v="203"/>
    <n v="27"/>
    <n v="10"/>
    <n v="5.0251256281407003E-2"/>
    <x v="150"/>
    <d v="2024-11-30T00:00:00"/>
    <s v="Hyderabad"/>
    <x v="2"/>
    <x v="1"/>
    <s v="November"/>
    <x v="0"/>
    <n v="1.02050251256281"/>
    <n v="3.87"/>
    <n v="7.52"/>
    <n v="20.309999999999999"/>
    <n v="13.26"/>
    <n v="23"/>
    <n v="1.1299999999999999"/>
  </r>
  <r>
    <n v="1301"/>
    <s v="A2301"/>
    <x v="3"/>
    <n v="94"/>
    <x v="1045"/>
    <n v="209"/>
    <n v="14"/>
    <n v="5"/>
    <n v="5.31914893617021E-2"/>
    <x v="95"/>
    <d v="2024-11-17T00:00:00"/>
    <s v="Hyderabad"/>
    <x v="2"/>
    <x v="0"/>
    <s v="November"/>
    <x v="4"/>
    <n v="2.22106382978723"/>
    <n v="2.2200000000000002"/>
    <n v="14.91"/>
    <n v="41.76"/>
    <n v="9.68"/>
    <n v="45.8"/>
    <n v="1.1000000000000001"/>
  </r>
  <r>
    <n v="1302"/>
    <s v="A2302"/>
    <x v="2"/>
    <n v="119"/>
    <x v="1046"/>
    <n v="206"/>
    <n v="25"/>
    <n v="9"/>
    <n v="7.5630252100840303E-2"/>
    <x v="176"/>
    <d v="2024-11-14T00:00:00"/>
    <s v="Hyderabad"/>
    <x v="1"/>
    <x v="5"/>
    <s v="November"/>
    <x v="5"/>
    <n v="1.72899159663865"/>
    <n v="2.15"/>
    <n v="8.23"/>
    <n v="22.86"/>
    <n v="71.08"/>
    <n v="39.11"/>
    <n v="1.71"/>
  </r>
  <r>
    <n v="1303"/>
    <s v="A2303"/>
    <x v="2"/>
    <n v="168"/>
    <x v="1047"/>
    <n v="241"/>
    <n v="28"/>
    <n v="9"/>
    <n v="5.3571428571428499E-2"/>
    <x v="35"/>
    <d v="2024-11-01T00:00:00"/>
    <s v="Hyderabad"/>
    <x v="1"/>
    <x v="4"/>
    <s v="November"/>
    <x v="3"/>
    <n v="1.43595238095238"/>
    <n v="3.64"/>
    <n v="8.6199999999999992"/>
    <n v="26.8"/>
    <n v="10.68"/>
    <n v="29.67"/>
    <n v="1.1100000000000001"/>
  </r>
  <r>
    <n v="1304"/>
    <s v="A2304"/>
    <x v="0"/>
    <n v="117"/>
    <x v="62"/>
    <n v="249"/>
    <n v="10"/>
    <n v="9"/>
    <n v="7.69230769230769E-2"/>
    <x v="34"/>
    <d v="2024-11-02T00:00:00"/>
    <s v="Hyderabad"/>
    <x v="2"/>
    <x v="0"/>
    <s v="November"/>
    <x v="0"/>
    <n v="2.1314529914529898"/>
    <n v="2.33"/>
    <n v="24.94"/>
    <n v="27.71"/>
    <n v="49.97"/>
    <n v="41.56"/>
    <n v="1.5"/>
  </r>
  <r>
    <n v="1305"/>
    <s v="A2305"/>
    <x v="2"/>
    <n v="156"/>
    <x v="1048"/>
    <n v="249"/>
    <n v="18"/>
    <n v="3"/>
    <n v="1.9230769230769201E-2"/>
    <x v="99"/>
    <d v="2024-11-12T00:00:00"/>
    <s v="Hyderabad"/>
    <x v="1"/>
    <x v="0"/>
    <s v="November"/>
    <x v="2"/>
    <n v="1.5985256410256401"/>
    <n v="3.08"/>
    <n v="13.85"/>
    <n v="83.12"/>
    <n v="39.15"/>
    <n v="115.67"/>
    <n v="1.39"/>
  </r>
  <r>
    <n v="1306"/>
    <s v="A2306"/>
    <x v="1"/>
    <n v="151"/>
    <x v="1049"/>
    <n v="242"/>
    <n v="22"/>
    <n v="3"/>
    <n v="1.98675496688741E-2"/>
    <x v="140"/>
    <d v="2024-11-03T00:00:00"/>
    <s v="Hyderabad"/>
    <x v="2"/>
    <x v="4"/>
    <s v="November"/>
    <x v="4"/>
    <n v="1.6023178807947001"/>
    <n v="3.14"/>
    <n v="11"/>
    <n v="80.650000000000006"/>
    <n v="32.67"/>
    <n v="107"/>
    <n v="1.33"/>
  </r>
  <r>
    <n v="1307"/>
    <s v="A2307"/>
    <x v="2"/>
    <n v="133"/>
    <x v="1050"/>
    <n v="199"/>
    <n v="10"/>
    <n v="6"/>
    <n v="4.5112781954887202E-2"/>
    <x v="144"/>
    <d v="2024-11-03T00:00:00"/>
    <s v="Hyderabad"/>
    <x v="1"/>
    <x v="4"/>
    <s v="November"/>
    <x v="4"/>
    <n v="1.49616541353383"/>
    <n v="2.97"/>
    <n v="19.899999999999999"/>
    <n v="33.159999999999997"/>
    <n v="42.72"/>
    <n v="47.33"/>
    <n v="1.43"/>
  </r>
  <r>
    <n v="1308"/>
    <s v="A2308"/>
    <x v="3"/>
    <n v="105"/>
    <x v="1051"/>
    <n v="188"/>
    <n v="14"/>
    <n v="9"/>
    <n v="8.5714285714285701E-2"/>
    <x v="108"/>
    <d v="2024-11-03T00:00:00"/>
    <s v="Hyderabad"/>
    <x v="2"/>
    <x v="4"/>
    <s v="November"/>
    <x v="4"/>
    <n v="1.7921904761904699"/>
    <n v="2.04"/>
    <n v="13.44"/>
    <n v="20.91"/>
    <n v="73.239999999999995"/>
    <n v="36.22"/>
    <n v="1.73"/>
  </r>
  <r>
    <n v="1309"/>
    <s v="A2309"/>
    <x v="3"/>
    <n v="98"/>
    <x v="1052"/>
    <n v="219"/>
    <n v="12"/>
    <n v="7"/>
    <n v="7.1428571428571397E-2"/>
    <x v="20"/>
    <d v="2024-11-07T00:00:00"/>
    <s v="Hyderabad"/>
    <x v="0"/>
    <x v="0"/>
    <s v="November"/>
    <x v="5"/>
    <n v="2.2386734693877499"/>
    <n v="2.17"/>
    <n v="18.28"/>
    <n v="31.34"/>
    <n v="67.739999999999995"/>
    <n v="52.57"/>
    <n v="1.68"/>
  </r>
  <r>
    <n v="1310"/>
    <s v="A2310"/>
    <x v="3"/>
    <n v="93"/>
    <x v="1053"/>
    <n v="248"/>
    <n v="21"/>
    <n v="8"/>
    <n v="8.6021505376343996E-2"/>
    <x v="184"/>
    <d v="2024-11-19T00:00:00"/>
    <s v="Hyderabad"/>
    <x v="2"/>
    <x v="0"/>
    <s v="November"/>
    <x v="2"/>
    <n v="2.6640860215053701"/>
    <n v="2.1800000000000002"/>
    <n v="11.8"/>
    <n v="30.97"/>
    <n v="27.14"/>
    <n v="39.380000000000003"/>
    <n v="1.27"/>
  </r>
  <r>
    <n v="1311"/>
    <s v="A2311"/>
    <x v="3"/>
    <n v="165"/>
    <x v="1054"/>
    <n v="232"/>
    <n v="23"/>
    <n v="8"/>
    <n v="4.8484848484848402E-2"/>
    <x v="53"/>
    <d v="2024-11-28T00:00:00"/>
    <s v="Hyderabad"/>
    <x v="1"/>
    <x v="5"/>
    <s v="November"/>
    <x v="5"/>
    <n v="1.40375757575757"/>
    <n v="4.3899999999999997"/>
    <n v="10.07"/>
    <n v="28.95"/>
    <n v="-7.18"/>
    <n v="26.88"/>
    <n v="0.93"/>
  </r>
  <r>
    <n v="1312"/>
    <s v="A2312"/>
    <x v="3"/>
    <n v="156"/>
    <x v="818"/>
    <n v="187"/>
    <n v="17"/>
    <n v="10"/>
    <n v="6.4102564102564097E-2"/>
    <x v="153"/>
    <d v="2024-11-13T00:00:00"/>
    <s v="Hyderabad"/>
    <x v="2"/>
    <x v="5"/>
    <s v="November"/>
    <x v="1"/>
    <n v="1.1966666666666601"/>
    <n v="3.49"/>
    <n v="10.98"/>
    <n v="18.670000000000002"/>
    <n v="49.99"/>
    <n v="28"/>
    <n v="1.5"/>
  </r>
  <r>
    <n v="1313"/>
    <s v="A2313"/>
    <x v="0"/>
    <n v="166"/>
    <x v="936"/>
    <n v="237"/>
    <n v="11"/>
    <n v="5"/>
    <n v="3.0120481927710802E-2"/>
    <x v="209"/>
    <d v="2024-11-15T00:00:00"/>
    <s v="Hyderabad"/>
    <x v="0"/>
    <x v="5"/>
    <s v="November"/>
    <x v="3"/>
    <n v="1.42481927710843"/>
    <n v="2.89"/>
    <n v="21.5"/>
    <n v="47.3"/>
    <n v="53.48"/>
    <n v="72.599999999999994"/>
    <n v="1.53"/>
  </r>
  <r>
    <n v="1314"/>
    <s v="A2314"/>
    <x v="1"/>
    <n v="134"/>
    <x v="696"/>
    <n v="192"/>
    <n v="10"/>
    <n v="3"/>
    <n v="2.2388059701492501E-2"/>
    <x v="45"/>
    <d v="2024-11-04T00:00:00"/>
    <s v="Hyderabad"/>
    <x v="1"/>
    <x v="0"/>
    <s v="November"/>
    <x v="6"/>
    <n v="1.4322388059701401"/>
    <n v="2.59"/>
    <n v="19.190000000000001"/>
    <n v="63.97"/>
    <n v="62.05"/>
    <n v="103.67"/>
    <n v="1.62"/>
  </r>
  <r>
    <n v="1315"/>
    <s v="A2315"/>
    <x v="3"/>
    <n v="103"/>
    <x v="1055"/>
    <n v="195"/>
    <n v="27"/>
    <n v="4"/>
    <n v="3.88349514563106E-2"/>
    <x v="58"/>
    <d v="2024-11-15T00:00:00"/>
    <s v="Hyderabad"/>
    <x v="2"/>
    <x v="0"/>
    <s v="November"/>
    <x v="3"/>
    <n v="1.8905825242718399"/>
    <n v="2.79"/>
    <n v="7.21"/>
    <n v="48.68"/>
    <n v="41.22"/>
    <n v="68.75"/>
    <n v="1.41"/>
  </r>
  <r>
    <n v="1316"/>
    <s v="A2316"/>
    <x v="2"/>
    <n v="95"/>
    <x v="1056"/>
    <n v="219"/>
    <n v="26"/>
    <n v="3"/>
    <n v="3.1578947368420998E-2"/>
    <x v="17"/>
    <d v="2024-11-07T00:00:00"/>
    <s v="Hyderabad"/>
    <x v="1"/>
    <x v="3"/>
    <s v="November"/>
    <x v="5"/>
    <n v="2.3097894736842099"/>
    <n v="1.92"/>
    <n v="8.44"/>
    <n v="73.14"/>
    <n v="65.88"/>
    <n v="121.33"/>
    <n v="1.66"/>
  </r>
  <r>
    <n v="1317"/>
    <s v="A2317"/>
    <x v="3"/>
    <n v="155"/>
    <x v="499"/>
    <n v="230"/>
    <n v="15"/>
    <n v="8"/>
    <n v="5.1612903225806403E-2"/>
    <x v="34"/>
    <d v="2024-11-15T00:00:00"/>
    <s v="Hyderabad"/>
    <x v="0"/>
    <x v="1"/>
    <s v="November"/>
    <x v="3"/>
    <n v="1.48148387096774"/>
    <n v="4.87"/>
    <n v="15.31"/>
    <n v="28.7"/>
    <n v="62.87"/>
    <n v="46.75"/>
    <n v="1.63"/>
  </r>
  <r>
    <n v="1318"/>
    <s v="A2318"/>
    <x v="1"/>
    <n v="184"/>
    <x v="1057"/>
    <n v="193"/>
    <n v="16"/>
    <n v="3"/>
    <n v="1.6304347826086901E-2"/>
    <x v="204"/>
    <d v="2024-11-30T00:00:00"/>
    <s v="Hyderabad"/>
    <x v="2"/>
    <x v="0"/>
    <s v="November"/>
    <x v="0"/>
    <n v="1.0502717391304299"/>
    <n v="4.62"/>
    <n v="12.08"/>
    <n v="64.42"/>
    <n v="43.34"/>
    <n v="92.33"/>
    <n v="1.43"/>
  </r>
  <r>
    <n v="1319"/>
    <s v="A2319"/>
    <x v="0"/>
    <n v="186"/>
    <x v="496"/>
    <n v="218"/>
    <n v="29"/>
    <n v="7"/>
    <n v="3.7634408602150497E-2"/>
    <x v="103"/>
    <d v="2024-11-08T00:00:00"/>
    <s v="Hyderabad"/>
    <x v="0"/>
    <x v="5"/>
    <s v="November"/>
    <x v="3"/>
    <n v="1.17290322580645"/>
    <n v="5.48"/>
    <n v="7.52"/>
    <n v="31.17"/>
    <n v="-5.12"/>
    <n v="29.57"/>
    <n v="0.95"/>
  </r>
  <r>
    <n v="1320"/>
    <s v="A2320"/>
    <x v="1"/>
    <n v="93"/>
    <x v="1058"/>
    <n v="221"/>
    <n v="30"/>
    <n v="8"/>
    <n v="8.6021505376343996E-2"/>
    <x v="198"/>
    <d v="2024-11-08T00:00:00"/>
    <s v="Hyderabad"/>
    <x v="0"/>
    <x v="2"/>
    <s v="November"/>
    <x v="3"/>
    <n v="2.3736559139784901"/>
    <n v="2.94"/>
    <n v="7.36"/>
    <n v="27.59"/>
    <n v="35.9"/>
    <n v="37.5"/>
    <n v="1.36"/>
  </r>
  <r>
    <n v="1321"/>
    <s v="A2321"/>
    <x v="1"/>
    <n v="138"/>
    <x v="1059"/>
    <n v="203"/>
    <n v="26"/>
    <n v="9"/>
    <n v="6.5217391304347797E-2"/>
    <x v="11"/>
    <d v="2024-11-25T00:00:00"/>
    <s v="Hyderabad"/>
    <x v="2"/>
    <x v="4"/>
    <s v="November"/>
    <x v="6"/>
    <n v="1.4676811594202801"/>
    <n v="2.94"/>
    <n v="7.79"/>
    <n v="22.5"/>
    <n v="14.05"/>
    <n v="25.67"/>
    <n v="1.1399999999999999"/>
  </r>
  <r>
    <n v="1322"/>
    <s v="A2322"/>
    <x v="3"/>
    <n v="96"/>
    <x v="332"/>
    <n v="218"/>
    <n v="16"/>
    <n v="4"/>
    <n v="4.1666666666666602E-2"/>
    <x v="151"/>
    <d v="2024-11-07T00:00:00"/>
    <s v="Hyderabad"/>
    <x v="0"/>
    <x v="5"/>
    <s v="November"/>
    <x v="5"/>
    <n v="2.2667708333333301"/>
    <n v="2.57"/>
    <n v="13.6"/>
    <n v="54.4"/>
    <n v="20.399999999999999"/>
    <n v="65.5"/>
    <n v="1.2"/>
  </r>
  <r>
    <n v="1323"/>
    <s v="A2323"/>
    <x v="0"/>
    <n v="127"/>
    <x v="664"/>
    <n v="227"/>
    <n v="17"/>
    <n v="3"/>
    <n v="2.3622047244094401E-2"/>
    <x v="115"/>
    <d v="2024-11-03T00:00:00"/>
    <s v="Hyderabad"/>
    <x v="2"/>
    <x v="3"/>
    <s v="November"/>
    <x v="4"/>
    <n v="1.7848031496062899"/>
    <n v="2.4300000000000002"/>
    <n v="13.33"/>
    <n v="75.56"/>
    <n v="24.41"/>
    <n v="94"/>
    <n v="1.24"/>
  </r>
  <r>
    <n v="1324"/>
    <s v="A2324"/>
    <x v="2"/>
    <n v="92"/>
    <x v="1060"/>
    <n v="189"/>
    <n v="11"/>
    <n v="9"/>
    <n v="9.7826086956521702E-2"/>
    <x v="134"/>
    <d v="2024-11-27T00:00:00"/>
    <s v="Hyderabad"/>
    <x v="0"/>
    <x v="2"/>
    <s v="November"/>
    <x v="1"/>
    <n v="2.0497826086956499"/>
    <n v="2.79"/>
    <n v="17.14"/>
    <n v="20.95"/>
    <n v="81.36"/>
    <n v="38"/>
    <n v="1.81"/>
  </r>
  <r>
    <n v="1325"/>
    <s v="A2325"/>
    <x v="3"/>
    <n v="156"/>
    <x v="1061"/>
    <n v="247"/>
    <n v="16"/>
    <n v="5"/>
    <n v="3.2051282051282E-2"/>
    <x v="178"/>
    <d v="2024-11-08T00:00:00"/>
    <s v="Hyderabad"/>
    <x v="2"/>
    <x v="1"/>
    <s v="November"/>
    <x v="3"/>
    <n v="1.58621794871794"/>
    <n v="2.77"/>
    <n v="15.47"/>
    <n v="49.49"/>
    <n v="58.82"/>
    <n v="78.599999999999994"/>
    <n v="1.59"/>
  </r>
  <r>
    <n v="1326"/>
    <s v="A2326"/>
    <x v="2"/>
    <n v="113"/>
    <x v="1062"/>
    <n v="211"/>
    <n v="16"/>
    <n v="3"/>
    <n v="2.6548672566371601E-2"/>
    <x v="89"/>
    <d v="2024-11-16T00:00:00"/>
    <s v="Hyderabad"/>
    <x v="2"/>
    <x v="0"/>
    <s v="November"/>
    <x v="0"/>
    <n v="1.8697345132743299"/>
    <n v="1.89"/>
    <n v="13.2"/>
    <n v="70.430000000000007"/>
    <n v="44.83"/>
    <n v="102"/>
    <n v="1.45"/>
  </r>
  <r>
    <n v="1327"/>
    <s v="A2327"/>
    <x v="3"/>
    <n v="84"/>
    <x v="327"/>
    <n v="233"/>
    <n v="13"/>
    <n v="10"/>
    <n v="0.119047619047619"/>
    <x v="64"/>
    <d v="2024-11-11T00:00:00"/>
    <s v="Hyderabad"/>
    <x v="0"/>
    <x v="1"/>
    <s v="November"/>
    <x v="6"/>
    <n v="2.7760714285714201"/>
    <n v="2.14"/>
    <n v="17.940000000000001"/>
    <n v="23.32"/>
    <n v="100.33"/>
    <n v="46.71"/>
    <n v="2"/>
  </r>
  <r>
    <n v="1328"/>
    <s v="A2328"/>
    <x v="3"/>
    <n v="189"/>
    <x v="833"/>
    <n v="181"/>
    <n v="27"/>
    <n v="9"/>
    <n v="4.7619047619047603E-2"/>
    <x v="19"/>
    <d v="2024-11-08T00:00:00"/>
    <s v="Hyderabad"/>
    <x v="1"/>
    <x v="4"/>
    <s v="November"/>
    <x v="3"/>
    <n v="0.96010582010582002"/>
    <n v="3.54"/>
    <n v="6.72"/>
    <n v="20.16"/>
    <n v="95.08"/>
    <n v="39.33"/>
    <n v="1.95"/>
  </r>
  <r>
    <n v="1329"/>
    <s v="A2329"/>
    <x v="1"/>
    <n v="149"/>
    <x v="1063"/>
    <n v="219"/>
    <n v="11"/>
    <n v="9"/>
    <n v="6.0402684563758302E-2"/>
    <x v="136"/>
    <d v="2024-11-16T00:00:00"/>
    <s v="Hyderabad"/>
    <x v="2"/>
    <x v="4"/>
    <s v="November"/>
    <x v="0"/>
    <n v="1.47275167785234"/>
    <n v="3.27"/>
    <n v="19.95"/>
    <n v="24.38"/>
    <n v="54.48"/>
    <n v="37.67"/>
    <n v="1.54"/>
  </r>
  <r>
    <n v="1330"/>
    <s v="A2330"/>
    <x v="1"/>
    <n v="100"/>
    <x v="1064"/>
    <n v="181"/>
    <n v="15"/>
    <n v="4"/>
    <n v="0.04"/>
    <x v="76"/>
    <d v="2024-11-04T00:00:00"/>
    <s v="Hyderabad"/>
    <x v="0"/>
    <x v="0"/>
    <s v="November"/>
    <x v="6"/>
    <n v="1.8127"/>
    <n v="1.72"/>
    <n v="12.08"/>
    <n v="45.32"/>
    <n v="34.61"/>
    <n v="61"/>
    <n v="1.35"/>
  </r>
  <r>
    <n v="1331"/>
    <s v="A2331"/>
    <x v="3"/>
    <n v="105"/>
    <x v="1065"/>
    <n v="201"/>
    <n v="25"/>
    <n v="10"/>
    <n v="9.5238095238095205E-2"/>
    <x v="198"/>
    <d v="2024-11-11T00:00:00"/>
    <s v="Hyderabad"/>
    <x v="0"/>
    <x v="5"/>
    <s v="November"/>
    <x v="6"/>
    <n v="1.9143809523809501"/>
    <n v="2.04"/>
    <n v="8.0399999999999991"/>
    <n v="20.100000000000001"/>
    <n v="49.25"/>
    <n v="30"/>
    <n v="1.49"/>
  </r>
  <r>
    <n v="1332"/>
    <s v="A2332"/>
    <x v="2"/>
    <n v="86"/>
    <x v="7"/>
    <n v="249"/>
    <n v="15"/>
    <n v="4"/>
    <n v="4.6511627906976702E-2"/>
    <x v="181"/>
    <d v="2024-11-15T00:00:00"/>
    <s v="Hyderabad"/>
    <x v="2"/>
    <x v="2"/>
    <s v="November"/>
    <x v="3"/>
    <n v="2.9"/>
    <n v="1.7"/>
    <n v="16.63"/>
    <n v="62.35"/>
    <n v="43.95"/>
    <n v="89.75"/>
    <n v="1.44"/>
  </r>
  <r>
    <n v="1333"/>
    <s v="A2333"/>
    <x v="2"/>
    <n v="93"/>
    <x v="1066"/>
    <n v="245"/>
    <n v="14"/>
    <n v="5"/>
    <n v="5.3763440860214999E-2"/>
    <x v="46"/>
    <d v="2024-11-08T00:00:00"/>
    <s v="Hyderabad"/>
    <x v="1"/>
    <x v="2"/>
    <s v="November"/>
    <x v="3"/>
    <n v="2.6358064516129001"/>
    <n v="1.8"/>
    <n v="17.510000000000002"/>
    <n v="49.03"/>
    <n v="-10.25"/>
    <n v="44"/>
    <n v="0.9"/>
  </r>
  <r>
    <n v="1334"/>
    <s v="A2334"/>
    <x v="2"/>
    <n v="180"/>
    <x v="1067"/>
    <n v="228"/>
    <n v="12"/>
    <n v="10"/>
    <n v="5.5555555555555497E-2"/>
    <x v="64"/>
    <d v="2024-11-05T00:00:00"/>
    <s v="Hyderabad"/>
    <x v="0"/>
    <x v="4"/>
    <s v="November"/>
    <x v="2"/>
    <n v="1.26616666666666"/>
    <n v="5.85"/>
    <n v="18.989999999999998"/>
    <n v="22.79"/>
    <n v="104.97"/>
    <n v="46.71"/>
    <n v="2.0499999999999998"/>
  </r>
  <r>
    <n v="1335"/>
    <s v="A2335"/>
    <x v="2"/>
    <n v="156"/>
    <x v="1068"/>
    <n v="236"/>
    <n v="28"/>
    <n v="6"/>
    <n v="3.8461538461538401E-2"/>
    <x v="61"/>
    <d v="2024-11-16T00:00:00"/>
    <s v="Hyderabad"/>
    <x v="2"/>
    <x v="2"/>
    <s v="November"/>
    <x v="0"/>
    <n v="1.5108333333333299"/>
    <n v="4.8499999999999996"/>
    <n v="8.42"/>
    <n v="39.28"/>
    <n v="11.59"/>
    <n v="43.83"/>
    <n v="1.1200000000000001"/>
  </r>
  <r>
    <n v="1336"/>
    <s v="A2336"/>
    <x v="1"/>
    <n v="124"/>
    <x v="1069"/>
    <n v="208"/>
    <n v="20"/>
    <n v="3"/>
    <n v="2.4193548387096701E-2"/>
    <x v="143"/>
    <d v="2024-11-03T00:00:00"/>
    <s v="Hyderabad"/>
    <x v="2"/>
    <x v="4"/>
    <s v="November"/>
    <x v="4"/>
    <n v="1.67362903225806"/>
    <n v="2.65"/>
    <n v="10.38"/>
    <n v="69.180000000000007"/>
    <n v="52.27"/>
    <n v="105.33"/>
    <n v="1.52"/>
  </r>
  <r>
    <n v="1337"/>
    <s v="A2337"/>
    <x v="0"/>
    <n v="177"/>
    <x v="1070"/>
    <n v="205"/>
    <n v="29"/>
    <n v="9"/>
    <n v="5.0847457627118599E-2"/>
    <x v="50"/>
    <d v="2024-11-15T00:00:00"/>
    <s v="Hyderabad"/>
    <x v="0"/>
    <x v="3"/>
    <s v="November"/>
    <x v="3"/>
    <n v="1.1596045197740099"/>
    <n v="4.93"/>
    <n v="7.08"/>
    <n v="22.81"/>
    <n v="26.19"/>
    <n v="28.78"/>
    <n v="1.26"/>
  </r>
  <r>
    <n v="1338"/>
    <s v="A2338"/>
    <x v="3"/>
    <n v="156"/>
    <x v="1071"/>
    <n v="243"/>
    <n v="13"/>
    <n v="7"/>
    <n v="4.4871794871794803E-2"/>
    <x v="39"/>
    <d v="2024-11-01T00:00:00"/>
    <s v="Hyderabad"/>
    <x v="0"/>
    <x v="5"/>
    <s v="November"/>
    <x v="3"/>
    <n v="1.5570512820512801"/>
    <n v="4.45"/>
    <n v="18.68"/>
    <n v="34.700000000000003"/>
    <n v="1.69"/>
    <n v="35.29"/>
    <n v="1.02"/>
  </r>
  <r>
    <n v="1339"/>
    <s v="A2339"/>
    <x v="3"/>
    <n v="132"/>
    <x v="243"/>
    <n v="238"/>
    <n v="23"/>
    <n v="4"/>
    <n v="3.03030303030303E-2"/>
    <x v="82"/>
    <d v="2024-11-29T00:00:00"/>
    <s v="Hyderabad"/>
    <x v="2"/>
    <x v="1"/>
    <s v="November"/>
    <x v="3"/>
    <n v="1.80560606060606"/>
    <n v="3.71"/>
    <n v="10.36"/>
    <n v="59.58"/>
    <n v="-11.47"/>
    <n v="52.75"/>
    <n v="0.89"/>
  </r>
  <r>
    <n v="1340"/>
    <s v="A2340"/>
    <x v="2"/>
    <n v="178"/>
    <x v="291"/>
    <n v="204"/>
    <n v="12"/>
    <n v="3"/>
    <n v="1.68539325842696E-2"/>
    <x v="141"/>
    <d v="2024-11-02T00:00:00"/>
    <s v="Hyderabad"/>
    <x v="2"/>
    <x v="5"/>
    <s v="November"/>
    <x v="0"/>
    <n v="1.1438202247191001"/>
    <n v="3.03"/>
    <n v="16.97"/>
    <n v="67.87"/>
    <n v="15.91"/>
    <n v="78.67"/>
    <n v="1.1599999999999999"/>
  </r>
  <r>
    <n v="1341"/>
    <s v="A2341"/>
    <x v="2"/>
    <n v="153"/>
    <x v="1072"/>
    <n v="238"/>
    <n v="20"/>
    <n v="6"/>
    <n v="3.9215686274509803E-2"/>
    <x v="192"/>
    <d v="2024-11-26T00:00:00"/>
    <s v="Hyderabad"/>
    <x v="2"/>
    <x v="0"/>
    <s v="November"/>
    <x v="2"/>
    <n v="1.5526797385620901"/>
    <n v="3.87"/>
    <n v="11.88"/>
    <n v="39.590000000000003"/>
    <n v="19.13"/>
    <n v="47.17"/>
    <n v="1.19"/>
  </r>
  <r>
    <n v="1342"/>
    <s v="A2342"/>
    <x v="3"/>
    <n v="187"/>
    <x v="1073"/>
    <n v="224"/>
    <n v="14"/>
    <n v="8"/>
    <n v="4.2780748663101602E-2"/>
    <x v="103"/>
    <d v="2024-11-26T00:00:00"/>
    <s v="Hyderabad"/>
    <x v="1"/>
    <x v="4"/>
    <s v="November"/>
    <x v="2"/>
    <n v="1.19780748663101"/>
    <n v="3.82"/>
    <n v="16"/>
    <n v="28"/>
    <n v="-7.59"/>
    <n v="25.88"/>
    <n v="0.92"/>
  </r>
  <r>
    <n v="1343"/>
    <s v="A2343"/>
    <x v="3"/>
    <n v="155"/>
    <x v="1074"/>
    <n v="183"/>
    <n v="10"/>
    <n v="5"/>
    <n v="3.2258064516128997E-2"/>
    <x v="65"/>
    <d v="2024-11-13T00:00:00"/>
    <s v="Hyderabad"/>
    <x v="2"/>
    <x v="4"/>
    <s v="November"/>
    <x v="1"/>
    <n v="1.1819999999999999"/>
    <n v="3.11"/>
    <n v="18.32"/>
    <n v="36.64"/>
    <n v="73.03"/>
    <n v="63.4"/>
    <n v="1.73"/>
  </r>
  <r>
    <n v="1344"/>
    <s v="A2344"/>
    <x v="3"/>
    <n v="90"/>
    <x v="479"/>
    <n v="201"/>
    <n v="28"/>
    <n v="5"/>
    <n v="5.5555555555555497E-2"/>
    <x v="84"/>
    <d v="2024-11-07T00:00:00"/>
    <s v="Hyderabad"/>
    <x v="1"/>
    <x v="2"/>
    <s v="November"/>
    <x v="5"/>
    <n v="2.23011111111111"/>
    <n v="1.56"/>
    <n v="7.17"/>
    <n v="40.14"/>
    <n v="16.37"/>
    <n v="46.71"/>
    <n v="1.1599999999999999"/>
  </r>
  <r>
    <n v="1345"/>
    <s v="A2345"/>
    <x v="2"/>
    <n v="172"/>
    <x v="113"/>
    <n v="211"/>
    <n v="14"/>
    <n v="4"/>
    <n v="2.3255813953488299E-2"/>
    <x v="137"/>
    <d v="2024-11-25T00:00:00"/>
    <s v="Hyderabad"/>
    <x v="2"/>
    <x v="2"/>
    <s v="November"/>
    <x v="6"/>
    <n v="1.22453488372093"/>
    <n v="5.73"/>
    <n v="15.04"/>
    <n v="52.66"/>
    <n v="15.37"/>
    <n v="60.75"/>
    <n v="1.1499999999999999"/>
  </r>
  <r>
    <n v="1346"/>
    <s v="A2346"/>
    <x v="3"/>
    <n v="92"/>
    <x v="1075"/>
    <n v="224"/>
    <n v="14"/>
    <n v="9"/>
    <n v="9.7826086956521702E-2"/>
    <x v="149"/>
    <d v="2024-11-26T00:00:00"/>
    <s v="Hyderabad"/>
    <x v="2"/>
    <x v="4"/>
    <s v="November"/>
    <x v="2"/>
    <n v="2.4402173913043401"/>
    <n v="1.61"/>
    <n v="16.04"/>
    <n v="24.94"/>
    <n v="70.599999999999994"/>
    <n v="42.56"/>
    <n v="1.71"/>
  </r>
  <r>
    <n v="1347"/>
    <s v="A2347"/>
    <x v="1"/>
    <n v="162"/>
    <x v="47"/>
    <n v="188"/>
    <n v="13"/>
    <n v="9"/>
    <n v="5.5555555555555497E-2"/>
    <x v="59"/>
    <d v="2024-11-28T00:00:00"/>
    <s v="Hyderabad"/>
    <x v="1"/>
    <x v="5"/>
    <s v="November"/>
    <x v="5"/>
    <n v="1.1614197530864101"/>
    <n v="3.17"/>
    <n v="14.47"/>
    <n v="20.91"/>
    <n v="37.119999999999997"/>
    <n v="28.67"/>
    <n v="1.37"/>
  </r>
  <r>
    <n v="1348"/>
    <s v="A2348"/>
    <x v="3"/>
    <n v="193"/>
    <x v="919"/>
    <n v="198"/>
    <n v="22"/>
    <n v="5"/>
    <n v="2.59067357512953E-2"/>
    <x v="109"/>
    <d v="2024-11-19T00:00:00"/>
    <s v="Hyderabad"/>
    <x v="2"/>
    <x v="1"/>
    <s v="November"/>
    <x v="2"/>
    <n v="1.0264248704663199"/>
    <n v="6.16"/>
    <n v="9"/>
    <n v="39.619999999999997"/>
    <n v="92.83"/>
    <n v="76.400000000000006"/>
    <n v="1.93"/>
  </r>
  <r>
    <n v="1349"/>
    <s v="A2349"/>
    <x v="2"/>
    <n v="108"/>
    <x v="668"/>
    <n v="238"/>
    <n v="13"/>
    <n v="5"/>
    <n v="4.6296296296296197E-2"/>
    <x v="11"/>
    <d v="2024-11-02T00:00:00"/>
    <s v="Hyderabad"/>
    <x v="0"/>
    <x v="2"/>
    <s v="November"/>
    <x v="0"/>
    <n v="2.2068518518518498"/>
    <n v="3.04"/>
    <n v="18.329999999999998"/>
    <n v="47.67"/>
    <n v="-3.08"/>
    <n v="46.2"/>
    <n v="0.97"/>
  </r>
  <r>
    <n v="1350"/>
    <s v="A2350"/>
    <x v="2"/>
    <n v="185"/>
    <x v="1076"/>
    <n v="201"/>
    <n v="21"/>
    <n v="5"/>
    <n v="2.7027027027027001E-2"/>
    <x v="86"/>
    <d v="2024-11-07T00:00:00"/>
    <s v="Hyderabad"/>
    <x v="1"/>
    <x v="4"/>
    <s v="November"/>
    <x v="5"/>
    <n v="1.0862162162162099"/>
    <n v="4.55"/>
    <n v="9.57"/>
    <n v="40.19"/>
    <n v="52.77"/>
    <n v="61.4"/>
    <n v="1.53"/>
  </r>
  <r>
    <n v="1351"/>
    <s v="A2351"/>
    <x v="2"/>
    <n v="117"/>
    <x v="249"/>
    <n v="244"/>
    <n v="23"/>
    <n v="5"/>
    <n v="4.2735042735042701E-2"/>
    <x v="200"/>
    <d v="2024-11-14T00:00:00"/>
    <s v="Hyderabad"/>
    <x v="0"/>
    <x v="5"/>
    <s v="November"/>
    <x v="5"/>
    <n v="2.08273504273504"/>
    <n v="3.49"/>
    <n v="10.59"/>
    <n v="48.74"/>
    <n v="0.95"/>
    <n v="49.2"/>
    <n v="1.01"/>
  </r>
  <r>
    <n v="1352"/>
    <s v="A2352"/>
    <x v="0"/>
    <n v="123"/>
    <x v="1074"/>
    <n v="244"/>
    <n v="14"/>
    <n v="4"/>
    <n v="3.2520325203252001E-2"/>
    <x v="164"/>
    <d v="2024-11-02T00:00:00"/>
    <s v="Hyderabad"/>
    <x v="0"/>
    <x v="5"/>
    <s v="November"/>
    <x v="0"/>
    <n v="1.98772357723577"/>
    <n v="2.4700000000000002"/>
    <n v="17.46"/>
    <n v="61.12"/>
    <n v="31.7"/>
    <n v="80.5"/>
    <n v="1.32"/>
  </r>
  <r>
    <n v="1353"/>
    <s v="A2353"/>
    <x v="0"/>
    <n v="181"/>
    <x v="312"/>
    <n v="204"/>
    <n v="17"/>
    <n v="3"/>
    <n v="1.6574585635359101E-2"/>
    <x v="54"/>
    <d v="2024-11-07T00:00:00"/>
    <s v="Hyderabad"/>
    <x v="2"/>
    <x v="3"/>
    <s v="November"/>
    <x v="5"/>
    <n v="1.1251933701657399"/>
    <n v="3.23"/>
    <n v="11.98"/>
    <n v="67.89"/>
    <n v="-31.19"/>
    <n v="46.71"/>
    <n v="0.69"/>
  </r>
  <r>
    <n v="1354"/>
    <s v="A2354"/>
    <x v="2"/>
    <n v="118"/>
    <x v="741"/>
    <n v="214"/>
    <n v="24"/>
    <n v="8"/>
    <n v="6.7796610169491497E-2"/>
    <x v="160"/>
    <d v="2024-11-18T00:00:00"/>
    <s v="Hyderabad"/>
    <x v="2"/>
    <x v="5"/>
    <s v="November"/>
    <x v="6"/>
    <n v="1.8138983050847399"/>
    <n v="2.69"/>
    <n v="8.92"/>
    <n v="26.76"/>
    <n v="2.3199999999999998"/>
    <n v="27.38"/>
    <n v="1.02"/>
  </r>
  <r>
    <n v="1355"/>
    <s v="A2355"/>
    <x v="3"/>
    <n v="82"/>
    <x v="1077"/>
    <n v="229"/>
    <n v="30"/>
    <n v="9"/>
    <n v="0.109756097560975"/>
    <x v="105"/>
    <d v="2024-11-20T00:00:00"/>
    <s v="Hyderabad"/>
    <x v="1"/>
    <x v="0"/>
    <s v="November"/>
    <x v="1"/>
    <n v="2.79414634146341"/>
    <n v="2.2200000000000002"/>
    <n v="7.64"/>
    <n v="25.46"/>
    <n v="10.86"/>
    <n v="28.22"/>
    <n v="1.1100000000000001"/>
  </r>
  <r>
    <n v="1356"/>
    <s v="A2356"/>
    <x v="3"/>
    <n v="175"/>
    <x v="543"/>
    <n v="195"/>
    <n v="18"/>
    <n v="6"/>
    <n v="3.4285714285714197E-2"/>
    <x v="167"/>
    <d v="2024-11-27T00:00:00"/>
    <s v="Hyderabad"/>
    <x v="2"/>
    <x v="2"/>
    <s v="November"/>
    <x v="1"/>
    <n v="1.1152571428571401"/>
    <n v="4.07"/>
    <n v="10.84"/>
    <n v="32.53"/>
    <n v="102.9"/>
    <n v="66"/>
    <n v="2.0299999999999998"/>
  </r>
  <r>
    <n v="1357"/>
    <s v="A2357"/>
    <x v="3"/>
    <n v="130"/>
    <x v="609"/>
    <n v="202"/>
    <n v="14"/>
    <n v="5"/>
    <n v="3.8461538461538401E-2"/>
    <x v="78"/>
    <d v="2024-11-14T00:00:00"/>
    <s v="Hyderabad"/>
    <x v="0"/>
    <x v="4"/>
    <s v="November"/>
    <x v="5"/>
    <n v="1.5543076923076899"/>
    <n v="3.9"/>
    <n v="14.43"/>
    <n v="40.409999999999997"/>
    <n v="19.77"/>
    <n v="48.4"/>
    <n v="1.2"/>
  </r>
  <r>
    <n v="1358"/>
    <s v="A2358"/>
    <x v="2"/>
    <n v="92"/>
    <x v="1078"/>
    <n v="186"/>
    <n v="25"/>
    <n v="5"/>
    <n v="5.4347826086956499E-2"/>
    <x v="122"/>
    <d v="2024-11-24T00:00:00"/>
    <s v="Hyderabad"/>
    <x v="2"/>
    <x v="4"/>
    <s v="November"/>
    <x v="4"/>
    <n v="2.0248913043478201"/>
    <n v="2.25"/>
    <n v="7.45"/>
    <n v="37.26"/>
    <n v="14.34"/>
    <n v="42.6"/>
    <n v="1.1399999999999999"/>
  </r>
  <r>
    <n v="1359"/>
    <s v="A2359"/>
    <x v="1"/>
    <n v="159"/>
    <x v="1079"/>
    <n v="205"/>
    <n v="27"/>
    <n v="3"/>
    <n v="1.8867924528301799E-2"/>
    <x v="57"/>
    <d v="2024-11-20T00:00:00"/>
    <s v="Hyderabad"/>
    <x v="2"/>
    <x v="5"/>
    <s v="November"/>
    <x v="1"/>
    <n v="1.28842767295597"/>
    <n v="3.56"/>
    <n v="7.59"/>
    <n v="68.290000000000006"/>
    <n v="95.74"/>
    <n v="133.66999999999999"/>
    <n v="1.96"/>
  </r>
  <r>
    <n v="1360"/>
    <s v="A2360"/>
    <x v="0"/>
    <n v="193"/>
    <x v="115"/>
    <n v="240"/>
    <n v="18"/>
    <n v="6"/>
    <n v="3.10880829015544E-2"/>
    <x v="194"/>
    <d v="2024-11-21T00:00:00"/>
    <s v="Hyderabad"/>
    <x v="2"/>
    <x v="4"/>
    <s v="November"/>
    <x v="5"/>
    <n v="1.2461139896372999"/>
    <n v="3.67"/>
    <n v="13.36"/>
    <n v="40.08"/>
    <n v="41.79"/>
    <n v="56.83"/>
    <n v="1.42"/>
  </r>
  <r>
    <n v="1361"/>
    <s v="A2361"/>
    <x v="1"/>
    <n v="98"/>
    <x v="1080"/>
    <n v="246"/>
    <n v="25"/>
    <n v="7"/>
    <n v="7.1428571428571397E-2"/>
    <x v="29"/>
    <d v="2024-11-14T00:00:00"/>
    <s v="Hyderabad"/>
    <x v="2"/>
    <x v="5"/>
    <s v="November"/>
    <x v="5"/>
    <n v="2.5125510204081598"/>
    <n v="2.2400000000000002"/>
    <n v="9.85"/>
    <n v="35.18"/>
    <n v="-7.81"/>
    <n v="32.43"/>
    <n v="0.92"/>
  </r>
  <r>
    <n v="1362"/>
    <s v="A2362"/>
    <x v="3"/>
    <n v="176"/>
    <x v="1081"/>
    <n v="209"/>
    <n v="19"/>
    <n v="3"/>
    <n v="1.7045454545454499E-2"/>
    <x v="98"/>
    <d v="2024-11-07T00:00:00"/>
    <s v="Hyderabad"/>
    <x v="0"/>
    <x v="4"/>
    <s v="November"/>
    <x v="5"/>
    <n v="1.19"/>
    <n v="4.8099999999999996"/>
    <n v="11.02"/>
    <n v="69.81"/>
    <n v="14.11"/>
    <n v="79.67"/>
    <n v="1.1399999999999999"/>
  </r>
  <r>
    <n v="1363"/>
    <s v="A2363"/>
    <x v="3"/>
    <n v="182"/>
    <x v="1082"/>
    <n v="244"/>
    <n v="20"/>
    <n v="5"/>
    <n v="2.7472527472527399E-2"/>
    <x v="200"/>
    <d v="2024-11-14T00:00:00"/>
    <s v="Hyderabad"/>
    <x v="0"/>
    <x v="1"/>
    <s v="November"/>
    <x v="5"/>
    <n v="1.33912087912087"/>
    <n v="3.12"/>
    <n v="12.19"/>
    <n v="48.74"/>
    <n v="0.94"/>
    <n v="49.2"/>
    <n v="1.01"/>
  </r>
  <r>
    <n v="1364"/>
    <s v="A2364"/>
    <x v="2"/>
    <n v="85"/>
    <x v="1083"/>
    <n v="200"/>
    <n v="11"/>
    <n v="10"/>
    <n v="0.11764705882352899"/>
    <x v="149"/>
    <d v="2024-11-23T00:00:00"/>
    <s v="Hyderabad"/>
    <x v="1"/>
    <x v="5"/>
    <s v="November"/>
    <x v="0"/>
    <n v="2.3548235294117599"/>
    <n v="2.76"/>
    <n v="18.2"/>
    <n v="20.02"/>
    <n v="91.35"/>
    <n v="38.299999999999997"/>
    <n v="1.91"/>
  </r>
  <r>
    <n v="1365"/>
    <s v="A2365"/>
    <x v="2"/>
    <n v="98"/>
    <x v="849"/>
    <n v="239"/>
    <n v="14"/>
    <n v="6"/>
    <n v="6.1224489795918297E-2"/>
    <x v="28"/>
    <d v="2024-11-14T00:00:00"/>
    <s v="Hyderabad"/>
    <x v="0"/>
    <x v="1"/>
    <s v="November"/>
    <x v="5"/>
    <n v="2.4392857142857101"/>
    <n v="2.69"/>
    <n v="17.079999999999998"/>
    <n v="39.840000000000003"/>
    <n v="35.54"/>
    <n v="54"/>
    <n v="1.36"/>
  </r>
  <r>
    <n v="1366"/>
    <s v="A2366"/>
    <x v="3"/>
    <n v="160"/>
    <x v="1084"/>
    <n v="231"/>
    <n v="28"/>
    <n v="5"/>
    <n v="3.125E-2"/>
    <x v="22"/>
    <d v="2024-11-15T00:00:00"/>
    <s v="Hyderabad"/>
    <x v="0"/>
    <x v="5"/>
    <s v="November"/>
    <x v="3"/>
    <n v="1.4409375"/>
    <n v="5.0999999999999996"/>
    <n v="8.23"/>
    <n v="46.11"/>
    <n v="28.39"/>
    <n v="59.2"/>
    <n v="1.28"/>
  </r>
  <r>
    <n v="1367"/>
    <s v="A2367"/>
    <x v="2"/>
    <n v="179"/>
    <x v="1085"/>
    <n v="232"/>
    <n v="16"/>
    <n v="10"/>
    <n v="5.5865921787709397E-2"/>
    <x v="65"/>
    <d v="2024-11-24T00:00:00"/>
    <s v="Hyderabad"/>
    <x v="0"/>
    <x v="5"/>
    <s v="November"/>
    <x v="4"/>
    <n v="1.2987150837988799"/>
    <n v="4.47"/>
    <n v="14.53"/>
    <n v="23.25"/>
    <n v="36.36"/>
    <n v="31.7"/>
    <n v="1.36"/>
  </r>
  <r>
    <n v="1368"/>
    <s v="A2368"/>
    <x v="3"/>
    <n v="131"/>
    <x v="110"/>
    <n v="196"/>
    <n v="24"/>
    <n v="5"/>
    <n v="3.8167938931297697E-2"/>
    <x v="8"/>
    <d v="2024-11-26T00:00:00"/>
    <s v="Hyderabad"/>
    <x v="1"/>
    <x v="1"/>
    <s v="November"/>
    <x v="2"/>
    <n v="1.49847328244274"/>
    <n v="3.04"/>
    <n v="8.18"/>
    <n v="39.26"/>
    <n v="41.62"/>
    <n v="55.6"/>
    <n v="1.42"/>
  </r>
  <r>
    <n v="1369"/>
    <s v="A2369"/>
    <x v="0"/>
    <n v="195"/>
    <x v="1086"/>
    <n v="188"/>
    <n v="28"/>
    <n v="3"/>
    <n v="1.53846153846153E-2"/>
    <x v="199"/>
    <d v="2024-11-21T00:00:00"/>
    <s v="Hyderabad"/>
    <x v="1"/>
    <x v="1"/>
    <s v="November"/>
    <x v="5"/>
    <n v="0.96199999999999997"/>
    <n v="5.03"/>
    <n v="6.7"/>
    <n v="62.53"/>
    <n v="98.84"/>
    <n v="124.33"/>
    <n v="1.99"/>
  </r>
  <r>
    <n v="1370"/>
    <s v="A2370"/>
    <x v="0"/>
    <n v="197"/>
    <x v="927"/>
    <n v="304"/>
    <n v="22"/>
    <n v="7"/>
    <n v="3.5532994923857801E-2"/>
    <x v="123"/>
    <d v="2024-11-14T00:00:00"/>
    <s v="Hyderabad"/>
    <x v="2"/>
    <x v="2"/>
    <s v="November"/>
    <x v="5"/>
    <n v="1.5454545454545401"/>
    <n v="6.21"/>
    <n v="13.84"/>
    <n v="43.49"/>
    <n v="2.48"/>
    <n v="44.57"/>
    <n v="1.02"/>
  </r>
  <r>
    <n v="1371"/>
    <s v="A2371"/>
    <x v="3"/>
    <n v="92"/>
    <x v="1087"/>
    <n v="226"/>
    <n v="28"/>
    <n v="8"/>
    <n v="8.6956521739130405E-2"/>
    <x v="21"/>
    <d v="2024-11-21T00:00:00"/>
    <s v="Hyderabad"/>
    <x v="2"/>
    <x v="0"/>
    <s v="November"/>
    <x v="5"/>
    <n v="2.46065217391304"/>
    <n v="1.66"/>
    <n v="8.08"/>
    <n v="28.3"/>
    <n v="19.27"/>
    <n v="33.75"/>
    <n v="1.19"/>
  </r>
  <r>
    <n v="1372"/>
    <s v="A2372"/>
    <x v="0"/>
    <n v="90"/>
    <x v="1088"/>
    <n v="211"/>
    <n v="10"/>
    <n v="3"/>
    <n v="3.3333333333333298E-2"/>
    <x v="132"/>
    <d v="2024-11-20T00:00:00"/>
    <s v="Hyderabad"/>
    <x v="0"/>
    <x v="4"/>
    <s v="November"/>
    <x v="1"/>
    <n v="2.3487777777777699"/>
    <n v="2.5499999999999998"/>
    <n v="21.14"/>
    <n v="70.459999999999994"/>
    <n v="34.82"/>
    <n v="95"/>
    <n v="1.35"/>
  </r>
  <r>
    <n v="1373"/>
    <s v="A2373"/>
    <x v="3"/>
    <n v="149"/>
    <x v="1089"/>
    <n v="230"/>
    <n v="21"/>
    <n v="4"/>
    <n v="2.68456375838926E-2"/>
    <x v="31"/>
    <d v="2024-11-14T00:00:00"/>
    <s v="Hyderabad"/>
    <x v="2"/>
    <x v="4"/>
    <s v="November"/>
    <x v="5"/>
    <n v="1.5454545454545401"/>
    <n v="4.67"/>
    <n v="10.97"/>
    <n v="57.57"/>
    <n v="51.56"/>
    <n v="87.25"/>
    <n v="1.52"/>
  </r>
  <r>
    <n v="1374"/>
    <s v="A2374"/>
    <x v="0"/>
    <n v="82"/>
    <x v="1090"/>
    <n v="247"/>
    <n v="11"/>
    <n v="6"/>
    <n v="7.3170731707316999E-2"/>
    <x v="4"/>
    <d v="2024-11-12T00:00:00"/>
    <s v="Hyderabad"/>
    <x v="2"/>
    <x v="3"/>
    <s v="November"/>
    <x v="2"/>
    <n v="3.01378048780487"/>
    <n v="1.98"/>
    <n v="22.47"/>
    <n v="41.19"/>
    <n v="-9.76"/>
    <n v="37.17"/>
    <n v="0.9"/>
  </r>
  <r>
    <n v="1375"/>
    <s v="A2375"/>
    <x v="2"/>
    <n v="151"/>
    <x v="1091"/>
    <n v="227"/>
    <n v="16"/>
    <n v="8"/>
    <n v="5.2980132450331098E-2"/>
    <x v="7"/>
    <d v="2024-11-25T00:00:00"/>
    <s v="Hyderabad"/>
    <x v="0"/>
    <x v="0"/>
    <s v="November"/>
    <x v="6"/>
    <n v="1.5001986754966801"/>
    <n v="2.59"/>
    <n v="14.16"/>
    <n v="28.32"/>
    <n v="35.96"/>
    <n v="38.5"/>
    <n v="1.36"/>
  </r>
  <r>
    <n v="1376"/>
    <s v="A2376"/>
    <x v="3"/>
    <n v="162"/>
    <x v="1092"/>
    <n v="240"/>
    <n v="20"/>
    <n v="5"/>
    <n v="3.0864197530864099E-2"/>
    <x v="97"/>
    <d v="2024-11-24T00:00:00"/>
    <s v="Hyderabad"/>
    <x v="1"/>
    <x v="2"/>
    <s v="November"/>
    <x v="4"/>
    <n v="1.4832716049382699"/>
    <n v="2.7"/>
    <n v="12.01"/>
    <n v="48.06"/>
    <n v="-3.03"/>
    <n v="46.6"/>
    <n v="0.97"/>
  </r>
  <r>
    <n v="1377"/>
    <s v="A2377"/>
    <x v="2"/>
    <n v="197"/>
    <x v="1093"/>
    <n v="244"/>
    <n v="19"/>
    <n v="9"/>
    <n v="4.5685279187817202E-2"/>
    <x v="99"/>
    <d v="2024-11-11T00:00:00"/>
    <s v="Hyderabad"/>
    <x v="0"/>
    <x v="3"/>
    <s v="November"/>
    <x v="6"/>
    <n v="1.2376142131979599"/>
    <n v="4.34"/>
    <n v="12.83"/>
    <n v="27.09"/>
    <n v="42.32"/>
    <n v="38.56"/>
    <n v="1.42"/>
  </r>
  <r>
    <n v="1378"/>
    <s v="A2378"/>
    <x v="2"/>
    <n v="133"/>
    <x v="1094"/>
    <n v="185"/>
    <n v="22"/>
    <n v="4"/>
    <n v="3.00751879699248E-2"/>
    <x v="160"/>
    <d v="2024-11-14T00:00:00"/>
    <s v="Hyderabad"/>
    <x v="0"/>
    <x v="4"/>
    <s v="November"/>
    <x v="5"/>
    <n v="1.38736842105263"/>
    <n v="2.87"/>
    <n v="8.39"/>
    <n v="46.13"/>
    <n v="18.690000000000001"/>
    <n v="54.75"/>
    <n v="1.19"/>
  </r>
  <r>
    <n v="1379"/>
    <s v="A2379"/>
    <x v="3"/>
    <n v="194"/>
    <x v="33"/>
    <n v="235"/>
    <n v="18"/>
    <n v="5"/>
    <n v="2.5773195876288599E-2"/>
    <x v="48"/>
    <d v="2024-11-12T00:00:00"/>
    <s v="Hyderabad"/>
    <x v="2"/>
    <x v="4"/>
    <s v="November"/>
    <x v="2"/>
    <n v="1.21365979381443"/>
    <n v="3.52"/>
    <n v="13.08"/>
    <n v="47.09"/>
    <n v="-11.23"/>
    <n v="41.8"/>
    <n v="0.89"/>
  </r>
  <r>
    <n v="1380"/>
    <s v="A2380"/>
    <x v="3"/>
    <n v="169"/>
    <x v="981"/>
    <n v="194"/>
    <n v="12"/>
    <n v="6"/>
    <n v="3.5502958579881602E-2"/>
    <x v="16"/>
    <d v="2024-11-22T00:00:00"/>
    <s v="Hyderabad"/>
    <x v="0"/>
    <x v="0"/>
    <s v="November"/>
    <x v="3"/>
    <n v="1.1486390532544299"/>
    <n v="4.63"/>
    <n v="16.18"/>
    <n v="32.35"/>
    <n v="78.239999999999995"/>
    <n v="57.67"/>
    <n v="1.78"/>
  </r>
  <r>
    <n v="1381"/>
    <s v="A2381"/>
    <x v="0"/>
    <n v="149"/>
    <x v="1095"/>
    <n v="184"/>
    <n v="18"/>
    <n v="10"/>
    <n v="6.7114093959731502E-2"/>
    <x v="119"/>
    <d v="2024-11-29T00:00:00"/>
    <s v="Hyderabad"/>
    <x v="0"/>
    <x v="0"/>
    <s v="November"/>
    <x v="3"/>
    <n v="1.23429530201342"/>
    <n v="2.86"/>
    <n v="10.220000000000001"/>
    <n v="18.39"/>
    <n v="99.55"/>
    <n v="36.700000000000003"/>
    <n v="2"/>
  </r>
  <r>
    <n v="1382"/>
    <s v="A2382"/>
    <x v="2"/>
    <n v="124"/>
    <x v="233"/>
    <n v="201"/>
    <n v="25"/>
    <n v="4"/>
    <n v="3.2258064516128997E-2"/>
    <x v="60"/>
    <d v="2024-11-04T00:00:00"/>
    <s v="Hyderabad"/>
    <x v="0"/>
    <x v="0"/>
    <s v="November"/>
    <x v="6"/>
    <n v="1.6181451612903199"/>
    <n v="2.0699999999999998"/>
    <n v="8.0299999999999994"/>
    <n v="50.16"/>
    <n v="79.92"/>
    <n v="90.25"/>
    <n v="1.8"/>
  </r>
  <r>
    <n v="1383"/>
    <s v="A2383"/>
    <x v="0"/>
    <n v="170"/>
    <x v="1096"/>
    <n v="236"/>
    <n v="23"/>
    <n v="5"/>
    <n v="2.94117647058823E-2"/>
    <x v="5"/>
    <d v="2024-11-21T00:00:00"/>
    <s v="Hyderabad"/>
    <x v="1"/>
    <x v="5"/>
    <s v="November"/>
    <x v="5"/>
    <n v="1.38817647058823"/>
    <n v="3.12"/>
    <n v="10.26"/>
    <n v="47.2"/>
    <n v="13.56"/>
    <n v="53.6"/>
    <n v="1.1399999999999999"/>
  </r>
  <r>
    <n v="1384"/>
    <s v="A2384"/>
    <x v="0"/>
    <n v="127"/>
    <x v="1097"/>
    <n v="226"/>
    <n v="18"/>
    <n v="10"/>
    <n v="7.8740157480314904E-2"/>
    <x v="30"/>
    <d v="2024-11-21T00:00:00"/>
    <s v="Hyderabad"/>
    <x v="1"/>
    <x v="4"/>
    <s v="November"/>
    <x v="5"/>
    <n v="1.7803937007874"/>
    <n v="2.38"/>
    <n v="12.56"/>
    <n v="22.61"/>
    <n v="-6.24"/>
    <n v="21.2"/>
    <n v="0.94"/>
  </r>
  <r>
    <n v="1385"/>
    <s v="A2385"/>
    <x v="1"/>
    <n v="114"/>
    <x v="1098"/>
    <n v="210"/>
    <n v="16"/>
    <n v="4"/>
    <n v="3.5087719298245598E-2"/>
    <x v="119"/>
    <d v="2024-11-07T00:00:00"/>
    <s v="Hyderabad"/>
    <x v="0"/>
    <x v="3"/>
    <s v="November"/>
    <x v="5"/>
    <n v="1.8424561403508699"/>
    <n v="2.0499999999999998"/>
    <n v="13.13"/>
    <n v="52.51"/>
    <n v="74.73"/>
    <n v="91.75"/>
    <n v="1.75"/>
  </r>
  <r>
    <n v="1386"/>
    <s v="A2386"/>
    <x v="1"/>
    <n v="154"/>
    <x v="1099"/>
    <n v="203"/>
    <n v="16"/>
    <n v="5"/>
    <n v="3.2467532467532402E-2"/>
    <x v="27"/>
    <d v="2024-11-04T00:00:00"/>
    <s v="Hyderabad"/>
    <x v="0"/>
    <x v="3"/>
    <s v="November"/>
    <x v="6"/>
    <n v="1.3196753246753199"/>
    <n v="4.6500000000000004"/>
    <n v="12.7"/>
    <n v="40.65"/>
    <n v="98.3"/>
    <n v="80.599999999999994"/>
    <n v="1.98"/>
  </r>
  <r>
    <n v="1387"/>
    <s v="A2387"/>
    <x v="3"/>
    <n v="132"/>
    <x v="719"/>
    <n v="226"/>
    <n v="28"/>
    <n v="4"/>
    <n v="3.03030303030303E-2"/>
    <x v="139"/>
    <d v="2024-11-23T00:00:00"/>
    <s v="Hyderabad"/>
    <x v="2"/>
    <x v="2"/>
    <s v="November"/>
    <x v="0"/>
    <n v="1.7085606060606"/>
    <n v="3.02"/>
    <n v="8.0500000000000007"/>
    <n v="56.38"/>
    <n v="12.18"/>
    <n v="63.25"/>
    <n v="1.1200000000000001"/>
  </r>
  <r>
    <n v="1388"/>
    <s v="A2388"/>
    <x v="1"/>
    <n v="126"/>
    <x v="782"/>
    <n v="215"/>
    <n v="28"/>
    <n v="9"/>
    <n v="7.1428571428571397E-2"/>
    <x v="46"/>
    <d v="2024-11-12T00:00:00"/>
    <s v="Hyderabad"/>
    <x v="2"/>
    <x v="3"/>
    <s v="November"/>
    <x v="2"/>
    <n v="1.70460317460317"/>
    <n v="3.53"/>
    <n v="7.67"/>
    <n v="23.86"/>
    <n v="2.4300000000000002"/>
    <n v="24.44"/>
    <n v="1.02"/>
  </r>
  <r>
    <n v="1389"/>
    <s v="A2389"/>
    <x v="2"/>
    <n v="118"/>
    <x v="513"/>
    <n v="226"/>
    <n v="23"/>
    <n v="5"/>
    <n v="4.2372881355932202E-2"/>
    <x v="91"/>
    <d v="2024-11-21T00:00:00"/>
    <s v="Hyderabad"/>
    <x v="1"/>
    <x v="4"/>
    <s v="November"/>
    <x v="5"/>
    <n v="1.9143220338983"/>
    <n v="3.04"/>
    <n v="9.82"/>
    <n v="45.18"/>
    <n v="6.69"/>
    <n v="48.2"/>
    <n v="1.07"/>
  </r>
  <r>
    <n v="1390"/>
    <s v="A2390"/>
    <x v="1"/>
    <n v="125"/>
    <x v="1100"/>
    <n v="197"/>
    <n v="30"/>
    <n v="5"/>
    <n v="0.04"/>
    <x v="59"/>
    <d v="2024-11-18T00:00:00"/>
    <s v="Hyderabad"/>
    <x v="1"/>
    <x v="5"/>
    <s v="November"/>
    <x v="6"/>
    <n v="1.5782400000000001"/>
    <n v="2.1800000000000002"/>
    <n v="6.58"/>
    <n v="39.46"/>
    <n v="30.78"/>
    <n v="51.6"/>
    <n v="1.31"/>
  </r>
  <r>
    <n v="1391"/>
    <s v="A2391"/>
    <x v="3"/>
    <n v="197"/>
    <x v="1101"/>
    <n v="215"/>
    <n v="18"/>
    <n v="6"/>
    <n v="3.0456852791878101E-2"/>
    <x v="27"/>
    <d v="2024-11-14T00:00:00"/>
    <s v="Hyderabad"/>
    <x v="0"/>
    <x v="0"/>
    <s v="November"/>
    <x v="5"/>
    <n v="1.0912182741116701"/>
    <n v="3.33"/>
    <n v="11.94"/>
    <n v="35.83"/>
    <n v="87.47"/>
    <n v="67.17"/>
    <n v="1.87"/>
  </r>
  <r>
    <n v="1392"/>
    <s v="A2392"/>
    <x v="2"/>
    <n v="98"/>
    <x v="1055"/>
    <n v="207"/>
    <n v="12"/>
    <n v="10"/>
    <n v="0.10204081632653"/>
    <x v="6"/>
    <d v="2024-11-07T00:00:00"/>
    <s v="Hyderabad"/>
    <x v="1"/>
    <x v="4"/>
    <s v="November"/>
    <x v="5"/>
    <n v="2.1091836734693801"/>
    <n v="2.66"/>
    <n v="17.22"/>
    <n v="20.67"/>
    <n v="62.07"/>
    <n v="33.5"/>
    <n v="1.62"/>
  </r>
  <r>
    <n v="1393"/>
    <s v="A2393"/>
    <x v="1"/>
    <n v="164"/>
    <x v="1102"/>
    <n v="204"/>
    <n v="18"/>
    <n v="6"/>
    <n v="3.65853658536585E-2"/>
    <x v="150"/>
    <d v="2024-11-18T00:00:00"/>
    <s v="Hyderabad"/>
    <x v="0"/>
    <x v="1"/>
    <s v="November"/>
    <x v="6"/>
    <n v="1.2433536585365801"/>
    <n v="3.07"/>
    <n v="11.33"/>
    <n v="33.979999999999997"/>
    <n v="12.79"/>
    <n v="38.33"/>
    <n v="1.1299999999999999"/>
  </r>
  <r>
    <n v="1394"/>
    <s v="A2394"/>
    <x v="1"/>
    <n v="111"/>
    <x v="1103"/>
    <n v="247"/>
    <n v="15"/>
    <n v="4"/>
    <n v="3.6036036036036001E-2"/>
    <x v="113"/>
    <d v="2024-11-29T00:00:00"/>
    <s v="Hyderabad"/>
    <x v="0"/>
    <x v="0"/>
    <s v="November"/>
    <x v="3"/>
    <n v="2.2252252252252198"/>
    <n v="2.39"/>
    <n v="16.47"/>
    <n v="61.75"/>
    <n v="32.39"/>
    <n v="81.75"/>
    <n v="1.32"/>
  </r>
  <r>
    <n v="1395"/>
    <s v="A2395"/>
    <x v="3"/>
    <n v="191"/>
    <x v="1104"/>
    <n v="212"/>
    <n v="10"/>
    <n v="7"/>
    <n v="3.6649214659685798E-2"/>
    <x v="110"/>
    <d v="2024-11-28T00:00:00"/>
    <s v="Hyderabad"/>
    <x v="1"/>
    <x v="5"/>
    <s v="November"/>
    <x v="5"/>
    <n v="1.1121989528795799"/>
    <n v="5.48"/>
    <n v="21.24"/>
    <n v="30.35"/>
    <n v="74.180000000000007"/>
    <n v="52.86"/>
    <n v="1.74"/>
  </r>
  <r>
    <n v="1396"/>
    <s v="A2396"/>
    <x v="1"/>
    <n v="149"/>
    <x v="1105"/>
    <n v="212"/>
    <n v="14"/>
    <n v="5"/>
    <n v="3.3557046979865703E-2"/>
    <x v="15"/>
    <d v="2024-11-29T00:00:00"/>
    <s v="Hyderabad"/>
    <x v="0"/>
    <x v="1"/>
    <s v="November"/>
    <x v="3"/>
    <n v="1.41973154362416"/>
    <n v="2.6"/>
    <n v="15.11"/>
    <n v="42.31"/>
    <n v="55.53"/>
    <n v="65.8"/>
    <n v="1.56"/>
  </r>
  <r>
    <n v="1397"/>
    <s v="A2397"/>
    <x v="1"/>
    <n v="183"/>
    <x v="1106"/>
    <n v="222"/>
    <n v="15"/>
    <n v="3"/>
    <n v="1.63934426229508E-2"/>
    <x v="102"/>
    <d v="2024-11-11T00:00:00"/>
    <s v="Hyderabad"/>
    <x v="1"/>
    <x v="0"/>
    <s v="November"/>
    <x v="6"/>
    <n v="1.21387978142076"/>
    <n v="5.17"/>
    <n v="14.81"/>
    <n v="74.05"/>
    <n v="14.79"/>
    <n v="85"/>
    <n v="1.1499999999999999"/>
  </r>
  <r>
    <n v="1398"/>
    <s v="A2398"/>
    <x v="2"/>
    <n v="198"/>
    <x v="1107"/>
    <n v="216"/>
    <n v="22"/>
    <n v="8"/>
    <n v="4.0404040404040401E-2"/>
    <x v="32"/>
    <d v="2024-11-10T00:00:00"/>
    <s v="Hyderabad"/>
    <x v="1"/>
    <x v="0"/>
    <s v="November"/>
    <x v="4"/>
    <n v="1.0906060606060599"/>
    <n v="4.91"/>
    <n v="9.82"/>
    <n v="26.99"/>
    <n v="73.06"/>
    <n v="46.71"/>
    <n v="1.73"/>
  </r>
  <r>
    <n v="1399"/>
    <s v="A2399"/>
    <x v="2"/>
    <n v="170"/>
    <x v="831"/>
    <n v="235"/>
    <n v="11"/>
    <n v="10"/>
    <n v="5.8823529411764698E-2"/>
    <x v="167"/>
    <d v="2024-11-06T00:00:00"/>
    <s v="Hyderabad"/>
    <x v="1"/>
    <x v="0"/>
    <s v="November"/>
    <x v="1"/>
    <n v="1.3809411764705799"/>
    <n v="5.62"/>
    <n v="21.34"/>
    <n v="23.48"/>
    <n v="68.680000000000007"/>
    <n v="39.6"/>
    <n v="1.69"/>
  </r>
  <r>
    <n v="1400"/>
    <s v="A2400"/>
    <x v="1"/>
    <n v="174"/>
    <x v="1108"/>
    <n v="186"/>
    <n v="12"/>
    <n v="4"/>
    <n v="2.2988505747126398E-2"/>
    <x v="24"/>
    <d v="2024-11-22T00:00:00"/>
    <s v="Hyderabad"/>
    <x v="1"/>
    <x v="5"/>
    <s v="November"/>
    <x v="3"/>
    <n v="1.0706321839080399"/>
    <n v="4.01"/>
    <n v="15.52"/>
    <n v="46.57"/>
    <n v="59.43"/>
    <n v="74.25"/>
    <n v="1.59"/>
  </r>
  <r>
    <n v="1401"/>
    <s v="A2401"/>
    <x v="2"/>
    <n v="91"/>
    <x v="1109"/>
    <n v="197"/>
    <n v="23"/>
    <n v="6"/>
    <n v="6.5934065934065894E-2"/>
    <x v="188"/>
    <d v="2024-11-29T00:00:00"/>
    <s v="Hyderabad"/>
    <x v="1"/>
    <x v="2"/>
    <s v="November"/>
    <x v="3"/>
    <n v="2.1664835164835101"/>
    <n v="2.25"/>
    <n v="8.57"/>
    <n v="32.86"/>
    <n v="3.47"/>
    <n v="34"/>
    <n v="1.03"/>
  </r>
  <r>
    <n v="1402"/>
    <s v="A2402"/>
    <x v="2"/>
    <n v="197"/>
    <x v="159"/>
    <n v="215"/>
    <n v="20"/>
    <n v="6"/>
    <n v="3.0456852791878101E-2"/>
    <x v="200"/>
    <d v="2024-11-26T00:00:00"/>
    <s v="Hyderabad"/>
    <x v="0"/>
    <x v="4"/>
    <s v="November"/>
    <x v="2"/>
    <n v="1.0923857868020299"/>
    <n v="4.53"/>
    <n v="10.76"/>
    <n v="35.869999999999997"/>
    <n v="14.31"/>
    <n v="41"/>
    <n v="1.1399999999999999"/>
  </r>
  <r>
    <n v="1403"/>
    <s v="A2403"/>
    <x v="2"/>
    <n v="176"/>
    <x v="1110"/>
    <n v="203"/>
    <n v="16"/>
    <n v="8"/>
    <n v="4.54545454545454E-2"/>
    <x v="132"/>
    <d v="2024-11-30T00:00:00"/>
    <s v="Hyderabad"/>
    <x v="1"/>
    <x v="5"/>
    <s v="November"/>
    <x v="0"/>
    <n v="1.1535795454545399"/>
    <n v="3.03"/>
    <n v="12.69"/>
    <n v="25.38"/>
    <n v="40.369999999999997"/>
    <n v="35.619999999999997"/>
    <n v="1.4"/>
  </r>
  <r>
    <n v="1404"/>
    <s v="A2404"/>
    <x v="1"/>
    <n v="152"/>
    <x v="1111"/>
    <n v="233"/>
    <n v="19"/>
    <n v="5"/>
    <n v="3.2894736842105199E-2"/>
    <x v="126"/>
    <d v="2024-11-13T00:00:00"/>
    <s v="Hyderabad"/>
    <x v="1"/>
    <x v="1"/>
    <s v="November"/>
    <x v="1"/>
    <n v="1.5358552631578899"/>
    <n v="3.63"/>
    <n v="12.29"/>
    <n v="46.69"/>
    <n v="50.35"/>
    <n v="70.2"/>
    <n v="1.5"/>
  </r>
  <r>
    <n v="1405"/>
    <s v="A2405"/>
    <x v="2"/>
    <n v="189"/>
    <x v="459"/>
    <n v="225"/>
    <n v="27"/>
    <n v="10"/>
    <n v="5.29100529100529E-2"/>
    <x v="21"/>
    <d v="2024-11-18T00:00:00"/>
    <s v="Hyderabad"/>
    <x v="1"/>
    <x v="5"/>
    <s v="November"/>
    <x v="6"/>
    <n v="1.19216931216931"/>
    <n v="3.93"/>
    <n v="8.35"/>
    <n v="22.53"/>
    <n v="19.829999999999998"/>
    <n v="27"/>
    <n v="1.2"/>
  </r>
  <r>
    <n v="1406"/>
    <s v="A2406"/>
    <x v="0"/>
    <n v="171"/>
    <x v="1112"/>
    <n v="211"/>
    <n v="13"/>
    <n v="8"/>
    <n v="4.6783625730994101E-2"/>
    <x v="182"/>
    <d v="2024-11-11T00:00:00"/>
    <s v="Hyderabad"/>
    <x v="0"/>
    <x v="1"/>
    <s v="November"/>
    <x v="6"/>
    <n v="1.2310526315789401"/>
    <n v="3.03"/>
    <n v="16.190000000000001"/>
    <n v="26.31"/>
    <n v="48.69"/>
    <n v="39.119999999999997"/>
    <n v="1.49"/>
  </r>
  <r>
    <n v="1407"/>
    <s v="A2407"/>
    <x v="2"/>
    <n v="159"/>
    <x v="911"/>
    <n v="223"/>
    <n v="18"/>
    <n v="3"/>
    <n v="1.8867924528301799E-2"/>
    <x v="38"/>
    <d v="2024-11-05T00:00:00"/>
    <s v="Hyderabad"/>
    <x v="0"/>
    <x v="2"/>
    <s v="November"/>
    <x v="2"/>
    <n v="1.40069182389937"/>
    <n v="4.68"/>
    <n v="12.37"/>
    <n v="74.239999999999995"/>
    <n v="69.28"/>
    <n v="125.67"/>
    <n v="1.69"/>
  </r>
  <r>
    <n v="1408"/>
    <s v="A2408"/>
    <x v="2"/>
    <n v="175"/>
    <x v="1113"/>
    <n v="232"/>
    <n v="20"/>
    <n v="8"/>
    <n v="4.57142857142857E-2"/>
    <x v="73"/>
    <d v="2024-11-14T00:00:00"/>
    <s v="Hyderabad"/>
    <x v="1"/>
    <x v="1"/>
    <s v="November"/>
    <x v="5"/>
    <n v="1.3254857142857099"/>
    <n v="3.15"/>
    <n v="11.6"/>
    <n v="29"/>
    <n v="3.47"/>
    <n v="30"/>
    <n v="1.03"/>
  </r>
  <r>
    <n v="1409"/>
    <s v="A2409"/>
    <x v="0"/>
    <n v="175"/>
    <x v="1105"/>
    <n v="244"/>
    <n v="17"/>
    <n v="6"/>
    <n v="3.4285714285714197E-2"/>
    <x v="114"/>
    <d v="2024-11-26T00:00:00"/>
    <s v="Hyderabad"/>
    <x v="0"/>
    <x v="2"/>
    <s v="November"/>
    <x v="2"/>
    <n v="1.3931428571428499"/>
    <n v="3.06"/>
    <n v="14.34"/>
    <n v="40.630000000000003"/>
    <n v="14.97"/>
    <n v="46.71"/>
    <n v="1.1499999999999999"/>
  </r>
  <r>
    <n v="1410"/>
    <s v="A2410"/>
    <x v="2"/>
    <n v="82"/>
    <x v="830"/>
    <n v="215"/>
    <n v="25"/>
    <n v="8"/>
    <n v="9.7560975609756101E-2"/>
    <x v="142"/>
    <d v="2024-11-09T00:00:00"/>
    <s v="Hyderabad"/>
    <x v="2"/>
    <x v="5"/>
    <s v="November"/>
    <x v="0"/>
    <n v="2.6232926829268202"/>
    <n v="1.67"/>
    <n v="8.6"/>
    <n v="26.89"/>
    <n v="68.290000000000006"/>
    <n v="45.25"/>
    <n v="1.68"/>
  </r>
  <r>
    <n v="1411"/>
    <s v="A2411"/>
    <x v="2"/>
    <n v="146"/>
    <x v="1114"/>
    <n v="219"/>
    <n v="30"/>
    <n v="4"/>
    <n v="2.7397260273972601E-2"/>
    <x v="159"/>
    <d v="2024-11-22T00:00:00"/>
    <s v="Hyderabad"/>
    <x v="0"/>
    <x v="0"/>
    <s v="November"/>
    <x v="3"/>
    <n v="1.49787671232876"/>
    <n v="2.4900000000000002"/>
    <n v="7.29"/>
    <n v="54.67"/>
    <n v="-14.56"/>
    <n v="46.71"/>
    <n v="0.85"/>
  </r>
  <r>
    <n v="1412"/>
    <s v="A2412"/>
    <x v="1"/>
    <n v="85"/>
    <x v="1115"/>
    <n v="202"/>
    <n v="18"/>
    <n v="6"/>
    <n v="7.0588235294117604E-2"/>
    <x v="45"/>
    <d v="2024-11-27T00:00:00"/>
    <s v="Hyderabad"/>
    <x v="2"/>
    <x v="5"/>
    <s v="November"/>
    <x v="1"/>
    <n v="2.3750588235294101"/>
    <n v="1.43"/>
    <n v="11.22"/>
    <n v="33.65"/>
    <n v="54.05"/>
    <n v="51.83"/>
    <n v="1.54"/>
  </r>
  <r>
    <n v="1413"/>
    <s v="A2413"/>
    <x v="1"/>
    <n v="128"/>
    <x v="553"/>
    <n v="236"/>
    <n v="25"/>
    <n v="6"/>
    <n v="4.6875E-2"/>
    <x v="12"/>
    <d v="2024-11-02T00:00:00"/>
    <s v="Hyderabad"/>
    <x v="2"/>
    <x v="1"/>
    <s v="November"/>
    <x v="0"/>
    <n v="1.845234375"/>
    <n v="3.67"/>
    <n v="9.4499999999999993"/>
    <n v="39.36"/>
    <n v="69.36"/>
    <n v="66.67"/>
    <n v="1.69"/>
  </r>
  <r>
    <n v="1414"/>
    <s v="A2414"/>
    <x v="3"/>
    <n v="153"/>
    <x v="1116"/>
    <n v="190"/>
    <n v="19"/>
    <n v="8"/>
    <n v="5.22875816993464E-2"/>
    <x v="105"/>
    <d v="2024-11-02T00:00:00"/>
    <s v="Hyderabad"/>
    <x v="2"/>
    <x v="1"/>
    <s v="November"/>
    <x v="0"/>
    <n v="1.2392810457516299"/>
    <n v="4.0199999999999996"/>
    <n v="9.98"/>
    <n v="23.7"/>
    <n v="33.96"/>
    <n v="31.75"/>
    <n v="1.34"/>
  </r>
  <r>
    <n v="1415"/>
    <s v="A2415"/>
    <x v="2"/>
    <n v="192"/>
    <x v="1105"/>
    <n v="243"/>
    <n v="30"/>
    <n v="9"/>
    <n v="4.6875E-2"/>
    <x v="65"/>
    <d v="2024-11-02T00:00:00"/>
    <s v="Hyderabad"/>
    <x v="1"/>
    <x v="4"/>
    <s v="November"/>
    <x v="0"/>
    <n v="1.2661979166666599"/>
    <n v="3.36"/>
    <n v="8.1"/>
    <n v="27.01"/>
    <n v="30.39"/>
    <n v="35.22"/>
    <n v="1.3"/>
  </r>
  <r>
    <n v="1416"/>
    <s v="A2416"/>
    <x v="2"/>
    <n v="148"/>
    <x v="1117"/>
    <n v="189"/>
    <n v="26"/>
    <n v="8"/>
    <n v="5.4054054054054002E-2"/>
    <x v="73"/>
    <d v="2024-11-01T00:00:00"/>
    <s v="Hyderabad"/>
    <x v="1"/>
    <x v="4"/>
    <s v="November"/>
    <x v="3"/>
    <n v="1.28027027027027"/>
    <n v="3.13"/>
    <n v="7.29"/>
    <n v="23.68"/>
    <n v="26.66"/>
    <n v="30"/>
    <n v="1.27"/>
  </r>
  <r>
    <n v="1417"/>
    <s v="A2417"/>
    <x v="3"/>
    <n v="153"/>
    <x v="1118"/>
    <n v="214"/>
    <n v="25"/>
    <n v="5"/>
    <n v="3.2679738562091498E-2"/>
    <x v="69"/>
    <d v="2024-11-26T00:00:00"/>
    <s v="Hyderabad"/>
    <x v="2"/>
    <x v="2"/>
    <s v="November"/>
    <x v="2"/>
    <n v="1.40124183006535"/>
    <n v="3.21"/>
    <n v="8.58"/>
    <n v="42.88"/>
    <n v="74.91"/>
    <n v="75"/>
    <n v="1.75"/>
  </r>
  <r>
    <n v="1418"/>
    <s v="A2418"/>
    <x v="1"/>
    <n v="167"/>
    <x v="1119"/>
    <n v="188"/>
    <n v="23"/>
    <n v="8"/>
    <n v="4.7904191616766401E-2"/>
    <x v="165"/>
    <d v="2024-11-24T00:00:00"/>
    <s v="Hyderabad"/>
    <x v="2"/>
    <x v="1"/>
    <s v="November"/>
    <x v="4"/>
    <n v="1.12383233532934"/>
    <n v="3.04"/>
    <n v="8.16"/>
    <n v="23.46"/>
    <n v="52.39"/>
    <n v="35.75"/>
    <n v="1.52"/>
  </r>
  <r>
    <n v="1419"/>
    <s v="A2419"/>
    <x v="0"/>
    <n v="169"/>
    <x v="1120"/>
    <n v="181"/>
    <n v="30"/>
    <n v="7"/>
    <n v="4.14201183431952E-2"/>
    <x v="136"/>
    <d v="2024-11-26T00:00:00"/>
    <s v="Hyderabad"/>
    <x v="1"/>
    <x v="3"/>
    <s v="November"/>
    <x v="2"/>
    <n v="1.06852071005917"/>
    <n v="3.03"/>
    <n v="6.02"/>
    <n v="25.8"/>
    <n v="87.73"/>
    <n v="48.43"/>
    <n v="1.88"/>
  </r>
  <r>
    <n v="1420"/>
    <s v="A2420"/>
    <x v="3"/>
    <n v="146"/>
    <x v="703"/>
    <n v="234"/>
    <n v="20"/>
    <n v="7"/>
    <n v="4.7945205479451997E-2"/>
    <x v="68"/>
    <d v="2024-11-28T00:00:00"/>
    <s v="Hyderabad"/>
    <x v="1"/>
    <x v="4"/>
    <s v="November"/>
    <x v="5"/>
    <n v="1.6045205479452"/>
    <n v="2.82"/>
    <n v="11.71"/>
    <n v="33.47"/>
    <n v="-5.23"/>
    <n v="31.71"/>
    <n v="0.95"/>
  </r>
  <r>
    <n v="1421"/>
    <s v="A2421"/>
    <x v="0"/>
    <n v="81"/>
    <x v="81"/>
    <n v="189"/>
    <n v="17"/>
    <n v="9"/>
    <n v="0.11111111111111099"/>
    <x v="181"/>
    <d v="2024-11-25T00:00:00"/>
    <s v="Hyderabad"/>
    <x v="0"/>
    <x v="4"/>
    <s v="November"/>
    <x v="6"/>
    <n v="2.3356790123456701"/>
    <n v="1.68"/>
    <n v="11.13"/>
    <n v="21.02"/>
    <n v="89.76"/>
    <n v="39.89"/>
    <n v="1.9"/>
  </r>
  <r>
    <n v="1422"/>
    <s v="A2422"/>
    <x v="2"/>
    <n v="185"/>
    <x v="1121"/>
    <n v="235"/>
    <n v="18"/>
    <n v="6"/>
    <n v="3.24324324324324E-2"/>
    <x v="7"/>
    <d v="2024-11-27T00:00:00"/>
    <s v="Hyderabad"/>
    <x v="0"/>
    <x v="2"/>
    <s v="November"/>
    <x v="1"/>
    <n v="1.2687567567567499"/>
    <n v="3.03"/>
    <n v="13.04"/>
    <n v="39.119999999999997"/>
    <n v="31.22"/>
    <n v="51.33"/>
    <n v="1.31"/>
  </r>
  <r>
    <n v="1423"/>
    <s v="A2423"/>
    <x v="1"/>
    <n v="90"/>
    <x v="125"/>
    <n v="208"/>
    <n v="13"/>
    <n v="7"/>
    <n v="7.7777777777777696E-2"/>
    <x v="126"/>
    <d v="2024-11-26T00:00:00"/>
    <s v="Hyderabad"/>
    <x v="2"/>
    <x v="3"/>
    <s v="November"/>
    <x v="2"/>
    <n v="2.3132222222222198"/>
    <n v="1.69"/>
    <n v="16.010000000000002"/>
    <n v="29.74"/>
    <n v="68.599999999999994"/>
    <n v="50.14"/>
    <n v="1.69"/>
  </r>
  <r>
    <n v="1424"/>
    <s v="A2424"/>
    <x v="0"/>
    <n v="155"/>
    <x v="420"/>
    <n v="203"/>
    <n v="19"/>
    <n v="8"/>
    <n v="5.1612903225806403E-2"/>
    <x v="31"/>
    <d v="2024-11-17T00:00:00"/>
    <s v="Hyderabad"/>
    <x v="0"/>
    <x v="0"/>
    <s v="November"/>
    <x v="4"/>
    <n v="1.31251612903225"/>
    <n v="3.42"/>
    <n v="10.71"/>
    <n v="25.43"/>
    <n v="71.55"/>
    <n v="43.62"/>
    <n v="1.72"/>
  </r>
  <r>
    <n v="1425"/>
    <s v="A2425"/>
    <x v="2"/>
    <n v="125"/>
    <x v="1122"/>
    <n v="180"/>
    <n v="19"/>
    <n v="3"/>
    <n v="2.4E-2"/>
    <x v="14"/>
    <d v="2024-11-09T00:00:00"/>
    <s v="Hyderabad"/>
    <x v="2"/>
    <x v="2"/>
    <s v="November"/>
    <x v="0"/>
    <n v="1.4439200000000001"/>
    <n v="3.61"/>
    <n v="9.5"/>
    <n v="60.16"/>
    <n v="98.35"/>
    <n v="119.33"/>
    <n v="1.98"/>
  </r>
  <r>
    <n v="1426"/>
    <s v="A2426"/>
    <x v="3"/>
    <n v="151"/>
    <x v="1123"/>
    <n v="205"/>
    <n v="18"/>
    <n v="9"/>
    <n v="5.9602649006622502E-2"/>
    <x v="104"/>
    <d v="2024-11-13T00:00:00"/>
    <s v="Hyderabad"/>
    <x v="1"/>
    <x v="3"/>
    <s v="November"/>
    <x v="1"/>
    <n v="1.35602649006622"/>
    <n v="2.78"/>
    <n v="11.38"/>
    <n v="22.75"/>
    <n v="105.33"/>
    <n v="46.71"/>
    <n v="2.0499999999999998"/>
  </r>
  <r>
    <n v="1427"/>
    <s v="A2427"/>
    <x v="3"/>
    <n v="82"/>
    <x v="933"/>
    <n v="211"/>
    <n v="12"/>
    <n v="3"/>
    <n v="3.65853658536585E-2"/>
    <x v="81"/>
    <d v="2024-11-06T00:00:00"/>
    <s v="Hyderabad"/>
    <x v="0"/>
    <x v="0"/>
    <s v="November"/>
    <x v="1"/>
    <n v="2.5745121951219501"/>
    <n v="2.69"/>
    <n v="17.59"/>
    <n v="70.37"/>
    <n v="85.21"/>
    <n v="130.33000000000001"/>
    <n v="1.85"/>
  </r>
  <r>
    <n v="1428"/>
    <s v="A2428"/>
    <x v="2"/>
    <n v="198"/>
    <x v="1124"/>
    <n v="194"/>
    <n v="13"/>
    <n v="8"/>
    <n v="4.0404040404040401E-2"/>
    <x v="88"/>
    <d v="2024-11-16T00:00:00"/>
    <s v="Hyderabad"/>
    <x v="2"/>
    <x v="3"/>
    <s v="November"/>
    <x v="0"/>
    <n v="0.98166666666666602"/>
    <n v="3.46"/>
    <n v="14.95"/>
    <n v="24.3"/>
    <n v="17.3"/>
    <n v="28.5"/>
    <n v="1.17"/>
  </r>
  <r>
    <n v="1429"/>
    <s v="A2429"/>
    <x v="2"/>
    <n v="115"/>
    <x v="1125"/>
    <n v="242"/>
    <n v="20"/>
    <n v="8"/>
    <n v="6.9565217391304293E-2"/>
    <x v="65"/>
    <d v="2024-11-03T00:00:00"/>
    <s v="Hyderabad"/>
    <x v="0"/>
    <x v="1"/>
    <s v="November"/>
    <x v="4"/>
    <n v="2.1011304347826001"/>
    <n v="2.41"/>
    <n v="12.08"/>
    <n v="30.2"/>
    <n v="31.19"/>
    <n v="39.619999999999997"/>
    <n v="1.31"/>
  </r>
  <r>
    <n v="1430"/>
    <s v="A2430"/>
    <x v="3"/>
    <n v="158"/>
    <x v="1126"/>
    <n v="243"/>
    <n v="20"/>
    <n v="8"/>
    <n v="5.0632911392405E-2"/>
    <x v="207"/>
    <d v="2024-11-04T00:00:00"/>
    <s v="Hyderabad"/>
    <x v="2"/>
    <x v="0"/>
    <s v="November"/>
    <x v="6"/>
    <n v="1.53841772151898"/>
    <n v="3.19"/>
    <n v="12.15"/>
    <n v="30.38"/>
    <n v="64.150000000000006"/>
    <n v="49.88"/>
    <n v="1.64"/>
  </r>
  <r>
    <n v="1431"/>
    <s v="A2431"/>
    <x v="0"/>
    <n v="102"/>
    <x v="781"/>
    <n v="219"/>
    <n v="13"/>
    <n v="9"/>
    <n v="8.8235294117646995E-2"/>
    <x v="57"/>
    <d v="2024-11-20T00:00:00"/>
    <s v="Hyderabad"/>
    <x v="0"/>
    <x v="1"/>
    <s v="November"/>
    <x v="1"/>
    <n v="2.15147058823529"/>
    <n v="2.7"/>
    <n v="16.88"/>
    <n v="24.38"/>
    <n v="82.73"/>
    <n v="44.56"/>
    <n v="1.83"/>
  </r>
  <r>
    <n v="1432"/>
    <s v="A2432"/>
    <x v="2"/>
    <n v="93"/>
    <x v="1127"/>
    <n v="193"/>
    <n v="22"/>
    <n v="7"/>
    <n v="7.5268817204300995E-2"/>
    <x v="176"/>
    <d v="2024-11-18T00:00:00"/>
    <s v="Hyderabad"/>
    <x v="0"/>
    <x v="0"/>
    <s v="November"/>
    <x v="6"/>
    <n v="2.0732258064516098"/>
    <n v="3.03"/>
    <n v="8.76"/>
    <n v="27.54"/>
    <n v="82.56"/>
    <n v="50.29"/>
    <n v="1.83"/>
  </r>
  <r>
    <n v="1433"/>
    <s v="A2433"/>
    <x v="3"/>
    <n v="198"/>
    <x v="1128"/>
    <n v="185"/>
    <n v="24"/>
    <n v="9"/>
    <n v="4.54545454545454E-2"/>
    <x v="155"/>
    <d v="2024-11-01T00:00:00"/>
    <s v="Hyderabad"/>
    <x v="2"/>
    <x v="3"/>
    <s v="November"/>
    <x v="3"/>
    <n v="0.93560606060606"/>
    <n v="3.38"/>
    <n v="7.72"/>
    <n v="20.58"/>
    <n v="114.84"/>
    <n v="44.22"/>
    <n v="2.15"/>
  </r>
  <r>
    <n v="1434"/>
    <s v="A2434"/>
    <x v="3"/>
    <n v="174"/>
    <x v="1129"/>
    <n v="189"/>
    <n v="23"/>
    <n v="8"/>
    <n v="4.5977011494252797E-2"/>
    <x v="29"/>
    <d v="2024-11-14T00:00:00"/>
    <s v="Hyderabad"/>
    <x v="2"/>
    <x v="1"/>
    <s v="November"/>
    <x v="5"/>
    <n v="1.0882758620689601"/>
    <n v="4.17"/>
    <n v="8.23"/>
    <n v="23.67"/>
    <n v="19.88"/>
    <n v="28.38"/>
    <n v="1.2"/>
  </r>
  <r>
    <n v="1435"/>
    <s v="A2435"/>
    <x v="1"/>
    <n v="193"/>
    <x v="1044"/>
    <n v="294"/>
    <n v="24"/>
    <n v="5"/>
    <n v="2.59067357512953E-2"/>
    <x v="59"/>
    <d v="2024-11-14T00:00:00"/>
    <s v="Hyderabad"/>
    <x v="1"/>
    <x v="4"/>
    <s v="November"/>
    <x v="5"/>
    <n v="1.5243795620437901"/>
    <n v="3.31"/>
    <n v="12.26"/>
    <n v="58.84"/>
    <n v="-12.31"/>
    <n v="51.6"/>
    <n v="0.88"/>
  </r>
  <r>
    <n v="1436"/>
    <s v="A2436"/>
    <x v="3"/>
    <n v="117"/>
    <x v="1130"/>
    <n v="196"/>
    <n v="26"/>
    <n v="5"/>
    <n v="4.2735042735042701E-2"/>
    <x v="201"/>
    <d v="2024-11-05T00:00:00"/>
    <s v="Hyderabad"/>
    <x v="0"/>
    <x v="4"/>
    <s v="November"/>
    <x v="2"/>
    <n v="1.6760683760683699"/>
    <n v="2.2200000000000002"/>
    <n v="7.54"/>
    <n v="39.22"/>
    <n v="14.23"/>
    <n v="44.8"/>
    <n v="1.1399999999999999"/>
  </r>
  <r>
    <n v="1437"/>
    <s v="A2437"/>
    <x v="3"/>
    <n v="147"/>
    <x v="1131"/>
    <n v="240"/>
    <n v="25"/>
    <n v="5"/>
    <n v="3.4013605442176797E-2"/>
    <x v="80"/>
    <d v="2024-11-27T00:00:00"/>
    <s v="Hyderabad"/>
    <x v="2"/>
    <x v="1"/>
    <s v="November"/>
    <x v="1"/>
    <n v="1.6348299319727799"/>
    <n v="2.54"/>
    <n v="9.61"/>
    <n v="48.06"/>
    <n v="39.81"/>
    <n v="67.2"/>
    <n v="1.4"/>
  </r>
  <r>
    <n v="1438"/>
    <s v="A2438"/>
    <x v="3"/>
    <n v="179"/>
    <x v="1132"/>
    <n v="218"/>
    <n v="30"/>
    <n v="7"/>
    <n v="3.91061452513966E-2"/>
    <x v="113"/>
    <d v="2024-11-24T00:00:00"/>
    <s v="Hyderabad"/>
    <x v="0"/>
    <x v="2"/>
    <s v="November"/>
    <x v="4"/>
    <n v="1.2197206703910599"/>
    <n v="5.36"/>
    <n v="7.28"/>
    <n v="31.19"/>
    <n v="49.77"/>
    <n v="46.71"/>
    <n v="1.5"/>
  </r>
  <r>
    <n v="1439"/>
    <s v="A2439"/>
    <x v="1"/>
    <n v="194"/>
    <x v="341"/>
    <n v="238"/>
    <n v="22"/>
    <n v="3"/>
    <n v="1.5463917525773099E-2"/>
    <x v="172"/>
    <d v="2024-11-29T00:00:00"/>
    <s v="Hyderabad"/>
    <x v="0"/>
    <x v="1"/>
    <s v="November"/>
    <x v="3"/>
    <n v="1.22613402061855"/>
    <n v="4.51"/>
    <n v="10.81"/>
    <n v="79.290000000000006"/>
    <n v="49.24"/>
    <n v="118.33"/>
    <n v="1.49"/>
  </r>
  <r>
    <n v="1440"/>
    <s v="A2440"/>
    <x v="3"/>
    <n v="112"/>
    <x v="1133"/>
    <n v="214"/>
    <n v="13"/>
    <n v="7"/>
    <n v="6.25E-2"/>
    <x v="187"/>
    <d v="2024-11-17T00:00:00"/>
    <s v="Hyderabad"/>
    <x v="0"/>
    <x v="5"/>
    <s v="November"/>
    <x v="4"/>
    <n v="1.91473214285714"/>
    <n v="2.83"/>
    <n v="16.5"/>
    <n v="30.64"/>
    <n v="51.55"/>
    <n v="46.43"/>
    <n v="1.52"/>
  </r>
  <r>
    <n v="1441"/>
    <s v="A2441"/>
    <x v="0"/>
    <n v="88"/>
    <x v="469"/>
    <n v="195"/>
    <n v="22"/>
    <n v="3"/>
    <n v="3.4090909090908998E-2"/>
    <x v="171"/>
    <d v="2024-11-20T00:00:00"/>
    <s v="Hyderabad"/>
    <x v="1"/>
    <x v="5"/>
    <s v="November"/>
    <x v="1"/>
    <n v="2.2181818181818098"/>
    <n v="1.74"/>
    <n v="8.8699999999999992"/>
    <n v="65.069999999999993"/>
    <n v="52.66"/>
    <n v="99.33"/>
    <n v="1.53"/>
  </r>
  <r>
    <n v="1442"/>
    <s v="A2442"/>
    <x v="2"/>
    <n v="172"/>
    <x v="1134"/>
    <n v="200"/>
    <n v="21"/>
    <n v="7"/>
    <n v="4.0697674418604599E-2"/>
    <x v="176"/>
    <d v="2024-11-14T00:00:00"/>
    <s v="Hyderabad"/>
    <x v="1"/>
    <x v="2"/>
    <s v="November"/>
    <x v="5"/>
    <n v="1.16372093023255"/>
    <n v="3.05"/>
    <n v="9.5299999999999994"/>
    <n v="28.59"/>
    <n v="75.86"/>
    <n v="50.29"/>
    <n v="1.76"/>
  </r>
  <r>
    <n v="1443"/>
    <s v="A2443"/>
    <x v="2"/>
    <n v="81"/>
    <x v="1002"/>
    <n v="240"/>
    <n v="11"/>
    <n v="4"/>
    <n v="4.9382716049382699E-2"/>
    <x v="110"/>
    <d v="2024-11-21T00:00:00"/>
    <s v="Hyderabad"/>
    <x v="1"/>
    <x v="1"/>
    <s v="November"/>
    <x v="5"/>
    <n v="2.95827160493827"/>
    <n v="1.84"/>
    <n v="21.78"/>
    <n v="59.9"/>
    <n v="54.41"/>
    <n v="92.5"/>
    <n v="1.54"/>
  </r>
  <r>
    <n v="1444"/>
    <s v="A2444"/>
    <x v="0"/>
    <n v="142"/>
    <x v="1135"/>
    <n v="214"/>
    <n v="21"/>
    <n v="7"/>
    <n v="4.92957746478873E-2"/>
    <x v="129"/>
    <d v="2024-11-20T00:00:00"/>
    <s v="Hyderabad"/>
    <x v="0"/>
    <x v="0"/>
    <s v="November"/>
    <x v="1"/>
    <n v="1.5038028169013999"/>
    <n v="3.29"/>
    <n v="10.17"/>
    <n v="30.51"/>
    <n v="59.22"/>
    <n v="48.57"/>
    <n v="1.59"/>
  </r>
  <r>
    <n v="1445"/>
    <s v="A2445"/>
    <x v="3"/>
    <n v="111"/>
    <x v="1136"/>
    <n v="193"/>
    <n v="30"/>
    <n v="10"/>
    <n v="9.0090090090090003E-2"/>
    <x v="17"/>
    <d v="2024-11-19T00:00:00"/>
    <s v="Hyderabad"/>
    <x v="1"/>
    <x v="5"/>
    <s v="November"/>
    <x v="2"/>
    <n v="1.7403603603603599"/>
    <n v="3.36"/>
    <n v="6.44"/>
    <n v="19.32"/>
    <n v="88.43"/>
    <n v="36.4"/>
    <n v="1.88"/>
  </r>
  <r>
    <n v="1446"/>
    <s v="A2446"/>
    <x v="3"/>
    <n v="81"/>
    <x v="883"/>
    <n v="193"/>
    <n v="27"/>
    <n v="4"/>
    <n v="4.9382716049382699E-2"/>
    <x v="141"/>
    <d v="2024-11-11T00:00:00"/>
    <s v="Hyderabad"/>
    <x v="2"/>
    <x v="4"/>
    <s v="November"/>
    <x v="6"/>
    <n v="2.37913580246913"/>
    <n v="2.27"/>
    <n v="7.14"/>
    <n v="48.18"/>
    <n v="22.46"/>
    <n v="59"/>
    <n v="1.22"/>
  </r>
  <r>
    <n v="1447"/>
    <s v="A2447"/>
    <x v="2"/>
    <n v="112"/>
    <x v="666"/>
    <n v="213"/>
    <n v="26"/>
    <n v="5"/>
    <n v="4.4642857142857102E-2"/>
    <x v="12"/>
    <d v="2024-11-29T00:00:00"/>
    <s v="Hyderabad"/>
    <x v="0"/>
    <x v="3"/>
    <s v="November"/>
    <x v="3"/>
    <n v="1.905"/>
    <n v="2.2200000000000002"/>
    <n v="8.2100000000000009"/>
    <n v="42.67"/>
    <n v="87.48"/>
    <n v="80"/>
    <n v="1.87"/>
  </r>
  <r>
    <n v="1448"/>
    <s v="A2448"/>
    <x v="3"/>
    <n v="101"/>
    <x v="853"/>
    <n v="236"/>
    <n v="13"/>
    <n v="10"/>
    <n v="9.9009900990099001E-2"/>
    <x v="34"/>
    <d v="2024-11-15T00:00:00"/>
    <s v="Hyderabad"/>
    <x v="2"/>
    <x v="0"/>
    <s v="November"/>
    <x v="3"/>
    <n v="2.3406930693069299"/>
    <n v="1.87"/>
    <n v="18.190000000000001"/>
    <n v="23.64"/>
    <n v="58.2"/>
    <n v="37.4"/>
    <n v="1.58"/>
  </r>
  <r>
    <n v="1449"/>
    <s v="A2449"/>
    <x v="3"/>
    <n v="166"/>
    <x v="1137"/>
    <n v="212"/>
    <n v="25"/>
    <n v="7"/>
    <n v="4.2168674698795101E-2"/>
    <x v="110"/>
    <d v="2024-11-14T00:00:00"/>
    <s v="Hyderabad"/>
    <x v="2"/>
    <x v="4"/>
    <s v="November"/>
    <x v="5"/>
    <n v="1.27987951807228"/>
    <n v="5.32"/>
    <n v="8.5"/>
    <n v="30.35"/>
    <n v="74.150000000000006"/>
    <n v="52.86"/>
    <n v="1.74"/>
  </r>
  <r>
    <n v="1450"/>
    <s v="A2450"/>
    <x v="0"/>
    <n v="160"/>
    <x v="1138"/>
    <n v="244"/>
    <n v="14"/>
    <n v="8"/>
    <n v="0.05"/>
    <x v="186"/>
    <d v="2024-11-22T00:00:00"/>
    <s v="Hyderabad"/>
    <x v="1"/>
    <x v="2"/>
    <s v="November"/>
    <x v="3"/>
    <n v="1.5228379802818299"/>
    <n v="3.04"/>
    <n v="17.399999999999999"/>
    <n v="30.46"/>
    <n v="36.26"/>
    <n v="41.5"/>
    <n v="1.36"/>
  </r>
  <r>
    <n v="1451"/>
    <s v="A2451"/>
    <x v="2"/>
    <n v="148"/>
    <x v="1139"/>
    <n v="214"/>
    <n v="21"/>
    <n v="8"/>
    <n v="5.4054054054054002E-2"/>
    <x v="186"/>
    <d v="2024-11-13T00:00:00"/>
    <s v="Hyderabad"/>
    <x v="2"/>
    <x v="2"/>
    <s v="November"/>
    <x v="1"/>
    <n v="1.4477027027027001"/>
    <n v="3.03"/>
    <n v="10.199999999999999"/>
    <n v="26.78"/>
    <n v="54.95"/>
    <n v="41.5"/>
    <n v="1.55"/>
  </r>
  <r>
    <n v="1452"/>
    <s v="A2452"/>
    <x v="2"/>
    <n v="126"/>
    <x v="1140"/>
    <n v="240"/>
    <n v="30"/>
    <n v="4"/>
    <n v="3.1746031746031703E-2"/>
    <x v="158"/>
    <d v="2024-11-23T00:00:00"/>
    <s v="Hyderabad"/>
    <x v="2"/>
    <x v="5"/>
    <s v="November"/>
    <x v="0"/>
    <n v="1.9026190476190401"/>
    <n v="2.4"/>
    <n v="7.99"/>
    <n v="59.93"/>
    <n v="-9.06"/>
    <n v="54.5"/>
    <n v="0.91"/>
  </r>
  <r>
    <n v="1453"/>
    <s v="A2453"/>
    <x v="1"/>
    <n v="119"/>
    <x v="1141"/>
    <n v="234"/>
    <n v="25"/>
    <n v="3"/>
    <n v="2.5210084033613401E-2"/>
    <x v="193"/>
    <d v="2024-11-12T00:00:00"/>
    <s v="Hyderabad"/>
    <x v="0"/>
    <x v="1"/>
    <s v="November"/>
    <x v="2"/>
    <n v="1.9635294117647"/>
    <n v="2.7"/>
    <n v="9.35"/>
    <n v="77.89"/>
    <n v="22.83"/>
    <n v="95.67"/>
    <n v="1.23"/>
  </r>
  <r>
    <n v="1454"/>
    <s v="A2454"/>
    <x v="3"/>
    <n v="189"/>
    <x v="7"/>
    <n v="237"/>
    <n v="26"/>
    <n v="7"/>
    <n v="3.7037037037037E-2"/>
    <x v="149"/>
    <d v="2024-11-10T00:00:00"/>
    <s v="Hyderabad"/>
    <x v="1"/>
    <x v="3"/>
    <s v="November"/>
    <x v="4"/>
    <n v="1.2515343915343899"/>
    <n v="3.74"/>
    <n v="9.1"/>
    <n v="33.79"/>
    <n v="61.92"/>
    <n v="54.71"/>
    <n v="1.62"/>
  </r>
  <r>
    <n v="1455"/>
    <s v="A2455"/>
    <x v="0"/>
    <n v="167"/>
    <x v="1142"/>
    <n v="247"/>
    <n v="29"/>
    <n v="8"/>
    <n v="4.7904191616766401E-2"/>
    <x v="176"/>
    <d v="2024-11-17T00:00:00"/>
    <s v="Hyderabad"/>
    <x v="0"/>
    <x v="2"/>
    <s v="November"/>
    <x v="4"/>
    <n v="1.47814371257485"/>
    <n v="5.07"/>
    <n v="8.51"/>
    <n v="30.86"/>
    <n v="42.6"/>
    <n v="44"/>
    <n v="1.43"/>
  </r>
  <r>
    <n v="1456"/>
    <s v="A2456"/>
    <x v="2"/>
    <n v="198"/>
    <x v="1143"/>
    <n v="210"/>
    <n v="30"/>
    <n v="9"/>
    <n v="4.54545454545454E-2"/>
    <x v="0"/>
    <d v="2024-11-25T00:00:00"/>
    <s v="Hyderabad"/>
    <x v="0"/>
    <x v="1"/>
    <s v="November"/>
    <x v="6"/>
    <n v="1.0592929292929201"/>
    <n v="5.66"/>
    <n v="6.99"/>
    <n v="23.3"/>
    <n v="84.04"/>
    <n v="42.89"/>
    <n v="1.84"/>
  </r>
  <r>
    <n v="1457"/>
    <s v="A2457"/>
    <x v="0"/>
    <n v="95"/>
    <x v="577"/>
    <n v="185"/>
    <n v="10"/>
    <n v="10"/>
    <n v="0.105263157894736"/>
    <x v="113"/>
    <d v="2024-11-16T00:00:00"/>
    <s v="Hyderabad"/>
    <x v="1"/>
    <x v="5"/>
    <s v="November"/>
    <x v="0"/>
    <n v="1.94263157894736"/>
    <n v="2.75"/>
    <n v="18.46"/>
    <n v="18.46"/>
    <n v="77.19"/>
    <n v="32.700000000000003"/>
    <n v="1.77"/>
  </r>
  <r>
    <n v="1458"/>
    <s v="A2458"/>
    <x v="0"/>
    <n v="181"/>
    <x v="353"/>
    <n v="207"/>
    <n v="16"/>
    <n v="9"/>
    <n v="4.9723756906077297E-2"/>
    <x v="85"/>
    <d v="2024-11-09T00:00:00"/>
    <s v="Hyderabad"/>
    <x v="1"/>
    <x v="4"/>
    <s v="November"/>
    <x v="0"/>
    <n v="1.14149171270718"/>
    <n v="4.84"/>
    <n v="12.91"/>
    <n v="22.96"/>
    <n v="84.41"/>
    <n v="42.33"/>
    <n v="1.84"/>
  </r>
  <r>
    <n v="1459"/>
    <s v="A2459"/>
    <x v="3"/>
    <n v="105"/>
    <x v="554"/>
    <n v="180"/>
    <n v="12"/>
    <n v="7"/>
    <n v="6.6666666666666596E-2"/>
    <x v="113"/>
    <d v="2024-11-24T00:00:00"/>
    <s v="Hyderabad"/>
    <x v="1"/>
    <x v="0"/>
    <s v="November"/>
    <x v="4"/>
    <n v="1.71619047619047"/>
    <n v="2.48"/>
    <n v="15.02"/>
    <n v="25.74"/>
    <n v="81.47"/>
    <n v="46.71"/>
    <n v="1.81"/>
  </r>
  <r>
    <n v="1460"/>
    <s v="A2460"/>
    <x v="3"/>
    <n v="178"/>
    <x v="67"/>
    <n v="205"/>
    <n v="24"/>
    <n v="10"/>
    <n v="5.6179775280898799E-2"/>
    <x v="10"/>
    <d v="2024-11-20T00:00:00"/>
    <s v="Hyderabad"/>
    <x v="0"/>
    <x v="1"/>
    <s v="November"/>
    <x v="1"/>
    <n v="1.1535955056179701"/>
    <n v="3.1"/>
    <n v="8.56"/>
    <n v="20.53"/>
    <n v="88.95"/>
    <n v="38.799999999999997"/>
    <n v="1.89"/>
  </r>
  <r>
    <n v="1461"/>
    <s v="A2461"/>
    <x v="2"/>
    <n v="127"/>
    <x v="1144"/>
    <n v="185"/>
    <n v="28"/>
    <n v="9"/>
    <n v="7.0866141732283394E-2"/>
    <x v="183"/>
    <d v="2024-11-02T00:00:00"/>
    <s v="Hyderabad"/>
    <x v="0"/>
    <x v="2"/>
    <s v="November"/>
    <x v="0"/>
    <n v="1.4548818897637701"/>
    <n v="2.5099999999999998"/>
    <n v="6.6"/>
    <n v="20.53"/>
    <n v="110.53"/>
    <n v="43.22"/>
    <n v="2.11"/>
  </r>
  <r>
    <n v="1462"/>
    <s v="A2462"/>
    <x v="1"/>
    <n v="198"/>
    <x v="987"/>
    <n v="203"/>
    <n v="17"/>
    <n v="10"/>
    <n v="5.0505050505050497E-2"/>
    <x v="177"/>
    <d v="2024-11-19T00:00:00"/>
    <s v="Hyderabad"/>
    <x v="1"/>
    <x v="2"/>
    <s v="November"/>
    <x v="2"/>
    <n v="1.0229292929292899"/>
    <n v="4.1500000000000004"/>
    <n v="11.91"/>
    <n v="20.25"/>
    <n v="9.11"/>
    <n v="22.1"/>
    <n v="1.0900000000000001"/>
  </r>
  <r>
    <n v="1463"/>
    <s v="A2463"/>
    <x v="2"/>
    <n v="86"/>
    <x v="1145"/>
    <n v="249"/>
    <n v="25"/>
    <n v="7"/>
    <n v="8.1395348837209294E-2"/>
    <x v="96"/>
    <d v="2024-11-06T00:00:00"/>
    <s v="Hyderabad"/>
    <x v="1"/>
    <x v="3"/>
    <s v="November"/>
    <x v="1"/>
    <n v="2.8968604651162702"/>
    <n v="1.52"/>
    <n v="9.9700000000000006"/>
    <n v="35.590000000000003"/>
    <n v="62.16"/>
    <n v="57.71"/>
    <n v="1.62"/>
  </r>
  <r>
    <n v="1464"/>
    <s v="A2464"/>
    <x v="3"/>
    <n v="154"/>
    <x v="1146"/>
    <n v="182"/>
    <n v="11"/>
    <n v="7"/>
    <n v="4.54545454545454E-2"/>
    <x v="162"/>
    <d v="2024-11-04T00:00:00"/>
    <s v="Hyderabad"/>
    <x v="0"/>
    <x v="4"/>
    <s v="November"/>
    <x v="6"/>
    <n v="1.1845454545454499"/>
    <n v="3.03"/>
    <n v="16.579999999999998"/>
    <n v="26.06"/>
    <n v="23.89"/>
    <n v="32.29"/>
    <n v="1.24"/>
  </r>
  <r>
    <n v="1465"/>
    <s v="A2465"/>
    <x v="0"/>
    <n v="191"/>
    <x v="1147"/>
    <n v="247"/>
    <n v="12"/>
    <n v="4"/>
    <n v="2.09424083769633E-2"/>
    <x v="59"/>
    <d v="2024-11-25T00:00:00"/>
    <s v="Hyderabad"/>
    <x v="1"/>
    <x v="5"/>
    <s v="November"/>
    <x v="6"/>
    <n v="1.2953403141361199"/>
    <n v="3.77"/>
    <n v="20.62"/>
    <n v="61.85"/>
    <n v="4.28"/>
    <n v="64.5"/>
    <n v="1.04"/>
  </r>
  <r>
    <n v="1466"/>
    <s v="A2466"/>
    <x v="2"/>
    <n v="139"/>
    <x v="1148"/>
    <n v="198"/>
    <n v="24"/>
    <n v="4"/>
    <n v="2.8776978417266098E-2"/>
    <x v="147"/>
    <d v="2024-11-05T00:00:00"/>
    <s v="Hyderabad"/>
    <x v="1"/>
    <x v="1"/>
    <s v="November"/>
    <x v="2"/>
    <n v="1.42374100719424"/>
    <n v="2.36"/>
    <n v="8.25"/>
    <n v="49.48"/>
    <n v="52.1"/>
    <n v="75.25"/>
    <n v="1.52"/>
  </r>
  <r>
    <n v="1467"/>
    <s v="A2467"/>
    <x v="3"/>
    <n v="197"/>
    <x v="690"/>
    <n v="235"/>
    <n v="18"/>
    <n v="7"/>
    <n v="3.5532994923857801E-2"/>
    <x v="172"/>
    <d v="2024-11-01T00:00:00"/>
    <s v="Hyderabad"/>
    <x v="1"/>
    <x v="4"/>
    <s v="November"/>
    <x v="3"/>
    <n v="1.1938578680203"/>
    <n v="5.44"/>
    <n v="13.07"/>
    <n v="33.6"/>
    <n v="50.94"/>
    <n v="50.71"/>
    <n v="1.51"/>
  </r>
  <r>
    <n v="1468"/>
    <s v="A2468"/>
    <x v="0"/>
    <n v="116"/>
    <x v="481"/>
    <n v="217"/>
    <n v="10"/>
    <n v="9"/>
    <n v="7.7586206896551699E-2"/>
    <x v="149"/>
    <d v="2024-11-02T00:00:00"/>
    <s v="Hyderabad"/>
    <x v="1"/>
    <x v="3"/>
    <s v="November"/>
    <x v="0"/>
    <n v="1.8677586206896499"/>
    <n v="2.73"/>
    <n v="21.67"/>
    <n v="24.07"/>
    <n v="76.77"/>
    <n v="42.56"/>
    <n v="1.77"/>
  </r>
  <r>
    <n v="1469"/>
    <s v="A2469"/>
    <x v="0"/>
    <n v="192"/>
    <x v="785"/>
    <n v="235"/>
    <n v="22"/>
    <n v="10"/>
    <n v="5.2083333333333301E-2"/>
    <x v="95"/>
    <d v="2024-11-14T00:00:00"/>
    <s v="Hyderabad"/>
    <x v="0"/>
    <x v="5"/>
    <s v="November"/>
    <x v="5"/>
    <n v="1.2261458333333299"/>
    <n v="3.96"/>
    <n v="10.7"/>
    <n v="23.54"/>
    <n v="-2.73"/>
    <n v="22.9"/>
    <n v="0.97"/>
  </r>
  <r>
    <n v="1470"/>
    <s v="A2470"/>
    <x v="3"/>
    <n v="118"/>
    <x v="1149"/>
    <n v="186"/>
    <n v="16"/>
    <n v="4"/>
    <n v="3.38983050847457E-2"/>
    <x v="4"/>
    <d v="2024-11-17T00:00:00"/>
    <s v="Hyderabad"/>
    <x v="0"/>
    <x v="2"/>
    <s v="November"/>
    <x v="4"/>
    <n v="1.5744067796610099"/>
    <n v="3.09"/>
    <n v="11.61"/>
    <n v="46.44"/>
    <n v="20.03"/>
    <n v="55.75"/>
    <n v="1.2"/>
  </r>
  <r>
    <n v="1471"/>
    <s v="A2471"/>
    <x v="1"/>
    <n v="172"/>
    <x v="1150"/>
    <n v="198"/>
    <n v="14"/>
    <n v="4"/>
    <n v="2.3255813953488299E-2"/>
    <x v="14"/>
    <d v="2024-11-11T00:00:00"/>
    <s v="Hyderabad"/>
    <x v="0"/>
    <x v="5"/>
    <s v="November"/>
    <x v="6"/>
    <n v="1.15372093023255"/>
    <n v="3"/>
    <n v="14.17"/>
    <n v="49.61"/>
    <n v="80.41"/>
    <n v="89.5"/>
    <n v="1.8"/>
  </r>
  <r>
    <n v="1472"/>
    <s v="A2472"/>
    <x v="0"/>
    <n v="174"/>
    <x v="1151"/>
    <n v="241"/>
    <n v="16"/>
    <n v="7"/>
    <n v="4.0229885057471201E-2"/>
    <x v="135"/>
    <d v="2024-11-23T00:00:00"/>
    <s v="Hyderabad"/>
    <x v="0"/>
    <x v="0"/>
    <s v="November"/>
    <x v="0"/>
    <n v="1.3837356321839001"/>
    <n v="4.07"/>
    <n v="15.05"/>
    <n v="34.4"/>
    <n v="-14.86"/>
    <n v="29.29"/>
    <n v="0.85"/>
  </r>
  <r>
    <n v="1473"/>
    <s v="A2473"/>
    <x v="3"/>
    <n v="175"/>
    <x v="1152"/>
    <n v="182"/>
    <n v="21"/>
    <n v="5"/>
    <n v="2.8571428571428501E-2"/>
    <x v="101"/>
    <d v="2024-11-23T00:00:00"/>
    <s v="Hyderabad"/>
    <x v="1"/>
    <x v="0"/>
    <s v="November"/>
    <x v="0"/>
    <n v="1.04125714285714"/>
    <n v="3.52"/>
    <n v="8.68"/>
    <n v="36.44"/>
    <n v="45.43"/>
    <n v="53"/>
    <n v="1.45"/>
  </r>
  <r>
    <n v="1474"/>
    <s v="A2474"/>
    <x v="2"/>
    <n v="97"/>
    <x v="1153"/>
    <n v="191"/>
    <n v="30"/>
    <n v="7"/>
    <n v="7.2164948453608199E-2"/>
    <x v="28"/>
    <d v="2024-11-23T00:00:00"/>
    <s v="Hyderabad"/>
    <x v="0"/>
    <x v="5"/>
    <s v="November"/>
    <x v="0"/>
    <n v="1.9713402061855601"/>
    <n v="3.02"/>
    <n v="6.37"/>
    <n v="27.32"/>
    <n v="69.44"/>
    <n v="46.29"/>
    <n v="1.69"/>
  </r>
  <r>
    <n v="1475"/>
    <s v="A2475"/>
    <x v="0"/>
    <n v="113"/>
    <x v="1154"/>
    <n v="201"/>
    <n v="21"/>
    <n v="8"/>
    <n v="7.0796460176991094E-2"/>
    <x v="32"/>
    <d v="2024-11-06T00:00:00"/>
    <s v="Hyderabad"/>
    <x v="2"/>
    <x v="1"/>
    <s v="November"/>
    <x v="1"/>
    <n v="1.78159292035398"/>
    <n v="3.04"/>
    <n v="9.59"/>
    <n v="25.16"/>
    <n v="85.63"/>
    <n v="46.71"/>
    <n v="1.86"/>
  </r>
  <r>
    <n v="1476"/>
    <s v="A2476"/>
    <x v="2"/>
    <n v="103"/>
    <x v="567"/>
    <n v="203"/>
    <n v="21"/>
    <n v="4"/>
    <n v="3.88349514563106E-2"/>
    <x v="49"/>
    <d v="2024-11-25T00:00:00"/>
    <s v="Hyderabad"/>
    <x v="1"/>
    <x v="5"/>
    <s v="November"/>
    <x v="6"/>
    <n v="1.97475728155339"/>
    <n v="2.21"/>
    <n v="9.69"/>
    <n v="50.85"/>
    <n v="56.83"/>
    <n v="79.75"/>
    <n v="1.57"/>
  </r>
  <r>
    <n v="1477"/>
    <s v="A2477"/>
    <x v="2"/>
    <n v="187"/>
    <x v="1050"/>
    <n v="182"/>
    <n v="10"/>
    <n v="9"/>
    <n v="4.8128342245989303E-2"/>
    <x v="60"/>
    <d v="2024-11-13T00:00:00"/>
    <s v="Hyderabad"/>
    <x v="2"/>
    <x v="4"/>
    <s v="November"/>
    <x v="1"/>
    <n v="0.97577540106951799"/>
    <n v="4.18"/>
    <n v="18.25"/>
    <n v="20.27"/>
    <n v="97.84"/>
    <n v="40.11"/>
    <n v="1.98"/>
  </r>
  <r>
    <n v="1478"/>
    <s v="A2478"/>
    <x v="2"/>
    <n v="91"/>
    <x v="525"/>
    <n v="195"/>
    <n v="13"/>
    <n v="6"/>
    <n v="6.5934065934065894E-2"/>
    <x v="177"/>
    <d v="2024-11-23T00:00:00"/>
    <s v="Hyderabad"/>
    <x v="2"/>
    <x v="2"/>
    <s v="November"/>
    <x v="0"/>
    <n v="2.1447252747252699"/>
    <n v="3.02"/>
    <n v="15.01"/>
    <n v="32.53"/>
    <n v="13.23"/>
    <n v="36.83"/>
    <n v="1.1299999999999999"/>
  </r>
  <r>
    <n v="1479"/>
    <s v="A2479"/>
    <x v="2"/>
    <n v="109"/>
    <x v="1155"/>
    <n v="190"/>
    <n v="11"/>
    <n v="4"/>
    <n v="3.6697247706422E-2"/>
    <x v="99"/>
    <d v="2024-11-07T00:00:00"/>
    <s v="Hyderabad"/>
    <x v="0"/>
    <x v="2"/>
    <s v="November"/>
    <x v="5"/>
    <n v="1.74064220183486"/>
    <n v="2.77"/>
    <n v="17.25"/>
    <n v="47.43"/>
    <n v="82.89"/>
    <n v="86.75"/>
    <n v="1.83"/>
  </r>
  <r>
    <n v="1480"/>
    <s v="A2480"/>
    <x v="3"/>
    <n v="118"/>
    <x v="1156"/>
    <n v="232"/>
    <n v="10"/>
    <n v="9"/>
    <n v="7.6271186440677902E-2"/>
    <x v="121"/>
    <d v="2024-11-13T00:00:00"/>
    <s v="Hyderabad"/>
    <x v="0"/>
    <x v="3"/>
    <s v="November"/>
    <x v="1"/>
    <n v="1.9668644067796599"/>
    <n v="2.71"/>
    <n v="23.21"/>
    <n v="25.79"/>
    <n v="10.3"/>
    <n v="28.44"/>
    <n v="1.1000000000000001"/>
  </r>
  <r>
    <n v="1481"/>
    <s v="A2481"/>
    <x v="0"/>
    <n v="164"/>
    <x v="304"/>
    <n v="186"/>
    <n v="10"/>
    <n v="5"/>
    <n v="3.04878048780487E-2"/>
    <x v="108"/>
    <d v="2024-11-23T00:00:00"/>
    <s v="Hyderabad"/>
    <x v="2"/>
    <x v="5"/>
    <s v="November"/>
    <x v="0"/>
    <n v="1.1322560975609699"/>
    <n v="3.2"/>
    <n v="18.57"/>
    <n v="37.14"/>
    <n v="75.56"/>
    <n v="65.2"/>
    <n v="1.76"/>
  </r>
  <r>
    <n v="1482"/>
    <s v="A2482"/>
    <x v="0"/>
    <n v="166"/>
    <x v="404"/>
    <n v="192"/>
    <n v="24"/>
    <n v="9"/>
    <n v="5.4216867469879498E-2"/>
    <x v="0"/>
    <d v="2024-11-13T00:00:00"/>
    <s v="Hyderabad"/>
    <x v="2"/>
    <x v="1"/>
    <s v="November"/>
    <x v="1"/>
    <n v="1.1566265060240899"/>
    <n v="4.2699999999999996"/>
    <n v="8"/>
    <n v="21.33"/>
    <n v="101.04"/>
    <n v="42.89"/>
    <n v="2.0099999999999998"/>
  </r>
  <r>
    <n v="1483"/>
    <s v="A2483"/>
    <x v="2"/>
    <n v="88"/>
    <x v="1157"/>
    <n v="190"/>
    <n v="30"/>
    <n v="10"/>
    <n v="0.11363636363636299"/>
    <x v="117"/>
    <d v="2024-11-29T00:00:00"/>
    <s v="Hyderabad"/>
    <x v="0"/>
    <x v="3"/>
    <s v="November"/>
    <x v="3"/>
    <n v="2.1542045454545402"/>
    <n v="2.25"/>
    <n v="6.32"/>
    <n v="18.96"/>
    <n v="88.32"/>
    <n v="35.700000000000003"/>
    <n v="1.88"/>
  </r>
  <r>
    <n v="1484"/>
    <s v="A2484"/>
    <x v="0"/>
    <n v="125"/>
    <x v="816"/>
    <n v="233"/>
    <n v="14"/>
    <n v="7"/>
    <n v="5.6000000000000001E-2"/>
    <x v="7"/>
    <d v="2024-11-08T00:00:00"/>
    <s v="Hyderabad"/>
    <x v="2"/>
    <x v="3"/>
    <s v="November"/>
    <x v="3"/>
    <n v="1.86008"/>
    <n v="4.1399999999999997"/>
    <n v="16.61"/>
    <n v="33.22"/>
    <n v="32.47"/>
    <n v="44"/>
    <n v="1.32"/>
  </r>
  <r>
    <n v="1485"/>
    <s v="A2485"/>
    <x v="0"/>
    <n v="155"/>
    <x v="107"/>
    <n v="207"/>
    <n v="26"/>
    <n v="5"/>
    <n v="3.2258064516128997E-2"/>
    <x v="10"/>
    <d v="2024-11-17T00:00:00"/>
    <s v="Hyderabad"/>
    <x v="0"/>
    <x v="4"/>
    <s v="November"/>
    <x v="4"/>
    <n v="1.33516129032258"/>
    <n v="3.02"/>
    <n v="7.96"/>
    <n v="41.39"/>
    <n v="87.48"/>
    <n v="77.599999999999994"/>
    <n v="1.87"/>
  </r>
  <r>
    <n v="1486"/>
    <s v="A2486"/>
    <x v="3"/>
    <n v="151"/>
    <x v="813"/>
    <n v="212"/>
    <n v="10"/>
    <n v="9"/>
    <n v="5.9602649006622502E-2"/>
    <x v="0"/>
    <d v="2024-11-26T00:00:00"/>
    <s v="Hyderabad"/>
    <x v="2"/>
    <x v="0"/>
    <s v="November"/>
    <x v="2"/>
    <n v="1.40675496688741"/>
    <n v="3.78"/>
    <n v="21.24"/>
    <n v="23.6"/>
    <n v="81.72"/>
    <n v="42.89"/>
    <n v="1.82"/>
  </r>
  <r>
    <n v="1487"/>
    <s v="A2487"/>
    <x v="0"/>
    <n v="182"/>
    <x v="1158"/>
    <n v="182"/>
    <n v="18"/>
    <n v="4"/>
    <n v="2.19780219780219E-2"/>
    <x v="70"/>
    <d v="2024-11-02T00:00:00"/>
    <s v="Hyderabad"/>
    <x v="2"/>
    <x v="0"/>
    <s v="November"/>
    <x v="0"/>
    <n v="0.998571428571428"/>
    <n v="5.12"/>
    <n v="10.1"/>
    <n v="45.44"/>
    <n v="116.79"/>
    <n v="98.5"/>
    <n v="2.17"/>
  </r>
  <r>
    <n v="1488"/>
    <s v="A2488"/>
    <x v="2"/>
    <n v="84"/>
    <x v="839"/>
    <n v="197"/>
    <n v="21"/>
    <n v="4"/>
    <n v="4.7619047619047603E-2"/>
    <x v="4"/>
    <d v="2024-11-14T00:00:00"/>
    <s v="Hyderabad"/>
    <x v="1"/>
    <x v="4"/>
    <s v="November"/>
    <x v="5"/>
    <n v="2.3432142857142799"/>
    <n v="2.0699999999999998"/>
    <n v="9.3699999999999992"/>
    <n v="49.21"/>
    <n v="13.3"/>
    <n v="55.75"/>
    <n v="1.1299999999999999"/>
  </r>
  <r>
    <n v="1489"/>
    <s v="A2489"/>
    <x v="1"/>
    <n v="127"/>
    <x v="1159"/>
    <n v="239"/>
    <n v="16"/>
    <n v="10"/>
    <n v="7.8740157480314904E-2"/>
    <x v="147"/>
    <d v="2024-11-25T00:00:00"/>
    <s v="Hyderabad"/>
    <x v="2"/>
    <x v="3"/>
    <s v="November"/>
    <x v="6"/>
    <n v="1.8855905511811"/>
    <n v="3.59"/>
    <n v="14.97"/>
    <n v="23.95"/>
    <n v="25.69"/>
    <n v="30.1"/>
    <n v="1.26"/>
  </r>
  <r>
    <n v="1490"/>
    <s v="A2490"/>
    <x v="0"/>
    <n v="104"/>
    <x v="1160"/>
    <n v="229"/>
    <n v="21"/>
    <n v="3"/>
    <n v="2.8846153846153799E-2"/>
    <x v="175"/>
    <d v="2024-11-05T00:00:00"/>
    <s v="Hyderabad"/>
    <x v="1"/>
    <x v="1"/>
    <s v="November"/>
    <x v="2"/>
    <n v="2.1999038461538398"/>
    <n v="1.77"/>
    <n v="10.89"/>
    <n v="76.260000000000005"/>
    <n v="-1.66"/>
    <n v="75"/>
    <n v="0.98"/>
  </r>
  <r>
    <n v="1491"/>
    <s v="A2491"/>
    <x v="3"/>
    <n v="161"/>
    <x v="913"/>
    <n v="228"/>
    <n v="26"/>
    <n v="7"/>
    <n v="4.3478260869565202E-2"/>
    <x v="147"/>
    <d v="2024-11-25T00:00:00"/>
    <s v="Hyderabad"/>
    <x v="2"/>
    <x v="2"/>
    <s v="November"/>
    <x v="6"/>
    <n v="1.4182608695652099"/>
    <n v="3.49"/>
    <n v="8.7799999999999994"/>
    <n v="32.619999999999997"/>
    <n v="31.82"/>
    <n v="43"/>
    <n v="1.32"/>
  </r>
  <r>
    <n v="1492"/>
    <s v="A2492"/>
    <x v="3"/>
    <n v="141"/>
    <x v="1161"/>
    <n v="188"/>
    <n v="28"/>
    <n v="4"/>
    <n v="2.8368794326241099E-2"/>
    <x v="37"/>
    <d v="2024-11-16T00:00:00"/>
    <s v="Hyderabad"/>
    <x v="1"/>
    <x v="5"/>
    <s v="November"/>
    <x v="0"/>
    <n v="1.3313475177304901"/>
    <n v="2.96"/>
    <n v="6.7"/>
    <n v="46.93"/>
    <n v="55.02"/>
    <n v="72.75"/>
    <n v="1.55"/>
  </r>
  <r>
    <n v="1493"/>
    <s v="A2493"/>
    <x v="2"/>
    <n v="186"/>
    <x v="838"/>
    <n v="192"/>
    <n v="26"/>
    <n v="9"/>
    <n v="4.8387096774193498E-2"/>
    <x v="81"/>
    <d v="2024-11-07T00:00:00"/>
    <s v="Hyderabad"/>
    <x v="0"/>
    <x v="0"/>
    <s v="November"/>
    <x v="5"/>
    <n v="1.0313978494623599"/>
    <n v="4.04"/>
    <n v="7.38"/>
    <n v="21.32"/>
    <n v="103.82"/>
    <n v="43.44"/>
    <n v="2.04"/>
  </r>
  <r>
    <n v="1494"/>
    <s v="A2494"/>
    <x v="3"/>
    <n v="152"/>
    <x v="852"/>
    <n v="195"/>
    <n v="15"/>
    <n v="7"/>
    <n v="4.6052631578947303E-2"/>
    <x v="197"/>
    <d v="2024-11-18T00:00:00"/>
    <s v="Hyderabad"/>
    <x v="0"/>
    <x v="3"/>
    <s v="November"/>
    <x v="6"/>
    <n v="1.2855263157894701"/>
    <n v="3.04"/>
    <n v="13.03"/>
    <n v="27.91"/>
    <n v="33.06"/>
    <n v="37.14"/>
    <n v="1.33"/>
  </r>
  <r>
    <n v="1495"/>
    <s v="A2495"/>
    <x v="0"/>
    <n v="124"/>
    <x v="1162"/>
    <n v="191"/>
    <n v="13"/>
    <n v="6"/>
    <n v="4.8387096774193498E-2"/>
    <x v="165"/>
    <d v="2024-11-07T00:00:00"/>
    <s v="Hyderabad"/>
    <x v="0"/>
    <x v="1"/>
    <s v="November"/>
    <x v="5"/>
    <n v="1.5389516129032199"/>
    <n v="2.38"/>
    <n v="14.68"/>
    <n v="31.81"/>
    <n v="49.87"/>
    <n v="47.67"/>
    <n v="1.5"/>
  </r>
  <r>
    <n v="1496"/>
    <s v="A2496"/>
    <x v="1"/>
    <n v="97"/>
    <x v="1163"/>
    <n v="250"/>
    <n v="12"/>
    <n v="7"/>
    <n v="7.2164948453608199E-2"/>
    <x v="124"/>
    <d v="2024-11-27T00:00:00"/>
    <s v="Hyderabad"/>
    <x v="0"/>
    <x v="3"/>
    <s v="November"/>
    <x v="1"/>
    <n v="2.57371134020618"/>
    <n v="1.84"/>
    <n v="20.8"/>
    <n v="35.659999999999997"/>
    <n v="15.36"/>
    <n v="41.14"/>
    <n v="1.1499999999999999"/>
  </r>
  <r>
    <n v="1497"/>
    <s v="A2497"/>
    <x v="3"/>
    <n v="111"/>
    <x v="1164"/>
    <n v="225"/>
    <n v="18"/>
    <n v="8"/>
    <n v="7.2072072072072002E-2"/>
    <x v="56"/>
    <d v="2024-11-25T00:00:00"/>
    <s v="Hyderabad"/>
    <x v="0"/>
    <x v="0"/>
    <s v="November"/>
    <x v="6"/>
    <n v="2.0226126126126101"/>
    <n v="3.49"/>
    <n v="12.47"/>
    <n v="28.06"/>
    <n v="76.83"/>
    <n v="49.62"/>
    <n v="1.77"/>
  </r>
  <r>
    <n v="1498"/>
    <s v="A2498"/>
    <x v="3"/>
    <n v="93"/>
    <x v="422"/>
    <n v="186"/>
    <n v="12"/>
    <n v="7"/>
    <n v="7.5268817204300995E-2"/>
    <x v="40"/>
    <d v="2024-11-21T00:00:00"/>
    <s v="Hyderabad"/>
    <x v="2"/>
    <x v="4"/>
    <s v="November"/>
    <x v="5"/>
    <n v="1.9968817204300999"/>
    <n v="1.67"/>
    <n v="15.48"/>
    <n v="26.53"/>
    <n v="79.31"/>
    <n v="47.57"/>
    <n v="1.79"/>
  </r>
  <r>
    <n v="1499"/>
    <s v="A2499"/>
    <x v="0"/>
    <n v="92"/>
    <x v="1165"/>
    <n v="245"/>
    <n v="15"/>
    <n v="6"/>
    <n v="6.5217391304347797E-2"/>
    <x v="114"/>
    <d v="2024-11-19T00:00:00"/>
    <s v="Hyderabad"/>
    <x v="0"/>
    <x v="2"/>
    <s v="November"/>
    <x v="2"/>
    <n v="2.6682608695652101"/>
    <n v="2.84"/>
    <n v="16.37"/>
    <n v="40.909999999999997"/>
    <n v="14.18"/>
    <n v="46.71"/>
    <n v="1.1399999999999999"/>
  </r>
  <r>
    <n v="1500"/>
    <s v="A2500"/>
    <x v="0"/>
    <n v="138"/>
    <x v="878"/>
    <n v="198"/>
    <n v="17"/>
    <n v="10"/>
    <n v="7.2463768115942004E-2"/>
    <x v="102"/>
    <d v="2024-11-20T00:00:00"/>
    <s v="Hyderabad"/>
    <x v="0"/>
    <x v="4"/>
    <s v="November"/>
    <x v="1"/>
    <n v="1.4376086956521701"/>
    <n v="2.6"/>
    <n v="11.67"/>
    <n v="19.84"/>
    <n v="28.53"/>
    <n v="25.5"/>
    <n v="1.29"/>
  </r>
  <r>
    <n v="1501"/>
    <s v="A2501"/>
    <x v="0"/>
    <n v="129"/>
    <x v="1166"/>
    <n v="196"/>
    <n v="10"/>
    <n v="9"/>
    <n v="6.9767441860465101E-2"/>
    <x v="158"/>
    <d v="2024-11-13T00:00:00"/>
    <s v="Hyderabad"/>
    <x v="2"/>
    <x v="0"/>
    <s v="November"/>
    <x v="1"/>
    <n v="1.51984496124031"/>
    <n v="2.9"/>
    <n v="19.61"/>
    <n v="21.78"/>
    <n v="11.19"/>
    <n v="24.22"/>
    <n v="1.1100000000000001"/>
  </r>
  <r>
    <n v="1502"/>
    <s v="A2502"/>
    <x v="2"/>
    <n v="183"/>
    <x v="1167"/>
    <n v="236"/>
    <n v="20"/>
    <n v="7"/>
    <n v="3.8251366120218497E-2"/>
    <x v="139"/>
    <d v="2024-11-17T00:00:00"/>
    <s v="Hyderabad"/>
    <x v="1"/>
    <x v="3"/>
    <s v="November"/>
    <x v="4"/>
    <n v="1.28846994535519"/>
    <n v="4.67"/>
    <n v="11.79"/>
    <n v="33.68"/>
    <n v="7.3"/>
    <n v="36.14"/>
    <n v="1.07"/>
  </r>
  <r>
    <n v="1503"/>
    <s v="A2503"/>
    <x v="3"/>
    <n v="154"/>
    <x v="838"/>
    <n v="214"/>
    <n v="20"/>
    <n v="3"/>
    <n v="1.94805194805194E-2"/>
    <x v="31"/>
    <d v="2024-11-18T00:00:00"/>
    <s v="Hyderabad"/>
    <x v="2"/>
    <x v="1"/>
    <s v="November"/>
    <x v="6"/>
    <n v="1.38961038961038"/>
    <n v="3.35"/>
    <n v="10.7"/>
    <n v="71.33"/>
    <n v="63.08"/>
    <n v="116.33"/>
    <n v="1.63"/>
  </r>
  <r>
    <n v="1504"/>
    <s v="A2504"/>
    <x v="2"/>
    <n v="95"/>
    <x v="786"/>
    <n v="204"/>
    <n v="12"/>
    <n v="6"/>
    <n v="6.3157894736842093E-2"/>
    <x v="79"/>
    <d v="2024-11-18T00:00:00"/>
    <s v="Hyderabad"/>
    <x v="2"/>
    <x v="3"/>
    <s v="November"/>
    <x v="6"/>
    <n v="2.1526315789473598"/>
    <n v="1.92"/>
    <n v="17.04"/>
    <n v="34.08"/>
    <n v="49.14"/>
    <n v="50.83"/>
    <n v="1.49"/>
  </r>
  <r>
    <n v="1505"/>
    <s v="A2505"/>
    <x v="1"/>
    <n v="173"/>
    <x v="612"/>
    <n v="264"/>
    <n v="23"/>
    <n v="8"/>
    <n v="4.6242774566473903E-2"/>
    <x v="63"/>
    <d v="2024-11-13T00:00:00"/>
    <s v="Hyderabad"/>
    <x v="1"/>
    <x v="2"/>
    <s v="November"/>
    <x v="1"/>
    <n v="1.5243795620437901"/>
    <n v="3.27"/>
    <n v="11.47"/>
    <n v="32.96"/>
    <n v="20.58"/>
    <n v="39.75"/>
    <n v="1.21"/>
  </r>
  <r>
    <n v="1506"/>
    <s v="A2506"/>
    <x v="1"/>
    <n v="112"/>
    <x v="1168"/>
    <n v="212"/>
    <n v="17"/>
    <n v="10"/>
    <n v="8.9285714285714204E-2"/>
    <x v="146"/>
    <d v="2024-11-01T00:00:00"/>
    <s v="Hyderabad"/>
    <x v="0"/>
    <x v="5"/>
    <s v="November"/>
    <x v="3"/>
    <n v="1.88892857142857"/>
    <n v="2.75"/>
    <n v="12.44"/>
    <n v="21.16"/>
    <n v="18.64"/>
    <n v="25.1"/>
    <n v="1.19"/>
  </r>
  <r>
    <n v="1507"/>
    <s v="A2507"/>
    <x v="3"/>
    <n v="170"/>
    <x v="1169"/>
    <n v="186"/>
    <n v="25"/>
    <n v="8"/>
    <n v="4.7058823529411702E-2"/>
    <x v="46"/>
    <d v="2024-11-26T00:00:00"/>
    <s v="Hyderabad"/>
    <x v="1"/>
    <x v="2"/>
    <s v="November"/>
    <x v="2"/>
    <n v="1.09476470588235"/>
    <n v="2.86"/>
    <n v="7.44"/>
    <n v="23.26"/>
    <n v="18.21"/>
    <n v="27.5"/>
    <n v="1.18"/>
  </r>
  <r>
    <n v="1508"/>
    <s v="A2508"/>
    <x v="3"/>
    <n v="96"/>
    <x v="54"/>
    <n v="233"/>
    <n v="14"/>
    <n v="10"/>
    <n v="0.10416666666666601"/>
    <x v="190"/>
    <d v="2024-11-14T00:00:00"/>
    <s v="Hyderabad"/>
    <x v="1"/>
    <x v="0"/>
    <s v="November"/>
    <x v="5"/>
    <n v="2.4257291666666601"/>
    <n v="3.03"/>
    <n v="16.63"/>
    <n v="23.29"/>
    <n v="1.77"/>
    <n v="23.7"/>
    <n v="1.02"/>
  </r>
  <r>
    <n v="1509"/>
    <s v="A2509"/>
    <x v="2"/>
    <n v="113"/>
    <x v="1170"/>
    <n v="231"/>
    <n v="28"/>
    <n v="9"/>
    <n v="7.9646017699115002E-2"/>
    <x v="100"/>
    <d v="2024-11-27T00:00:00"/>
    <s v="Hyderabad"/>
    <x v="2"/>
    <x v="1"/>
    <s v="November"/>
    <x v="1"/>
    <n v="2.0435398230088402"/>
    <n v="3.64"/>
    <n v="8.25"/>
    <n v="25.66"/>
    <n v="25.58"/>
    <n v="32.22"/>
    <n v="1.26"/>
  </r>
  <r>
    <n v="1510"/>
    <s v="A2510"/>
    <x v="1"/>
    <n v="145"/>
    <x v="1171"/>
    <n v="217"/>
    <n v="22"/>
    <n v="3"/>
    <n v="2.0689655172413699E-2"/>
    <x v="110"/>
    <d v="2024-11-19T00:00:00"/>
    <s v="Hyderabad"/>
    <x v="1"/>
    <x v="5"/>
    <s v="November"/>
    <x v="2"/>
    <n v="1.49827586206896"/>
    <n v="2.97"/>
    <n v="9.8800000000000008"/>
    <n v="72.42"/>
    <n v="70.31"/>
    <n v="123.33"/>
    <n v="1.7"/>
  </r>
  <r>
    <n v="1511"/>
    <s v="A2511"/>
    <x v="1"/>
    <n v="83"/>
    <x v="75"/>
    <n v="244"/>
    <n v="25"/>
    <n v="4"/>
    <n v="4.8192771084337303E-2"/>
    <x v="15"/>
    <d v="2024-11-19T00:00:00"/>
    <s v="Hyderabad"/>
    <x v="1"/>
    <x v="1"/>
    <s v="November"/>
    <x v="2"/>
    <n v="2.93807228915662"/>
    <n v="2.58"/>
    <n v="9.75"/>
    <n v="60.96"/>
    <n v="34.909999999999997"/>
    <n v="82.25"/>
    <n v="1.35"/>
  </r>
  <r>
    <n v="1512"/>
    <s v="A2512"/>
    <x v="3"/>
    <n v="90"/>
    <x v="1172"/>
    <n v="181"/>
    <n v="23"/>
    <n v="5"/>
    <n v="5.5555555555555497E-2"/>
    <x v="30"/>
    <d v="2024-11-03T00:00:00"/>
    <s v="Hyderabad"/>
    <x v="0"/>
    <x v="4"/>
    <s v="November"/>
    <x v="4"/>
    <n v="2.01155555555555"/>
    <n v="1.81"/>
    <n v="7.87"/>
    <n v="36.21"/>
    <n v="17.100000000000001"/>
    <n v="42.4"/>
    <n v="1.17"/>
  </r>
  <r>
    <n v="1513"/>
    <s v="A2513"/>
    <x v="3"/>
    <n v="140"/>
    <x v="877"/>
    <n v="223"/>
    <n v="27"/>
    <n v="3"/>
    <n v="2.1428571428571401E-2"/>
    <x v="123"/>
    <d v="2024-11-18T00:00:00"/>
    <s v="Hyderabad"/>
    <x v="0"/>
    <x v="0"/>
    <s v="November"/>
    <x v="6"/>
    <n v="1.5897857142857099"/>
    <n v="2.68"/>
    <n v="8.24"/>
    <n v="74.19"/>
    <n v="40.18"/>
    <n v="104"/>
    <n v="1.4"/>
  </r>
  <r>
    <n v="1514"/>
    <s v="A2514"/>
    <x v="2"/>
    <n v="111"/>
    <x v="8"/>
    <n v="181"/>
    <n v="10"/>
    <n v="5"/>
    <n v="4.5045045045045001E-2"/>
    <x v="186"/>
    <d v="2024-11-23T00:00:00"/>
    <s v="Hyderabad"/>
    <x v="1"/>
    <x v="3"/>
    <s v="November"/>
    <x v="0"/>
    <n v="1.6310810810810801"/>
    <n v="2.04"/>
    <n v="18.100000000000001"/>
    <n v="36.21"/>
    <n v="83.37"/>
    <n v="66.400000000000006"/>
    <n v="1.83"/>
  </r>
  <r>
    <n v="1515"/>
    <s v="A2515"/>
    <x v="3"/>
    <n v="105"/>
    <x v="1173"/>
    <n v="180"/>
    <n v="22"/>
    <n v="10"/>
    <n v="9.5238095238095205E-2"/>
    <x v="6"/>
    <d v="2024-11-21T00:00:00"/>
    <s v="Hyderabad"/>
    <x v="1"/>
    <x v="4"/>
    <s v="November"/>
    <x v="5"/>
    <n v="1.7166666666666599"/>
    <n v="3.18"/>
    <n v="8.19"/>
    <n v="18.02"/>
    <n v="85.85"/>
    <n v="33.5"/>
    <n v="1.86"/>
  </r>
  <r>
    <n v="1516"/>
    <s v="A2516"/>
    <x v="0"/>
    <n v="181"/>
    <x v="628"/>
    <n v="216"/>
    <n v="13"/>
    <n v="8"/>
    <n v="4.4198895027624301E-2"/>
    <x v="189"/>
    <d v="2024-11-23T00:00:00"/>
    <s v="Hyderabad"/>
    <x v="0"/>
    <x v="0"/>
    <s v="November"/>
    <x v="0"/>
    <n v="1.1911049723756899"/>
    <n v="3.73"/>
    <n v="16.579999999999998"/>
    <n v="26.95"/>
    <n v="78.12"/>
    <n v="48"/>
    <n v="1.78"/>
  </r>
  <r>
    <n v="1517"/>
    <s v="A2517"/>
    <x v="3"/>
    <n v="189"/>
    <x v="1174"/>
    <n v="248"/>
    <n v="16"/>
    <n v="6"/>
    <n v="3.1746031746031703E-2"/>
    <x v="112"/>
    <d v="2024-11-30T00:00:00"/>
    <s v="Hyderabad"/>
    <x v="2"/>
    <x v="4"/>
    <s v="November"/>
    <x v="0"/>
    <n v="1.3126455026455"/>
    <n v="4.7"/>
    <n v="15.51"/>
    <n v="41.35"/>
    <n v="13.27"/>
    <n v="46.83"/>
    <n v="1.1299999999999999"/>
  </r>
  <r>
    <n v="1518"/>
    <s v="A2518"/>
    <x v="2"/>
    <n v="138"/>
    <x v="1175"/>
    <n v="221"/>
    <n v="19"/>
    <n v="5"/>
    <n v="3.6231884057971002E-2"/>
    <x v="2"/>
    <d v="2024-11-04T00:00:00"/>
    <s v="Hyderabad"/>
    <x v="2"/>
    <x v="4"/>
    <s v="November"/>
    <x v="6"/>
    <n v="1.5992028985507201"/>
    <n v="2.5099999999999998"/>
    <n v="11.62"/>
    <n v="44.14"/>
    <n v="49.98"/>
    <n v="66.2"/>
    <n v="1.5"/>
  </r>
  <r>
    <n v="1519"/>
    <s v="A2519"/>
    <x v="2"/>
    <n v="178"/>
    <x v="1176"/>
    <n v="209"/>
    <n v="20"/>
    <n v="7"/>
    <n v="3.9325842696629199E-2"/>
    <x v="195"/>
    <d v="2024-11-25T00:00:00"/>
    <s v="Hyderabad"/>
    <x v="1"/>
    <x v="5"/>
    <s v="November"/>
    <x v="6"/>
    <n v="1.17370786516853"/>
    <n v="3.41"/>
    <n v="10.45"/>
    <n v="29.85"/>
    <n v="67.53"/>
    <n v="50"/>
    <n v="1.68"/>
  </r>
  <r>
    <n v="1520"/>
    <s v="A2520"/>
    <x v="3"/>
    <n v="155"/>
    <x v="1177"/>
    <n v="248"/>
    <n v="15"/>
    <n v="5"/>
    <n v="3.2258064516128997E-2"/>
    <x v="189"/>
    <d v="2024-11-27T00:00:00"/>
    <s v="Hyderabad"/>
    <x v="1"/>
    <x v="5"/>
    <s v="November"/>
    <x v="1"/>
    <n v="1.59703225806451"/>
    <n v="2.59"/>
    <n v="16.5"/>
    <n v="49.51"/>
    <n v="55.13"/>
    <n v="76.8"/>
    <n v="1.55"/>
  </r>
  <r>
    <n v="1521"/>
    <s v="A2521"/>
    <x v="1"/>
    <n v="168"/>
    <x v="1178"/>
    <n v="199"/>
    <n v="16"/>
    <n v="7"/>
    <n v="4.1666666666666602E-2"/>
    <x v="43"/>
    <d v="2024-11-19T00:00:00"/>
    <s v="Hyderabad"/>
    <x v="0"/>
    <x v="3"/>
    <s v="November"/>
    <x v="2"/>
    <n v="1.1842261904761899"/>
    <n v="3.41"/>
    <n v="12.43"/>
    <n v="28.42"/>
    <n v="33.700000000000003"/>
    <n v="38"/>
    <n v="1.34"/>
  </r>
  <r>
    <n v="1522"/>
    <s v="A2522"/>
    <x v="2"/>
    <n v="152"/>
    <x v="0"/>
    <n v="234"/>
    <n v="30"/>
    <n v="6"/>
    <n v="3.94736842105263E-2"/>
    <x v="68"/>
    <d v="2024-11-25T00:00:00"/>
    <s v="Hyderabad"/>
    <x v="0"/>
    <x v="2"/>
    <s v="November"/>
    <x v="6"/>
    <n v="1.5382236842105199"/>
    <n v="3.38"/>
    <n v="7.79"/>
    <n v="38.97"/>
    <n v="-5.05"/>
    <n v="37"/>
    <n v="0.95"/>
  </r>
  <r>
    <n v="1523"/>
    <s v="A2523"/>
    <x v="1"/>
    <n v="111"/>
    <x v="1179"/>
    <n v="191"/>
    <n v="18"/>
    <n v="9"/>
    <n v="8.1081081081081002E-2"/>
    <x v="26"/>
    <d v="2024-11-21T00:00:00"/>
    <s v="Hyderabad"/>
    <x v="2"/>
    <x v="3"/>
    <s v="November"/>
    <x v="5"/>
    <n v="1.7210810810810799"/>
    <n v="2.67"/>
    <n v="10.61"/>
    <n v="21.23"/>
    <n v="80.069999999999993"/>
    <n v="38.22"/>
    <n v="1.8"/>
  </r>
  <r>
    <n v="1524"/>
    <s v="A2524"/>
    <x v="3"/>
    <n v="141"/>
    <x v="1180"/>
    <n v="230"/>
    <n v="14"/>
    <n v="6"/>
    <n v="4.2553191489361701E-2"/>
    <x v="15"/>
    <d v="2024-11-07T00:00:00"/>
    <s v="Hyderabad"/>
    <x v="1"/>
    <x v="0"/>
    <s v="November"/>
    <x v="5"/>
    <n v="1.6343262411347499"/>
    <n v="3.26"/>
    <n v="16.46"/>
    <n v="38.409999999999997"/>
    <n v="42.77"/>
    <n v="54.83"/>
    <n v="1.43"/>
  </r>
  <r>
    <n v="1525"/>
    <s v="A2525"/>
    <x v="0"/>
    <n v="97"/>
    <x v="1181"/>
    <n v="246"/>
    <n v="30"/>
    <n v="7"/>
    <n v="7.2164948453608199E-2"/>
    <x v="92"/>
    <d v="2024-11-18T00:00:00"/>
    <s v="Hyderabad"/>
    <x v="1"/>
    <x v="5"/>
    <s v="November"/>
    <x v="6"/>
    <n v="2.53762886597938"/>
    <n v="1.68"/>
    <n v="8.1999999999999993"/>
    <n v="35.159999999999997"/>
    <n v="11.31"/>
    <n v="39.14"/>
    <n v="1.1100000000000001"/>
  </r>
  <r>
    <n v="1526"/>
    <s v="A2526"/>
    <x v="2"/>
    <n v="82"/>
    <x v="80"/>
    <n v="205"/>
    <n v="18"/>
    <n v="5"/>
    <n v="6.0975609756097497E-2"/>
    <x v="93"/>
    <d v="2024-11-30T00:00:00"/>
    <s v="Hyderabad"/>
    <x v="1"/>
    <x v="4"/>
    <s v="November"/>
    <x v="0"/>
    <n v="2.5056097560975599"/>
    <n v="1.51"/>
    <n v="11.41"/>
    <n v="41.09"/>
    <n v="42.61"/>
    <n v="58.6"/>
    <n v="1.43"/>
  </r>
  <r>
    <n v="1527"/>
    <s v="A2527"/>
    <x v="3"/>
    <n v="164"/>
    <x v="757"/>
    <n v="207"/>
    <n v="18"/>
    <n v="9"/>
    <n v="5.4878048780487798E-2"/>
    <x v="152"/>
    <d v="2024-11-27T00:00:00"/>
    <s v="Hyderabad"/>
    <x v="2"/>
    <x v="1"/>
    <s v="November"/>
    <x v="1"/>
    <n v="1.2604878048780399"/>
    <n v="3.17"/>
    <n v="11.48"/>
    <n v="22.97"/>
    <n v="19.97"/>
    <n v="27.56"/>
    <n v="1.2"/>
  </r>
  <r>
    <n v="1528"/>
    <s v="A2528"/>
    <x v="2"/>
    <n v="109"/>
    <x v="1182"/>
    <n v="247"/>
    <n v="22"/>
    <n v="4"/>
    <n v="3.6697247706422E-2"/>
    <x v="96"/>
    <d v="2024-11-19T00:00:00"/>
    <s v="Hyderabad"/>
    <x v="2"/>
    <x v="2"/>
    <s v="November"/>
    <x v="2"/>
    <n v="2.2647706422018299"/>
    <n v="1.91"/>
    <n v="11.22"/>
    <n v="61.72"/>
    <n v="63.66"/>
    <n v="101"/>
    <n v="1.64"/>
  </r>
  <r>
    <n v="1529"/>
    <s v="A2529"/>
    <x v="3"/>
    <n v="126"/>
    <x v="1183"/>
    <n v="238"/>
    <n v="18"/>
    <n v="9"/>
    <n v="7.1428571428571397E-2"/>
    <x v="8"/>
    <d v="2024-11-17T00:00:00"/>
    <s v="Hyderabad"/>
    <x v="1"/>
    <x v="2"/>
    <s v="November"/>
    <x v="4"/>
    <n v="1.8852380952380901"/>
    <n v="3.86"/>
    <n v="13.2"/>
    <n v="26.39"/>
    <n v="17.03"/>
    <n v="30.89"/>
    <n v="1.17"/>
  </r>
  <r>
    <n v="1530"/>
    <s v="A2530"/>
    <x v="2"/>
    <n v="175"/>
    <x v="1124"/>
    <n v="225"/>
    <n v="19"/>
    <n v="6"/>
    <n v="3.4285714285714197E-2"/>
    <x v="188"/>
    <d v="2024-11-12T00:00:00"/>
    <s v="Hyderabad"/>
    <x v="2"/>
    <x v="5"/>
    <s v="November"/>
    <x v="2"/>
    <n v="1.288"/>
    <n v="3.06"/>
    <n v="11.86"/>
    <n v="37.57"/>
    <n v="-9.49"/>
    <n v="34"/>
    <n v="0.91"/>
  </r>
  <r>
    <n v="1531"/>
    <s v="A2531"/>
    <x v="1"/>
    <n v="96"/>
    <x v="1184"/>
    <n v="221"/>
    <n v="25"/>
    <n v="3"/>
    <n v="3.125E-2"/>
    <x v="208"/>
    <d v="2024-11-23T00:00:00"/>
    <s v="Hyderabad"/>
    <x v="0"/>
    <x v="0"/>
    <s v="November"/>
    <x v="0"/>
    <n v="2.3050000000000002"/>
    <n v="1.89"/>
    <n v="8.85"/>
    <n v="73.760000000000005"/>
    <n v="78.510000000000005"/>
    <n v="131.66999999999999"/>
    <n v="1.79"/>
  </r>
  <r>
    <n v="1532"/>
    <s v="A2532"/>
    <x v="1"/>
    <n v="113"/>
    <x v="1185"/>
    <n v="202"/>
    <n v="17"/>
    <n v="5"/>
    <n v="4.4247787610619399E-2"/>
    <x v="106"/>
    <d v="2024-11-08T00:00:00"/>
    <s v="Hyderabad"/>
    <x v="2"/>
    <x v="4"/>
    <s v="November"/>
    <x v="3"/>
    <n v="1.79026548672566"/>
    <n v="2.5299999999999998"/>
    <n v="11.9"/>
    <n v="40.46"/>
    <n v="5.78"/>
    <n v="42.8"/>
    <n v="1.06"/>
  </r>
  <r>
    <n v="1533"/>
    <s v="A2533"/>
    <x v="0"/>
    <n v="96"/>
    <x v="1186"/>
    <n v="232"/>
    <n v="27"/>
    <n v="7"/>
    <n v="7.2916666666666602E-2"/>
    <x v="97"/>
    <d v="2024-11-30T00:00:00"/>
    <s v="Hyderabad"/>
    <x v="1"/>
    <x v="0"/>
    <s v="November"/>
    <x v="0"/>
    <n v="2.4212500000000001"/>
    <n v="2.41"/>
    <n v="8.61"/>
    <n v="33.21"/>
    <n v="0.24"/>
    <n v="33.29"/>
    <n v="1"/>
  </r>
  <r>
    <n v="1534"/>
    <s v="A2534"/>
    <x v="2"/>
    <n v="162"/>
    <x v="255"/>
    <n v="190"/>
    <n v="17"/>
    <n v="5"/>
    <n v="3.0864197530864099E-2"/>
    <x v="63"/>
    <d v="2024-11-25T00:00:00"/>
    <s v="Hyderabad"/>
    <x v="2"/>
    <x v="1"/>
    <s v="November"/>
    <x v="6"/>
    <n v="1.17475308641975"/>
    <n v="2.85"/>
    <n v="11.19"/>
    <n v="38.06"/>
    <n v="67.099999999999994"/>
    <n v="63.6"/>
    <n v="1.67"/>
  </r>
  <r>
    <n v="1535"/>
    <s v="A2535"/>
    <x v="1"/>
    <n v="125"/>
    <x v="285"/>
    <n v="234"/>
    <n v="23"/>
    <n v="10"/>
    <n v="0.08"/>
    <x v="160"/>
    <d v="2024-11-27T00:00:00"/>
    <s v="Hyderabad"/>
    <x v="0"/>
    <x v="5"/>
    <s v="November"/>
    <x v="1"/>
    <n v="1.87216"/>
    <n v="3.53"/>
    <n v="10.17"/>
    <n v="23.4"/>
    <n v="-6.42"/>
    <n v="21.9"/>
    <n v="0.94"/>
  </r>
  <r>
    <n v="1536"/>
    <s v="A2536"/>
    <x v="0"/>
    <n v="89"/>
    <x v="909"/>
    <n v="207"/>
    <n v="16"/>
    <n v="4"/>
    <n v="4.49438202247191E-2"/>
    <x v="115"/>
    <d v="2024-11-01T00:00:00"/>
    <s v="Hyderabad"/>
    <x v="2"/>
    <x v="4"/>
    <s v="November"/>
    <x v="3"/>
    <n v="2.32258426966292"/>
    <n v="2.13"/>
    <n v="12.92"/>
    <n v="51.68"/>
    <n v="36.42"/>
    <n v="70.5"/>
    <n v="1.36"/>
  </r>
  <r>
    <n v="1537"/>
    <s v="A2537"/>
    <x v="1"/>
    <n v="99"/>
    <x v="1187"/>
    <n v="234"/>
    <n v="18"/>
    <n v="3"/>
    <n v="3.03030303030303E-2"/>
    <x v="1"/>
    <d v="2024-11-30T00:00:00"/>
    <s v="Hyderabad"/>
    <x v="0"/>
    <x v="0"/>
    <s v="November"/>
    <x v="0"/>
    <n v="2.3640404040403999"/>
    <n v="2.39"/>
    <n v="13"/>
    <n v="78.010000000000005"/>
    <n v="46.56"/>
    <n v="114.33"/>
    <n v="1.47"/>
  </r>
  <r>
    <n v="1538"/>
    <s v="A2538"/>
    <x v="2"/>
    <n v="91"/>
    <x v="91"/>
    <n v="199"/>
    <n v="21"/>
    <n v="9"/>
    <n v="9.8901098901098897E-2"/>
    <x v="130"/>
    <d v="2024-11-10T00:00:00"/>
    <s v="Hyderabad"/>
    <x v="2"/>
    <x v="1"/>
    <s v="November"/>
    <x v="4"/>
    <n v="2.1887912087912"/>
    <n v="1.93"/>
    <n v="9.48"/>
    <n v="22.13"/>
    <n v="46.6"/>
    <n v="32.44"/>
    <n v="1.47"/>
  </r>
  <r>
    <n v="1539"/>
    <s v="A2539"/>
    <x v="1"/>
    <n v="141"/>
    <x v="1188"/>
    <n v="192"/>
    <n v="21"/>
    <n v="6"/>
    <n v="4.2553191489361701E-2"/>
    <x v="70"/>
    <d v="2024-11-25T00:00:00"/>
    <s v="Hyderabad"/>
    <x v="1"/>
    <x v="5"/>
    <s v="November"/>
    <x v="6"/>
    <n v="1.36304964539007"/>
    <n v="3.03"/>
    <n v="9.15"/>
    <n v="32.03"/>
    <n v="105.01"/>
    <n v="65.67"/>
    <n v="2.0499999999999998"/>
  </r>
  <r>
    <n v="1540"/>
    <s v="A2540"/>
    <x v="0"/>
    <n v="110"/>
    <x v="33"/>
    <n v="245"/>
    <n v="13"/>
    <n v="8"/>
    <n v="7.2727272727272696E-2"/>
    <x v="13"/>
    <d v="2024-11-10T00:00:00"/>
    <s v="Hyderabad"/>
    <x v="1"/>
    <x v="0"/>
    <s v="November"/>
    <x v="4"/>
    <n v="2.23072727272727"/>
    <n v="2"/>
    <n v="18.88"/>
    <n v="30.67"/>
    <n v="27.96"/>
    <n v="39.25"/>
    <n v="1.28"/>
  </r>
  <r>
    <n v="1541"/>
    <s v="A2541"/>
    <x v="2"/>
    <n v="96"/>
    <x v="1189"/>
    <n v="188"/>
    <n v="11"/>
    <n v="4"/>
    <n v="4.1666666666666602E-2"/>
    <x v="19"/>
    <d v="2024-11-10T00:00:00"/>
    <s v="Hyderabad"/>
    <x v="2"/>
    <x v="1"/>
    <s v="November"/>
    <x v="4"/>
    <n v="1.95385416666666"/>
    <n v="3.11"/>
    <n v="17.05"/>
    <n v="46.89"/>
    <n v="88.73"/>
    <n v="88.5"/>
    <n v="1.89"/>
  </r>
  <r>
    <n v="1542"/>
    <s v="A2542"/>
    <x v="2"/>
    <n v="85"/>
    <x v="48"/>
    <n v="197"/>
    <n v="23"/>
    <n v="6"/>
    <n v="7.0588235294117604E-2"/>
    <x v="82"/>
    <d v="2024-11-13T00:00:00"/>
    <s v="Hyderabad"/>
    <x v="1"/>
    <x v="1"/>
    <s v="November"/>
    <x v="1"/>
    <n v="2.3144705882352898"/>
    <n v="1.83"/>
    <n v="8.5500000000000007"/>
    <n v="32.79"/>
    <n v="7.25"/>
    <n v="35.17"/>
    <n v="1.07"/>
  </r>
  <r>
    <n v="1543"/>
    <s v="A2543"/>
    <x v="3"/>
    <n v="151"/>
    <x v="1190"/>
    <n v="227"/>
    <n v="18"/>
    <n v="10"/>
    <n v="6.6225165562913899E-2"/>
    <x v="206"/>
    <d v="2024-11-20T00:00:00"/>
    <s v="Hyderabad"/>
    <x v="0"/>
    <x v="3"/>
    <s v="November"/>
    <x v="1"/>
    <n v="1.50377483443708"/>
    <n v="2.8"/>
    <n v="12.62"/>
    <n v="22.71"/>
    <n v="18.47"/>
    <n v="26.9"/>
    <n v="1.18"/>
  </r>
  <r>
    <n v="1544"/>
    <s v="A2544"/>
    <x v="3"/>
    <n v="139"/>
    <x v="294"/>
    <n v="208"/>
    <n v="28"/>
    <n v="4"/>
    <n v="2.8776978417266098E-2"/>
    <x v="48"/>
    <d v="2024-11-20T00:00:00"/>
    <s v="Hyderabad"/>
    <x v="2"/>
    <x v="2"/>
    <s v="November"/>
    <x v="1"/>
    <n v="1.49949640287769"/>
    <n v="2.63"/>
    <n v="7.44"/>
    <n v="52.11"/>
    <n v="0.27"/>
    <n v="52.25"/>
    <n v="1"/>
  </r>
  <r>
    <n v="1545"/>
    <s v="A2545"/>
    <x v="0"/>
    <n v="120"/>
    <x v="856"/>
    <n v="198"/>
    <n v="17"/>
    <n v="8"/>
    <n v="6.6666666666666596E-2"/>
    <x v="1"/>
    <d v="2024-11-23T00:00:00"/>
    <s v="Hyderabad"/>
    <x v="2"/>
    <x v="5"/>
    <s v="November"/>
    <x v="0"/>
    <n v="1.64966666666666"/>
    <n v="3.92"/>
    <n v="11.64"/>
    <n v="24.74"/>
    <n v="73.27"/>
    <n v="42.88"/>
    <n v="1.73"/>
  </r>
  <r>
    <n v="1546"/>
    <s v="A2546"/>
    <x v="2"/>
    <n v="109"/>
    <x v="1191"/>
    <n v="219"/>
    <n v="12"/>
    <n v="9"/>
    <n v="8.2568807339449504E-2"/>
    <x v="190"/>
    <d v="2024-11-28T00:00:00"/>
    <s v="Hyderabad"/>
    <x v="1"/>
    <x v="3"/>
    <s v="November"/>
    <x v="5"/>
    <n v="2.01339449541284"/>
    <n v="2.4500000000000002"/>
    <n v="18.29"/>
    <n v="24.38"/>
    <n v="7.99"/>
    <n v="26.33"/>
    <n v="1.08"/>
  </r>
  <r>
    <n v="1547"/>
    <s v="A2547"/>
    <x v="3"/>
    <n v="145"/>
    <x v="605"/>
    <n v="181"/>
    <n v="19"/>
    <n v="10"/>
    <n v="6.8965517241379296E-2"/>
    <x v="186"/>
    <d v="2024-11-22T00:00:00"/>
    <s v="Hyderabad"/>
    <x v="1"/>
    <x v="4"/>
    <s v="November"/>
    <x v="3"/>
    <n v="1.2490344827586199"/>
    <n v="4.13"/>
    <n v="9.5299999999999994"/>
    <n v="18.11"/>
    <n v="83.31"/>
    <n v="33.200000000000003"/>
    <n v="1.83"/>
  </r>
  <r>
    <n v="1548"/>
    <s v="A2548"/>
    <x v="0"/>
    <n v="151"/>
    <x v="482"/>
    <n v="183"/>
    <n v="14"/>
    <n v="7"/>
    <n v="4.6357615894039701E-2"/>
    <x v="188"/>
    <d v="2024-11-10T00:00:00"/>
    <s v="Hyderabad"/>
    <x v="1"/>
    <x v="5"/>
    <s v="November"/>
    <x v="4"/>
    <n v="1.21205298013245"/>
    <n v="3.23"/>
    <n v="13.07"/>
    <n v="26.15"/>
    <n v="11.46"/>
    <n v="29.14"/>
    <n v="1.1100000000000001"/>
  </r>
  <r>
    <n v="1549"/>
    <s v="A2549"/>
    <x v="0"/>
    <n v="108"/>
    <x v="1192"/>
    <n v="227"/>
    <n v="16"/>
    <n v="7"/>
    <n v="6.4814814814814797E-2"/>
    <x v="40"/>
    <d v="2024-11-03T00:00:00"/>
    <s v="Hyderabad"/>
    <x v="0"/>
    <x v="5"/>
    <s v="November"/>
    <x v="4"/>
    <n v="2.1012037037037001"/>
    <n v="1.84"/>
    <n v="14.18"/>
    <n v="32.42"/>
    <n v="46.74"/>
    <n v="47.57"/>
    <n v="1.47"/>
  </r>
  <r>
    <n v="1550"/>
    <s v="A2550"/>
    <x v="2"/>
    <n v="166"/>
    <x v="813"/>
    <n v="206"/>
    <n v="15"/>
    <n v="8"/>
    <n v="4.8192771084337303E-2"/>
    <x v="10"/>
    <d v="2024-11-05T00:00:00"/>
    <s v="Hyderabad"/>
    <x v="0"/>
    <x v="5"/>
    <s v="November"/>
    <x v="2"/>
    <n v="1.24036144578313"/>
    <n v="4.16"/>
    <n v="13.73"/>
    <n v="25.74"/>
    <n v="88.44"/>
    <n v="48.5"/>
    <n v="1.88"/>
  </r>
  <r>
    <n v="1551"/>
    <s v="A2551"/>
    <x v="1"/>
    <n v="134"/>
    <x v="1193"/>
    <n v="192"/>
    <n v="26"/>
    <n v="5"/>
    <n v="3.7313432835820802E-2"/>
    <x v="98"/>
    <d v="2024-11-18T00:00:00"/>
    <s v="Hyderabad"/>
    <x v="2"/>
    <x v="4"/>
    <s v="November"/>
    <x v="6"/>
    <n v="1.4313432835820801"/>
    <n v="3.21"/>
    <n v="7.38"/>
    <n v="38.36"/>
    <n v="24.61"/>
    <n v="47.8"/>
    <n v="1.25"/>
  </r>
  <r>
    <n v="1552"/>
    <s v="A2552"/>
    <x v="0"/>
    <n v="104"/>
    <x v="1194"/>
    <n v="225"/>
    <n v="17"/>
    <n v="8"/>
    <n v="7.69230769230769E-2"/>
    <x v="139"/>
    <d v="2024-11-24T00:00:00"/>
    <s v="Hyderabad"/>
    <x v="1"/>
    <x v="0"/>
    <s v="November"/>
    <x v="4"/>
    <n v="2.1599038461538398"/>
    <n v="1.75"/>
    <n v="13.21"/>
    <n v="28.08"/>
    <n v="12.63"/>
    <n v="31.62"/>
    <n v="1.1299999999999999"/>
  </r>
  <r>
    <n v="1553"/>
    <s v="A2553"/>
    <x v="2"/>
    <n v="175"/>
    <x v="1195"/>
    <n v="195"/>
    <n v="15"/>
    <n v="10"/>
    <n v="5.7142857142857099E-2"/>
    <x v="161"/>
    <d v="2024-11-25T00:00:00"/>
    <s v="Hyderabad"/>
    <x v="2"/>
    <x v="5"/>
    <s v="November"/>
    <x v="6"/>
    <n v="1.11651428571428"/>
    <n v="3.03"/>
    <n v="13.03"/>
    <n v="19.54"/>
    <n v="35.11"/>
    <n v="26.4"/>
    <n v="1.35"/>
  </r>
  <r>
    <n v="1554"/>
    <s v="A2554"/>
    <x v="1"/>
    <n v="160"/>
    <x v="296"/>
    <n v="211"/>
    <n v="16"/>
    <n v="9"/>
    <n v="5.6250000000000001E-2"/>
    <x v="69"/>
    <d v="2024-11-07T00:00:00"/>
    <s v="Hyderabad"/>
    <x v="1"/>
    <x v="3"/>
    <s v="November"/>
    <x v="5"/>
    <n v="1.316125"/>
    <n v="2.82"/>
    <n v="13.16"/>
    <n v="23.4"/>
    <n v="78.08"/>
    <n v="41.67"/>
    <n v="1.78"/>
  </r>
  <r>
    <n v="1555"/>
    <s v="A2555"/>
    <x v="1"/>
    <n v="147"/>
    <x v="1196"/>
    <n v="248"/>
    <n v="22"/>
    <n v="10"/>
    <n v="6.8027210884353706E-2"/>
    <x v="47"/>
    <d v="2024-11-15T00:00:00"/>
    <s v="Hyderabad"/>
    <x v="0"/>
    <x v="5"/>
    <s v="November"/>
    <x v="3"/>
    <n v="1.6882993197278899"/>
    <n v="2.48"/>
    <n v="11.28"/>
    <n v="24.82"/>
    <n v="43.44"/>
    <n v="35.6"/>
    <n v="1.43"/>
  </r>
  <r>
    <n v="1556"/>
    <s v="A2556"/>
    <x v="1"/>
    <n v="196"/>
    <x v="1197"/>
    <n v="240"/>
    <n v="15"/>
    <n v="6"/>
    <n v="3.06122448979591E-2"/>
    <x v="90"/>
    <d v="2024-11-03T00:00:00"/>
    <s v="Hyderabad"/>
    <x v="2"/>
    <x v="5"/>
    <s v="November"/>
    <x v="4"/>
    <n v="1.2267346938775501"/>
    <n v="5.36"/>
    <n v="16.03"/>
    <n v="40.07"/>
    <n v="60.95"/>
    <n v="64.5"/>
    <n v="1.61"/>
  </r>
  <r>
    <n v="1557"/>
    <s v="A2557"/>
    <x v="0"/>
    <n v="159"/>
    <x v="1198"/>
    <n v="183"/>
    <n v="30"/>
    <n v="8"/>
    <n v="5.0314465408804999E-2"/>
    <x v="13"/>
    <d v="2024-11-09T00:00:00"/>
    <s v="Hyderabad"/>
    <x v="1"/>
    <x v="1"/>
    <s v="November"/>
    <x v="0"/>
    <n v="1.14823899371069"/>
    <n v="3.13"/>
    <n v="6.09"/>
    <n v="22.82"/>
    <n v="71.989999999999995"/>
    <n v="39.25"/>
    <n v="1.72"/>
  </r>
  <r>
    <n v="1558"/>
    <s v="A2558"/>
    <x v="2"/>
    <n v="104"/>
    <x v="1199"/>
    <n v="220"/>
    <n v="17"/>
    <n v="7"/>
    <n v="6.7307692307692304E-2"/>
    <x v="171"/>
    <d v="2024-11-27T00:00:00"/>
    <s v="Hyderabad"/>
    <x v="1"/>
    <x v="2"/>
    <s v="November"/>
    <x v="1"/>
    <n v="2.11961538461538"/>
    <n v="1.98"/>
    <n v="12.97"/>
    <n v="31.49"/>
    <n v="35.18"/>
    <n v="42.57"/>
    <n v="1.35"/>
  </r>
  <r>
    <n v="1559"/>
    <s v="A2559"/>
    <x v="1"/>
    <n v="135"/>
    <x v="1200"/>
    <n v="209"/>
    <n v="28"/>
    <n v="5"/>
    <n v="3.7037037037037E-2"/>
    <x v="83"/>
    <d v="2024-11-25T00:00:00"/>
    <s v="Hyderabad"/>
    <x v="2"/>
    <x v="4"/>
    <s v="November"/>
    <x v="6"/>
    <n v="1.5491851851851799"/>
    <n v="2.42"/>
    <n v="7.47"/>
    <n v="41.83"/>
    <n v="86.48"/>
    <n v="78"/>
    <n v="1.86"/>
  </r>
  <r>
    <n v="1560"/>
    <s v="A2560"/>
    <x v="3"/>
    <n v="92"/>
    <x v="154"/>
    <n v="232"/>
    <n v="21"/>
    <n v="4"/>
    <n v="4.3478260869565202E-2"/>
    <x v="183"/>
    <d v="2024-11-14T00:00:00"/>
    <s v="Hyderabad"/>
    <x v="0"/>
    <x v="5"/>
    <s v="November"/>
    <x v="5"/>
    <n v="2.5246739130434701"/>
    <n v="2.97"/>
    <n v="11.06"/>
    <n v="58.07"/>
    <n v="67.48"/>
    <n v="97.25"/>
    <n v="1.67"/>
  </r>
  <r>
    <n v="1561"/>
    <s v="A2561"/>
    <x v="3"/>
    <n v="136"/>
    <x v="1081"/>
    <n v="236"/>
    <n v="12"/>
    <n v="5"/>
    <n v="3.6764705882352901E-2"/>
    <x v="37"/>
    <d v="2024-11-06T00:00:00"/>
    <s v="Hyderabad"/>
    <x v="1"/>
    <x v="4"/>
    <s v="November"/>
    <x v="1"/>
    <n v="1.7366911764705799"/>
    <n v="3.72"/>
    <n v="19.68"/>
    <n v="47.24"/>
    <n v="23.21"/>
    <n v="58.2"/>
    <n v="1.23"/>
  </r>
  <r>
    <n v="1562"/>
    <s v="A2562"/>
    <x v="1"/>
    <n v="135"/>
    <x v="1201"/>
    <n v="227"/>
    <n v="19"/>
    <n v="6"/>
    <n v="4.4444444444444398E-2"/>
    <x v="189"/>
    <d v="2024-11-09T00:00:00"/>
    <s v="Hyderabad"/>
    <x v="0"/>
    <x v="4"/>
    <s v="November"/>
    <x v="0"/>
    <n v="1.68503703703703"/>
    <n v="4.22"/>
    <n v="11.97"/>
    <n v="37.909999999999997"/>
    <n v="68.81"/>
    <n v="64"/>
    <n v="1.69"/>
  </r>
  <r>
    <n v="1563"/>
    <s v="A2563"/>
    <x v="2"/>
    <n v="91"/>
    <x v="252"/>
    <n v="239"/>
    <n v="15"/>
    <n v="5"/>
    <n v="5.4945054945054903E-2"/>
    <x v="84"/>
    <d v="2024-11-02T00:00:00"/>
    <s v="Hyderabad"/>
    <x v="2"/>
    <x v="5"/>
    <s v="November"/>
    <x v="0"/>
    <n v="2.6301098901098898"/>
    <n v="1.81"/>
    <n v="15.96"/>
    <n v="47.87"/>
    <n v="-2.41"/>
    <n v="46.71"/>
    <n v="0.98"/>
  </r>
  <r>
    <n v="1564"/>
    <s v="A2564"/>
    <x v="0"/>
    <n v="181"/>
    <x v="746"/>
    <n v="244"/>
    <n v="30"/>
    <n v="9"/>
    <n v="4.9723756906077297E-2"/>
    <x v="120"/>
    <d v="2024-11-26T00:00:00"/>
    <s v="Hyderabad"/>
    <x v="1"/>
    <x v="0"/>
    <s v="November"/>
    <x v="2"/>
    <n v="1.3481767955801101"/>
    <n v="3.39"/>
    <n v="8.1300000000000008"/>
    <n v="27.11"/>
    <n v="36.869999999999997"/>
    <n v="37.11"/>
    <n v="1.37"/>
  </r>
  <r>
    <n v="1565"/>
    <s v="A2565"/>
    <x v="2"/>
    <n v="148"/>
    <x v="1202"/>
    <n v="208"/>
    <n v="17"/>
    <n v="7"/>
    <n v="4.72972972972973E-2"/>
    <x v="214"/>
    <d v="2024-11-11T00:00:00"/>
    <s v="Hyderabad"/>
    <x v="1"/>
    <x v="2"/>
    <s v="November"/>
    <x v="6"/>
    <n v="1.40209459459459"/>
    <n v="3.02"/>
    <n v="12.21"/>
    <n v="29.64"/>
    <n v="56.67"/>
    <n v="46.44"/>
    <n v="1.57"/>
  </r>
  <r>
    <n v="1566"/>
    <s v="A2566"/>
    <x v="2"/>
    <n v="80"/>
    <x v="1203"/>
    <n v="205"/>
    <n v="16"/>
    <n v="4"/>
    <n v="0.05"/>
    <x v="209"/>
    <d v="2024-11-20T00:00:00"/>
    <s v="Hyderabad"/>
    <x v="0"/>
    <x v="4"/>
    <s v="November"/>
    <x v="1"/>
    <n v="2.56725"/>
    <n v="1.39"/>
    <n v="12.84"/>
    <n v="51.34"/>
    <n v="76.75"/>
    <n v="90.75"/>
    <n v="1.77"/>
  </r>
  <r>
    <n v="1567"/>
    <s v="A2567"/>
    <x v="0"/>
    <n v="155"/>
    <x v="1204"/>
    <n v="236"/>
    <n v="13"/>
    <n v="3"/>
    <n v="1.9354838709677399E-2"/>
    <x v="200"/>
    <d v="2024-11-23T00:00:00"/>
    <s v="Hyderabad"/>
    <x v="1"/>
    <x v="2"/>
    <s v="November"/>
    <x v="0"/>
    <n v="1.5254193548387001"/>
    <n v="2.72"/>
    <n v="18.190000000000001"/>
    <n v="78.81"/>
    <n v="4.04"/>
    <n v="82"/>
    <n v="1.04"/>
  </r>
  <r>
    <n v="1568"/>
    <s v="A2568"/>
    <x v="0"/>
    <n v="114"/>
    <x v="976"/>
    <n v="214"/>
    <n v="20"/>
    <n v="8"/>
    <n v="7.0175438596491196E-2"/>
    <x v="147"/>
    <d v="2024-11-08T00:00:00"/>
    <s v="Hyderabad"/>
    <x v="1"/>
    <x v="0"/>
    <s v="November"/>
    <x v="3"/>
    <n v="1.8808771929824499"/>
    <n v="2.0099999999999998"/>
    <n v="10.72"/>
    <n v="26.8"/>
    <n v="40.380000000000003"/>
    <n v="37.619999999999997"/>
    <n v="1.4"/>
  </r>
  <r>
    <n v="1569"/>
    <s v="A2569"/>
    <x v="1"/>
    <n v="98"/>
    <x v="1205"/>
    <n v="206"/>
    <n v="16"/>
    <n v="6"/>
    <n v="6.1224489795918297E-2"/>
    <x v="60"/>
    <d v="2024-11-30T00:00:00"/>
    <s v="Hyderabad"/>
    <x v="0"/>
    <x v="5"/>
    <s v="November"/>
    <x v="0"/>
    <n v="2.0991836734693798"/>
    <n v="2.1"/>
    <n v="12.86"/>
    <n v="34.29"/>
    <n v="75.48"/>
    <n v="60.17"/>
    <n v="1.75"/>
  </r>
  <r>
    <n v="1570"/>
    <s v="A2570"/>
    <x v="3"/>
    <n v="125"/>
    <x v="1206"/>
    <n v="235"/>
    <n v="11"/>
    <n v="6"/>
    <n v="4.8000000000000001E-2"/>
    <x v="114"/>
    <d v="2024-11-29T00:00:00"/>
    <s v="Hyderabad"/>
    <x v="1"/>
    <x v="4"/>
    <s v="November"/>
    <x v="3"/>
    <n v="1.8793599999999999"/>
    <n v="3.28"/>
    <n v="21.36"/>
    <n v="39.15"/>
    <n v="19.309999999999999"/>
    <n v="46.71"/>
    <n v="1.19"/>
  </r>
  <r>
    <n v="1571"/>
    <s v="A2571"/>
    <x v="0"/>
    <n v="160"/>
    <x v="1207"/>
    <n v="239"/>
    <n v="20"/>
    <n v="8"/>
    <n v="0.05"/>
    <x v="107"/>
    <d v="2024-11-26T00:00:00"/>
    <s v="Hyderabad"/>
    <x v="0"/>
    <x v="4"/>
    <s v="November"/>
    <x v="2"/>
    <n v="1.4934375"/>
    <n v="5.0599999999999996"/>
    <n v="11.95"/>
    <n v="29.87"/>
    <n v="33.92"/>
    <n v="40"/>
    <n v="1.34"/>
  </r>
  <r>
    <n v="1572"/>
    <s v="A2572"/>
    <x v="3"/>
    <n v="175"/>
    <x v="1208"/>
    <n v="231"/>
    <n v="16"/>
    <n v="10"/>
    <n v="5.7142857142857099E-2"/>
    <x v="103"/>
    <d v="2024-11-15T00:00:00"/>
    <s v="Hyderabad"/>
    <x v="1"/>
    <x v="0"/>
    <s v="November"/>
    <x v="3"/>
    <n v="1.3214285714285701"/>
    <n v="4.6900000000000004"/>
    <n v="14.45"/>
    <n v="23.12"/>
    <n v="-10.49"/>
    <n v="20.7"/>
    <n v="0.9"/>
  </r>
  <r>
    <n v="1573"/>
    <s v="A2573"/>
    <x v="2"/>
    <n v="123"/>
    <x v="1209"/>
    <n v="225"/>
    <n v="24"/>
    <n v="8"/>
    <n v="6.5040650406504003E-2"/>
    <x v="119"/>
    <d v="2024-11-15T00:00:00"/>
    <s v="Hyderabad"/>
    <x v="0"/>
    <x v="5"/>
    <s v="November"/>
    <x v="3"/>
    <n v="1.8262601626016199"/>
    <n v="3.19"/>
    <n v="9.36"/>
    <n v="28.08"/>
    <n v="63.38"/>
    <n v="45.88"/>
    <n v="1.63"/>
  </r>
  <r>
    <n v="1574"/>
    <s v="A2574"/>
    <x v="1"/>
    <n v="106"/>
    <x v="1210"/>
    <n v="212"/>
    <n v="15"/>
    <n v="6"/>
    <n v="5.6603773584905599E-2"/>
    <x v="5"/>
    <d v="2024-11-23T00:00:00"/>
    <s v="Hyderabad"/>
    <x v="2"/>
    <x v="5"/>
    <s v="November"/>
    <x v="0"/>
    <n v="2.0011320754716899"/>
    <n v="3.32"/>
    <n v="14.14"/>
    <n v="35.35"/>
    <n v="26.34"/>
    <n v="44.67"/>
    <n v="1.26"/>
  </r>
  <r>
    <n v="1575"/>
    <s v="A2575"/>
    <x v="0"/>
    <n v="101"/>
    <x v="492"/>
    <n v="206"/>
    <n v="24"/>
    <n v="4"/>
    <n v="3.9603960396039598E-2"/>
    <x v="9"/>
    <d v="2024-11-09T00:00:00"/>
    <s v="Hyderabad"/>
    <x v="2"/>
    <x v="3"/>
    <s v="November"/>
    <x v="0"/>
    <n v="2.0381188118811799"/>
    <n v="3.04"/>
    <n v="8.58"/>
    <n v="51.46"/>
    <n v="2.02"/>
    <n v="52.5"/>
    <n v="1.02"/>
  </r>
  <r>
    <n v="1576"/>
    <s v="A2576"/>
    <x v="0"/>
    <n v="185"/>
    <x v="972"/>
    <n v="215"/>
    <n v="12"/>
    <n v="9"/>
    <n v="4.8648648648648603E-2"/>
    <x v="176"/>
    <d v="2024-11-02T00:00:00"/>
    <s v="Hyderabad"/>
    <x v="1"/>
    <x v="1"/>
    <s v="November"/>
    <x v="0"/>
    <n v="1.16464864864864"/>
    <n v="3.61"/>
    <n v="17.96"/>
    <n v="23.94"/>
    <n v="63.37"/>
    <n v="39.11"/>
    <n v="1.63"/>
  </r>
  <r>
    <n v="1577"/>
    <s v="A2577"/>
    <x v="3"/>
    <n v="139"/>
    <x v="34"/>
    <n v="239"/>
    <n v="17"/>
    <n v="6"/>
    <n v="4.31654676258992E-2"/>
    <x v="143"/>
    <d v="2024-11-14T00:00:00"/>
    <s v="Hyderabad"/>
    <x v="2"/>
    <x v="4"/>
    <s v="November"/>
    <x v="5"/>
    <n v="1.7225899280575501"/>
    <n v="2.48"/>
    <n v="14.08"/>
    <n v="39.909999999999997"/>
    <n v="31.97"/>
    <n v="52.67"/>
    <n v="1.32"/>
  </r>
  <r>
    <n v="1578"/>
    <s v="A2578"/>
    <x v="3"/>
    <n v="174"/>
    <x v="1211"/>
    <n v="186"/>
    <n v="28"/>
    <n v="7"/>
    <n v="4.0229885057471201E-2"/>
    <x v="203"/>
    <d v="2024-11-21T00:00:00"/>
    <s v="Hyderabad"/>
    <x v="2"/>
    <x v="4"/>
    <s v="November"/>
    <x v="5"/>
    <n v="1.0691954022988499"/>
    <n v="4.47"/>
    <n v="6.64"/>
    <n v="26.58"/>
    <n v="96.73"/>
    <n v="52.29"/>
    <n v="1.97"/>
  </r>
  <r>
    <n v="1579"/>
    <s v="A2579"/>
    <x v="1"/>
    <n v="157"/>
    <x v="1212"/>
    <n v="248"/>
    <n v="14"/>
    <n v="7"/>
    <n v="4.4585987261146397E-2"/>
    <x v="105"/>
    <d v="2024-11-03T00:00:00"/>
    <s v="Hyderabad"/>
    <x v="1"/>
    <x v="3"/>
    <s v="November"/>
    <x v="4"/>
    <n v="1.5807006369426699"/>
    <n v="3.36"/>
    <n v="17.73"/>
    <n v="35.450000000000003"/>
    <n v="2.35"/>
    <n v="36.29"/>
    <n v="1.02"/>
  </r>
  <r>
    <n v="1580"/>
    <s v="A2580"/>
    <x v="3"/>
    <n v="160"/>
    <x v="1213"/>
    <n v="198"/>
    <n v="16"/>
    <n v="6"/>
    <n v="3.7499999999999999E-2"/>
    <x v="14"/>
    <d v="2024-11-03T00:00:00"/>
    <s v="Hyderabad"/>
    <x v="2"/>
    <x v="1"/>
    <s v="November"/>
    <x v="4"/>
    <n v="1.234375"/>
    <n v="2.94"/>
    <n v="12.34"/>
    <n v="32.92"/>
    <n v="81.27"/>
    <n v="59.67"/>
    <n v="1.81"/>
  </r>
  <r>
    <n v="1581"/>
    <s v="A2581"/>
    <x v="3"/>
    <n v="198"/>
    <x v="1214"/>
    <n v="185"/>
    <n v="14"/>
    <n v="9"/>
    <n v="4.54545454545454E-2"/>
    <x v="164"/>
    <d v="2024-11-17T00:00:00"/>
    <s v="Hyderabad"/>
    <x v="2"/>
    <x v="0"/>
    <s v="November"/>
    <x v="4"/>
    <n v="0.93499999999999905"/>
    <n v="4.1900000000000004"/>
    <n v="13.22"/>
    <n v="20.57"/>
    <n v="73.930000000000007"/>
    <n v="35.78"/>
    <n v="1.74"/>
  </r>
  <r>
    <n v="1582"/>
    <s v="A2582"/>
    <x v="3"/>
    <n v="144"/>
    <x v="658"/>
    <n v="196"/>
    <n v="12"/>
    <n v="3"/>
    <n v="2.0833333333333301E-2"/>
    <x v="25"/>
    <d v="2024-11-27T00:00:00"/>
    <s v="Hyderabad"/>
    <x v="2"/>
    <x v="2"/>
    <s v="November"/>
    <x v="1"/>
    <n v="1.3599305555555501"/>
    <n v="2.72"/>
    <n v="16.32"/>
    <n v="65.28"/>
    <n v="72.599999999999994"/>
    <n v="112.67"/>
    <n v="1.73"/>
  </r>
  <r>
    <n v="1583"/>
    <s v="A2583"/>
    <x v="3"/>
    <n v="187"/>
    <x v="1215"/>
    <n v="182"/>
    <n v="27"/>
    <n v="7"/>
    <n v="3.7433155080213901E-2"/>
    <x v="15"/>
    <d v="2024-11-20T00:00:00"/>
    <s v="Hyderabad"/>
    <x v="1"/>
    <x v="3"/>
    <s v="November"/>
    <x v="1"/>
    <n v="0.97556149732620301"/>
    <n v="5.0199999999999996"/>
    <n v="6.76"/>
    <n v="26.06"/>
    <n v="80.34"/>
    <n v="47"/>
    <n v="1.8"/>
  </r>
  <r>
    <n v="1584"/>
    <s v="A2584"/>
    <x v="1"/>
    <n v="139"/>
    <x v="1216"/>
    <n v="215"/>
    <n v="29"/>
    <n v="3"/>
    <n v="2.15827338129496E-2"/>
    <x v="168"/>
    <d v="2024-11-04T00:00:00"/>
    <s v="Hyderabad"/>
    <x v="2"/>
    <x v="5"/>
    <s v="November"/>
    <x v="6"/>
    <n v="1.5454545454545401"/>
    <n v="3.52"/>
    <n v="7.41"/>
    <n v="71.61"/>
    <n v="76.89"/>
    <n v="126.67"/>
    <n v="1.77"/>
  </r>
  <r>
    <n v="1585"/>
    <s v="A2585"/>
    <x v="0"/>
    <n v="194"/>
    <x v="1217"/>
    <n v="180"/>
    <n v="27"/>
    <n v="5"/>
    <n v="2.5773195876288599E-2"/>
    <x v="96"/>
    <d v="2024-11-05T00:00:00"/>
    <s v="Hyderabad"/>
    <x v="1"/>
    <x v="0"/>
    <s v="November"/>
    <x v="2"/>
    <n v="0.92788659793814399"/>
    <n v="3.79"/>
    <n v="6.67"/>
    <n v="36"/>
    <n v="124.43"/>
    <n v="80.8"/>
    <n v="2.2400000000000002"/>
  </r>
  <r>
    <n v="1586"/>
    <s v="A2586"/>
    <x v="0"/>
    <n v="157"/>
    <x v="1218"/>
    <n v="200"/>
    <n v="30"/>
    <n v="8"/>
    <n v="5.0955414012738801E-2"/>
    <x v="122"/>
    <d v="2024-11-15T00:00:00"/>
    <s v="Hyderabad"/>
    <x v="0"/>
    <x v="3"/>
    <s v="November"/>
    <x v="3"/>
    <n v="1.27668789808917"/>
    <n v="3.8"/>
    <n v="6.68"/>
    <n v="25.06"/>
    <n v="6.27"/>
    <n v="26.62"/>
    <n v="1.06"/>
  </r>
  <r>
    <n v="1587"/>
    <s v="A2587"/>
    <x v="2"/>
    <n v="112"/>
    <x v="1219"/>
    <n v="234"/>
    <n v="19"/>
    <n v="4"/>
    <n v="3.5714285714285698E-2"/>
    <x v="161"/>
    <d v="2024-11-27T00:00:00"/>
    <s v="Hyderabad"/>
    <x v="2"/>
    <x v="3"/>
    <s v="November"/>
    <x v="1"/>
    <n v="2.08776785714285"/>
    <n v="2.27"/>
    <n v="12.31"/>
    <n v="58.46"/>
    <n v="12.9"/>
    <n v="66"/>
    <n v="1.1299999999999999"/>
  </r>
  <r>
    <n v="1588"/>
    <s v="A2588"/>
    <x v="1"/>
    <n v="82"/>
    <x v="1220"/>
    <n v="204"/>
    <n v="10"/>
    <n v="6"/>
    <n v="7.3170731707316999E-2"/>
    <x v="28"/>
    <d v="2024-11-26T00:00:00"/>
    <s v="Hyderabad"/>
    <x v="2"/>
    <x v="4"/>
    <s v="November"/>
    <x v="2"/>
    <n v="2.48646341463414"/>
    <n v="1.81"/>
    <n v="20.39"/>
    <n v="33.979999999999997"/>
    <n v="58.91"/>
    <n v="54"/>
    <n v="1.59"/>
  </r>
  <r>
    <n v="1589"/>
    <s v="A2589"/>
    <x v="0"/>
    <n v="152"/>
    <x v="1221"/>
    <n v="219"/>
    <n v="14"/>
    <n v="5"/>
    <n v="3.2894736842105199E-2"/>
    <x v="6"/>
    <d v="2024-11-13T00:00:00"/>
    <s v="Hyderabad"/>
    <x v="1"/>
    <x v="3"/>
    <s v="November"/>
    <x v="1"/>
    <n v="1.44230263157894"/>
    <n v="2.58"/>
    <n v="15.66"/>
    <n v="43.85"/>
    <n v="52.81"/>
    <n v="67"/>
    <n v="1.53"/>
  </r>
  <r>
    <n v="1590"/>
    <s v="A2590"/>
    <x v="0"/>
    <n v="81"/>
    <x v="636"/>
    <n v="213"/>
    <n v="11"/>
    <n v="5"/>
    <n v="6.1728395061728301E-2"/>
    <x v="179"/>
    <d v="2024-11-15T00:00:00"/>
    <s v="Hyderabad"/>
    <x v="1"/>
    <x v="2"/>
    <s v="November"/>
    <x v="3"/>
    <n v="2.6282716049382699"/>
    <n v="1.46"/>
    <n v="19.350000000000001"/>
    <n v="42.58"/>
    <n v="74.27"/>
    <n v="74.2"/>
    <n v="1.74"/>
  </r>
  <r>
    <n v="1591"/>
    <s v="A2591"/>
    <x v="0"/>
    <n v="84"/>
    <x v="1120"/>
    <n v="132"/>
    <n v="23"/>
    <n v="6"/>
    <n v="7.1428571428571397E-2"/>
    <x v="25"/>
    <d v="2024-11-12T00:00:00"/>
    <s v="Hyderabad"/>
    <x v="0"/>
    <x v="4"/>
    <s v="November"/>
    <x v="2"/>
    <n v="1.56753061615001"/>
    <n v="1.51"/>
    <n v="5.72"/>
    <n v="21.95"/>
    <n v="156.69999999999999"/>
    <n v="56.33"/>
    <n v="2.57"/>
  </r>
  <r>
    <n v="1592"/>
    <s v="A2592"/>
    <x v="0"/>
    <n v="117"/>
    <x v="1222"/>
    <n v="224"/>
    <n v="27"/>
    <n v="8"/>
    <n v="6.83760683760683E-2"/>
    <x v="51"/>
    <d v="2024-11-14T00:00:00"/>
    <s v="Hyderabad"/>
    <x v="1"/>
    <x v="3"/>
    <s v="November"/>
    <x v="5"/>
    <n v="1.9121367521367501"/>
    <n v="3.85"/>
    <n v="8.2899999999999991"/>
    <n v="27.96"/>
    <n v="22.03"/>
    <n v="34.119999999999997"/>
    <n v="1.22"/>
  </r>
  <r>
    <n v="1593"/>
    <s v="A2593"/>
    <x v="1"/>
    <n v="82"/>
    <x v="1223"/>
    <n v="125"/>
    <n v="16"/>
    <n v="5"/>
    <n v="6.0975609756097497E-2"/>
    <x v="154"/>
    <d v="2024-11-17T00:00:00"/>
    <s v="Hyderabad"/>
    <x v="1"/>
    <x v="2"/>
    <s v="November"/>
    <x v="4"/>
    <n v="1.5243795620437901"/>
    <n v="2.31"/>
    <n v="7.81"/>
    <n v="25"/>
    <n v="117.6"/>
    <n v="54.4"/>
    <n v="2.1800000000000002"/>
  </r>
  <r>
    <n v="1594"/>
    <s v="A2594"/>
    <x v="2"/>
    <n v="192"/>
    <x v="1224"/>
    <n v="192"/>
    <n v="18"/>
    <n v="10"/>
    <n v="5.2083333333333301E-2"/>
    <x v="129"/>
    <d v="2024-11-09T00:00:00"/>
    <s v="Hyderabad"/>
    <x v="1"/>
    <x v="2"/>
    <s v="November"/>
    <x v="0"/>
    <n v="1.00078125"/>
    <n v="3.9"/>
    <n v="10.68"/>
    <n v="19.22"/>
    <n v="76.95"/>
    <n v="34"/>
    <n v="1.77"/>
  </r>
  <r>
    <n v="1595"/>
    <s v="A2595"/>
    <x v="0"/>
    <n v="131"/>
    <x v="1225"/>
    <n v="235"/>
    <n v="24"/>
    <n v="10"/>
    <n v="7.6335877862595394E-2"/>
    <x v="25"/>
    <d v="2024-11-07T00:00:00"/>
    <s v="Hyderabad"/>
    <x v="1"/>
    <x v="1"/>
    <s v="November"/>
    <x v="5"/>
    <n v="1.79030534351145"/>
    <n v="4.1100000000000003"/>
    <n v="9.77"/>
    <n v="23.45"/>
    <n v="44.12"/>
    <n v="33.799999999999997"/>
    <n v="1.44"/>
  </r>
  <r>
    <n v="1596"/>
    <s v="A2596"/>
    <x v="0"/>
    <n v="177"/>
    <x v="1226"/>
    <n v="190"/>
    <n v="29"/>
    <n v="7"/>
    <n v="3.9548022598869997E-2"/>
    <x v="178"/>
    <d v="2024-11-27T00:00:00"/>
    <s v="Hyderabad"/>
    <x v="2"/>
    <x v="2"/>
    <s v="November"/>
    <x v="1"/>
    <n v="1.0712429378531001"/>
    <n v="5.47"/>
    <n v="6.54"/>
    <n v="27.09"/>
    <n v="107.27"/>
    <n v="56.14"/>
    <n v="2.0699999999999998"/>
  </r>
  <r>
    <n v="1598"/>
    <s v="A2598"/>
    <x v="0"/>
    <n v="147"/>
    <x v="1227"/>
    <n v="190"/>
    <n v="27"/>
    <n v="8"/>
    <n v="5.4421768707482901E-2"/>
    <x v="160"/>
    <d v="2024-11-05T00:00:00"/>
    <s v="Hyderabad"/>
    <x v="0"/>
    <x v="0"/>
    <s v="November"/>
    <x v="2"/>
    <n v="1.2953741496598601"/>
    <n v="3.26"/>
    <n v="7.05"/>
    <n v="23.8"/>
    <n v="15.01"/>
    <n v="27.38"/>
    <n v="1.1499999999999999"/>
  </r>
  <r>
    <n v="1599"/>
    <s v="A2599"/>
    <x v="0"/>
    <n v="143"/>
    <x v="1228"/>
    <n v="200"/>
    <n v="21"/>
    <n v="3"/>
    <n v="2.09790209790209E-2"/>
    <x v="143"/>
    <d v="2024-11-20T00:00:00"/>
    <s v="Hyderabad"/>
    <x v="1"/>
    <x v="0"/>
    <s v="November"/>
    <x v="1"/>
    <n v="1.40062937062937"/>
    <n v="3.97"/>
    <n v="9.5399999999999991"/>
    <n v="66.760000000000005"/>
    <n v="57.77"/>
    <n v="105.33"/>
    <n v="1.58"/>
  </r>
  <r>
    <n v="1600"/>
    <s v="A2600"/>
    <x v="2"/>
    <n v="102"/>
    <x v="9"/>
    <n v="187"/>
    <n v="20"/>
    <n v="4"/>
    <n v="3.9215686274509803E-2"/>
    <x v="45"/>
    <d v="2024-11-10T00:00:00"/>
    <s v="Hyderabad"/>
    <x v="1"/>
    <x v="4"/>
    <s v="November"/>
    <x v="4"/>
    <n v="1.8323529411764701"/>
    <n v="3.04"/>
    <n v="9.35"/>
    <n v="46.72"/>
    <n v="66.400000000000006"/>
    <n v="77.75"/>
    <n v="1.66"/>
  </r>
  <r>
    <n v="1601"/>
    <s v="A2601"/>
    <x v="0"/>
    <n v="160"/>
    <x v="1229"/>
    <n v="214"/>
    <n v="10"/>
    <n v="6"/>
    <n v="3.7499999999999999E-2"/>
    <x v="143"/>
    <d v="2024-11-07T00:00:00"/>
    <s v="Hyderabad"/>
    <x v="1"/>
    <x v="5"/>
    <s v="November"/>
    <x v="5"/>
    <n v="1.3400624999999999"/>
    <n v="4.3099999999999996"/>
    <n v="21.44"/>
    <n v="35.74"/>
    <n v="47.38"/>
    <n v="52.67"/>
    <n v="1.47"/>
  </r>
  <r>
    <n v="1602"/>
    <s v="A2602"/>
    <x v="2"/>
    <n v="172"/>
    <x v="1230"/>
    <n v="235"/>
    <n v="28"/>
    <n v="8"/>
    <n v="4.6511627906976702E-2"/>
    <x v="127"/>
    <d v="2024-11-12T00:00:00"/>
    <s v="Hyderabad"/>
    <x v="0"/>
    <x v="5"/>
    <s v="November"/>
    <x v="2"/>
    <n v="1.36593023255813"/>
    <n v="3.55"/>
    <n v="8.39"/>
    <n v="29.37"/>
    <n v="9.39"/>
    <n v="32.119999999999997"/>
    <n v="1.0900000000000001"/>
  </r>
  <r>
    <n v="1603"/>
    <s v="A2603"/>
    <x v="1"/>
    <n v="95"/>
    <x v="245"/>
    <n v="183"/>
    <n v="13"/>
    <n v="4"/>
    <n v="4.2105263157894701E-2"/>
    <x v="29"/>
    <d v="2024-11-30T00:00:00"/>
    <s v="Hyderabad"/>
    <x v="2"/>
    <x v="3"/>
    <s v="November"/>
    <x v="0"/>
    <n v="1.9218947368421"/>
    <n v="1.76"/>
    <n v="14.04"/>
    <n v="45.64"/>
    <n v="24.33"/>
    <n v="56.75"/>
    <n v="1.24"/>
  </r>
  <r>
    <n v="1604"/>
    <s v="A2604"/>
    <x v="2"/>
    <n v="111"/>
    <x v="1231"/>
    <n v="237"/>
    <n v="13"/>
    <n v="3"/>
    <n v="2.7027027027027001E-2"/>
    <x v="132"/>
    <d v="2024-11-19T00:00:00"/>
    <s v="Hyderabad"/>
    <x v="1"/>
    <x v="4"/>
    <s v="November"/>
    <x v="2"/>
    <n v="2.1387387387387302"/>
    <n v="3.15"/>
    <n v="18.260000000000002"/>
    <n v="79.13"/>
    <n v="20.05"/>
    <n v="95"/>
    <n v="1.2"/>
  </r>
  <r>
    <n v="1605"/>
    <s v="A2605"/>
    <x v="0"/>
    <n v="171"/>
    <x v="1232"/>
    <n v="184"/>
    <n v="27"/>
    <n v="9"/>
    <n v="5.2631578947368397E-2"/>
    <x v="49"/>
    <d v="2024-11-16T00:00:00"/>
    <s v="Hyderabad"/>
    <x v="2"/>
    <x v="2"/>
    <s v="November"/>
    <x v="0"/>
    <n v="1.0768421052631501"/>
    <n v="4.9400000000000004"/>
    <n v="6.82"/>
    <n v="20.46"/>
    <n v="73.239999999999995"/>
    <n v="35.44"/>
    <n v="1.73"/>
  </r>
  <r>
    <n v="1606"/>
    <s v="A2606"/>
    <x v="1"/>
    <n v="145"/>
    <x v="573"/>
    <n v="221"/>
    <n v="14"/>
    <n v="7"/>
    <n v="4.8275862068965503E-2"/>
    <x v="146"/>
    <d v="2024-11-24T00:00:00"/>
    <s v="Hyderabad"/>
    <x v="0"/>
    <x v="0"/>
    <s v="November"/>
    <x v="4"/>
    <n v="1.52413793103448"/>
    <n v="2.4700000000000002"/>
    <n v="15.79"/>
    <n v="31.57"/>
    <n v="13.57"/>
    <n v="35.86"/>
    <n v="1.1399999999999999"/>
  </r>
  <r>
    <n v="1607"/>
    <s v="A2607"/>
    <x v="3"/>
    <n v="118"/>
    <x v="1233"/>
    <n v="183"/>
    <n v="27"/>
    <n v="7"/>
    <n v="5.9322033898305003E-2"/>
    <x v="180"/>
    <d v="2024-11-21T00:00:00"/>
    <s v="Hyderabad"/>
    <x v="2"/>
    <x v="0"/>
    <s v="November"/>
    <x v="5"/>
    <n v="1.5521186440677901"/>
    <n v="3.47"/>
    <n v="6.78"/>
    <n v="26.16"/>
    <n v="65.98"/>
    <n v="43.43"/>
    <n v="1.66"/>
  </r>
  <r>
    <n v="1608"/>
    <s v="A2608"/>
    <x v="1"/>
    <n v="171"/>
    <x v="648"/>
    <n v="233"/>
    <n v="27"/>
    <n v="4"/>
    <n v="2.3391812865496998E-2"/>
    <x v="50"/>
    <d v="2024-11-05T00:00:00"/>
    <s v="Hyderabad"/>
    <x v="0"/>
    <x v="5"/>
    <s v="November"/>
    <x v="2"/>
    <n v="1.3644444444444399"/>
    <n v="4.79"/>
    <n v="8.64"/>
    <n v="58.33"/>
    <n v="11.01"/>
    <n v="64.75"/>
    <n v="1.1100000000000001"/>
  </r>
  <r>
    <n v="1609"/>
    <s v="A2609"/>
    <x v="2"/>
    <n v="108"/>
    <x v="139"/>
    <n v="186"/>
    <n v="24"/>
    <n v="8"/>
    <n v="7.4074074074074001E-2"/>
    <x v="1"/>
    <d v="2024-11-19T00:00:00"/>
    <s v="Hyderabad"/>
    <x v="2"/>
    <x v="0"/>
    <s v="November"/>
    <x v="2"/>
    <n v="1.7192592592592499"/>
    <n v="2.98"/>
    <n v="7.74"/>
    <n v="23.21"/>
    <n v="84.73"/>
    <n v="42.88"/>
    <n v="1.85"/>
  </r>
  <r>
    <n v="1610"/>
    <s v="A2610"/>
    <x v="2"/>
    <n v="100"/>
    <x v="1234"/>
    <n v="206"/>
    <n v="21"/>
    <n v="7"/>
    <n v="7.0000000000000007E-2"/>
    <x v="194"/>
    <d v="2024-11-20T00:00:00"/>
    <s v="Hyderabad"/>
    <x v="2"/>
    <x v="0"/>
    <s v="November"/>
    <x v="1"/>
    <n v="2.0632000000000001"/>
    <n v="2"/>
    <n v="9.82"/>
    <n v="29.47"/>
    <n v="65.28"/>
    <n v="48.71"/>
    <n v="1.65"/>
  </r>
  <r>
    <n v="1611"/>
    <s v="A2611"/>
    <x v="0"/>
    <n v="138"/>
    <x v="1235"/>
    <n v="194"/>
    <n v="14"/>
    <n v="4"/>
    <n v="2.8985507246376802E-2"/>
    <x v="10"/>
    <d v="2024-11-15T00:00:00"/>
    <s v="Hyderabad"/>
    <x v="2"/>
    <x v="5"/>
    <s v="November"/>
    <x v="3"/>
    <n v="1.40239130434782"/>
    <n v="2.4"/>
    <n v="13.82"/>
    <n v="48.38"/>
    <n v="100.49"/>
    <n v="97"/>
    <n v="2"/>
  </r>
  <r>
    <n v="1612"/>
    <s v="A2612"/>
    <x v="0"/>
    <n v="88"/>
    <x v="502"/>
    <n v="199"/>
    <n v="25"/>
    <n v="9"/>
    <n v="0.102272727272727"/>
    <x v="108"/>
    <d v="2024-11-10T00:00:00"/>
    <s v="Hyderabad"/>
    <x v="0"/>
    <x v="3"/>
    <s v="November"/>
    <x v="4"/>
    <n v="2.2570454545454499"/>
    <n v="2.6"/>
    <n v="7.94"/>
    <n v="22.07"/>
    <n v="64.13"/>
    <n v="36.22"/>
    <n v="1.64"/>
  </r>
  <r>
    <n v="1613"/>
    <s v="A2613"/>
    <x v="3"/>
    <n v="125"/>
    <x v="1236"/>
    <n v="187"/>
    <n v="29"/>
    <n v="10"/>
    <n v="0.08"/>
    <x v="156"/>
    <d v="2024-11-29T00:00:00"/>
    <s v="Hyderabad"/>
    <x v="1"/>
    <x v="0"/>
    <s v="November"/>
    <x v="3"/>
    <n v="1.49288"/>
    <n v="3.42"/>
    <n v="6.43"/>
    <n v="18.66"/>
    <n v="11.46"/>
    <n v="20.8"/>
    <n v="1.1100000000000001"/>
  </r>
  <r>
    <n v="1614"/>
    <s v="A2614"/>
    <x v="0"/>
    <n v="169"/>
    <x v="1237"/>
    <n v="216"/>
    <n v="27"/>
    <n v="5"/>
    <n v="2.9585798816568001E-2"/>
    <x v="8"/>
    <d v="2024-11-19T00:00:00"/>
    <s v="Hyderabad"/>
    <x v="1"/>
    <x v="5"/>
    <s v="November"/>
    <x v="2"/>
    <n v="1.2766272189349099"/>
    <n v="4.0999999999999996"/>
    <n v="7.99"/>
    <n v="43.15"/>
    <n v="28.85"/>
    <n v="55.6"/>
    <n v="1.29"/>
  </r>
  <r>
    <n v="1615"/>
    <s v="A2615"/>
    <x v="1"/>
    <n v="169"/>
    <x v="1238"/>
    <n v="237"/>
    <n v="18"/>
    <n v="7"/>
    <n v="4.14201183431952E-2"/>
    <x v="113"/>
    <d v="2024-11-06T00:00:00"/>
    <s v="Hyderabad"/>
    <x v="1"/>
    <x v="2"/>
    <s v="November"/>
    <x v="1"/>
    <n v="1.40112426035502"/>
    <n v="5.38"/>
    <n v="13.16"/>
    <n v="33.83"/>
    <n v="38.1"/>
    <n v="46.71"/>
    <n v="1.38"/>
  </r>
  <r>
    <n v="1616"/>
    <s v="A2616"/>
    <x v="0"/>
    <n v="149"/>
    <x v="1239"/>
    <n v="236"/>
    <n v="17"/>
    <n v="7"/>
    <n v="4.6979865771811999E-2"/>
    <x v="10"/>
    <d v="2024-11-11T00:00:00"/>
    <s v="Hyderabad"/>
    <x v="1"/>
    <x v="2"/>
    <s v="November"/>
    <x v="6"/>
    <n v="1.5820134228187901"/>
    <n v="2.6"/>
    <n v="13.87"/>
    <n v="33.67"/>
    <n v="64.599999999999994"/>
    <n v="55.43"/>
    <n v="1.65"/>
  </r>
  <r>
    <n v="1617"/>
    <s v="A2617"/>
    <x v="3"/>
    <n v="99"/>
    <x v="50"/>
    <n v="183"/>
    <n v="30"/>
    <n v="3"/>
    <n v="3.03030303030303E-2"/>
    <x v="111"/>
    <d v="2024-11-18T00:00:00"/>
    <s v="Hyderabad"/>
    <x v="1"/>
    <x v="2"/>
    <s v="November"/>
    <x v="6"/>
    <n v="1.8534343434343401"/>
    <n v="1.67"/>
    <n v="6.12"/>
    <n v="61.16"/>
    <n v="65.13"/>
    <n v="101"/>
    <n v="1.65"/>
  </r>
  <r>
    <n v="1618"/>
    <s v="A2618"/>
    <x v="1"/>
    <n v="177"/>
    <x v="648"/>
    <n v="215"/>
    <n v="28"/>
    <n v="5"/>
    <n v="2.8248587570621399E-2"/>
    <x v="188"/>
    <d v="2024-11-11T00:00:00"/>
    <s v="Hyderabad"/>
    <x v="2"/>
    <x v="5"/>
    <s v="November"/>
    <x v="6"/>
    <n v="1.21305084745762"/>
    <n v="4.96"/>
    <n v="7.67"/>
    <n v="42.94"/>
    <n v="-4.99"/>
    <n v="40.799999999999997"/>
    <n v="0.95"/>
  </r>
  <r>
    <n v="1619"/>
    <s v="A2619"/>
    <x v="2"/>
    <n v="189"/>
    <x v="1153"/>
    <n v="225"/>
    <n v="23"/>
    <n v="9"/>
    <n v="4.7619047619047603E-2"/>
    <x v="35"/>
    <d v="2024-11-15T00:00:00"/>
    <s v="Hyderabad"/>
    <x v="0"/>
    <x v="4"/>
    <s v="November"/>
    <x v="3"/>
    <n v="1.1879894179894099"/>
    <n v="5.88"/>
    <n v="9.76"/>
    <n v="24.95"/>
    <n v="18.920000000000002"/>
    <n v="29.67"/>
    <n v="1.19"/>
  </r>
  <r>
    <n v="1620"/>
    <s v="A2620"/>
    <x v="2"/>
    <n v="94"/>
    <x v="956"/>
    <n v="147"/>
    <n v="24"/>
    <n v="3"/>
    <n v="3.1914893617021198E-2"/>
    <x v="27"/>
    <d v="2024-11-09T00:00:00"/>
    <s v="Hyderabad"/>
    <x v="0"/>
    <x v="4"/>
    <s v="November"/>
    <x v="0"/>
    <n v="1.56753061615001"/>
    <n v="1.85"/>
    <n v="6.14"/>
    <n v="49.12"/>
    <n v="173.5"/>
    <n v="134.33000000000001"/>
    <n v="2.74"/>
  </r>
  <r>
    <n v="1621"/>
    <s v="A2621"/>
    <x v="3"/>
    <n v="191"/>
    <x v="176"/>
    <n v="231"/>
    <n v="29"/>
    <n v="6"/>
    <n v="3.1413612565444997E-2"/>
    <x v="37"/>
    <d v="2024-11-18T00:00:00"/>
    <s v="Hyderabad"/>
    <x v="2"/>
    <x v="1"/>
    <s v="November"/>
    <x v="6"/>
    <n v="1.20942408376963"/>
    <n v="5.72"/>
    <n v="7.97"/>
    <n v="38.5"/>
    <n v="25.97"/>
    <n v="48.5"/>
    <n v="1.26"/>
  </r>
  <r>
    <n v="1622"/>
    <s v="A2622"/>
    <x v="0"/>
    <n v="83"/>
    <x v="235"/>
    <n v="227"/>
    <n v="12"/>
    <n v="10"/>
    <n v="0.120481927710843"/>
    <x v="64"/>
    <d v="2024-11-02T00:00:00"/>
    <s v="Hyderabad"/>
    <x v="0"/>
    <x v="2"/>
    <s v="November"/>
    <x v="0"/>
    <n v="2.73662650602409"/>
    <n v="1.9"/>
    <n v="18.93"/>
    <n v="22.71"/>
    <n v="105.66"/>
    <n v="46.71"/>
    <n v="2.06"/>
  </r>
  <r>
    <n v="1623"/>
    <s v="A2623"/>
    <x v="3"/>
    <n v="148"/>
    <x v="1240"/>
    <n v="213"/>
    <n v="12"/>
    <n v="7"/>
    <n v="4.72972972972973E-2"/>
    <x v="34"/>
    <d v="2024-11-23T00:00:00"/>
    <s v="Hyderabad"/>
    <x v="1"/>
    <x v="4"/>
    <s v="November"/>
    <x v="0"/>
    <n v="1.4377027027027001"/>
    <n v="3.08"/>
    <n v="17.73"/>
    <n v="30.4"/>
    <n v="75.77"/>
    <n v="53.43"/>
    <n v="1.76"/>
  </r>
  <r>
    <n v="1624"/>
    <s v="A2624"/>
    <x v="1"/>
    <n v="125"/>
    <x v="1241"/>
    <n v="221"/>
    <n v="16"/>
    <n v="10"/>
    <n v="0.08"/>
    <x v="158"/>
    <d v="2024-11-27T00:00:00"/>
    <s v="Hyderabad"/>
    <x v="2"/>
    <x v="1"/>
    <s v="November"/>
    <x v="1"/>
    <n v="1.7709600000000001"/>
    <n v="2.91"/>
    <n v="13.84"/>
    <n v="22.14"/>
    <n v="-1.52"/>
    <n v="21.8"/>
    <n v="0.98"/>
  </r>
  <r>
    <n v="1625"/>
    <s v="A2625"/>
    <x v="0"/>
    <n v="105"/>
    <x v="1242"/>
    <n v="183"/>
    <n v="11"/>
    <n v="6"/>
    <n v="5.7142857142857099E-2"/>
    <x v="179"/>
    <d v="2024-11-25T00:00:00"/>
    <s v="Hyderabad"/>
    <x v="1"/>
    <x v="4"/>
    <s v="November"/>
    <x v="6"/>
    <n v="1.7473333333333301"/>
    <n v="2.56"/>
    <n v="16.68"/>
    <n v="30.58"/>
    <n v="102.21"/>
    <n v="61.83"/>
    <n v="2.02"/>
  </r>
  <r>
    <n v="1626"/>
    <s v="A2626"/>
    <x v="3"/>
    <n v="84"/>
    <x v="1243"/>
    <n v="235"/>
    <n v="29"/>
    <n v="9"/>
    <n v="0.107142857142857"/>
    <x v="108"/>
    <d v="2024-11-18T00:00:00"/>
    <s v="Hyderabad"/>
    <x v="1"/>
    <x v="0"/>
    <s v="November"/>
    <x v="6"/>
    <n v="2.7930952380952299"/>
    <n v="1.97"/>
    <n v="8.09"/>
    <n v="26.07"/>
    <n v="38.950000000000003"/>
    <n v="36.22"/>
    <n v="1.39"/>
  </r>
  <r>
    <n v="1627"/>
    <s v="A2627"/>
    <x v="2"/>
    <n v="114"/>
    <x v="1244"/>
    <n v="243"/>
    <n v="16"/>
    <n v="10"/>
    <n v="8.7719298245614002E-2"/>
    <x v="6"/>
    <d v="2024-11-28T00:00:00"/>
    <s v="Hyderabad"/>
    <x v="2"/>
    <x v="5"/>
    <s v="November"/>
    <x v="5"/>
    <n v="2.1306140350877101"/>
    <n v="3.28"/>
    <n v="15.18"/>
    <n v="24.29"/>
    <n v="37.92"/>
    <n v="33.5"/>
    <n v="1.38"/>
  </r>
  <r>
    <n v="1628"/>
    <s v="A2628"/>
    <x v="2"/>
    <n v="129"/>
    <x v="1245"/>
    <n v="180"/>
    <n v="28"/>
    <n v="5"/>
    <n v="3.8759689922480599E-2"/>
    <x v="98"/>
    <d v="2024-11-10T00:00:00"/>
    <s v="Hyderabad"/>
    <x v="0"/>
    <x v="2"/>
    <s v="November"/>
    <x v="4"/>
    <n v="1.3966666666666601"/>
    <n v="2.92"/>
    <n v="6.43"/>
    <n v="36.03"/>
    <n v="32.65"/>
    <n v="47.8"/>
    <n v="1.33"/>
  </r>
  <r>
    <n v="1629"/>
    <s v="A2629"/>
    <x v="1"/>
    <n v="128"/>
    <x v="1246"/>
    <n v="204"/>
    <n v="18"/>
    <n v="6"/>
    <n v="4.6875E-2"/>
    <x v="189"/>
    <d v="2024-11-29T00:00:00"/>
    <s v="Hyderabad"/>
    <x v="0"/>
    <x v="3"/>
    <s v="November"/>
    <x v="3"/>
    <n v="1.5960156249999999"/>
    <n v="2.67"/>
    <n v="11.35"/>
    <n v="34.049999999999997"/>
    <n v="87.97"/>
    <n v="64"/>
    <n v="1.88"/>
  </r>
  <r>
    <n v="1630"/>
    <s v="A2630"/>
    <x v="1"/>
    <n v="120"/>
    <x v="287"/>
    <n v="242"/>
    <n v="26"/>
    <n v="3"/>
    <n v="2.5000000000000001E-2"/>
    <x v="121"/>
    <d v="2024-11-25T00:00:00"/>
    <s v="Hyderabad"/>
    <x v="0"/>
    <x v="5"/>
    <s v="November"/>
    <x v="6"/>
    <n v="2.0162499999999999"/>
    <n v="2.0299999999999998"/>
    <n v="9.31"/>
    <n v="80.650000000000006"/>
    <n v="5.81"/>
    <n v="85.33"/>
    <n v="1.06"/>
  </r>
  <r>
    <n v="1631"/>
    <s v="A2631"/>
    <x v="2"/>
    <n v="99"/>
    <x v="1247"/>
    <n v="192"/>
    <n v="14"/>
    <n v="5"/>
    <n v="5.0505050505050497E-2"/>
    <x v="89"/>
    <d v="2024-11-19T00:00:00"/>
    <s v="Hyderabad"/>
    <x v="1"/>
    <x v="5"/>
    <s v="November"/>
    <x v="2"/>
    <n v="1.94030303030303"/>
    <n v="2.41"/>
    <n v="13.72"/>
    <n v="38.42"/>
    <n v="59.3"/>
    <n v="61.2"/>
    <n v="1.59"/>
  </r>
  <r>
    <n v="1632"/>
    <s v="A2632"/>
    <x v="1"/>
    <n v="180"/>
    <x v="1248"/>
    <n v="188"/>
    <n v="14"/>
    <n v="10"/>
    <n v="5.5555555555555497E-2"/>
    <x v="64"/>
    <d v="2024-11-19T00:00:00"/>
    <s v="Hyderabad"/>
    <x v="0"/>
    <x v="2"/>
    <s v="November"/>
    <x v="2"/>
    <n v="1.04216666666666"/>
    <n v="5.45"/>
    <n v="13.4"/>
    <n v="18.760000000000002"/>
    <n v="149.02000000000001"/>
    <n v="46.71"/>
    <n v="2.4900000000000002"/>
  </r>
  <r>
    <n v="1633"/>
    <s v="A2633"/>
    <x v="2"/>
    <n v="154"/>
    <x v="1249"/>
    <n v="211"/>
    <n v="26"/>
    <n v="10"/>
    <n v="6.4935064935064901E-2"/>
    <x v="212"/>
    <d v="2024-11-14T00:00:00"/>
    <s v="Hyderabad"/>
    <x v="2"/>
    <x v="4"/>
    <s v="November"/>
    <x v="5"/>
    <n v="1.3711688311688299"/>
    <n v="4.3899999999999997"/>
    <n v="8.1199999999999992"/>
    <n v="21.12"/>
    <n v="12.71"/>
    <n v="23.8"/>
    <n v="1.1299999999999999"/>
  </r>
  <r>
    <n v="1634"/>
    <s v="A2634"/>
    <x v="1"/>
    <n v="89"/>
    <x v="449"/>
    <n v="235"/>
    <n v="29"/>
    <n v="8"/>
    <n v="8.98876404494382E-2"/>
    <x v="32"/>
    <d v="2024-11-28T00:00:00"/>
    <s v="Hyderabad"/>
    <x v="2"/>
    <x v="1"/>
    <s v="November"/>
    <x v="5"/>
    <n v="2.6349438202247102"/>
    <n v="2.73"/>
    <n v="8.09"/>
    <n v="29.31"/>
    <n v="59.36"/>
    <n v="46.71"/>
    <n v="1.59"/>
  </r>
  <r>
    <n v="1635"/>
    <s v="A2635"/>
    <x v="3"/>
    <n v="136"/>
    <x v="223"/>
    <n v="250"/>
    <n v="15"/>
    <n v="9"/>
    <n v="6.6176470588235295E-2"/>
    <x v="147"/>
    <d v="2024-11-28T00:00:00"/>
    <s v="Hyderabad"/>
    <x v="2"/>
    <x v="5"/>
    <s v="November"/>
    <x v="5"/>
    <n v="1.8374264705882299"/>
    <n v="2.2799999999999998"/>
    <n v="16.66"/>
    <n v="27.77"/>
    <n v="20.45"/>
    <n v="33.44"/>
    <n v="1.2"/>
  </r>
  <r>
    <n v="1636"/>
    <s v="A2636"/>
    <x v="0"/>
    <n v="177"/>
    <x v="1250"/>
    <n v="182"/>
    <n v="19"/>
    <n v="4"/>
    <n v="2.2598870056497099E-2"/>
    <x v="203"/>
    <d v="2024-11-03T00:00:00"/>
    <s v="Hyderabad"/>
    <x v="2"/>
    <x v="1"/>
    <s v="November"/>
    <x v="4"/>
    <n v="1.02683615819209"/>
    <n v="3.27"/>
    <n v="9.57"/>
    <n v="45.44"/>
    <n v="101.38"/>
    <n v="91.5"/>
    <n v="2.0099999999999998"/>
  </r>
  <r>
    <n v="1637"/>
    <s v="A2637"/>
    <x v="2"/>
    <n v="145"/>
    <x v="1251"/>
    <n v="221"/>
    <n v="10"/>
    <n v="7"/>
    <n v="4.8275862068965503E-2"/>
    <x v="129"/>
    <d v="2024-11-19T00:00:00"/>
    <s v="Hyderabad"/>
    <x v="1"/>
    <x v="3"/>
    <s v="November"/>
    <x v="2"/>
    <n v="1.5243795620437901"/>
    <n v="2.63"/>
    <n v="22.1"/>
    <n v="31.58"/>
    <n v="53.82"/>
    <n v="48.57"/>
    <n v="1.54"/>
  </r>
  <r>
    <n v="1638"/>
    <s v="A2638"/>
    <x v="1"/>
    <n v="152"/>
    <x v="1252"/>
    <n v="248"/>
    <n v="16"/>
    <n v="6"/>
    <n v="3.94736842105263E-2"/>
    <x v="14"/>
    <d v="2024-11-27T00:00:00"/>
    <s v="Hyderabad"/>
    <x v="1"/>
    <x v="5"/>
    <s v="November"/>
    <x v="1"/>
    <n v="1.6321052631578901"/>
    <n v="2.8"/>
    <n v="15.5"/>
    <n v="41.35"/>
    <n v="44.31"/>
    <n v="59.67"/>
    <n v="1.44"/>
  </r>
  <r>
    <n v="1639"/>
    <s v="A2639"/>
    <x v="0"/>
    <n v="187"/>
    <x v="1253"/>
    <n v="227"/>
    <n v="18"/>
    <n v="10"/>
    <n v="5.3475935828876997E-2"/>
    <x v="18"/>
    <d v="2024-11-25T00:00:00"/>
    <s v="Hyderabad"/>
    <x v="2"/>
    <x v="3"/>
    <s v="November"/>
    <x v="6"/>
    <n v="1.21470588235294"/>
    <n v="3.61"/>
    <n v="12.62"/>
    <n v="22.72"/>
    <n v="36.03"/>
    <n v="30.9"/>
    <n v="1.36"/>
  </r>
  <r>
    <n v="1640"/>
    <s v="A2640"/>
    <x v="0"/>
    <n v="91"/>
    <x v="1254"/>
    <n v="198"/>
    <n v="16"/>
    <n v="6"/>
    <n v="6.5934065934065894E-2"/>
    <x v="96"/>
    <d v="2024-11-20T00:00:00"/>
    <s v="Hyderabad"/>
    <x v="1"/>
    <x v="3"/>
    <s v="November"/>
    <x v="1"/>
    <n v="2.1785714285714199"/>
    <n v="1.66"/>
    <n v="12.39"/>
    <n v="33.04"/>
    <n v="103.78"/>
    <n v="67.33"/>
    <n v="2.04"/>
  </r>
  <r>
    <n v="1641"/>
    <s v="A2641"/>
    <x v="3"/>
    <n v="180"/>
    <x v="636"/>
    <n v="239"/>
    <n v="30"/>
    <n v="10"/>
    <n v="5.5555555555555497E-2"/>
    <x v="211"/>
    <d v="2024-11-24T00:00:00"/>
    <s v="Hyderabad"/>
    <x v="0"/>
    <x v="1"/>
    <s v="November"/>
    <x v="4"/>
    <n v="1.32694444444444"/>
    <n v="3.25"/>
    <n v="7.96"/>
    <n v="23.88"/>
    <n v="68.31"/>
    <n v="40.200000000000003"/>
    <n v="1.68"/>
  </r>
  <r>
    <n v="1642"/>
    <s v="A2642"/>
    <x v="3"/>
    <n v="122"/>
    <x v="543"/>
    <n v="191"/>
    <n v="24"/>
    <n v="6"/>
    <n v="4.9180327868852403E-2"/>
    <x v="58"/>
    <d v="2024-11-10T00:00:00"/>
    <s v="Hyderabad"/>
    <x v="0"/>
    <x v="1"/>
    <s v="November"/>
    <x v="4"/>
    <n v="1.56753061615001"/>
    <n v="2.84"/>
    <n v="7.97"/>
    <n v="31.87"/>
    <n v="43.8"/>
    <n v="45.83"/>
    <n v="1.44"/>
  </r>
  <r>
    <n v="1643"/>
    <s v="A2643"/>
    <x v="0"/>
    <n v="131"/>
    <x v="875"/>
    <n v="195"/>
    <n v="21"/>
    <n v="9"/>
    <n v="6.8702290076335798E-2"/>
    <x v="39"/>
    <d v="2024-11-09T00:00:00"/>
    <s v="Hyderabad"/>
    <x v="2"/>
    <x v="3"/>
    <s v="November"/>
    <x v="0"/>
    <n v="1.48519083969465"/>
    <n v="3.04"/>
    <n v="9.26"/>
    <n v="21.62"/>
    <n v="26.95"/>
    <n v="27.44"/>
    <n v="1.27"/>
  </r>
  <r>
    <n v="1644"/>
    <s v="A2644"/>
    <x v="2"/>
    <n v="157"/>
    <x v="1247"/>
    <n v="208"/>
    <n v="27"/>
    <n v="8"/>
    <n v="5.0955414012738801E-2"/>
    <x v="78"/>
    <d v="2024-11-05T00:00:00"/>
    <s v="Hyderabad"/>
    <x v="2"/>
    <x v="3"/>
    <s v="November"/>
    <x v="2"/>
    <n v="1.3277707006369399"/>
    <n v="3.82"/>
    <n v="7.72"/>
    <n v="26.06"/>
    <n v="16.09"/>
    <n v="30.25"/>
    <n v="1.1599999999999999"/>
  </r>
  <r>
    <n v="1645"/>
    <s v="A2645"/>
    <x v="0"/>
    <n v="178"/>
    <x v="1112"/>
    <n v="196"/>
    <n v="25"/>
    <n v="4"/>
    <n v="2.2471910112359501E-2"/>
    <x v="157"/>
    <d v="2024-11-22T00:00:00"/>
    <s v="Hyderabad"/>
    <x v="1"/>
    <x v="2"/>
    <s v="November"/>
    <x v="3"/>
    <n v="1.1000000000000001"/>
    <n v="3.16"/>
    <n v="7.83"/>
    <n v="48.95"/>
    <n v="88.46"/>
    <n v="92.25"/>
    <n v="1.88"/>
  </r>
  <r>
    <n v="1646"/>
    <s v="A2646"/>
    <x v="0"/>
    <n v="94"/>
    <x v="1255"/>
    <n v="198"/>
    <n v="12"/>
    <n v="8"/>
    <n v="8.5106382978723402E-2"/>
    <x v="45"/>
    <d v="2024-11-10T00:00:00"/>
    <s v="Hyderabad"/>
    <x v="2"/>
    <x v="1"/>
    <s v="November"/>
    <x v="4"/>
    <n v="2.1084042553191402"/>
    <n v="2.4700000000000002"/>
    <n v="16.52"/>
    <n v="24.77"/>
    <n v="56.92"/>
    <n v="38.880000000000003"/>
    <n v="1.57"/>
  </r>
  <r>
    <n v="1647"/>
    <s v="A2647"/>
    <x v="3"/>
    <n v="130"/>
    <x v="1256"/>
    <n v="196"/>
    <n v="25"/>
    <n v="9"/>
    <n v="6.9230769230769207E-2"/>
    <x v="192"/>
    <d v="2024-11-18T00:00:00"/>
    <s v="Hyderabad"/>
    <x v="0"/>
    <x v="5"/>
    <s v="November"/>
    <x v="6"/>
    <n v="1.508"/>
    <n v="2.85"/>
    <n v="7.84"/>
    <n v="21.78"/>
    <n v="44.36"/>
    <n v="31.44"/>
    <n v="1.44"/>
  </r>
  <r>
    <n v="1648"/>
    <s v="A2648"/>
    <x v="0"/>
    <n v="169"/>
    <x v="1257"/>
    <n v="200"/>
    <n v="19"/>
    <n v="5"/>
    <n v="2.9585798816568001E-2"/>
    <x v="169"/>
    <d v="2024-11-30T00:00:00"/>
    <s v="Hyderabad"/>
    <x v="1"/>
    <x v="4"/>
    <s v="November"/>
    <x v="0"/>
    <n v="1.1855621301775101"/>
    <n v="2.88"/>
    <n v="10.55"/>
    <n v="40.07"/>
    <n v="50.73"/>
    <n v="60.4"/>
    <n v="1.51"/>
  </r>
  <r>
    <n v="1649"/>
    <s v="A2649"/>
    <x v="1"/>
    <n v="176"/>
    <x v="35"/>
    <n v="241"/>
    <n v="14"/>
    <n v="8"/>
    <n v="4.54545454545454E-2"/>
    <x v="66"/>
    <d v="2024-11-15T00:00:00"/>
    <s v="Hyderabad"/>
    <x v="1"/>
    <x v="2"/>
    <s v="November"/>
    <x v="3"/>
    <n v="1.37"/>
    <n v="3.34"/>
    <n v="17.22"/>
    <n v="30.14"/>
    <n v="68.8"/>
    <n v="50.88"/>
    <n v="1.69"/>
  </r>
  <r>
    <n v="1650"/>
    <s v="A2650"/>
    <x v="2"/>
    <n v="143"/>
    <x v="679"/>
    <n v="208"/>
    <n v="21"/>
    <n v="10"/>
    <n v="6.9930069930069894E-2"/>
    <x v="67"/>
    <d v="2024-11-13T00:00:00"/>
    <s v="Hyderabad"/>
    <x v="2"/>
    <x v="5"/>
    <s v="November"/>
    <x v="1"/>
    <n v="1.45216783216783"/>
    <n v="2.88"/>
    <n v="9.89"/>
    <n v="20.77"/>
    <n v="58.91"/>
    <n v="33"/>
    <n v="1.59"/>
  </r>
  <r>
    <n v="1651"/>
    <s v="A2651"/>
    <x v="1"/>
    <n v="153"/>
    <x v="1258"/>
    <n v="226"/>
    <n v="21"/>
    <n v="9"/>
    <n v="5.8823529411764698E-2"/>
    <x v="3"/>
    <d v="2024-11-10T00:00:00"/>
    <s v="Hyderabad"/>
    <x v="1"/>
    <x v="1"/>
    <s v="November"/>
    <x v="4"/>
    <n v="1.4769934640522799"/>
    <n v="2.89"/>
    <n v="10.76"/>
    <n v="25.11"/>
    <n v="10.63"/>
    <n v="27.78"/>
    <n v="1.1100000000000001"/>
  </r>
  <r>
    <n v="1652"/>
    <s v="A2652"/>
    <x v="3"/>
    <n v="96"/>
    <x v="1259"/>
    <n v="211"/>
    <n v="19"/>
    <n v="10"/>
    <n v="0.10416666666666601"/>
    <x v="206"/>
    <d v="2024-11-21T00:00:00"/>
    <s v="Hyderabad"/>
    <x v="0"/>
    <x v="0"/>
    <s v="November"/>
    <x v="5"/>
    <n v="2.1978124999999999"/>
    <n v="1.72"/>
    <n v="11.1"/>
    <n v="21.1"/>
    <n v="27.49"/>
    <n v="26.9"/>
    <n v="1.27"/>
  </r>
  <r>
    <n v="1653"/>
    <s v="A2653"/>
    <x v="3"/>
    <n v="96"/>
    <x v="1260"/>
    <n v="198"/>
    <n v="13"/>
    <n v="5"/>
    <n v="5.2083333333333301E-2"/>
    <x v="76"/>
    <d v="2024-11-27T00:00:00"/>
    <s v="Hyderabad"/>
    <x v="1"/>
    <x v="4"/>
    <s v="November"/>
    <x v="1"/>
    <n v="2.0667708333333299"/>
    <n v="1.98"/>
    <n v="15.26"/>
    <n v="39.68"/>
    <n v="22.98"/>
    <n v="48.8"/>
    <n v="1.23"/>
  </r>
  <r>
    <n v="1654"/>
    <s v="A2654"/>
    <x v="3"/>
    <n v="172"/>
    <x v="106"/>
    <n v="266"/>
    <n v="12"/>
    <n v="7"/>
    <n v="4.0697674418604599E-2"/>
    <x v="158"/>
    <d v="2024-11-17T00:00:00"/>
    <s v="Hyderabad"/>
    <x v="2"/>
    <x v="0"/>
    <s v="November"/>
    <x v="4"/>
    <n v="1.5454545454545401"/>
    <n v="4.17"/>
    <n v="22.15"/>
    <n v="37.97"/>
    <n v="-17.989999999999998"/>
    <n v="31.14"/>
    <n v="0.82"/>
  </r>
  <r>
    <n v="1655"/>
    <s v="A2655"/>
    <x v="1"/>
    <n v="197"/>
    <x v="709"/>
    <n v="219"/>
    <n v="24"/>
    <n v="5"/>
    <n v="2.5380710659898401E-2"/>
    <x v="83"/>
    <d v="2024-11-30T00:00:00"/>
    <s v="Hyderabad"/>
    <x v="1"/>
    <x v="4"/>
    <s v="November"/>
    <x v="0"/>
    <n v="1.11243654822335"/>
    <n v="4.24"/>
    <n v="9.1300000000000008"/>
    <n v="43.83"/>
    <n v="77.959999999999994"/>
    <n v="78"/>
    <n v="1.78"/>
  </r>
  <r>
    <n v="1656"/>
    <s v="A2656"/>
    <x v="0"/>
    <n v="191"/>
    <x v="1261"/>
    <n v="250"/>
    <n v="25"/>
    <n v="6"/>
    <n v="3.1413612565444997E-2"/>
    <x v="33"/>
    <d v="2024-11-16T00:00:00"/>
    <s v="Hyderabad"/>
    <x v="0"/>
    <x v="2"/>
    <s v="November"/>
    <x v="0"/>
    <n v="1.30727748691099"/>
    <n v="3.35"/>
    <n v="9.99"/>
    <n v="41.62"/>
    <n v="48.98"/>
    <n v="62"/>
    <n v="1.49"/>
  </r>
  <r>
    <n v="1657"/>
    <s v="A2657"/>
    <x v="0"/>
    <n v="167"/>
    <x v="1262"/>
    <n v="235"/>
    <n v="10"/>
    <n v="7"/>
    <n v="4.1916167664670601E-2"/>
    <x v="146"/>
    <d v="2024-11-17T00:00:00"/>
    <s v="Hyderabad"/>
    <x v="0"/>
    <x v="2"/>
    <s v="November"/>
    <x v="4"/>
    <n v="1.40838323353293"/>
    <n v="4.8600000000000003"/>
    <n v="23.52"/>
    <n v="33.6"/>
    <n v="6.72"/>
    <n v="35.86"/>
    <n v="1.07"/>
  </r>
  <r>
    <n v="1658"/>
    <s v="A2658"/>
    <x v="1"/>
    <n v="191"/>
    <x v="1263"/>
    <n v="217"/>
    <n v="27"/>
    <n v="6"/>
    <n v="3.1413612565444997E-2"/>
    <x v="0"/>
    <d v="2024-11-23T00:00:00"/>
    <s v="Hyderabad"/>
    <x v="2"/>
    <x v="5"/>
    <s v="November"/>
    <x v="0"/>
    <n v="1.1384293193717201"/>
    <n v="5.29"/>
    <n v="8.0500000000000007"/>
    <n v="36.24"/>
    <n v="77.52"/>
    <n v="64.33"/>
    <n v="1.78"/>
  </r>
  <r>
    <n v="1659"/>
    <s v="A2659"/>
    <x v="1"/>
    <n v="90"/>
    <x v="1264"/>
    <n v="238"/>
    <n v="21"/>
    <n v="6"/>
    <n v="6.6666666666666596E-2"/>
    <x v="86"/>
    <d v="2024-11-21T00:00:00"/>
    <s v="Hyderabad"/>
    <x v="0"/>
    <x v="2"/>
    <s v="November"/>
    <x v="5"/>
    <n v="2.64577777777777"/>
    <n v="2.35"/>
    <n v="11.34"/>
    <n v="39.69"/>
    <n v="28.93"/>
    <n v="51.17"/>
    <n v="1.29"/>
  </r>
  <r>
    <n v="1660"/>
    <s v="A2660"/>
    <x v="2"/>
    <n v="115"/>
    <x v="1265"/>
    <n v="180"/>
    <n v="17"/>
    <n v="7"/>
    <n v="6.08695652173913E-2"/>
    <x v="66"/>
    <d v="2024-11-15T00:00:00"/>
    <s v="Hyderabad"/>
    <x v="0"/>
    <x v="1"/>
    <s v="November"/>
    <x v="3"/>
    <n v="1.5695652173912999"/>
    <n v="2.12"/>
    <n v="10.62"/>
    <n v="25.79"/>
    <n v="125.48"/>
    <n v="58.14"/>
    <n v="2.25"/>
  </r>
  <r>
    <n v="1661"/>
    <s v="A2661"/>
    <x v="0"/>
    <n v="188"/>
    <x v="1241"/>
    <n v="226"/>
    <n v="28"/>
    <n v="7"/>
    <n v="3.7234042553191397E-2"/>
    <x v="78"/>
    <d v="2024-11-14T00:00:00"/>
    <s v="Hyderabad"/>
    <x v="1"/>
    <x v="4"/>
    <s v="November"/>
    <x v="5"/>
    <n v="1.2028191489361699"/>
    <n v="4.37"/>
    <n v="8.08"/>
    <n v="32.299999999999997"/>
    <n v="7.02"/>
    <n v="34.57"/>
    <n v="1.07"/>
  </r>
  <r>
    <n v="1662"/>
    <s v="A2662"/>
    <x v="2"/>
    <n v="173"/>
    <x v="1266"/>
    <n v="221"/>
    <n v="29"/>
    <n v="4"/>
    <n v="2.3121387283236899E-2"/>
    <x v="128"/>
    <d v="2024-11-25T00:00:00"/>
    <s v="Hyderabad"/>
    <x v="0"/>
    <x v="0"/>
    <s v="November"/>
    <x v="6"/>
    <n v="1.2790751445086701"/>
    <n v="4.5199999999999996"/>
    <n v="7.63"/>
    <n v="55.32"/>
    <n v="30.6"/>
    <n v="72.25"/>
    <n v="1.31"/>
  </r>
  <r>
    <n v="1663"/>
    <s v="A2663"/>
    <x v="3"/>
    <n v="107"/>
    <x v="1267"/>
    <n v="192"/>
    <n v="21"/>
    <n v="10"/>
    <n v="9.34579439252336E-2"/>
    <x v="14"/>
    <d v="2024-11-29T00:00:00"/>
    <s v="Hyderabad"/>
    <x v="1"/>
    <x v="0"/>
    <s v="November"/>
    <x v="3"/>
    <n v="1.79607476635514"/>
    <n v="2.57"/>
    <n v="9.15"/>
    <n v="19.22"/>
    <n v="86.28"/>
    <n v="35.799999999999997"/>
    <n v="1.86"/>
  </r>
  <r>
    <n v="1664"/>
    <s v="A2664"/>
    <x v="3"/>
    <n v="171"/>
    <x v="1169"/>
    <n v="230"/>
    <n v="14"/>
    <n v="7"/>
    <n v="4.0935672514619798E-2"/>
    <x v="93"/>
    <d v="2024-11-17T00:00:00"/>
    <s v="Hyderabad"/>
    <x v="2"/>
    <x v="5"/>
    <s v="November"/>
    <x v="4"/>
    <n v="1.3471929824561399"/>
    <n v="2.87"/>
    <n v="16.46"/>
    <n v="32.909999999999997"/>
    <n v="27.19"/>
    <n v="41.86"/>
    <n v="1.27"/>
  </r>
  <r>
    <n v="1665"/>
    <s v="A2665"/>
    <x v="2"/>
    <n v="87"/>
    <x v="611"/>
    <n v="242"/>
    <n v="12"/>
    <n v="7"/>
    <n v="8.04597701149425E-2"/>
    <x v="129"/>
    <d v="2024-11-15T00:00:00"/>
    <s v="Hyderabad"/>
    <x v="0"/>
    <x v="0"/>
    <s v="November"/>
    <x v="3"/>
    <n v="2.7816091954022899"/>
    <n v="1.8"/>
    <n v="20.170000000000002"/>
    <n v="34.57"/>
    <n v="40.5"/>
    <n v="48.57"/>
    <n v="1.4"/>
  </r>
  <r>
    <n v="1666"/>
    <s v="A2666"/>
    <x v="2"/>
    <n v="199"/>
    <x v="1268"/>
    <n v="227"/>
    <n v="27"/>
    <n v="3"/>
    <n v="1.5075376884422099E-2"/>
    <x v="22"/>
    <d v="2024-11-25T00:00:00"/>
    <s v="Hyderabad"/>
    <x v="1"/>
    <x v="3"/>
    <s v="November"/>
    <x v="6"/>
    <n v="1.1398994974874299"/>
    <n v="5.35"/>
    <n v="8.4"/>
    <n v="75.61"/>
    <n v="30.49"/>
    <n v="98.67"/>
    <n v="1.3"/>
  </r>
  <r>
    <n v="1667"/>
    <s v="A2667"/>
    <x v="0"/>
    <n v="195"/>
    <x v="1269"/>
    <n v="232"/>
    <n v="28"/>
    <n v="3"/>
    <n v="1.53846153846153E-2"/>
    <x v="130"/>
    <d v="2024-11-12T00:00:00"/>
    <s v="Hyderabad"/>
    <x v="2"/>
    <x v="1"/>
    <s v="November"/>
    <x v="2"/>
    <n v="1.1877948717948701"/>
    <n v="3.76"/>
    <n v="8.27"/>
    <n v="77.209999999999994"/>
    <n v="26.07"/>
    <n v="97.33"/>
    <n v="1.26"/>
  </r>
  <r>
    <n v="1668"/>
    <s v="A2668"/>
    <x v="0"/>
    <n v="97"/>
    <x v="1270"/>
    <n v="233"/>
    <n v="11"/>
    <n v="9"/>
    <n v="9.2783505154639095E-2"/>
    <x v="138"/>
    <d v="2024-11-16T00:00:00"/>
    <s v="Hyderabad"/>
    <x v="2"/>
    <x v="5"/>
    <s v="November"/>
    <x v="0"/>
    <n v="2.4003092783505098"/>
    <n v="2.4700000000000002"/>
    <n v="21.17"/>
    <n v="25.87"/>
    <n v="65.36"/>
    <n v="42.78"/>
    <n v="1.65"/>
  </r>
  <r>
    <n v="1669"/>
    <s v="A2669"/>
    <x v="2"/>
    <n v="184"/>
    <x v="392"/>
    <n v="201"/>
    <n v="26"/>
    <n v="6"/>
    <n v="3.2608695652173898E-2"/>
    <x v="48"/>
    <d v="2024-11-26T00:00:00"/>
    <s v="Hyderabad"/>
    <x v="1"/>
    <x v="2"/>
    <s v="November"/>
    <x v="2"/>
    <n v="1.09233695652173"/>
    <n v="4.8099999999999996"/>
    <n v="7.73"/>
    <n v="33.5"/>
    <n v="3.99"/>
    <n v="34.83"/>
    <n v="1.04"/>
  </r>
  <r>
    <n v="1670"/>
    <s v="A2670"/>
    <x v="1"/>
    <n v="168"/>
    <x v="1271"/>
    <n v="222"/>
    <n v="19"/>
    <n v="8"/>
    <n v="4.7619047619047603E-2"/>
    <x v="195"/>
    <d v="2024-11-29T00:00:00"/>
    <s v="Hyderabad"/>
    <x v="1"/>
    <x v="3"/>
    <s v="November"/>
    <x v="3"/>
    <n v="1.3201190476190401"/>
    <n v="3.1"/>
    <n v="11.67"/>
    <n v="27.72"/>
    <n v="57.81"/>
    <n v="43.75"/>
    <n v="1.58"/>
  </r>
  <r>
    <n v="1671"/>
    <s v="A2671"/>
    <x v="2"/>
    <n v="128"/>
    <x v="1272"/>
    <n v="223"/>
    <n v="26"/>
    <n v="4"/>
    <n v="3.125E-2"/>
    <x v="17"/>
    <d v="2024-11-14T00:00:00"/>
    <s v="Hyderabad"/>
    <x v="0"/>
    <x v="2"/>
    <s v="November"/>
    <x v="5"/>
    <n v="1.74046875"/>
    <n v="3.21"/>
    <n v="8.57"/>
    <n v="55.7"/>
    <n v="63.39"/>
    <n v="91"/>
    <n v="1.63"/>
  </r>
  <r>
    <n v="1672"/>
    <s v="A2672"/>
    <x v="0"/>
    <n v="117"/>
    <x v="1273"/>
    <n v="214"/>
    <n v="26"/>
    <n v="4"/>
    <n v="3.4188034188034101E-2"/>
    <x v="159"/>
    <d v="2024-11-27T00:00:00"/>
    <s v="Hyderabad"/>
    <x v="1"/>
    <x v="4"/>
    <s v="November"/>
    <x v="1"/>
    <n v="1.8278632478632399"/>
    <n v="2.48"/>
    <n v="8.23"/>
    <n v="53.46"/>
    <n v="-12.63"/>
    <n v="46.71"/>
    <n v="0.87"/>
  </r>
  <r>
    <n v="1673"/>
    <s v="A2673"/>
    <x v="1"/>
    <n v="142"/>
    <x v="758"/>
    <n v="183"/>
    <n v="19"/>
    <n v="9"/>
    <n v="6.3380281690140802E-2"/>
    <x v="98"/>
    <d v="2024-11-07T00:00:00"/>
    <s v="Hyderabad"/>
    <x v="0"/>
    <x v="4"/>
    <s v="November"/>
    <x v="5"/>
    <n v="1.28978873239436"/>
    <n v="2.7"/>
    <n v="9.64"/>
    <n v="20.350000000000001"/>
    <n v="30.49"/>
    <n v="26.56"/>
    <n v="1.3"/>
  </r>
  <r>
    <n v="1674"/>
    <s v="A2674"/>
    <x v="1"/>
    <n v="194"/>
    <x v="1274"/>
    <n v="202"/>
    <n v="15"/>
    <n v="10"/>
    <n v="5.1546391752577303E-2"/>
    <x v="156"/>
    <d v="2024-11-06T00:00:00"/>
    <s v="Hyderabad"/>
    <x v="1"/>
    <x v="2"/>
    <s v="November"/>
    <x v="1"/>
    <n v="1.0391237113402001"/>
    <n v="3.68"/>
    <n v="13.44"/>
    <n v="20.16"/>
    <n v="3.18"/>
    <n v="20.8"/>
    <n v="1.03"/>
  </r>
  <r>
    <n v="1675"/>
    <s v="A2675"/>
    <x v="0"/>
    <n v="141"/>
    <x v="619"/>
    <n v="194"/>
    <n v="20"/>
    <n v="6"/>
    <n v="4.2553191489361701E-2"/>
    <x v="207"/>
    <d v="2024-11-26T00:00:00"/>
    <s v="Hyderabad"/>
    <x v="0"/>
    <x v="1"/>
    <s v="November"/>
    <x v="2"/>
    <n v="1.3729078014184299"/>
    <n v="2.4900000000000002"/>
    <n v="9.68"/>
    <n v="32.26"/>
    <n v="106.12"/>
    <n v="66.5"/>
    <n v="2.06"/>
  </r>
  <r>
    <n v="1676"/>
    <s v="A2676"/>
    <x v="0"/>
    <n v="137"/>
    <x v="1275"/>
    <n v="195"/>
    <n v="17"/>
    <n v="6"/>
    <n v="4.3795620437956199E-2"/>
    <x v="126"/>
    <d v="2024-11-08T00:00:00"/>
    <s v="Hyderabad"/>
    <x v="2"/>
    <x v="5"/>
    <s v="November"/>
    <x v="3"/>
    <n v="1.42379562043795"/>
    <n v="4.3499999999999996"/>
    <n v="11.47"/>
    <n v="32.51"/>
    <n v="79.94"/>
    <n v="58.5"/>
    <n v="1.8"/>
  </r>
  <r>
    <n v="1677"/>
    <s v="A2677"/>
    <x v="1"/>
    <n v="162"/>
    <x v="1276"/>
    <n v="196"/>
    <n v="27"/>
    <n v="8"/>
    <n v="4.9382716049382699E-2"/>
    <x v="32"/>
    <d v="2024-11-13T00:00:00"/>
    <s v="Hyderabad"/>
    <x v="2"/>
    <x v="2"/>
    <s v="November"/>
    <x v="1"/>
    <n v="1.21228395061728"/>
    <n v="2.79"/>
    <n v="7.27"/>
    <n v="24.55"/>
    <n v="90.29"/>
    <n v="46.71"/>
    <n v="1.9"/>
  </r>
  <r>
    <n v="1678"/>
    <s v="A2678"/>
    <x v="0"/>
    <n v="151"/>
    <x v="553"/>
    <n v="187"/>
    <n v="30"/>
    <n v="6"/>
    <n v="3.9735099337748297E-2"/>
    <x v="123"/>
    <d v="2024-11-13T00:00:00"/>
    <s v="Hyderabad"/>
    <x v="1"/>
    <x v="4"/>
    <s v="November"/>
    <x v="1"/>
    <n v="1.23841059602649"/>
    <n v="4.33"/>
    <n v="6.23"/>
    <n v="31.17"/>
    <n v="66.84"/>
    <n v="52"/>
    <n v="1.67"/>
  </r>
  <r>
    <n v="1679"/>
    <s v="A2679"/>
    <x v="1"/>
    <n v="87"/>
    <x v="840"/>
    <n v="210"/>
    <n v="17"/>
    <n v="7"/>
    <n v="8.04597701149425E-2"/>
    <x v="205"/>
    <d v="2024-11-23T00:00:00"/>
    <s v="Hyderabad"/>
    <x v="2"/>
    <x v="4"/>
    <s v="November"/>
    <x v="0"/>
    <n v="2.4117241379310301"/>
    <n v="2.1"/>
    <n v="12.34"/>
    <n v="29.97"/>
    <n v="12"/>
    <n v="33.57"/>
    <n v="1.1200000000000001"/>
  </r>
  <r>
    <n v="1680"/>
    <s v="A2680"/>
    <x v="3"/>
    <n v="183"/>
    <x v="509"/>
    <n v="192"/>
    <n v="12"/>
    <n v="7"/>
    <n v="3.8251366120218497E-2"/>
    <x v="199"/>
    <d v="2024-11-10T00:00:00"/>
    <s v="Hyderabad"/>
    <x v="1"/>
    <x v="5"/>
    <s v="November"/>
    <x v="4"/>
    <n v="1.04852459016393"/>
    <n v="3.23"/>
    <n v="15.99"/>
    <n v="27.41"/>
    <n v="94.39"/>
    <n v="53.29"/>
    <n v="1.94"/>
  </r>
  <r>
    <n v="1681"/>
    <s v="A2681"/>
    <x v="0"/>
    <n v="120"/>
    <x v="1277"/>
    <n v="197"/>
    <n v="12"/>
    <n v="6"/>
    <n v="0.05"/>
    <x v="45"/>
    <d v="2024-11-23T00:00:00"/>
    <s v="Hyderabad"/>
    <x v="0"/>
    <x v="3"/>
    <s v="November"/>
    <x v="0"/>
    <n v="1.6452500000000001"/>
    <n v="3.31"/>
    <n v="16.45"/>
    <n v="32.9"/>
    <n v="57.52"/>
    <n v="51.83"/>
    <n v="1.58"/>
  </r>
  <r>
    <n v="1682"/>
    <s v="A2682"/>
    <x v="2"/>
    <n v="187"/>
    <x v="1278"/>
    <n v="220"/>
    <n v="10"/>
    <n v="5"/>
    <n v="2.6737967914438499E-2"/>
    <x v="157"/>
    <d v="2024-11-13T00:00:00"/>
    <s v="Hyderabad"/>
    <x v="2"/>
    <x v="5"/>
    <s v="November"/>
    <x v="1"/>
    <n v="1.17582887700534"/>
    <n v="3.38"/>
    <n v="21.99"/>
    <n v="43.98"/>
    <n v="67.819999999999993"/>
    <n v="73.8"/>
    <n v="1.68"/>
  </r>
  <r>
    <n v="1683"/>
    <s v="A2683"/>
    <x v="3"/>
    <n v="121"/>
    <x v="35"/>
    <n v="235"/>
    <n v="23"/>
    <n v="4"/>
    <n v="3.3057851239669402E-2"/>
    <x v="94"/>
    <d v="2024-11-05T00:00:00"/>
    <s v="Hyderabad"/>
    <x v="0"/>
    <x v="2"/>
    <s v="November"/>
    <x v="2"/>
    <n v="1.94115702479338"/>
    <n v="2.29"/>
    <n v="10.210000000000001"/>
    <n v="58.72"/>
    <n v="53.27"/>
    <n v="90"/>
    <n v="1.53"/>
  </r>
  <r>
    <n v="1684"/>
    <s v="A2684"/>
    <x v="3"/>
    <n v="173"/>
    <x v="724"/>
    <n v="226"/>
    <n v="13"/>
    <n v="8"/>
    <n v="4.6242774566473903E-2"/>
    <x v="189"/>
    <d v="2024-11-27T00:00:00"/>
    <s v="Hyderabad"/>
    <x v="1"/>
    <x v="4"/>
    <s v="November"/>
    <x v="1"/>
    <n v="1.3082080924855399"/>
    <n v="5.42"/>
    <n v="17.41"/>
    <n v="28.29"/>
    <n v="69.67"/>
    <n v="48"/>
    <n v="1.7"/>
  </r>
  <r>
    <n v="1685"/>
    <s v="A2685"/>
    <x v="0"/>
    <n v="165"/>
    <x v="1279"/>
    <n v="237"/>
    <n v="23"/>
    <n v="10"/>
    <n v="6.0606060606060601E-2"/>
    <x v="188"/>
    <d v="2024-11-25T00:00:00"/>
    <s v="Hyderabad"/>
    <x v="2"/>
    <x v="1"/>
    <s v="November"/>
    <x v="6"/>
    <n v="1.43830303030303"/>
    <n v="3.05"/>
    <n v="10.32"/>
    <n v="23.73"/>
    <n v="-14.04"/>
    <n v="20.399999999999999"/>
    <n v="0.86"/>
  </r>
  <r>
    <n v="1686"/>
    <s v="A2686"/>
    <x v="2"/>
    <n v="192"/>
    <x v="126"/>
    <n v="218"/>
    <n v="28"/>
    <n v="3"/>
    <n v="1.5625E-2"/>
    <x v="95"/>
    <d v="2024-11-30T00:00:00"/>
    <s v="Hyderabad"/>
    <x v="1"/>
    <x v="4"/>
    <s v="November"/>
    <x v="0"/>
    <n v="1.1361458333333301"/>
    <n v="5.1100000000000003"/>
    <n v="7.79"/>
    <n v="72.709999999999994"/>
    <n v="4.9800000000000004"/>
    <n v="76.33"/>
    <n v="1.05"/>
  </r>
  <r>
    <n v="1687"/>
    <s v="A2687"/>
    <x v="3"/>
    <n v="193"/>
    <x v="844"/>
    <n v="248"/>
    <n v="24"/>
    <n v="9"/>
    <n v="4.6632124352331598E-2"/>
    <x v="48"/>
    <d v="2024-11-06T00:00:00"/>
    <s v="Hyderabad"/>
    <x v="0"/>
    <x v="0"/>
    <s v="November"/>
    <x v="1"/>
    <n v="1.2870984455958501"/>
    <n v="4.29"/>
    <n v="10.35"/>
    <n v="27.6"/>
    <n v="-15.86"/>
    <n v="23.22"/>
    <n v="0.84"/>
  </r>
  <r>
    <n v="1688"/>
    <s v="A2688"/>
    <x v="1"/>
    <n v="138"/>
    <x v="1280"/>
    <n v="197"/>
    <n v="26"/>
    <n v="8"/>
    <n v="5.7971014492753603E-2"/>
    <x v="99"/>
    <d v="2024-11-19T00:00:00"/>
    <s v="Hyderabad"/>
    <x v="0"/>
    <x v="0"/>
    <s v="November"/>
    <x v="2"/>
    <n v="1.42811594202898"/>
    <n v="2.34"/>
    <n v="7.58"/>
    <n v="24.64"/>
    <n v="76.069999999999993"/>
    <n v="43.38"/>
    <n v="1.76"/>
  </r>
  <r>
    <n v="1689"/>
    <s v="A2689"/>
    <x v="1"/>
    <n v="104"/>
    <x v="942"/>
    <n v="163"/>
    <n v="15"/>
    <n v="6"/>
    <n v="5.7692307692307598E-2"/>
    <x v="162"/>
    <d v="2024-11-30T00:00:00"/>
    <s v="Hyderabad"/>
    <x v="0"/>
    <x v="3"/>
    <s v="November"/>
    <x v="0"/>
    <n v="1.56753061615001"/>
    <n v="2.4700000000000002"/>
    <n v="10.87"/>
    <n v="27.17"/>
    <n v="38.630000000000003"/>
    <n v="37.67"/>
    <n v="1.39"/>
  </r>
  <r>
    <n v="1690"/>
    <s v="A2690"/>
    <x v="1"/>
    <n v="162"/>
    <x v="1281"/>
    <n v="191"/>
    <n v="30"/>
    <n v="6"/>
    <n v="3.7037037037037E-2"/>
    <x v="27"/>
    <d v="2024-11-23T00:00:00"/>
    <s v="Hyderabad"/>
    <x v="2"/>
    <x v="0"/>
    <s v="November"/>
    <x v="0"/>
    <n v="1.1770987654320899"/>
    <n v="2.71"/>
    <n v="6.36"/>
    <n v="31.78"/>
    <n v="111.34"/>
    <n v="67.17"/>
    <n v="2.11"/>
  </r>
  <r>
    <n v="1691"/>
    <s v="A2691"/>
    <x v="0"/>
    <n v="115"/>
    <x v="1282"/>
    <n v="242"/>
    <n v="19"/>
    <n v="9"/>
    <n v="7.8260869565217397E-2"/>
    <x v="92"/>
    <d v="2024-11-16T00:00:00"/>
    <s v="Hyderabad"/>
    <x v="2"/>
    <x v="4"/>
    <s v="November"/>
    <x v="0"/>
    <n v="2.1030434782608598"/>
    <n v="2.3199999999999998"/>
    <n v="12.73"/>
    <n v="26.87"/>
    <n v="13.29"/>
    <n v="30.44"/>
    <n v="1.1299999999999999"/>
  </r>
  <r>
    <n v="1692"/>
    <s v="A2692"/>
    <x v="3"/>
    <n v="104"/>
    <x v="324"/>
    <n v="227"/>
    <n v="28"/>
    <n v="8"/>
    <n v="7.69230769230769E-2"/>
    <x v="211"/>
    <d v="2024-11-27T00:00:00"/>
    <s v="Hyderabad"/>
    <x v="1"/>
    <x v="1"/>
    <s v="November"/>
    <x v="1"/>
    <n v="2.1861538461538399"/>
    <n v="3.05"/>
    <n v="8.1199999999999992"/>
    <n v="28.42"/>
    <n v="76.81"/>
    <n v="50.25"/>
    <n v="1.77"/>
  </r>
  <r>
    <n v="1693"/>
    <s v="A2693"/>
    <x v="0"/>
    <n v="168"/>
    <x v="1283"/>
    <n v="197"/>
    <n v="22"/>
    <n v="8"/>
    <n v="4.7619047619047603E-2"/>
    <x v="129"/>
    <d v="2024-11-23T00:00:00"/>
    <s v="Hyderabad"/>
    <x v="2"/>
    <x v="0"/>
    <s v="November"/>
    <x v="0"/>
    <n v="1.1713690476190399"/>
    <n v="3.03"/>
    <n v="8.94"/>
    <n v="24.6"/>
    <n v="72.77"/>
    <n v="42.5"/>
    <n v="1.73"/>
  </r>
  <r>
    <n v="1694"/>
    <s v="A2694"/>
    <x v="0"/>
    <n v="146"/>
    <x v="1284"/>
    <n v="213"/>
    <n v="19"/>
    <n v="9"/>
    <n v="6.1643835616438297E-2"/>
    <x v="18"/>
    <d v="2024-11-09T00:00:00"/>
    <s v="Hyderabad"/>
    <x v="1"/>
    <x v="1"/>
    <s v="November"/>
    <x v="0"/>
    <n v="1.45664383561643"/>
    <n v="3.16"/>
    <n v="11.19"/>
    <n v="23.63"/>
    <n v="45.3"/>
    <n v="34.33"/>
    <n v="1.45"/>
  </r>
  <r>
    <n v="1695"/>
    <s v="A2695"/>
    <x v="3"/>
    <n v="82"/>
    <x v="1285"/>
    <n v="191"/>
    <n v="28"/>
    <n v="9"/>
    <n v="0.109756097560975"/>
    <x v="44"/>
    <d v="2024-11-03T00:00:00"/>
    <s v="Hyderabad"/>
    <x v="0"/>
    <x v="1"/>
    <s v="November"/>
    <x v="4"/>
    <n v="2.3320731707317002"/>
    <n v="1.56"/>
    <n v="6.83"/>
    <n v="21.25"/>
    <n v="45.9"/>
    <n v="31"/>
    <n v="1.46"/>
  </r>
  <r>
    <n v="1696"/>
    <s v="A2696"/>
    <x v="1"/>
    <n v="180"/>
    <x v="377"/>
    <n v="206"/>
    <n v="14"/>
    <n v="9"/>
    <n v="0.05"/>
    <x v="78"/>
    <d v="2024-11-24T00:00:00"/>
    <s v="Hyderabad"/>
    <x v="2"/>
    <x v="5"/>
    <s v="November"/>
    <x v="4"/>
    <n v="1.14627777777777"/>
    <n v="3.03"/>
    <n v="14.74"/>
    <n v="22.93"/>
    <n v="17.29"/>
    <n v="26.89"/>
    <n v="1.17"/>
  </r>
  <r>
    <n v="1697"/>
    <s v="A2697"/>
    <x v="0"/>
    <n v="142"/>
    <x v="1286"/>
    <n v="249"/>
    <n v="11"/>
    <n v="8"/>
    <n v="5.6338028169014003E-2"/>
    <x v="129"/>
    <d v="2024-11-05T00:00:00"/>
    <s v="Hyderabad"/>
    <x v="1"/>
    <x v="2"/>
    <s v="November"/>
    <x v="2"/>
    <n v="1.75542253521126"/>
    <n v="4.37"/>
    <n v="22.66"/>
    <n v="31.16"/>
    <n v="36.4"/>
    <n v="42.5"/>
    <n v="1.36"/>
  </r>
  <r>
    <n v="1698"/>
    <s v="A2698"/>
    <x v="3"/>
    <n v="198"/>
    <x v="1287"/>
    <n v="233"/>
    <n v="17"/>
    <n v="8"/>
    <n v="4.0404040404040401E-2"/>
    <x v="10"/>
    <d v="2024-11-22T00:00:00"/>
    <s v="Hyderabad"/>
    <x v="0"/>
    <x v="5"/>
    <s v="November"/>
    <x v="3"/>
    <n v="1.17646464646464"/>
    <n v="3.38"/>
    <n v="13.7"/>
    <n v="29.12"/>
    <n v="66.569999999999993"/>
    <n v="48.5"/>
    <n v="1.67"/>
  </r>
  <r>
    <n v="1699"/>
    <s v="A2699"/>
    <x v="2"/>
    <n v="119"/>
    <x v="16"/>
    <n v="227"/>
    <n v="22"/>
    <n v="10"/>
    <n v="8.4033613445378103E-2"/>
    <x v="22"/>
    <d v="2024-11-16T00:00:00"/>
    <s v="Hyderabad"/>
    <x v="1"/>
    <x v="3"/>
    <s v="November"/>
    <x v="0"/>
    <n v="1.9105882352941099"/>
    <n v="2.31"/>
    <n v="10.33"/>
    <n v="22.74"/>
    <n v="30.19"/>
    <n v="29.6"/>
    <n v="1.3"/>
  </r>
  <r>
    <n v="1700"/>
    <s v="A2700"/>
    <x v="0"/>
    <n v="109"/>
    <x v="1288"/>
    <n v="204"/>
    <n v="14"/>
    <n v="3"/>
    <n v="2.7522935779816501E-2"/>
    <x v="130"/>
    <d v="2024-11-02T00:00:00"/>
    <s v="Hyderabad"/>
    <x v="1"/>
    <x v="1"/>
    <s v="November"/>
    <x v="0"/>
    <n v="1.8711926605504501"/>
    <n v="2.72"/>
    <n v="14.57"/>
    <n v="67.989999999999995"/>
    <n v="43.17"/>
    <n v="97.33"/>
    <n v="1.43"/>
  </r>
  <r>
    <n v="1701"/>
    <s v="A2701"/>
    <x v="1"/>
    <n v="87"/>
    <x v="1003"/>
    <n v="243"/>
    <n v="11"/>
    <n v="6"/>
    <n v="6.8965517241379296E-2"/>
    <x v="204"/>
    <d v="2024-11-23T00:00:00"/>
    <s v="Hyderabad"/>
    <x v="2"/>
    <x v="4"/>
    <s v="November"/>
    <x v="0"/>
    <n v="2.7948275862068899"/>
    <n v="2.84"/>
    <n v="22.1"/>
    <n v="40.520000000000003"/>
    <n v="13.92"/>
    <n v="46.17"/>
    <n v="1.1399999999999999"/>
  </r>
  <r>
    <n v="1702"/>
    <s v="A2702"/>
    <x v="2"/>
    <n v="110"/>
    <x v="1289"/>
    <n v="247"/>
    <n v="12"/>
    <n v="10"/>
    <n v="9.0909090909090898E-2"/>
    <x v="200"/>
    <d v="2024-11-26T00:00:00"/>
    <s v="Hyderabad"/>
    <x v="0"/>
    <x v="3"/>
    <s v="November"/>
    <x v="2"/>
    <n v="2.2498181818181799"/>
    <n v="2.2400000000000002"/>
    <n v="20.62"/>
    <n v="24.75"/>
    <n v="-0.6"/>
    <n v="24.6"/>
    <n v="0.99"/>
  </r>
  <r>
    <n v="1703"/>
    <s v="A2703"/>
    <x v="2"/>
    <n v="92"/>
    <x v="1290"/>
    <n v="225"/>
    <n v="15"/>
    <n v="7"/>
    <n v="7.6086956521739094E-2"/>
    <x v="113"/>
    <d v="2024-11-26T00:00:00"/>
    <s v="Hyderabad"/>
    <x v="0"/>
    <x v="4"/>
    <s v="November"/>
    <x v="2"/>
    <n v="2.4413043478260801"/>
    <n v="1.62"/>
    <n v="14.97"/>
    <n v="32.090000000000003"/>
    <n v="45.59"/>
    <n v="46.71"/>
    <n v="1.46"/>
  </r>
  <r>
    <n v="1704"/>
    <s v="A2704"/>
    <x v="2"/>
    <n v="85"/>
    <x v="1157"/>
    <n v="190"/>
    <n v="12"/>
    <n v="3"/>
    <n v="3.5294117647058802E-2"/>
    <x v="152"/>
    <d v="2024-11-14T00:00:00"/>
    <s v="Hyderabad"/>
    <x v="2"/>
    <x v="4"/>
    <s v="November"/>
    <x v="5"/>
    <n v="2.2341176470588202"/>
    <n v="2.17"/>
    <n v="15.82"/>
    <n v="63.3"/>
    <n v="30.6"/>
    <n v="82.67"/>
    <n v="1.31"/>
  </r>
  <r>
    <n v="1705"/>
    <s v="A2705"/>
    <x v="0"/>
    <n v="199"/>
    <x v="856"/>
    <n v="237"/>
    <n v="19"/>
    <n v="9"/>
    <n v="4.5226130653266298E-2"/>
    <x v="123"/>
    <d v="2024-11-04T00:00:00"/>
    <s v="Hyderabad"/>
    <x v="1"/>
    <x v="2"/>
    <s v="November"/>
    <x v="6"/>
    <n v="1.1924623115577799"/>
    <n v="6.5"/>
    <n v="12.49"/>
    <n v="26.37"/>
    <n v="31.48"/>
    <n v="34.67"/>
    <n v="1.31"/>
  </r>
  <r>
    <n v="1706"/>
    <s v="A2706"/>
    <x v="0"/>
    <n v="148"/>
    <x v="1291"/>
    <n v="250"/>
    <n v="18"/>
    <n v="8"/>
    <n v="5.4054054054054002E-2"/>
    <x v="65"/>
    <d v="2024-11-01T00:00:00"/>
    <s v="Hyderabad"/>
    <x v="0"/>
    <x v="1"/>
    <s v="November"/>
    <x v="3"/>
    <n v="1.6874324324324299"/>
    <n v="3.25"/>
    <n v="13.87"/>
    <n v="31.22"/>
    <n v="26.93"/>
    <n v="39.619999999999997"/>
    <n v="1.27"/>
  </r>
  <r>
    <n v="1707"/>
    <s v="A2707"/>
    <x v="2"/>
    <n v="173"/>
    <x v="1292"/>
    <n v="230"/>
    <n v="11"/>
    <n v="5"/>
    <n v="2.8901734104046201E-2"/>
    <x v="1"/>
    <d v="2024-11-08T00:00:00"/>
    <s v="Hyderabad"/>
    <x v="1"/>
    <x v="3"/>
    <s v="November"/>
    <x v="3"/>
    <n v="1.3309826589595299"/>
    <n v="2.89"/>
    <n v="20.93"/>
    <n v="46.05"/>
    <n v="48.96"/>
    <n v="68.599999999999994"/>
    <n v="1.49"/>
  </r>
  <r>
    <n v="1708"/>
    <s v="A2708"/>
    <x v="3"/>
    <n v="84"/>
    <x v="1293"/>
    <n v="192"/>
    <n v="25"/>
    <n v="3"/>
    <n v="3.5714285714285698E-2"/>
    <x v="172"/>
    <d v="2024-11-11T00:00:00"/>
    <s v="Hyderabad"/>
    <x v="0"/>
    <x v="4"/>
    <s v="November"/>
    <x v="6"/>
    <n v="2.28666666666666"/>
    <n v="1.66"/>
    <n v="7.68"/>
    <n v="64.03"/>
    <n v="84.82"/>
    <n v="118.33"/>
    <n v="1.85"/>
  </r>
  <r>
    <n v="1709"/>
    <s v="A2709"/>
    <x v="3"/>
    <n v="82"/>
    <x v="1294"/>
    <n v="187"/>
    <n v="17"/>
    <n v="3"/>
    <n v="3.65853658536585E-2"/>
    <x v="4"/>
    <d v="2024-11-07T00:00:00"/>
    <s v="Hyderabad"/>
    <x v="0"/>
    <x v="3"/>
    <s v="November"/>
    <x v="5"/>
    <n v="2.2757317073170702"/>
    <n v="1.89"/>
    <n v="10.98"/>
    <n v="62.2"/>
    <n v="19.5"/>
    <n v="74.33"/>
    <n v="1.2"/>
  </r>
  <r>
    <n v="1710"/>
    <s v="A2710"/>
    <x v="1"/>
    <n v="147"/>
    <x v="1295"/>
    <n v="246"/>
    <n v="29"/>
    <n v="8"/>
    <n v="5.4421768707482901E-2"/>
    <x v="163"/>
    <d v="2024-11-10T00:00:00"/>
    <s v="Hyderabad"/>
    <x v="1"/>
    <x v="1"/>
    <s v="November"/>
    <x v="4"/>
    <n v="1.67299319727891"/>
    <n v="2.86"/>
    <n v="8.48"/>
    <n v="30.74"/>
    <n v="53.7"/>
    <n v="47.25"/>
    <n v="1.54"/>
  </r>
  <r>
    <n v="1711"/>
    <s v="A2711"/>
    <x v="2"/>
    <n v="186"/>
    <x v="714"/>
    <n v="242"/>
    <n v="19"/>
    <n v="9"/>
    <n v="4.8387096774193498E-2"/>
    <x v="154"/>
    <d v="2024-11-07T00:00:00"/>
    <s v="Hyderabad"/>
    <x v="2"/>
    <x v="4"/>
    <s v="November"/>
    <x v="5"/>
    <n v="1.2994623655913899"/>
    <n v="3.98"/>
    <n v="12.72"/>
    <n v="26.86"/>
    <n v="12.54"/>
    <n v="30.22"/>
    <n v="1.1299999999999999"/>
  </r>
  <r>
    <n v="1712"/>
    <s v="A2712"/>
    <x v="0"/>
    <n v="143"/>
    <x v="1296"/>
    <n v="208"/>
    <n v="30"/>
    <n v="8"/>
    <n v="5.5944055944055902E-2"/>
    <x v="80"/>
    <d v="2024-11-18T00:00:00"/>
    <s v="Hyderabad"/>
    <x v="2"/>
    <x v="2"/>
    <s v="November"/>
    <x v="6"/>
    <n v="1.4528671328671301"/>
    <n v="3.38"/>
    <n v="6.93"/>
    <n v="25.97"/>
    <n v="61.73"/>
    <n v="42"/>
    <n v="1.62"/>
  </r>
  <r>
    <n v="1713"/>
    <s v="A2713"/>
    <x v="2"/>
    <n v="133"/>
    <x v="1297"/>
    <n v="248"/>
    <n v="17"/>
    <n v="5"/>
    <n v="3.7593984962405999E-2"/>
    <x v="29"/>
    <d v="2024-11-26T00:00:00"/>
    <s v="Hyderabad"/>
    <x v="2"/>
    <x v="1"/>
    <s v="November"/>
    <x v="2"/>
    <n v="1.86548872180451"/>
    <n v="2.38"/>
    <n v="14.59"/>
    <n v="49.62"/>
    <n v="-8.51"/>
    <n v="45.4"/>
    <n v="0.91"/>
  </r>
  <r>
    <n v="1714"/>
    <s v="A2714"/>
    <x v="1"/>
    <n v="187"/>
    <x v="1298"/>
    <n v="227"/>
    <n v="24"/>
    <n v="7"/>
    <n v="3.7433155080213901E-2"/>
    <x v="166"/>
    <d v="2024-11-04T00:00:00"/>
    <s v="Hyderabad"/>
    <x v="0"/>
    <x v="3"/>
    <s v="November"/>
    <x v="6"/>
    <n v="1.2118716577540101"/>
    <n v="4.71"/>
    <n v="9.44"/>
    <n v="32.369999999999997"/>
    <n v="-9.1"/>
    <n v="29.43"/>
    <n v="0.91"/>
  </r>
  <r>
    <n v="1715"/>
    <s v="A2715"/>
    <x v="3"/>
    <n v="121"/>
    <x v="386"/>
    <n v="182"/>
    <n v="24"/>
    <n v="5"/>
    <n v="4.1322314049586702E-2"/>
    <x v="65"/>
    <d v="2024-11-08T00:00:00"/>
    <s v="Hyderabad"/>
    <x v="2"/>
    <x v="2"/>
    <s v="November"/>
    <x v="3"/>
    <n v="1.50256198347107"/>
    <n v="2.3199999999999998"/>
    <n v="7.58"/>
    <n v="36.36"/>
    <n v="74.36"/>
    <n v="63.4"/>
    <n v="1.74"/>
  </r>
  <r>
    <n v="1716"/>
    <s v="A2716"/>
    <x v="3"/>
    <n v="188"/>
    <x v="1299"/>
    <n v="215"/>
    <n v="24"/>
    <n v="3"/>
    <n v="1.5957446808510599E-2"/>
    <x v="77"/>
    <d v="2024-11-19T00:00:00"/>
    <s v="Hyderabad"/>
    <x v="2"/>
    <x v="1"/>
    <s v="November"/>
    <x v="2"/>
    <n v="1.1413829787234"/>
    <n v="4.16"/>
    <n v="8.94"/>
    <n v="71.53"/>
    <n v="76.62"/>
    <n v="126.33"/>
    <n v="1.77"/>
  </r>
  <r>
    <n v="1717"/>
    <s v="A2717"/>
    <x v="1"/>
    <n v="115"/>
    <x v="1300"/>
    <n v="215"/>
    <n v="16"/>
    <n v="7"/>
    <n v="6.08695652173913E-2"/>
    <x v="5"/>
    <d v="2024-11-04T00:00:00"/>
    <s v="Hyderabad"/>
    <x v="0"/>
    <x v="4"/>
    <s v="November"/>
    <x v="6"/>
    <n v="1.8653913043478201"/>
    <n v="2.93"/>
    <n v="13.41"/>
    <n v="30.65"/>
    <n v="24.93"/>
    <n v="38.29"/>
    <n v="1.25"/>
  </r>
  <r>
    <n v="1718"/>
    <s v="A2718"/>
    <x v="1"/>
    <n v="101"/>
    <x v="1301"/>
    <n v="230"/>
    <n v="28"/>
    <n v="4"/>
    <n v="3.9603960396039598E-2"/>
    <x v="182"/>
    <d v="2024-11-19T00:00:00"/>
    <s v="Hyderabad"/>
    <x v="2"/>
    <x v="5"/>
    <s v="November"/>
    <x v="2"/>
    <n v="2.2810891089108898"/>
    <n v="3.04"/>
    <n v="8.23"/>
    <n v="57.6"/>
    <n v="35.86"/>
    <n v="78.25"/>
    <n v="1.36"/>
  </r>
  <r>
    <n v="1719"/>
    <s v="A2719"/>
    <x v="1"/>
    <n v="190"/>
    <x v="1302"/>
    <n v="225"/>
    <n v="15"/>
    <n v="10"/>
    <n v="5.2631578947368397E-2"/>
    <x v="181"/>
    <d v="2024-11-21T00:00:00"/>
    <s v="Hyderabad"/>
    <x v="0"/>
    <x v="0"/>
    <s v="November"/>
    <x v="5"/>
    <n v="1.1849473684210501"/>
    <n v="3.7"/>
    <n v="15.01"/>
    <n v="22.51"/>
    <n v="59.46"/>
    <n v="35.9"/>
    <n v="1.59"/>
  </r>
  <r>
    <n v="1720"/>
    <s v="A2720"/>
    <x v="3"/>
    <n v="92"/>
    <x v="616"/>
    <n v="192"/>
    <n v="30"/>
    <n v="4"/>
    <n v="4.3478260869565202E-2"/>
    <x v="154"/>
    <d v="2024-11-08T00:00:00"/>
    <s v="Hyderabad"/>
    <x v="1"/>
    <x v="2"/>
    <s v="November"/>
    <x v="3"/>
    <n v="2.09076086956521"/>
    <n v="1.55"/>
    <n v="6.41"/>
    <n v="48.09"/>
    <n v="41.41"/>
    <n v="68"/>
    <n v="1.41"/>
  </r>
  <r>
    <n v="1721"/>
    <s v="A2721"/>
    <x v="1"/>
    <n v="107"/>
    <x v="1303"/>
    <n v="228"/>
    <n v="23"/>
    <n v="8"/>
    <n v="7.4766355140186896E-2"/>
    <x v="87"/>
    <d v="2024-11-08T00:00:00"/>
    <s v="Hyderabad"/>
    <x v="0"/>
    <x v="4"/>
    <s v="November"/>
    <x v="3"/>
    <n v="2.1297196261682201"/>
    <n v="3.03"/>
    <n v="9.91"/>
    <n v="28.48"/>
    <n v="65"/>
    <n v="47"/>
    <n v="1.65"/>
  </r>
  <r>
    <n v="1722"/>
    <s v="A2722"/>
    <x v="1"/>
    <n v="115"/>
    <x v="1304"/>
    <n v="225"/>
    <n v="13"/>
    <n v="7"/>
    <n v="6.08695652173913E-2"/>
    <x v="165"/>
    <d v="2024-11-23T00:00:00"/>
    <s v="Hyderabad"/>
    <x v="1"/>
    <x v="2"/>
    <s v="November"/>
    <x v="0"/>
    <n v="1.9598260869565201"/>
    <n v="3.03"/>
    <n v="17.34"/>
    <n v="32.200000000000003"/>
    <n v="26.9"/>
    <n v="40.86"/>
    <n v="1.27"/>
  </r>
  <r>
    <n v="1723"/>
    <s v="A2723"/>
    <x v="0"/>
    <n v="186"/>
    <x v="1305"/>
    <n v="186"/>
    <n v="11"/>
    <n v="5"/>
    <n v="2.68817204301075E-2"/>
    <x v="10"/>
    <d v="2024-11-16T00:00:00"/>
    <s v="Hyderabad"/>
    <x v="2"/>
    <x v="1"/>
    <s v="November"/>
    <x v="0"/>
    <n v="0.99758064516128997"/>
    <n v="3.03"/>
    <n v="16.87"/>
    <n v="37.11"/>
    <n v="109.11"/>
    <n v="77.599999999999994"/>
    <n v="2.09"/>
  </r>
  <r>
    <n v="1724"/>
    <s v="A2724"/>
    <x v="1"/>
    <n v="129"/>
    <x v="576"/>
    <n v="223"/>
    <n v="17"/>
    <n v="8"/>
    <n v="6.2015503875968901E-2"/>
    <x v="144"/>
    <d v="2024-11-01T00:00:00"/>
    <s v="Hyderabad"/>
    <x v="2"/>
    <x v="5"/>
    <s v="November"/>
    <x v="3"/>
    <n v="1.7297674418604601"/>
    <n v="3.73"/>
    <n v="13.13"/>
    <n v="27.89"/>
    <n v="27.27"/>
    <n v="35.5"/>
    <n v="1.27"/>
  </r>
  <r>
    <n v="1725"/>
    <s v="A2725"/>
    <x v="2"/>
    <n v="162"/>
    <x v="191"/>
    <n v="232"/>
    <n v="29"/>
    <n v="9"/>
    <n v="5.5555555555555497E-2"/>
    <x v="113"/>
    <d v="2024-11-18T00:00:00"/>
    <s v="Hyderabad"/>
    <x v="2"/>
    <x v="4"/>
    <s v="November"/>
    <x v="6"/>
    <n v="1.4320370370370299"/>
    <n v="5.28"/>
    <n v="8"/>
    <n v="25.78"/>
    <n v="40.950000000000003"/>
    <n v="36.33"/>
    <n v="1.41"/>
  </r>
  <r>
    <n v="1726"/>
    <s v="A2726"/>
    <x v="2"/>
    <n v="177"/>
    <x v="1115"/>
    <n v="207"/>
    <n v="13"/>
    <n v="4"/>
    <n v="2.2598870056497099E-2"/>
    <x v="175"/>
    <d v="2024-11-14T00:00:00"/>
    <s v="Hyderabad"/>
    <x v="2"/>
    <x v="0"/>
    <s v="November"/>
    <x v="5"/>
    <n v="1.1681355932203299"/>
    <n v="2.97"/>
    <n v="15.9"/>
    <n v="51.69"/>
    <n v="8.82"/>
    <n v="56.25"/>
    <n v="1.0900000000000001"/>
  </r>
  <r>
    <n v="1727"/>
    <s v="A2727"/>
    <x v="2"/>
    <n v="93"/>
    <x v="1306"/>
    <n v="208"/>
    <n v="30"/>
    <n v="9"/>
    <n v="9.6774193548387094E-2"/>
    <x v="209"/>
    <d v="2024-11-08T00:00:00"/>
    <s v="Hyderabad"/>
    <x v="0"/>
    <x v="1"/>
    <s v="November"/>
    <x v="3"/>
    <n v="2.2356989247311798"/>
    <n v="2.68"/>
    <n v="6.93"/>
    <n v="23.1"/>
    <n v="74.59"/>
    <n v="40.33"/>
    <n v="1.75"/>
  </r>
  <r>
    <n v="1728"/>
    <s v="A2728"/>
    <x v="1"/>
    <n v="117"/>
    <x v="1307"/>
    <n v="212"/>
    <n v="19"/>
    <n v="8"/>
    <n v="6.83760683760683E-2"/>
    <x v="165"/>
    <d v="2024-11-21T00:00:00"/>
    <s v="Hyderabad"/>
    <x v="0"/>
    <x v="0"/>
    <s v="November"/>
    <x v="5"/>
    <n v="1.8144444444444401"/>
    <n v="2.7"/>
    <n v="11.17"/>
    <n v="26.54"/>
    <n v="34.72"/>
    <n v="35.75"/>
    <n v="1.35"/>
  </r>
  <r>
    <n v="1729"/>
    <s v="A2729"/>
    <x v="2"/>
    <n v="120"/>
    <x v="1308"/>
    <n v="248"/>
    <n v="15"/>
    <n v="3"/>
    <n v="2.5000000000000001E-2"/>
    <x v="42"/>
    <d v="2024-11-21T00:00:00"/>
    <s v="Hyderabad"/>
    <x v="1"/>
    <x v="4"/>
    <s v="November"/>
    <x v="5"/>
    <n v="2.0637500000000002"/>
    <n v="3.63"/>
    <n v="16.510000000000002"/>
    <n v="82.55"/>
    <n v="30.43"/>
    <n v="107.67"/>
    <n v="1.3"/>
  </r>
  <r>
    <n v="1730"/>
    <s v="A2730"/>
    <x v="2"/>
    <n v="81"/>
    <x v="811"/>
    <n v="184"/>
    <n v="17"/>
    <n v="3"/>
    <n v="3.7037037037037E-2"/>
    <x v="141"/>
    <d v="2024-11-22T00:00:00"/>
    <s v="Hyderabad"/>
    <x v="1"/>
    <x v="4"/>
    <s v="November"/>
    <x v="3"/>
    <n v="2.2656790123456698"/>
    <n v="2.19"/>
    <n v="10.8"/>
    <n v="61.17"/>
    <n v="28.6"/>
    <n v="78.67"/>
    <n v="1.29"/>
  </r>
  <r>
    <n v="1731"/>
    <s v="A2731"/>
    <x v="2"/>
    <n v="91"/>
    <x v="1043"/>
    <n v="243"/>
    <n v="28"/>
    <n v="8"/>
    <n v="8.7912087912087905E-2"/>
    <x v="107"/>
    <d v="2024-11-25T00:00:00"/>
    <s v="Hyderabad"/>
    <x v="1"/>
    <x v="3"/>
    <s v="November"/>
    <x v="6"/>
    <n v="2.67054945054945"/>
    <n v="2.54"/>
    <n v="8.68"/>
    <n v="30.38"/>
    <n v="31.68"/>
    <n v="40"/>
    <n v="1.32"/>
  </r>
  <r>
    <n v="1732"/>
    <s v="A2732"/>
    <x v="0"/>
    <n v="167"/>
    <x v="826"/>
    <n v="232"/>
    <n v="18"/>
    <n v="7"/>
    <n v="4.1916167664670601E-2"/>
    <x v="147"/>
    <d v="2024-11-07T00:00:00"/>
    <s v="Hyderabad"/>
    <x v="0"/>
    <x v="5"/>
    <s v="November"/>
    <x v="5"/>
    <n v="1.38982035928143"/>
    <n v="3.44"/>
    <n v="12.89"/>
    <n v="33.159999999999997"/>
    <n v="29.69"/>
    <n v="43"/>
    <n v="1.3"/>
  </r>
  <r>
    <n v="1733"/>
    <s v="A2733"/>
    <x v="1"/>
    <n v="175"/>
    <x v="1254"/>
    <n v="187"/>
    <n v="14"/>
    <n v="3"/>
    <n v="1.7142857142857099E-2"/>
    <x v="41"/>
    <d v="2024-11-18T00:00:00"/>
    <s v="Hyderabad"/>
    <x v="0"/>
    <x v="5"/>
    <s v="November"/>
    <x v="6"/>
    <n v="1.0680571428571399"/>
    <n v="3.19"/>
    <n v="13.35"/>
    <n v="62.3"/>
    <n v="88.86"/>
    <n v="117.67"/>
    <n v="1.89"/>
  </r>
  <r>
    <n v="1734"/>
    <s v="A2734"/>
    <x v="2"/>
    <n v="121"/>
    <x v="1309"/>
    <n v="191"/>
    <n v="16"/>
    <n v="5"/>
    <n v="4.1322314049586702E-2"/>
    <x v="141"/>
    <d v="2024-11-16T00:00:00"/>
    <s v="Hyderabad"/>
    <x v="2"/>
    <x v="2"/>
    <s v="November"/>
    <x v="0"/>
    <n v="1.5770247933884201"/>
    <n v="3.33"/>
    <n v="11.93"/>
    <n v="38.159999999999997"/>
    <n v="23.68"/>
    <n v="47.2"/>
    <n v="1.24"/>
  </r>
  <r>
    <n v="1735"/>
    <s v="A2735"/>
    <x v="0"/>
    <n v="85"/>
    <x v="1310"/>
    <n v="190"/>
    <n v="13"/>
    <n v="9"/>
    <n v="0.105882352941176"/>
    <x v="43"/>
    <d v="2024-11-07T00:00:00"/>
    <s v="Hyderabad"/>
    <x v="0"/>
    <x v="2"/>
    <s v="November"/>
    <x v="5"/>
    <n v="2.23905882352941"/>
    <n v="3.03"/>
    <n v="14.64"/>
    <n v="21.15"/>
    <n v="39.76"/>
    <n v="29.56"/>
    <n v="1.4"/>
  </r>
  <r>
    <n v="1736"/>
    <s v="A2736"/>
    <x v="2"/>
    <n v="176"/>
    <x v="1050"/>
    <n v="216"/>
    <n v="28"/>
    <n v="9"/>
    <n v="5.1136363636363598E-2"/>
    <x v="152"/>
    <d v="2024-11-30T00:00:00"/>
    <s v="Hyderabad"/>
    <x v="1"/>
    <x v="2"/>
    <s v="November"/>
    <x v="0"/>
    <n v="1.2268749999999999"/>
    <n v="3.93"/>
    <n v="7.71"/>
    <n v="23.99"/>
    <n v="14.85"/>
    <n v="27.56"/>
    <n v="1.1499999999999999"/>
  </r>
  <r>
    <n v="1737"/>
    <s v="A2737"/>
    <x v="3"/>
    <n v="174"/>
    <x v="1311"/>
    <n v="241"/>
    <n v="10"/>
    <n v="4"/>
    <n v="2.2988505747126398E-2"/>
    <x v="169"/>
    <d v="2024-11-26T00:00:00"/>
    <s v="Hyderabad"/>
    <x v="2"/>
    <x v="1"/>
    <s v="November"/>
    <x v="2"/>
    <n v="1.3841954022988501"/>
    <n v="3.29"/>
    <n v="24.08"/>
    <n v="60.21"/>
    <n v="25.39"/>
    <n v="75.5"/>
    <n v="1.25"/>
  </r>
  <r>
    <n v="1738"/>
    <s v="A2738"/>
    <x v="2"/>
    <n v="180"/>
    <x v="1035"/>
    <n v="215"/>
    <n v="28"/>
    <n v="4"/>
    <n v="2.2222222222222199E-2"/>
    <x v="19"/>
    <d v="2024-11-14T00:00:00"/>
    <s v="Hyderabad"/>
    <x v="0"/>
    <x v="1"/>
    <s v="November"/>
    <x v="5"/>
    <n v="1.19255555555555"/>
    <n v="4.76"/>
    <n v="7.67"/>
    <n v="53.66"/>
    <n v="64.91"/>
    <n v="88.5"/>
    <n v="1.65"/>
  </r>
  <r>
    <n v="1739"/>
    <s v="A2739"/>
    <x v="2"/>
    <n v="156"/>
    <x v="4"/>
    <n v="183"/>
    <n v="29"/>
    <n v="9"/>
    <n v="5.7692307692307598E-2"/>
    <x v="139"/>
    <d v="2024-11-10T00:00:00"/>
    <s v="Hyderabad"/>
    <x v="0"/>
    <x v="2"/>
    <s v="November"/>
    <x v="4"/>
    <n v="1.17384615384615"/>
    <n v="4.6399999999999997"/>
    <n v="6.31"/>
    <n v="20.350000000000001"/>
    <n v="38.159999999999997"/>
    <n v="28.11"/>
    <n v="1.38"/>
  </r>
  <r>
    <n v="1740"/>
    <s v="A2740"/>
    <x v="1"/>
    <n v="178"/>
    <x v="1312"/>
    <n v="224"/>
    <n v="21"/>
    <n v="9"/>
    <n v="5.0561797752808897E-2"/>
    <x v="85"/>
    <d v="2024-11-28T00:00:00"/>
    <s v="Hyderabad"/>
    <x v="1"/>
    <x v="5"/>
    <s v="November"/>
    <x v="5"/>
    <n v="1.2576966292134799"/>
    <n v="3.03"/>
    <n v="10.66"/>
    <n v="24.87"/>
    <n v="70.19"/>
    <n v="42.33"/>
    <n v="1.7"/>
  </r>
  <r>
    <n v="1741"/>
    <s v="A2741"/>
    <x v="3"/>
    <n v="161"/>
    <x v="619"/>
    <n v="238"/>
    <n v="12"/>
    <n v="4"/>
    <n v="2.4844720496894401E-2"/>
    <x v="59"/>
    <d v="2024-11-29T00:00:00"/>
    <s v="Hyderabad"/>
    <x v="1"/>
    <x v="4"/>
    <s v="November"/>
    <x v="3"/>
    <n v="1.4763354037267"/>
    <n v="2.85"/>
    <n v="19.809999999999999"/>
    <n v="59.42"/>
    <n v="8.5399999999999991"/>
    <n v="64.5"/>
    <n v="1.0900000000000001"/>
  </r>
  <r>
    <n v="1742"/>
    <s v="A2742"/>
    <x v="0"/>
    <n v="87"/>
    <x v="1313"/>
    <n v="192"/>
    <n v="15"/>
    <n v="6"/>
    <n v="6.8965517241379296E-2"/>
    <x v="86"/>
    <d v="2024-11-20T00:00:00"/>
    <s v="Hyderabad"/>
    <x v="2"/>
    <x v="2"/>
    <s v="November"/>
    <x v="1"/>
    <n v="2.21022988505747"/>
    <n v="2.84"/>
    <n v="12.82"/>
    <n v="32.049999999999997"/>
    <n v="59.65"/>
    <n v="51.17"/>
    <n v="1.6"/>
  </r>
  <r>
    <n v="1743"/>
    <s v="A2743"/>
    <x v="1"/>
    <n v="126"/>
    <x v="1314"/>
    <n v="204"/>
    <n v="10"/>
    <n v="4"/>
    <n v="3.1746031746031703E-2"/>
    <x v="30"/>
    <d v="2024-11-03T00:00:00"/>
    <s v="Hyderabad"/>
    <x v="2"/>
    <x v="0"/>
    <s v="November"/>
    <x v="4"/>
    <n v="1.6200793650793599"/>
    <n v="2.76"/>
    <n v="20.41"/>
    <n v="51.03"/>
    <n v="3.86"/>
    <n v="53"/>
    <n v="1.04"/>
  </r>
  <r>
    <n v="1744"/>
    <s v="A2744"/>
    <x v="1"/>
    <n v="151"/>
    <x v="193"/>
    <n v="199"/>
    <n v="13"/>
    <n v="5"/>
    <n v="3.3112582781456901E-2"/>
    <x v="194"/>
    <d v="2024-11-27T00:00:00"/>
    <s v="Hyderabad"/>
    <x v="1"/>
    <x v="3"/>
    <s v="November"/>
    <x v="1"/>
    <n v="1.31867549668874"/>
    <n v="2.98"/>
    <n v="15.32"/>
    <n v="39.82"/>
    <n v="71.25"/>
    <n v="68.2"/>
    <n v="1.71"/>
  </r>
  <r>
    <n v="1745"/>
    <s v="A2745"/>
    <x v="1"/>
    <n v="85"/>
    <x v="312"/>
    <n v="246"/>
    <n v="12"/>
    <n v="7"/>
    <n v="8.2352941176470504E-2"/>
    <x v="95"/>
    <d v="2024-11-16T00:00:00"/>
    <s v="Hyderabad"/>
    <x v="1"/>
    <x v="0"/>
    <s v="November"/>
    <x v="0"/>
    <n v="2.8925882352941099"/>
    <n v="1.51"/>
    <n v="20.49"/>
    <n v="35.119999999999997"/>
    <n v="-6.86"/>
    <n v="32.71"/>
    <n v="0.93"/>
  </r>
  <r>
    <n v="1746"/>
    <s v="A2746"/>
    <x v="0"/>
    <n v="104"/>
    <x v="1315"/>
    <n v="201"/>
    <n v="28"/>
    <n v="6"/>
    <n v="5.7692307692307598E-2"/>
    <x v="110"/>
    <d v="2024-11-16T00:00:00"/>
    <s v="Hyderabad"/>
    <x v="2"/>
    <x v="3"/>
    <s v="November"/>
    <x v="0"/>
    <n v="1.9324999999999899"/>
    <n v="2.25"/>
    <n v="7.18"/>
    <n v="33.5"/>
    <n v="84.1"/>
    <n v="61.67"/>
    <n v="1.84"/>
  </r>
  <r>
    <n v="1747"/>
    <s v="A2747"/>
    <x v="0"/>
    <n v="103"/>
    <x v="1316"/>
    <n v="215"/>
    <n v="27"/>
    <n v="4"/>
    <n v="3.88349514563106E-2"/>
    <x v="20"/>
    <d v="2024-11-11T00:00:00"/>
    <s v="Hyderabad"/>
    <x v="0"/>
    <x v="0"/>
    <s v="November"/>
    <x v="6"/>
    <n v="2.0831067961165002"/>
    <n v="2.42"/>
    <n v="7.95"/>
    <n v="53.64"/>
    <n v="71.510000000000005"/>
    <n v="92"/>
    <n v="1.72"/>
  </r>
  <r>
    <n v="1748"/>
    <s v="A2748"/>
    <x v="2"/>
    <n v="162"/>
    <x v="1317"/>
    <n v="198"/>
    <n v="11"/>
    <n v="7"/>
    <n v="4.3209876543209798E-2"/>
    <x v="198"/>
    <d v="2024-11-23T00:00:00"/>
    <s v="Hyderabad"/>
    <x v="2"/>
    <x v="1"/>
    <s v="November"/>
    <x v="0"/>
    <n v="1.22524691358024"/>
    <n v="2.79"/>
    <n v="18.04"/>
    <n v="28.36"/>
    <n v="51.14"/>
    <n v="42.86"/>
    <n v="1.51"/>
  </r>
  <r>
    <n v="1749"/>
    <s v="A2749"/>
    <x v="0"/>
    <n v="161"/>
    <x v="1318"/>
    <n v="218"/>
    <n v="29"/>
    <n v="6"/>
    <n v="3.7267080745341602E-2"/>
    <x v="87"/>
    <d v="2024-11-06T00:00:00"/>
    <s v="Hyderabad"/>
    <x v="2"/>
    <x v="1"/>
    <s v="November"/>
    <x v="1"/>
    <n v="1.35621118012422"/>
    <n v="4.4800000000000004"/>
    <n v="7.53"/>
    <n v="36.39"/>
    <n v="72.2"/>
    <n v="62.67"/>
    <n v="1.72"/>
  </r>
  <r>
    <n v="1750"/>
    <s v="A2750"/>
    <x v="3"/>
    <n v="83"/>
    <x v="266"/>
    <n v="224"/>
    <n v="25"/>
    <n v="9"/>
    <n v="0.108433734939759"/>
    <x v="76"/>
    <d v="2024-11-10T00:00:00"/>
    <s v="Hyderabad"/>
    <x v="1"/>
    <x v="5"/>
    <s v="November"/>
    <x v="4"/>
    <n v="2.6995180722891501"/>
    <n v="1.39"/>
    <n v="8.9600000000000009"/>
    <n v="24.9"/>
    <n v="8.9"/>
    <n v="27.11"/>
    <n v="1.0900000000000001"/>
  </r>
  <r>
    <n v="1751"/>
    <s v="A2751"/>
    <x v="1"/>
    <n v="165"/>
    <x v="1319"/>
    <n v="249"/>
    <n v="26"/>
    <n v="8"/>
    <n v="4.8484848484848402E-2"/>
    <x v="74"/>
    <d v="2024-11-06T00:00:00"/>
    <s v="Hyderabad"/>
    <x v="0"/>
    <x v="5"/>
    <s v="November"/>
    <x v="1"/>
    <n v="1.5066060606060601"/>
    <n v="4.8099999999999996"/>
    <n v="9.56"/>
    <n v="31.07"/>
    <n v="-13.11"/>
    <n v="27"/>
    <n v="0.87"/>
  </r>
  <r>
    <n v="1752"/>
    <s v="A2752"/>
    <x v="0"/>
    <n v="134"/>
    <x v="1146"/>
    <n v="186"/>
    <n v="18"/>
    <n v="8"/>
    <n v="5.9701492537313397E-2"/>
    <x v="82"/>
    <d v="2024-11-27T00:00:00"/>
    <s v="Hyderabad"/>
    <x v="1"/>
    <x v="1"/>
    <s v="November"/>
    <x v="1"/>
    <n v="1.3888059701492499"/>
    <n v="2.64"/>
    <n v="10.34"/>
    <n v="23.26"/>
    <n v="13.38"/>
    <n v="26.38"/>
    <n v="1.1299999999999999"/>
  </r>
  <r>
    <n v="1753"/>
    <s v="A2753"/>
    <x v="2"/>
    <n v="126"/>
    <x v="1320"/>
    <n v="223"/>
    <n v="16"/>
    <n v="9"/>
    <n v="7.1428571428571397E-2"/>
    <x v="133"/>
    <d v="2024-11-25T00:00:00"/>
    <s v="Hyderabad"/>
    <x v="1"/>
    <x v="0"/>
    <s v="November"/>
    <x v="6"/>
    <n v="1.7692063492063399"/>
    <n v="2.57"/>
    <n v="13.93"/>
    <n v="24.77"/>
    <n v="31.89"/>
    <n v="32.67"/>
    <n v="1.32"/>
  </r>
  <r>
    <n v="1754"/>
    <s v="A2754"/>
    <x v="0"/>
    <n v="173"/>
    <x v="1321"/>
    <n v="199"/>
    <n v="16"/>
    <n v="3"/>
    <n v="1.7341040462427699E-2"/>
    <x v="150"/>
    <d v="2024-11-14T00:00:00"/>
    <s v="Hyderabad"/>
    <x v="2"/>
    <x v="5"/>
    <s v="November"/>
    <x v="5"/>
    <n v="1.14884393063583"/>
    <n v="3.4"/>
    <n v="12.42"/>
    <n v="66.25"/>
    <n v="15.72"/>
    <n v="76.67"/>
    <n v="1.1599999999999999"/>
  </r>
  <r>
    <n v="1755"/>
    <s v="A2755"/>
    <x v="1"/>
    <n v="174"/>
    <x v="1322"/>
    <n v="201"/>
    <n v="25"/>
    <n v="5"/>
    <n v="2.8735632183908E-2"/>
    <x v="108"/>
    <d v="2024-11-20T00:00:00"/>
    <s v="Hyderabad"/>
    <x v="0"/>
    <x v="1"/>
    <s v="November"/>
    <x v="1"/>
    <n v="1.1536781609195399"/>
    <n v="3.73"/>
    <n v="8.0299999999999994"/>
    <n v="40.15"/>
    <n v="62.4"/>
    <n v="65.2"/>
    <n v="1.62"/>
  </r>
  <r>
    <n v="1756"/>
    <s v="A2756"/>
    <x v="0"/>
    <n v="149"/>
    <x v="1015"/>
    <n v="248"/>
    <n v="20"/>
    <n v="4"/>
    <n v="2.68456375838926E-2"/>
    <x v="47"/>
    <d v="2024-11-03T00:00:00"/>
    <s v="Hyderabad"/>
    <x v="1"/>
    <x v="5"/>
    <s v="November"/>
    <x v="4"/>
    <n v="1.6612080536912699"/>
    <n v="4.17"/>
    <n v="12.38"/>
    <n v="61.88"/>
    <n v="43.83"/>
    <n v="89"/>
    <n v="1.44"/>
  </r>
  <r>
    <n v="1757"/>
    <s v="A2757"/>
    <x v="1"/>
    <n v="108"/>
    <x v="638"/>
    <n v="214"/>
    <n v="16"/>
    <n v="9"/>
    <n v="8.3333333333333301E-2"/>
    <x v="36"/>
    <d v="2024-11-17T00:00:00"/>
    <s v="Hyderabad"/>
    <x v="0"/>
    <x v="2"/>
    <s v="November"/>
    <x v="4"/>
    <n v="1.9800925925925901"/>
    <n v="1.91"/>
    <n v="13.37"/>
    <n v="23.76"/>
    <n v="62.73"/>
    <n v="38.67"/>
    <n v="1.63"/>
  </r>
  <r>
    <n v="1758"/>
    <s v="A2758"/>
    <x v="0"/>
    <n v="99"/>
    <x v="1323"/>
    <n v="214"/>
    <n v="14"/>
    <n v="7"/>
    <n v="7.0707070707070704E-2"/>
    <x v="18"/>
    <d v="2024-11-15T00:00:00"/>
    <s v="Hyderabad"/>
    <x v="0"/>
    <x v="5"/>
    <s v="November"/>
    <x v="3"/>
    <n v="2.1624242424242399"/>
    <n v="2.2200000000000002"/>
    <n v="15.29"/>
    <n v="30.58"/>
    <n v="44.34"/>
    <n v="44.14"/>
    <n v="1.44"/>
  </r>
  <r>
    <n v="1759"/>
    <s v="A2759"/>
    <x v="1"/>
    <n v="113"/>
    <x v="1324"/>
    <n v="250"/>
    <n v="20"/>
    <n v="8"/>
    <n v="7.0796460176991094E-2"/>
    <x v="90"/>
    <d v="2024-11-27T00:00:00"/>
    <s v="Hyderabad"/>
    <x v="1"/>
    <x v="3"/>
    <s v="November"/>
    <x v="1"/>
    <n v="2.20938053097345"/>
    <n v="3.62"/>
    <n v="12.48"/>
    <n v="31.21"/>
    <n v="55.01"/>
    <n v="48.38"/>
    <n v="1.55"/>
  </r>
  <r>
    <n v="1760"/>
    <s v="A2760"/>
    <x v="1"/>
    <n v="84"/>
    <x v="592"/>
    <n v="206"/>
    <n v="13"/>
    <n v="7"/>
    <n v="8.3333333333333301E-2"/>
    <x v="141"/>
    <d v="2024-11-18T00:00:00"/>
    <s v="Hyderabad"/>
    <x v="2"/>
    <x v="0"/>
    <s v="November"/>
    <x v="6"/>
    <n v="2.45309523809523"/>
    <n v="2.15"/>
    <n v="15.85"/>
    <n v="29.44"/>
    <n v="14.53"/>
    <n v="33.71"/>
    <n v="1.1499999999999999"/>
  </r>
  <r>
    <n v="1761"/>
    <s v="A2761"/>
    <x v="1"/>
    <n v="182"/>
    <x v="1122"/>
    <n v="187"/>
    <n v="28"/>
    <n v="9"/>
    <n v="4.94505494505494E-2"/>
    <x v="96"/>
    <d v="2024-11-01T00:00:00"/>
    <s v="Hyderabad"/>
    <x v="0"/>
    <x v="0"/>
    <s v="November"/>
    <x v="3"/>
    <n v="1.0247802197802101"/>
    <n v="5.26"/>
    <n v="6.66"/>
    <n v="20.72"/>
    <n v="116.61"/>
    <n v="44.89"/>
    <n v="2.17"/>
  </r>
  <r>
    <n v="1762"/>
    <s v="A2762"/>
    <x v="1"/>
    <n v="82"/>
    <x v="1325"/>
    <n v="245"/>
    <n v="30"/>
    <n v="8"/>
    <n v="9.7560975609756101E-2"/>
    <x v="62"/>
    <d v="2024-11-09T00:00:00"/>
    <s v="Hyderabad"/>
    <x v="0"/>
    <x v="1"/>
    <s v="November"/>
    <x v="0"/>
    <n v="2.99195121951219"/>
    <n v="2.5099999999999998"/>
    <n v="8.18"/>
    <n v="30.67"/>
    <n v="59.78"/>
    <n v="49"/>
    <n v="1.6"/>
  </r>
  <r>
    <n v="1763"/>
    <s v="A2763"/>
    <x v="2"/>
    <n v="103"/>
    <x v="1326"/>
    <n v="232"/>
    <n v="13"/>
    <n v="7"/>
    <n v="6.7961165048543604E-2"/>
    <x v="94"/>
    <d v="2024-11-25T00:00:00"/>
    <s v="Hyderabad"/>
    <x v="1"/>
    <x v="0"/>
    <s v="November"/>
    <x v="6"/>
    <n v="2.2562135922330002"/>
    <n v="2.68"/>
    <n v="17.88"/>
    <n v="33.200000000000003"/>
    <n v="54.91"/>
    <n v="51.43"/>
    <n v="1.55"/>
  </r>
  <r>
    <n v="1764"/>
    <s v="A2764"/>
    <x v="2"/>
    <n v="117"/>
    <x v="1327"/>
    <n v="228"/>
    <n v="15"/>
    <n v="8"/>
    <n v="6.83760683760683E-2"/>
    <x v="18"/>
    <d v="2024-11-21T00:00:00"/>
    <s v="Hyderabad"/>
    <x v="2"/>
    <x v="4"/>
    <s v="November"/>
    <x v="5"/>
    <n v="1.94803418803418"/>
    <n v="2.72"/>
    <n v="15.19"/>
    <n v="28.49"/>
    <n v="35.57"/>
    <n v="38.619999999999997"/>
    <n v="1.36"/>
  </r>
  <r>
    <n v="1765"/>
    <s v="A2765"/>
    <x v="1"/>
    <n v="93"/>
    <x v="1328"/>
    <n v="202"/>
    <n v="17"/>
    <n v="8"/>
    <n v="8.6021505376343996E-2"/>
    <x v="152"/>
    <d v="2024-11-12T00:00:00"/>
    <s v="Hyderabad"/>
    <x v="0"/>
    <x v="1"/>
    <s v="November"/>
    <x v="2"/>
    <n v="2.1718279569892398"/>
    <n v="1.86"/>
    <n v="11.88"/>
    <n v="25.25"/>
    <n v="22.78"/>
    <n v="31"/>
    <n v="1.23"/>
  </r>
  <r>
    <n v="1766"/>
    <s v="A2766"/>
    <x v="0"/>
    <n v="166"/>
    <x v="1329"/>
    <n v="197"/>
    <n v="26"/>
    <n v="4"/>
    <n v="2.40963855421686E-2"/>
    <x v="130"/>
    <d v="2024-11-12T00:00:00"/>
    <s v="Hyderabad"/>
    <x v="2"/>
    <x v="2"/>
    <s v="November"/>
    <x v="2"/>
    <n v="1.1866867469879501"/>
    <n v="3.25"/>
    <n v="7.58"/>
    <n v="49.25"/>
    <n v="48.23"/>
    <n v="73"/>
    <n v="1.48"/>
  </r>
  <r>
    <n v="1767"/>
    <s v="A2767"/>
    <x v="3"/>
    <n v="121"/>
    <x v="1330"/>
    <n v="187"/>
    <n v="23"/>
    <n v="6"/>
    <n v="4.9586776859504099E-2"/>
    <x v="7"/>
    <d v="2024-11-05T00:00:00"/>
    <s v="Hyderabad"/>
    <x v="2"/>
    <x v="1"/>
    <s v="November"/>
    <x v="2"/>
    <n v="1.5454545454545401"/>
    <n v="2.35"/>
    <n v="8.1300000000000008"/>
    <n v="31.17"/>
    <n v="64.709999999999994"/>
    <n v="51.33"/>
    <n v="1.65"/>
  </r>
  <r>
    <n v="1768"/>
    <s v="A2768"/>
    <x v="0"/>
    <n v="106"/>
    <x v="1006"/>
    <n v="221"/>
    <n v="26"/>
    <n v="6"/>
    <n v="5.6603773584905599E-2"/>
    <x v="92"/>
    <d v="2024-11-16T00:00:00"/>
    <s v="Hyderabad"/>
    <x v="0"/>
    <x v="1"/>
    <s v="November"/>
    <x v="0"/>
    <n v="2.0816981132075401"/>
    <n v="2.12"/>
    <n v="8.49"/>
    <n v="36.78"/>
    <n v="24.17"/>
    <n v="45.67"/>
    <n v="1.24"/>
  </r>
  <r>
    <n v="1769"/>
    <s v="A2769"/>
    <x v="2"/>
    <n v="106"/>
    <x v="1331"/>
    <n v="227"/>
    <n v="12"/>
    <n v="9"/>
    <n v="8.4905660377358402E-2"/>
    <x v="143"/>
    <d v="2024-11-27T00:00:00"/>
    <s v="Hyderabad"/>
    <x v="1"/>
    <x v="4"/>
    <s v="November"/>
    <x v="1"/>
    <n v="2.1416981132075401"/>
    <n v="2.4300000000000002"/>
    <n v="18.920000000000002"/>
    <n v="25.22"/>
    <n v="39.19"/>
    <n v="35.11"/>
    <n v="1.39"/>
  </r>
  <r>
    <n v="1770"/>
    <s v="A2770"/>
    <x v="2"/>
    <n v="122"/>
    <x v="181"/>
    <n v="211"/>
    <n v="19"/>
    <n v="6"/>
    <n v="4.9180327868852403E-2"/>
    <x v="177"/>
    <d v="2024-11-21T00:00:00"/>
    <s v="Hyderabad"/>
    <x v="0"/>
    <x v="3"/>
    <s v="November"/>
    <x v="5"/>
    <n v="1.7299180327868799"/>
    <n v="3.33"/>
    <n v="11.11"/>
    <n v="35.18"/>
    <n v="4.71"/>
    <n v="36.83"/>
    <n v="1.05"/>
  </r>
  <r>
    <n v="1771"/>
    <s v="A2771"/>
    <x v="1"/>
    <n v="193"/>
    <x v="1332"/>
    <n v="224"/>
    <n v="12"/>
    <n v="3"/>
    <n v="1.55440414507772E-2"/>
    <x v="141"/>
    <d v="2024-11-03T00:00:00"/>
    <s v="Hyderabad"/>
    <x v="2"/>
    <x v="4"/>
    <s v="November"/>
    <x v="4"/>
    <n v="1.1613989637305699"/>
    <n v="3.53"/>
    <n v="18.68"/>
    <n v="74.72"/>
    <n v="5.29"/>
    <n v="78.67"/>
    <n v="1.05"/>
  </r>
  <r>
    <n v="1772"/>
    <s v="A2772"/>
    <x v="1"/>
    <n v="146"/>
    <x v="1333"/>
    <n v="214"/>
    <n v="26"/>
    <n v="3"/>
    <n v="2.0547945205479399E-2"/>
    <x v="82"/>
    <d v="2024-11-02T00:00:00"/>
    <s v="Hyderabad"/>
    <x v="0"/>
    <x v="5"/>
    <s v="November"/>
    <x v="0"/>
    <n v="1.46684931506849"/>
    <n v="4.0999999999999996"/>
    <n v="8.24"/>
    <n v="71.39"/>
    <n v="-1.48"/>
    <n v="70.33"/>
    <n v="0.99"/>
  </r>
  <r>
    <n v="1773"/>
    <s v="A2773"/>
    <x v="2"/>
    <n v="152"/>
    <x v="160"/>
    <n v="199"/>
    <n v="10"/>
    <n v="8"/>
    <n v="5.2631578947368397E-2"/>
    <x v="147"/>
    <d v="2024-11-14T00:00:00"/>
    <s v="Hyderabad"/>
    <x v="2"/>
    <x v="0"/>
    <s v="November"/>
    <x v="5"/>
    <n v="1.30815789473684"/>
    <n v="3.03"/>
    <n v="19.88"/>
    <n v="24.86"/>
    <n v="51.38"/>
    <n v="37.619999999999997"/>
    <n v="1.51"/>
  </r>
  <r>
    <n v="1774"/>
    <s v="A2774"/>
    <x v="2"/>
    <n v="111"/>
    <x v="1334"/>
    <n v="190"/>
    <n v="25"/>
    <n v="5"/>
    <n v="4.5045045045045001E-2"/>
    <x v="189"/>
    <d v="2024-11-09T00:00:00"/>
    <s v="Hyderabad"/>
    <x v="1"/>
    <x v="3"/>
    <s v="November"/>
    <x v="0"/>
    <n v="1.70792792792792"/>
    <n v="3.39"/>
    <n v="7.58"/>
    <n v="37.92"/>
    <n v="102.55"/>
    <n v="76.8"/>
    <n v="2.0299999999999998"/>
  </r>
  <r>
    <n v="1775"/>
    <s v="A2775"/>
    <x v="1"/>
    <n v="95"/>
    <x v="1275"/>
    <n v="214"/>
    <n v="14"/>
    <n v="8"/>
    <n v="8.4210526315789402E-2"/>
    <x v="180"/>
    <d v="2024-11-27T00:00:00"/>
    <s v="Hyderabad"/>
    <x v="2"/>
    <x v="4"/>
    <s v="November"/>
    <x v="1"/>
    <n v="2.24915789473684"/>
    <n v="3.02"/>
    <n v="15.26"/>
    <n v="26.71"/>
    <n v="42.28"/>
    <n v="38"/>
    <n v="1.42"/>
  </r>
  <r>
    <n v="1776"/>
    <s v="A2776"/>
    <x v="2"/>
    <n v="195"/>
    <x v="106"/>
    <n v="247"/>
    <n v="25"/>
    <n v="5"/>
    <n v="2.5641025641025599E-2"/>
    <x v="162"/>
    <d v="2024-11-09T00:00:00"/>
    <s v="Hyderabad"/>
    <x v="1"/>
    <x v="3"/>
    <s v="November"/>
    <x v="0"/>
    <n v="1.26435897435897"/>
    <n v="4.72"/>
    <n v="9.86"/>
    <n v="49.31"/>
    <n v="-8.34"/>
    <n v="45.2"/>
    <n v="0.92"/>
  </r>
  <r>
    <n v="1777"/>
    <s v="A2777"/>
    <x v="2"/>
    <n v="149"/>
    <x v="389"/>
    <n v="219"/>
    <n v="16"/>
    <n v="3"/>
    <n v="2.0134228187919399E-2"/>
    <x v="203"/>
    <d v="2024-11-26T00:00:00"/>
    <s v="Hyderabad"/>
    <x v="0"/>
    <x v="3"/>
    <s v="November"/>
    <x v="2"/>
    <n v="1.4705369127516701"/>
    <n v="2.97"/>
    <n v="13.69"/>
    <n v="73.040000000000006"/>
    <n v="67.040000000000006"/>
    <n v="122"/>
    <n v="1.67"/>
  </r>
  <r>
    <n v="1778"/>
    <s v="A2778"/>
    <x v="3"/>
    <n v="194"/>
    <x v="1335"/>
    <n v="225"/>
    <n v="12"/>
    <n v="6"/>
    <n v="3.0927835051546299E-2"/>
    <x v="162"/>
    <d v="2024-11-22T00:00:00"/>
    <s v="Hyderabad"/>
    <x v="2"/>
    <x v="2"/>
    <s v="November"/>
    <x v="3"/>
    <n v="1.1604639175257701"/>
    <n v="3.72"/>
    <n v="18.760000000000002"/>
    <n v="37.520000000000003"/>
    <n v="0.39"/>
    <n v="37.67"/>
    <n v="1"/>
  </r>
  <r>
    <n v="1779"/>
    <s v="A2779"/>
    <x v="2"/>
    <n v="191"/>
    <x v="923"/>
    <n v="208"/>
    <n v="23"/>
    <n v="7"/>
    <n v="3.6649214659685798E-2"/>
    <x v="22"/>
    <d v="2024-11-24T00:00:00"/>
    <s v="Hyderabad"/>
    <x v="2"/>
    <x v="1"/>
    <s v="November"/>
    <x v="4"/>
    <n v="1.0912565445026099"/>
    <n v="4.84"/>
    <n v="9.06"/>
    <n v="29.78"/>
    <n v="42.01"/>
    <n v="42.29"/>
    <n v="1.42"/>
  </r>
  <r>
    <n v="1780"/>
    <s v="A2780"/>
    <x v="2"/>
    <n v="196"/>
    <x v="1336"/>
    <n v="187"/>
    <n v="26"/>
    <n v="7"/>
    <n v="3.5714285714285698E-2"/>
    <x v="126"/>
    <d v="2024-11-04T00:00:00"/>
    <s v="Hyderabad"/>
    <x v="0"/>
    <x v="1"/>
    <s v="November"/>
    <x v="6"/>
    <n v="0.95443877551020395"/>
    <n v="3.99"/>
    <n v="7.19"/>
    <n v="26.72"/>
    <n v="87.63"/>
    <n v="50.14"/>
    <n v="1.88"/>
  </r>
  <r>
    <n v="1781"/>
    <s v="A2781"/>
    <x v="0"/>
    <n v="182"/>
    <x v="1337"/>
    <n v="249"/>
    <n v="23"/>
    <n v="7"/>
    <n v="3.8461538461538401E-2"/>
    <x v="38"/>
    <d v="2024-11-03T00:00:00"/>
    <s v="Hyderabad"/>
    <x v="0"/>
    <x v="0"/>
    <s v="November"/>
    <x v="4"/>
    <n v="1.37010989010989"/>
    <n v="3.54"/>
    <n v="10.84"/>
    <n v="35.619999999999997"/>
    <n v="51.19"/>
    <n v="53.86"/>
    <n v="1.51"/>
  </r>
  <r>
    <n v="1782"/>
    <s v="A2782"/>
    <x v="3"/>
    <n v="156"/>
    <x v="108"/>
    <n v="193"/>
    <n v="29"/>
    <n v="10"/>
    <n v="6.4102564102564097E-2"/>
    <x v="73"/>
    <d v="2024-11-27T00:00:00"/>
    <s v="Hyderabad"/>
    <x v="0"/>
    <x v="1"/>
    <s v="November"/>
    <x v="1"/>
    <n v="1.23833333333333"/>
    <n v="2.75"/>
    <n v="6.66"/>
    <n v="19.32"/>
    <n v="24.24"/>
    <n v="24"/>
    <n v="1.24"/>
  </r>
  <r>
    <n v="1783"/>
    <s v="A2783"/>
    <x v="1"/>
    <n v="187"/>
    <x v="946"/>
    <n v="201"/>
    <n v="18"/>
    <n v="9"/>
    <n v="4.8128342245989303E-2"/>
    <x v="126"/>
    <d v="2024-11-28T00:00:00"/>
    <s v="Hyderabad"/>
    <x v="2"/>
    <x v="0"/>
    <s v="November"/>
    <x v="5"/>
    <n v="1.0770588235294101"/>
    <n v="4"/>
    <n v="11.19"/>
    <n v="22.38"/>
    <n v="74.27"/>
    <n v="39"/>
    <n v="1.74"/>
  </r>
  <r>
    <n v="1784"/>
    <s v="A2784"/>
    <x v="2"/>
    <n v="117"/>
    <x v="771"/>
    <n v="184"/>
    <n v="30"/>
    <n v="3"/>
    <n v="2.5641025641025599E-2"/>
    <x v="139"/>
    <d v="2024-11-14T00:00:00"/>
    <s v="Hyderabad"/>
    <x v="2"/>
    <x v="4"/>
    <s v="November"/>
    <x v="5"/>
    <n v="1.5726495726495699"/>
    <n v="2.65"/>
    <n v="6.13"/>
    <n v="61.33"/>
    <n v="37.5"/>
    <n v="84.33"/>
    <n v="1.38"/>
  </r>
  <r>
    <n v="1785"/>
    <s v="A2785"/>
    <x v="2"/>
    <n v="135"/>
    <x v="1338"/>
    <n v="239"/>
    <n v="19"/>
    <n v="8"/>
    <n v="5.9259259259259199E-2"/>
    <x v="80"/>
    <d v="2024-11-28T00:00:00"/>
    <s v="Hyderabad"/>
    <x v="1"/>
    <x v="0"/>
    <s v="November"/>
    <x v="5"/>
    <n v="1.76896296296296"/>
    <n v="2.5"/>
    <n v="12.57"/>
    <n v="29.85"/>
    <n v="40.700000000000003"/>
    <n v="42"/>
    <n v="1.41"/>
  </r>
  <r>
    <n v="1786"/>
    <s v="A2786"/>
    <x v="1"/>
    <n v="114"/>
    <x v="1054"/>
    <n v="224"/>
    <n v="20"/>
    <n v="3"/>
    <n v="2.6315789473684199E-2"/>
    <x v="38"/>
    <d v="2024-11-08T00:00:00"/>
    <s v="Hyderabad"/>
    <x v="0"/>
    <x v="3"/>
    <s v="November"/>
    <x v="3"/>
    <n v="1.9621929824561399"/>
    <n v="3.03"/>
    <n v="11.18"/>
    <n v="74.56"/>
    <n v="68.540000000000006"/>
    <n v="125.67"/>
    <n v="1.69"/>
  </r>
  <r>
    <n v="1787"/>
    <s v="A2787"/>
    <x v="3"/>
    <n v="184"/>
    <x v="1339"/>
    <n v="232"/>
    <n v="23"/>
    <n v="9"/>
    <n v="4.8913043478260802E-2"/>
    <x v="156"/>
    <d v="2024-11-11T00:00:00"/>
    <s v="Hyderabad"/>
    <x v="0"/>
    <x v="1"/>
    <s v="November"/>
    <x v="6"/>
    <n v="1.2603804347826"/>
    <n v="3.13"/>
    <n v="10.08"/>
    <n v="25.77"/>
    <n v="-10.31"/>
    <n v="23.11"/>
    <n v="0.9"/>
  </r>
  <r>
    <n v="1788"/>
    <s v="A2788"/>
    <x v="3"/>
    <n v="115"/>
    <x v="1177"/>
    <n v="192"/>
    <n v="24"/>
    <n v="5"/>
    <n v="4.3478260869565202E-2"/>
    <x v="33"/>
    <d v="2024-11-20T00:00:00"/>
    <s v="Hyderabad"/>
    <x v="1"/>
    <x v="1"/>
    <s v="November"/>
    <x v="1"/>
    <n v="1.66947826086956"/>
    <n v="1.92"/>
    <n v="8"/>
    <n v="38.4"/>
    <n v="93.76"/>
    <n v="74.400000000000006"/>
    <n v="1.94"/>
  </r>
  <r>
    <n v="1789"/>
    <s v="A2789"/>
    <x v="0"/>
    <n v="149"/>
    <x v="1340"/>
    <n v="202"/>
    <n v="11"/>
    <n v="6"/>
    <n v="4.0268456375838903E-2"/>
    <x v="9"/>
    <d v="2024-11-04T00:00:00"/>
    <s v="Hyderabad"/>
    <x v="0"/>
    <x v="5"/>
    <s v="November"/>
    <x v="6"/>
    <n v="1.3585906040268401"/>
    <n v="4.59"/>
    <n v="18.399999999999999"/>
    <n v="33.74"/>
    <n v="3.74"/>
    <n v="35"/>
    <n v="1.04"/>
  </r>
  <r>
    <n v="1790"/>
    <s v="A2790"/>
    <x v="0"/>
    <n v="136"/>
    <x v="1341"/>
    <n v="233"/>
    <n v="18"/>
    <n v="6"/>
    <n v="4.4117647058823498E-2"/>
    <x v="101"/>
    <d v="2024-11-12T00:00:00"/>
    <s v="Hyderabad"/>
    <x v="2"/>
    <x v="4"/>
    <s v="November"/>
    <x v="2"/>
    <n v="1.71639705882352"/>
    <n v="3.13"/>
    <n v="12.97"/>
    <n v="38.9"/>
    <n v="13.52"/>
    <n v="44.17"/>
    <n v="1.1399999999999999"/>
  </r>
  <r>
    <n v="1791"/>
    <s v="A2791"/>
    <x v="3"/>
    <n v="119"/>
    <x v="1064"/>
    <n v="245"/>
    <n v="25"/>
    <n v="6"/>
    <n v="5.0420168067226802E-2"/>
    <x v="95"/>
    <d v="2024-11-13T00:00:00"/>
    <s v="Hyderabad"/>
    <x v="2"/>
    <x v="4"/>
    <s v="November"/>
    <x v="1"/>
    <n v="2.0599159663865501"/>
    <n v="2.0499999999999998"/>
    <n v="9.81"/>
    <n v="40.85"/>
    <n v="-6.58"/>
    <n v="38.17"/>
    <n v="0.93"/>
  </r>
  <r>
    <n v="1792"/>
    <s v="A2792"/>
    <x v="0"/>
    <n v="186"/>
    <x v="1342"/>
    <n v="197"/>
    <n v="18"/>
    <n v="10"/>
    <n v="5.3763440860214999E-2"/>
    <x v="197"/>
    <d v="2024-11-24T00:00:00"/>
    <s v="Hyderabad"/>
    <x v="0"/>
    <x v="1"/>
    <s v="November"/>
    <x v="4"/>
    <n v="1.0599462365591299"/>
    <n v="3.27"/>
    <n v="10.95"/>
    <n v="19.72"/>
    <n v="31.88"/>
    <n v="26"/>
    <n v="1.32"/>
  </r>
  <r>
    <n v="1793"/>
    <s v="A2793"/>
    <x v="3"/>
    <n v="91"/>
    <x v="806"/>
    <n v="196"/>
    <n v="27"/>
    <n v="4"/>
    <n v="4.3956043956043897E-2"/>
    <x v="19"/>
    <d v="2024-11-25T00:00:00"/>
    <s v="Hyderabad"/>
    <x v="2"/>
    <x v="3"/>
    <s v="November"/>
    <x v="6"/>
    <n v="2.1542857142857099"/>
    <n v="2.84"/>
    <n v="7.26"/>
    <n v="49.01"/>
    <n v="80.58"/>
    <n v="88.5"/>
    <n v="1.81"/>
  </r>
  <r>
    <n v="1794"/>
    <s v="A2794"/>
    <x v="3"/>
    <n v="171"/>
    <x v="1343"/>
    <n v="181"/>
    <n v="11"/>
    <n v="8"/>
    <n v="4.6783625730994101E-2"/>
    <x v="89"/>
    <d v="2024-11-14T00:00:00"/>
    <s v="Hyderabad"/>
    <x v="1"/>
    <x v="1"/>
    <s v="November"/>
    <x v="5"/>
    <n v="1.0574269005847901"/>
    <n v="4.9000000000000004"/>
    <n v="16.440000000000001"/>
    <n v="22.6"/>
    <n v="69.23"/>
    <n v="38.25"/>
    <n v="1.69"/>
  </r>
  <r>
    <n v="1795"/>
    <s v="A2795"/>
    <x v="3"/>
    <n v="149"/>
    <x v="1344"/>
    <n v="200"/>
    <n v="21"/>
    <n v="8"/>
    <n v="5.3691275167785199E-2"/>
    <x v="32"/>
    <d v="2024-11-18T00:00:00"/>
    <s v="Hyderabad"/>
    <x v="1"/>
    <x v="0"/>
    <s v="November"/>
    <x v="6"/>
    <n v="1.34161073825503"/>
    <n v="4.16"/>
    <n v="9.52"/>
    <n v="24.99"/>
    <n v="86.95"/>
    <n v="46.71"/>
    <n v="1.87"/>
  </r>
  <r>
    <n v="1796"/>
    <s v="A2796"/>
    <x v="3"/>
    <n v="121"/>
    <x v="297"/>
    <n v="241"/>
    <n v="16"/>
    <n v="3"/>
    <n v="2.4793388429752001E-2"/>
    <x v="3"/>
    <d v="2024-11-11T00:00:00"/>
    <s v="Hyderabad"/>
    <x v="0"/>
    <x v="2"/>
    <s v="November"/>
    <x v="6"/>
    <n v="1.9928925619834701"/>
    <n v="3.22"/>
    <n v="15.07"/>
    <n v="80.38"/>
    <n v="3.67"/>
    <n v="83.33"/>
    <n v="1.04"/>
  </r>
  <r>
    <n v="1797"/>
    <s v="A2797"/>
    <x v="1"/>
    <n v="189"/>
    <x v="1345"/>
    <n v="296"/>
    <n v="21"/>
    <n v="3"/>
    <n v="1.5873015873015799E-2"/>
    <x v="103"/>
    <d v="2024-11-05T00:00:00"/>
    <s v="Hyderabad"/>
    <x v="0"/>
    <x v="3"/>
    <s v="November"/>
    <x v="2"/>
    <n v="1.56753061615001"/>
    <n v="6.24"/>
    <n v="14.11"/>
    <n v="98.75"/>
    <n v="-30.13"/>
    <n v="69"/>
    <n v="0.7"/>
  </r>
  <r>
    <n v="1798"/>
    <s v="A2798"/>
    <x v="0"/>
    <n v="183"/>
    <x v="1086"/>
    <n v="238"/>
    <n v="13"/>
    <n v="10"/>
    <n v="5.4644808743169397E-2"/>
    <x v="1"/>
    <d v="2024-11-11T00:00:00"/>
    <s v="Hyderabad"/>
    <x v="1"/>
    <x v="2"/>
    <s v="November"/>
    <x v="6"/>
    <n v="1.29901639344262"/>
    <n v="4.72"/>
    <n v="18.29"/>
    <n v="23.77"/>
    <n v="44.29"/>
    <n v="34.299999999999997"/>
    <n v="1.44"/>
  </r>
  <r>
    <n v="1799"/>
    <s v="A2799"/>
    <x v="0"/>
    <n v="133"/>
    <x v="751"/>
    <n v="244"/>
    <n v="26"/>
    <n v="5"/>
    <n v="3.7593984962405999E-2"/>
    <x v="47"/>
    <d v="2024-11-22T00:00:00"/>
    <s v="Hyderabad"/>
    <x v="1"/>
    <x v="5"/>
    <s v="November"/>
    <x v="3"/>
    <n v="1.83180451127819"/>
    <n v="2.88"/>
    <n v="9.3699999999999992"/>
    <n v="48.73"/>
    <n v="46.12"/>
    <n v="71.2"/>
    <n v="1.46"/>
  </r>
  <r>
    <n v="1800"/>
    <s v="A2800"/>
    <x v="1"/>
    <n v="127"/>
    <x v="1340"/>
    <n v="244"/>
    <n v="25"/>
    <n v="5"/>
    <n v="3.9370078740157403E-2"/>
    <x v="102"/>
    <d v="2024-11-05T00:00:00"/>
    <s v="Hyderabad"/>
    <x v="1"/>
    <x v="5"/>
    <s v="November"/>
    <x v="2"/>
    <n v="1.9213385826771601"/>
    <n v="3.91"/>
    <n v="9.76"/>
    <n v="48.8"/>
    <n v="4.5"/>
    <n v="51"/>
    <n v="1.05"/>
  </r>
  <r>
    <n v="1801"/>
    <s v="A2801"/>
    <x v="3"/>
    <n v="195"/>
    <x v="1346"/>
    <n v="226"/>
    <n v="10"/>
    <n v="9"/>
    <n v="4.6153846153846101E-2"/>
    <x v="26"/>
    <d v="2024-11-17T00:00:00"/>
    <s v="Hyderabad"/>
    <x v="1"/>
    <x v="3"/>
    <s v="November"/>
    <x v="4"/>
    <n v="1.1567692307692301"/>
    <n v="5.78"/>
    <n v="22.56"/>
    <n v="25.06"/>
    <n v="52.5"/>
    <n v="38.22"/>
    <n v="1.53"/>
  </r>
  <r>
    <n v="1802"/>
    <s v="A2802"/>
    <x v="0"/>
    <n v="138"/>
    <x v="1347"/>
    <n v="210"/>
    <n v="16"/>
    <n v="8"/>
    <n v="5.7971014492753603E-2"/>
    <x v="57"/>
    <d v="2024-11-02T00:00:00"/>
    <s v="Hyderabad"/>
    <x v="0"/>
    <x v="3"/>
    <s v="November"/>
    <x v="0"/>
    <n v="1.5249999999999999"/>
    <n v="2.5299999999999998"/>
    <n v="13.15"/>
    <n v="26.31"/>
    <n v="90.54"/>
    <n v="50.12"/>
    <n v="1.91"/>
  </r>
  <r>
    <n v="1803"/>
    <s v="A2803"/>
    <x v="3"/>
    <n v="134"/>
    <x v="1348"/>
    <n v="231"/>
    <n v="21"/>
    <n v="7"/>
    <n v="5.2238805970149203E-2"/>
    <x v="3"/>
    <d v="2024-11-16T00:00:00"/>
    <s v="Hyderabad"/>
    <x v="1"/>
    <x v="4"/>
    <s v="November"/>
    <x v="0"/>
    <n v="1.72082089552238"/>
    <n v="4.45"/>
    <n v="10.98"/>
    <n v="32.94"/>
    <n v="8.42"/>
    <n v="35.71"/>
    <n v="1.08"/>
  </r>
  <r>
    <n v="1804"/>
    <s v="A2804"/>
    <x v="0"/>
    <n v="110"/>
    <x v="1349"/>
    <n v="212"/>
    <n v="12"/>
    <n v="6"/>
    <n v="5.4545454545454501E-2"/>
    <x v="47"/>
    <d v="2024-11-09T00:00:00"/>
    <s v="Hyderabad"/>
    <x v="2"/>
    <x v="1"/>
    <s v="November"/>
    <x v="0"/>
    <n v="1.92627272727272"/>
    <n v="3.26"/>
    <n v="17.66"/>
    <n v="35.32"/>
    <n v="68.010000000000005"/>
    <n v="59.33"/>
    <n v="1.68"/>
  </r>
  <r>
    <n v="1805"/>
    <s v="A2805"/>
    <x v="0"/>
    <n v="186"/>
    <x v="1350"/>
    <n v="182"/>
    <n v="25"/>
    <n v="7"/>
    <n v="3.7634408602150497E-2"/>
    <x v="77"/>
    <d v="2024-11-18T00:00:00"/>
    <s v="Hyderabad"/>
    <x v="2"/>
    <x v="2"/>
    <s v="November"/>
    <x v="6"/>
    <n v="0.98053763440860198"/>
    <n v="3.63"/>
    <n v="7.3"/>
    <n v="26.05"/>
    <n v="107.81"/>
    <n v="54.14"/>
    <n v="2.08"/>
  </r>
  <r>
    <n v="1806"/>
    <s v="A2806"/>
    <x v="3"/>
    <n v="191"/>
    <x v="1199"/>
    <n v="219"/>
    <n v="29"/>
    <n v="6"/>
    <n v="3.1413612565444997E-2"/>
    <x v="41"/>
    <d v="2024-11-04T00:00:00"/>
    <s v="Hyderabad"/>
    <x v="1"/>
    <x v="2"/>
    <s v="November"/>
    <x v="6"/>
    <n v="1.1486910994764301"/>
    <n v="3.63"/>
    <n v="7.57"/>
    <n v="36.57"/>
    <n v="60.89"/>
    <n v="58.83"/>
    <n v="1.61"/>
  </r>
  <r>
    <n v="1807"/>
    <s v="A2807"/>
    <x v="3"/>
    <n v="169"/>
    <x v="579"/>
    <n v="247"/>
    <n v="12"/>
    <n v="3"/>
    <n v="1.7751479289940801E-2"/>
    <x v="191"/>
    <d v="2024-11-12T00:00:00"/>
    <s v="Hyderabad"/>
    <x v="1"/>
    <x v="3"/>
    <s v="November"/>
    <x v="2"/>
    <n v="1.46248520710059"/>
    <n v="4.8600000000000003"/>
    <n v="20.6"/>
    <n v="82.39"/>
    <n v="63.86"/>
    <n v="135"/>
    <n v="1.64"/>
  </r>
  <r>
    <n v="1808"/>
    <s v="A2808"/>
    <x v="0"/>
    <n v="198"/>
    <x v="1351"/>
    <n v="225"/>
    <n v="16"/>
    <n v="5"/>
    <n v="2.52525252525252E-2"/>
    <x v="102"/>
    <d v="2024-11-29T00:00:00"/>
    <s v="Hyderabad"/>
    <x v="1"/>
    <x v="5"/>
    <s v="November"/>
    <x v="3"/>
    <n v="1.13883838383838"/>
    <n v="3.64"/>
    <n v="14.09"/>
    <n v="45.1"/>
    <n v="13.09"/>
    <n v="51"/>
    <n v="1.1299999999999999"/>
  </r>
  <r>
    <n v="1809"/>
    <s v="A2809"/>
    <x v="3"/>
    <n v="184"/>
    <x v="1352"/>
    <n v="242"/>
    <n v="27"/>
    <n v="9"/>
    <n v="4.8913043478260802E-2"/>
    <x v="211"/>
    <d v="2024-11-08T00:00:00"/>
    <s v="Hyderabad"/>
    <x v="1"/>
    <x v="0"/>
    <s v="November"/>
    <x v="3"/>
    <n v="1.3141304347825999"/>
    <n v="5.62"/>
    <n v="8.9600000000000009"/>
    <n v="26.87"/>
    <n v="66.25"/>
    <n v="44.67"/>
    <n v="1.66"/>
  </r>
  <r>
    <n v="1810"/>
    <s v="A2810"/>
    <x v="1"/>
    <n v="87"/>
    <x v="664"/>
    <n v="217"/>
    <n v="13"/>
    <n v="9"/>
    <n v="0.10344827586206801"/>
    <x v="176"/>
    <d v="2024-11-09T00:00:00"/>
    <s v="Hyderabad"/>
    <x v="0"/>
    <x v="2"/>
    <s v="November"/>
    <x v="0"/>
    <n v="2.4951724137931"/>
    <n v="1.67"/>
    <n v="16.7"/>
    <n v="24.12"/>
    <n v="62.15"/>
    <n v="39.11"/>
    <n v="1.62"/>
  </r>
  <r>
    <n v="1811"/>
    <s v="A2811"/>
    <x v="1"/>
    <n v="180"/>
    <x v="815"/>
    <n v="241"/>
    <n v="23"/>
    <n v="5"/>
    <n v="2.77777777777777E-2"/>
    <x v="73"/>
    <d v="2024-11-28T00:00:00"/>
    <s v="Hyderabad"/>
    <x v="1"/>
    <x v="5"/>
    <s v="November"/>
    <x v="5"/>
    <n v="1.34066666666666"/>
    <n v="5.81"/>
    <n v="10.49"/>
    <n v="48.26"/>
    <n v="-0.55000000000000004"/>
    <n v="48"/>
    <n v="0.99"/>
  </r>
  <r>
    <n v="1812"/>
    <s v="A2812"/>
    <x v="3"/>
    <n v="99"/>
    <x v="1353"/>
    <n v="184"/>
    <n v="24"/>
    <n v="8"/>
    <n v="8.0808080808080801E-2"/>
    <x v="203"/>
    <d v="2024-11-19T00:00:00"/>
    <s v="Hyderabad"/>
    <x v="1"/>
    <x v="0"/>
    <s v="November"/>
    <x v="2"/>
    <n v="1.8555555555555501"/>
    <n v="2.34"/>
    <n v="7.65"/>
    <n v="22.96"/>
    <n v="99.24"/>
    <n v="45.75"/>
    <n v="1.99"/>
  </r>
  <r>
    <n v="1813"/>
    <s v="A2813"/>
    <x v="0"/>
    <n v="148"/>
    <x v="1109"/>
    <n v="248"/>
    <n v="28"/>
    <n v="3"/>
    <n v="2.0270270270270199E-2"/>
    <x v="143"/>
    <d v="2024-11-08T00:00:00"/>
    <s v="Hyderabad"/>
    <x v="1"/>
    <x v="4"/>
    <s v="November"/>
    <x v="3"/>
    <n v="1.6781756756756701"/>
    <n v="3.67"/>
    <n v="8.8699999999999992"/>
    <n v="82.79"/>
    <n v="27.23"/>
    <n v="105.33"/>
    <n v="1.27"/>
  </r>
  <r>
    <n v="1814"/>
    <s v="A2814"/>
    <x v="0"/>
    <n v="146"/>
    <x v="1354"/>
    <n v="214"/>
    <n v="29"/>
    <n v="6"/>
    <n v="4.1095890410958902E-2"/>
    <x v="73"/>
    <d v="2024-11-23T00:00:00"/>
    <s v="Hyderabad"/>
    <x v="1"/>
    <x v="1"/>
    <s v="November"/>
    <x v="0"/>
    <n v="1.4636986301369801"/>
    <n v="3.69"/>
    <n v="7.37"/>
    <n v="35.619999999999997"/>
    <n v="12.31"/>
    <n v="40"/>
    <n v="1.1200000000000001"/>
  </r>
  <r>
    <n v="1815"/>
    <s v="A2815"/>
    <x v="2"/>
    <n v="149"/>
    <x v="1355"/>
    <n v="199"/>
    <n v="14"/>
    <n v="4"/>
    <n v="2.68456375838926E-2"/>
    <x v="159"/>
    <d v="2024-11-01T00:00:00"/>
    <s v="Hyderabad"/>
    <x v="2"/>
    <x v="3"/>
    <s v="November"/>
    <x v="3"/>
    <n v="1.3324832214765101"/>
    <n v="3.86"/>
    <n v="14.18"/>
    <n v="49.64"/>
    <n v="-5.88"/>
    <n v="46.71"/>
    <n v="0.94"/>
  </r>
  <r>
    <n v="1816"/>
    <s v="A2816"/>
    <x v="0"/>
    <n v="88"/>
    <x v="1356"/>
    <n v="242"/>
    <n v="29"/>
    <n v="6"/>
    <n v="6.8181818181818094E-2"/>
    <x v="25"/>
    <d v="2024-11-20T00:00:00"/>
    <s v="Hyderabad"/>
    <x v="1"/>
    <x v="0"/>
    <s v="November"/>
    <x v="1"/>
    <n v="2.7477272727272699"/>
    <n v="2.56"/>
    <n v="8.34"/>
    <n v="40.299999999999997"/>
    <n v="39.78"/>
    <n v="56.33"/>
    <n v="1.4"/>
  </r>
  <r>
    <n v="1817"/>
    <s v="A2817"/>
    <x v="0"/>
    <n v="154"/>
    <x v="525"/>
    <n v="185"/>
    <n v="16"/>
    <n v="9"/>
    <n v="5.8441558441558399E-2"/>
    <x v="130"/>
    <d v="2024-11-14T00:00:00"/>
    <s v="Hyderabad"/>
    <x v="1"/>
    <x v="2"/>
    <s v="November"/>
    <x v="5"/>
    <n v="1.2033766233766201"/>
    <n v="5.12"/>
    <n v="11.58"/>
    <n v="20.59"/>
    <n v="57.57"/>
    <n v="32.44"/>
    <n v="1.58"/>
  </r>
  <r>
    <n v="1818"/>
    <s v="A2818"/>
    <x v="1"/>
    <n v="137"/>
    <x v="1357"/>
    <n v="209"/>
    <n v="17"/>
    <n v="6"/>
    <n v="4.3795620437956199E-2"/>
    <x v="126"/>
    <d v="2024-11-08T00:00:00"/>
    <s v="Hyderabad"/>
    <x v="1"/>
    <x v="1"/>
    <s v="November"/>
    <x v="3"/>
    <n v="1.5243795620437901"/>
    <n v="2.84"/>
    <n v="12.28"/>
    <n v="34.81"/>
    <n v="68.069999999999993"/>
    <n v="58.5"/>
    <n v="1.68"/>
  </r>
  <r>
    <n v="1819"/>
    <s v="A2819"/>
    <x v="0"/>
    <n v="125"/>
    <x v="373"/>
    <n v="183"/>
    <n v="16"/>
    <n v="10"/>
    <n v="0.08"/>
    <x v="105"/>
    <d v="2024-11-03T00:00:00"/>
    <s v="Hyderabad"/>
    <x v="2"/>
    <x v="0"/>
    <s v="November"/>
    <x v="4"/>
    <n v="1.4652799999999999"/>
    <n v="2.4"/>
    <n v="11.45"/>
    <n v="18.32"/>
    <n v="38.68"/>
    <n v="25.4"/>
    <n v="1.39"/>
  </r>
  <r>
    <n v="1820"/>
    <s v="A2820"/>
    <x v="0"/>
    <n v="155"/>
    <x v="1358"/>
    <n v="192"/>
    <n v="23"/>
    <n v="8"/>
    <n v="5.1612903225806403E-2"/>
    <x v="22"/>
    <d v="2024-11-14T00:00:00"/>
    <s v="Hyderabad"/>
    <x v="2"/>
    <x v="1"/>
    <s v="November"/>
    <x v="5"/>
    <n v="1.2357419354838699"/>
    <n v="3.18"/>
    <n v="8.33"/>
    <n v="23.94"/>
    <n v="54.54"/>
    <n v="37"/>
    <n v="1.55"/>
  </r>
  <r>
    <n v="1821"/>
    <s v="A2821"/>
    <x v="1"/>
    <n v="111"/>
    <x v="1359"/>
    <n v="240"/>
    <n v="22"/>
    <n v="8"/>
    <n v="7.2072072072072002E-2"/>
    <x v="65"/>
    <d v="2024-11-22T00:00:00"/>
    <s v="Hyderabad"/>
    <x v="0"/>
    <x v="4"/>
    <s v="November"/>
    <x v="3"/>
    <n v="2.1642342342342298"/>
    <n v="2.16"/>
    <n v="10.92"/>
    <n v="30.03"/>
    <n v="31.96"/>
    <n v="39.619999999999997"/>
    <n v="1.32"/>
  </r>
  <r>
    <n v="1822"/>
    <s v="A2822"/>
    <x v="0"/>
    <n v="141"/>
    <x v="1360"/>
    <n v="234"/>
    <n v="16"/>
    <n v="9"/>
    <n v="6.3829787234042507E-2"/>
    <x v="186"/>
    <d v="2024-11-21T00:00:00"/>
    <s v="Hyderabad"/>
    <x v="0"/>
    <x v="3"/>
    <s v="November"/>
    <x v="5"/>
    <n v="1.66269503546099"/>
    <n v="4.43"/>
    <n v="14.65"/>
    <n v="26.05"/>
    <n v="41.61"/>
    <n v="36.89"/>
    <n v="1.42"/>
  </r>
  <r>
    <n v="1823"/>
    <s v="A2823"/>
    <x v="0"/>
    <n v="153"/>
    <x v="1361"/>
    <n v="234"/>
    <n v="18"/>
    <n v="5"/>
    <n v="3.2679738562091498E-2"/>
    <x v="44"/>
    <d v="2024-11-24T00:00:00"/>
    <s v="Hyderabad"/>
    <x v="2"/>
    <x v="1"/>
    <s v="November"/>
    <x v="4"/>
    <n v="1.5310457516339799"/>
    <n v="3.68"/>
    <n v="13.01"/>
    <n v="46.85"/>
    <n v="19.100000000000001"/>
    <n v="55.8"/>
    <n v="1.19"/>
  </r>
  <r>
    <n v="1824"/>
    <s v="A2824"/>
    <x v="3"/>
    <n v="176"/>
    <x v="1362"/>
    <n v="191"/>
    <n v="11"/>
    <n v="4"/>
    <n v="2.27272727272727E-2"/>
    <x v="162"/>
    <d v="2024-11-28T00:00:00"/>
    <s v="Hyderabad"/>
    <x v="1"/>
    <x v="4"/>
    <s v="November"/>
    <x v="5"/>
    <n v="1.0858522727272699"/>
    <n v="3.03"/>
    <n v="17.37"/>
    <n v="47.78"/>
    <n v="18.260000000000002"/>
    <n v="56.5"/>
    <n v="1.18"/>
  </r>
  <r>
    <n v="1825"/>
    <s v="A2825"/>
    <x v="2"/>
    <n v="147"/>
    <x v="481"/>
    <n v="223"/>
    <n v="17"/>
    <n v="3"/>
    <n v="2.04081632653061E-2"/>
    <x v="158"/>
    <d v="2024-11-27T00:00:00"/>
    <s v="Hyderabad"/>
    <x v="0"/>
    <x v="4"/>
    <s v="November"/>
    <x v="1"/>
    <n v="1.5192517006802699"/>
    <n v="3.46"/>
    <n v="13.14"/>
    <n v="74.44"/>
    <n v="-2.39"/>
    <n v="72.67"/>
    <n v="0.98"/>
  </r>
  <r>
    <n v="1826"/>
    <s v="A2826"/>
    <x v="0"/>
    <n v="80"/>
    <x v="1363"/>
    <n v="196"/>
    <n v="15"/>
    <n v="4"/>
    <n v="0.05"/>
    <x v="121"/>
    <d v="2024-11-08T00:00:00"/>
    <s v="Hyderabad"/>
    <x v="0"/>
    <x v="0"/>
    <s v="November"/>
    <x v="3"/>
    <n v="2.4521249999999899"/>
    <n v="3.03"/>
    <n v="13.08"/>
    <n v="49.04"/>
    <n v="30.5"/>
    <n v="64"/>
    <n v="1.3"/>
  </r>
  <r>
    <n v="1827"/>
    <s v="A2827"/>
    <x v="3"/>
    <n v="181"/>
    <x v="44"/>
    <n v="231"/>
    <n v="24"/>
    <n v="4"/>
    <n v="2.2099447513812098E-2"/>
    <x v="57"/>
    <d v="2024-11-29T00:00:00"/>
    <s v="Hyderabad"/>
    <x v="2"/>
    <x v="1"/>
    <s v="November"/>
    <x v="3"/>
    <n v="1.2771270718232"/>
    <n v="3.13"/>
    <n v="9.6300000000000008"/>
    <n v="57.79"/>
    <n v="73.47"/>
    <n v="100.25"/>
    <n v="1.73"/>
  </r>
  <r>
    <n v="1828"/>
    <s v="A2828"/>
    <x v="3"/>
    <n v="175"/>
    <x v="1364"/>
    <n v="228"/>
    <n v="17"/>
    <n v="8"/>
    <n v="4.57142857142857E-2"/>
    <x v="186"/>
    <d v="2024-11-04T00:00:00"/>
    <s v="Hyderabad"/>
    <x v="2"/>
    <x v="0"/>
    <s v="November"/>
    <x v="6"/>
    <n v="1.3027428571428501"/>
    <n v="4.6100000000000003"/>
    <n v="13.41"/>
    <n v="28.5"/>
    <n v="45.63"/>
    <n v="41.5"/>
    <n v="1.46"/>
  </r>
  <r>
    <n v="1829"/>
    <s v="A2829"/>
    <x v="3"/>
    <n v="94"/>
    <x v="1365"/>
    <n v="220"/>
    <n v="18"/>
    <n v="8"/>
    <n v="8.5106382978723402E-2"/>
    <x v="111"/>
    <d v="2024-11-18T00:00:00"/>
    <s v="Hyderabad"/>
    <x v="0"/>
    <x v="3"/>
    <s v="November"/>
    <x v="6"/>
    <n v="2.3431914893617001"/>
    <n v="1.59"/>
    <n v="12.24"/>
    <n v="27.53"/>
    <n v="37.56"/>
    <n v="37.880000000000003"/>
    <n v="1.38"/>
  </r>
  <r>
    <n v="1830"/>
    <s v="A2830"/>
    <x v="1"/>
    <n v="119"/>
    <x v="1366"/>
    <n v="248"/>
    <n v="23"/>
    <n v="8"/>
    <n v="6.7226890756302504E-2"/>
    <x v="108"/>
    <d v="2024-11-08T00:00:00"/>
    <s v="Hyderabad"/>
    <x v="1"/>
    <x v="0"/>
    <s v="November"/>
    <x v="3"/>
    <n v="2.0852100840336099"/>
    <n v="2.59"/>
    <n v="10.79"/>
    <n v="31.02"/>
    <n v="31.38"/>
    <n v="40.75"/>
    <n v="1.31"/>
  </r>
  <r>
    <n v="1831"/>
    <s v="A2831"/>
    <x v="1"/>
    <n v="146"/>
    <x v="172"/>
    <n v="182"/>
    <n v="27"/>
    <n v="9"/>
    <n v="6.1643835616438297E-2"/>
    <x v="144"/>
    <d v="2024-11-06T00:00:00"/>
    <s v="Hyderabad"/>
    <x v="2"/>
    <x v="5"/>
    <s v="November"/>
    <x v="1"/>
    <n v="1.2445205479452"/>
    <n v="3.39"/>
    <n v="6.73"/>
    <n v="20.190000000000001"/>
    <n v="56.3"/>
    <n v="31.56"/>
    <n v="1.56"/>
  </r>
  <r>
    <n v="1832"/>
    <s v="A2832"/>
    <x v="0"/>
    <n v="122"/>
    <x v="1367"/>
    <n v="203"/>
    <n v="25"/>
    <n v="8"/>
    <n v="6.5573770491803199E-2"/>
    <x v="44"/>
    <d v="2024-11-07T00:00:00"/>
    <s v="Hyderabad"/>
    <x v="2"/>
    <x v="1"/>
    <s v="November"/>
    <x v="5"/>
    <n v="1.6603278688524501"/>
    <n v="2.61"/>
    <n v="8.1"/>
    <n v="25.32"/>
    <n v="37.74"/>
    <n v="34.880000000000003"/>
    <n v="1.38"/>
  </r>
  <r>
    <n v="1833"/>
    <s v="A2833"/>
    <x v="1"/>
    <n v="114"/>
    <x v="1368"/>
    <n v="174"/>
    <n v="28"/>
    <n v="4"/>
    <n v="3.5087719298245598E-2"/>
    <x v="107"/>
    <d v="2024-11-18T00:00:00"/>
    <s v="Hyderabad"/>
    <x v="1"/>
    <x v="1"/>
    <s v="November"/>
    <x v="6"/>
    <n v="1.5243795620437901"/>
    <n v="1.95"/>
    <n v="6.21"/>
    <n v="43.44"/>
    <n v="84.14"/>
    <n v="80"/>
    <n v="1.84"/>
  </r>
  <r>
    <n v="1834"/>
    <s v="A2834"/>
    <x v="3"/>
    <n v="130"/>
    <x v="1369"/>
    <n v="201"/>
    <n v="25"/>
    <n v="7"/>
    <n v="5.3846153846153801E-2"/>
    <x v="8"/>
    <d v="2024-11-15T00:00:00"/>
    <s v="Hyderabad"/>
    <x v="2"/>
    <x v="5"/>
    <s v="November"/>
    <x v="3"/>
    <n v="1.5454545454545401"/>
    <n v="3.57"/>
    <n v="8.0399999999999991"/>
    <n v="28.7"/>
    <n v="38.369999999999997"/>
    <n v="39.71"/>
    <n v="1.38"/>
  </r>
  <r>
    <n v="1835"/>
    <s v="A2835"/>
    <x v="1"/>
    <n v="154"/>
    <x v="1370"/>
    <n v="208"/>
    <n v="14"/>
    <n v="8"/>
    <n v="5.1948051948051903E-2"/>
    <x v="212"/>
    <d v="2024-11-06T00:00:00"/>
    <s v="Hyderabad"/>
    <x v="0"/>
    <x v="5"/>
    <s v="November"/>
    <x v="1"/>
    <n v="1.3481168831168799"/>
    <n v="2.78"/>
    <n v="14.83"/>
    <n v="25.95"/>
    <n v="14.64"/>
    <n v="29.75"/>
    <n v="1.1499999999999999"/>
  </r>
  <r>
    <n v="1836"/>
    <s v="A2836"/>
    <x v="2"/>
    <n v="132"/>
    <x v="897"/>
    <n v="229"/>
    <n v="15"/>
    <n v="5"/>
    <n v="3.7878787878787797E-2"/>
    <x v="63"/>
    <d v="2024-11-14T00:00:00"/>
    <s v="Hyderabad"/>
    <x v="0"/>
    <x v="5"/>
    <s v="November"/>
    <x v="5"/>
    <n v="1.7377272727272699"/>
    <n v="3.06"/>
    <n v="15.29"/>
    <n v="45.88"/>
    <n v="38.630000000000003"/>
    <n v="63.6"/>
    <n v="1.39"/>
  </r>
  <r>
    <n v="1837"/>
    <s v="A2837"/>
    <x v="2"/>
    <n v="170"/>
    <x v="1088"/>
    <n v="224"/>
    <n v="29"/>
    <n v="4"/>
    <n v="2.3529411764705799E-2"/>
    <x v="211"/>
    <d v="2024-11-01T00:00:00"/>
    <s v="Hyderabad"/>
    <x v="0"/>
    <x v="5"/>
    <s v="November"/>
    <x v="3"/>
    <n v="1.3196470588235201"/>
    <n v="4.82"/>
    <n v="7.74"/>
    <n v="56.08"/>
    <n v="79.19"/>
    <n v="100.5"/>
    <n v="1.79"/>
  </r>
  <r>
    <n v="1838"/>
    <s v="A2838"/>
    <x v="2"/>
    <n v="85"/>
    <x v="1371"/>
    <n v="201"/>
    <n v="20"/>
    <n v="10"/>
    <n v="0.11764705882352899"/>
    <x v="41"/>
    <d v="2024-11-25T00:00:00"/>
    <s v="Hyderabad"/>
    <x v="1"/>
    <x v="1"/>
    <s v="November"/>
    <x v="6"/>
    <n v="2.3661176470588199"/>
    <n v="1.43"/>
    <n v="10.06"/>
    <n v="20.11"/>
    <n v="75.52"/>
    <n v="35.299999999999997"/>
    <n v="1.76"/>
  </r>
  <r>
    <n v="1839"/>
    <s v="A2839"/>
    <x v="3"/>
    <n v="85"/>
    <x v="179"/>
    <n v="221"/>
    <n v="25"/>
    <n v="5"/>
    <n v="5.8823529411764698E-2"/>
    <x v="37"/>
    <d v="2024-11-02T00:00:00"/>
    <s v="Hyderabad"/>
    <x v="0"/>
    <x v="5"/>
    <s v="November"/>
    <x v="0"/>
    <n v="2.5944705882352901"/>
    <n v="2.65"/>
    <n v="8.82"/>
    <n v="44.11"/>
    <n v="31.95"/>
    <n v="58.2"/>
    <n v="1.32"/>
  </r>
  <r>
    <n v="1840"/>
    <s v="A2840"/>
    <x v="0"/>
    <n v="127"/>
    <x v="1372"/>
    <n v="199"/>
    <n v="20"/>
    <n v="3"/>
    <n v="2.3622047244094401E-2"/>
    <x v="139"/>
    <d v="2024-11-01T00:00:00"/>
    <s v="Hyderabad"/>
    <x v="0"/>
    <x v="1"/>
    <s v="November"/>
    <x v="3"/>
    <n v="1.5696062992125901"/>
    <n v="2.84"/>
    <n v="9.9700000000000006"/>
    <n v="66.45"/>
    <n v="26.92"/>
    <n v="84.33"/>
    <n v="1.27"/>
  </r>
  <r>
    <n v="1841"/>
    <s v="A2841"/>
    <x v="1"/>
    <n v="148"/>
    <x v="1373"/>
    <n v="207"/>
    <n v="22"/>
    <n v="9"/>
    <n v="6.08108108108108E-2"/>
    <x v="128"/>
    <d v="2024-11-28T00:00:00"/>
    <s v="Hyderabad"/>
    <x v="0"/>
    <x v="4"/>
    <s v="November"/>
    <x v="5"/>
    <n v="1.39972972972972"/>
    <n v="4.6100000000000003"/>
    <n v="9.42"/>
    <n v="23.02"/>
    <n v="39.51"/>
    <n v="32.11"/>
    <n v="1.4"/>
  </r>
  <r>
    <n v="1842"/>
    <s v="A2842"/>
    <x v="3"/>
    <n v="181"/>
    <x v="1053"/>
    <n v="228"/>
    <n v="24"/>
    <n v="4"/>
    <n v="2.2099447513812098E-2"/>
    <x v="102"/>
    <d v="2024-11-16T00:00:00"/>
    <s v="Hyderabad"/>
    <x v="1"/>
    <x v="1"/>
    <s v="November"/>
    <x v="0"/>
    <n v="1.25723756906077"/>
    <n v="4.24"/>
    <n v="9.48"/>
    <n v="56.89"/>
    <n v="12.06"/>
    <n v="63.75"/>
    <n v="1.1200000000000001"/>
  </r>
  <r>
    <n v="1843"/>
    <s v="A2843"/>
    <x v="0"/>
    <n v="102"/>
    <x v="1374"/>
    <n v="183"/>
    <n v="15"/>
    <n v="5"/>
    <n v="4.9019607843137199E-2"/>
    <x v="184"/>
    <d v="2024-11-24T00:00:00"/>
    <s v="Hyderabad"/>
    <x v="2"/>
    <x v="5"/>
    <s v="November"/>
    <x v="4"/>
    <n v="1.7942156862745"/>
    <n v="2.2599999999999998"/>
    <n v="12.2"/>
    <n v="36.6"/>
    <n v="72.12"/>
    <n v="63"/>
    <n v="1.72"/>
  </r>
  <r>
    <n v="1844"/>
    <s v="A2844"/>
    <x v="2"/>
    <n v="136"/>
    <x v="1375"/>
    <n v="199"/>
    <n v="25"/>
    <n v="9"/>
    <n v="6.6176470588235295E-2"/>
    <x v="97"/>
    <d v="2024-11-09T00:00:00"/>
    <s v="Hyderabad"/>
    <x v="0"/>
    <x v="5"/>
    <s v="November"/>
    <x v="0"/>
    <n v="1.46514705882352"/>
    <n v="2.59"/>
    <n v="7.97"/>
    <n v="22.14"/>
    <n v="16.93"/>
    <n v="25.89"/>
    <n v="1.17"/>
  </r>
  <r>
    <n v="1845"/>
    <s v="A2845"/>
    <x v="3"/>
    <n v="148"/>
    <x v="1139"/>
    <n v="213"/>
    <n v="14"/>
    <n v="4"/>
    <n v="2.7027027027027001E-2"/>
    <x v="147"/>
    <d v="2024-11-18T00:00:00"/>
    <s v="Hyderabad"/>
    <x v="2"/>
    <x v="3"/>
    <s v="November"/>
    <x v="6"/>
    <n v="1.4407432432432401"/>
    <n v="3.03"/>
    <n v="15.23"/>
    <n v="53.31"/>
    <n v="41.16"/>
    <n v="75.25"/>
    <n v="1.41"/>
  </r>
  <r>
    <n v="1846"/>
    <s v="A2846"/>
    <x v="2"/>
    <n v="170"/>
    <x v="1376"/>
    <n v="198"/>
    <n v="21"/>
    <n v="7"/>
    <n v="4.1176470588235203E-2"/>
    <x v="73"/>
    <d v="2024-11-30T00:00:00"/>
    <s v="Hyderabad"/>
    <x v="0"/>
    <x v="4"/>
    <s v="November"/>
    <x v="0"/>
    <n v="1.16547058823529"/>
    <n v="3.16"/>
    <n v="9.43"/>
    <n v="28.3"/>
    <n v="21.13"/>
    <n v="34.29"/>
    <n v="1.21"/>
  </r>
  <r>
    <n v="1847"/>
    <s v="A2847"/>
    <x v="1"/>
    <n v="152"/>
    <x v="588"/>
    <n v="232"/>
    <n v="17"/>
    <n v="7"/>
    <n v="4.6052631578947303E-2"/>
    <x v="134"/>
    <d v="2024-11-12T00:00:00"/>
    <s v="Hyderabad"/>
    <x v="1"/>
    <x v="0"/>
    <s v="November"/>
    <x v="2"/>
    <n v="1.5243795620437901"/>
    <n v="3.37"/>
    <n v="13.63"/>
    <n v="33.1"/>
    <n v="47.6"/>
    <n v="48.86"/>
    <n v="1.48"/>
  </r>
  <r>
    <n v="1848"/>
    <s v="A2848"/>
    <x v="0"/>
    <n v="128"/>
    <x v="1377"/>
    <n v="239"/>
    <n v="10"/>
    <n v="10"/>
    <n v="7.8125E-2"/>
    <x v="35"/>
    <d v="2024-11-13T00:00:00"/>
    <s v="Hyderabad"/>
    <x v="1"/>
    <x v="1"/>
    <s v="November"/>
    <x v="1"/>
    <n v="1.86671875"/>
    <n v="3.09"/>
    <n v="23.89"/>
    <n v="23.89"/>
    <n v="11.74"/>
    <n v="26.7"/>
    <n v="1.1200000000000001"/>
  </r>
  <r>
    <n v="1849"/>
    <s v="A2849"/>
    <x v="2"/>
    <n v="168"/>
    <x v="1378"/>
    <n v="228"/>
    <n v="27"/>
    <n v="6"/>
    <n v="3.5714285714285698E-2"/>
    <x v="1"/>
    <d v="2024-11-20T00:00:00"/>
    <s v="Hyderabad"/>
    <x v="1"/>
    <x v="4"/>
    <s v="November"/>
    <x v="1"/>
    <n v="1.3571428571428501"/>
    <n v="3.72"/>
    <n v="8.44"/>
    <n v="38"/>
    <n v="50.44"/>
    <n v="57.17"/>
    <n v="1.5"/>
  </r>
  <r>
    <n v="1850"/>
    <s v="A2850"/>
    <x v="3"/>
    <n v="95"/>
    <x v="915"/>
    <n v="225"/>
    <n v="26"/>
    <n v="7"/>
    <n v="7.3684210526315699E-2"/>
    <x v="94"/>
    <d v="2024-11-19T00:00:00"/>
    <s v="Hyderabad"/>
    <x v="2"/>
    <x v="2"/>
    <s v="November"/>
    <x v="2"/>
    <n v="2.3703157894736799"/>
    <n v="2.33"/>
    <n v="8.66"/>
    <n v="32.17"/>
    <n v="59.87"/>
    <n v="51.43"/>
    <n v="1.6"/>
  </r>
  <r>
    <n v="1851"/>
    <s v="A2851"/>
    <x v="3"/>
    <n v="120"/>
    <x v="1379"/>
    <n v="198"/>
    <n v="17"/>
    <n v="7"/>
    <n v="5.83333333333333E-2"/>
    <x v="121"/>
    <d v="2024-11-18T00:00:00"/>
    <s v="Hyderabad"/>
    <x v="2"/>
    <x v="5"/>
    <s v="November"/>
    <x v="6"/>
    <n v="1.6463333333333301"/>
    <n v="3.07"/>
    <n v="11.62"/>
    <n v="28.22"/>
    <n v="29.58"/>
    <n v="36.57"/>
    <n v="1.3"/>
  </r>
  <r>
    <n v="1852"/>
    <s v="A2852"/>
    <x v="1"/>
    <n v="157"/>
    <x v="1372"/>
    <n v="192"/>
    <n v="20"/>
    <n v="10"/>
    <n v="6.3694267515923497E-2"/>
    <x v="108"/>
    <d v="2024-11-04T00:00:00"/>
    <s v="Hyderabad"/>
    <x v="1"/>
    <x v="4"/>
    <s v="November"/>
    <x v="6"/>
    <n v="1.2209554140127299"/>
    <n v="3.51"/>
    <n v="9.58"/>
    <n v="19.170000000000002"/>
    <n v="70.069999999999993"/>
    <n v="32.6"/>
    <n v="1.7"/>
  </r>
  <r>
    <n v="1853"/>
    <s v="A2853"/>
    <x v="1"/>
    <n v="147"/>
    <x v="1297"/>
    <n v="230"/>
    <n v="15"/>
    <n v="3"/>
    <n v="2.04081632653061E-2"/>
    <x v="101"/>
    <d v="2024-11-06T00:00:00"/>
    <s v="Hyderabad"/>
    <x v="0"/>
    <x v="0"/>
    <s v="November"/>
    <x v="1"/>
    <n v="1.5656462585033999"/>
    <n v="2.63"/>
    <n v="15.34"/>
    <n v="76.72"/>
    <n v="15.14"/>
    <n v="88.33"/>
    <n v="1.1499999999999999"/>
  </r>
  <r>
    <n v="1854"/>
    <s v="A2854"/>
    <x v="3"/>
    <n v="161"/>
    <x v="1380"/>
    <n v="181"/>
    <n v="15"/>
    <n v="10"/>
    <n v="6.2111801242236003E-2"/>
    <x v="51"/>
    <d v="2024-11-07T00:00:00"/>
    <s v="Hyderabad"/>
    <x v="0"/>
    <x v="3"/>
    <s v="November"/>
    <x v="5"/>
    <n v="1.1243478260869499"/>
    <n v="4.95"/>
    <n v="12.07"/>
    <n v="18.100000000000001"/>
    <n v="50.81"/>
    <n v="27.3"/>
    <n v="1.51"/>
  </r>
  <r>
    <n v="1855"/>
    <s v="A2855"/>
    <x v="0"/>
    <n v="187"/>
    <x v="1381"/>
    <n v="185"/>
    <n v="26"/>
    <n v="6"/>
    <n v="3.20855614973262E-2"/>
    <x v="189"/>
    <d v="2024-11-04T00:00:00"/>
    <s v="Hyderabad"/>
    <x v="1"/>
    <x v="3"/>
    <s v="November"/>
    <x v="6"/>
    <n v="0.99010695187165698"/>
    <n v="4.83"/>
    <n v="7.12"/>
    <n v="30.86"/>
    <n v="107.4"/>
    <n v="64"/>
    <n v="2.0699999999999998"/>
  </r>
  <r>
    <n v="1856"/>
    <s v="A2856"/>
    <x v="0"/>
    <n v="177"/>
    <x v="887"/>
    <n v="214"/>
    <n v="18"/>
    <n v="4"/>
    <n v="2.2598870056497099E-2"/>
    <x v="88"/>
    <d v="2024-11-28T00:00:00"/>
    <s v="Hyderabad"/>
    <x v="2"/>
    <x v="1"/>
    <s v="November"/>
    <x v="5"/>
    <n v="1.2063276836158101"/>
    <n v="3.51"/>
    <n v="11.86"/>
    <n v="53.38"/>
    <n v="6.78"/>
    <n v="57"/>
    <n v="1.07"/>
  </r>
  <r>
    <n v="1857"/>
    <s v="A2857"/>
    <x v="2"/>
    <n v="165"/>
    <x v="1382"/>
    <n v="192"/>
    <n v="15"/>
    <n v="4"/>
    <n v="2.4242424242424201E-2"/>
    <x v="17"/>
    <d v="2024-11-04T00:00:00"/>
    <s v="Hyderabad"/>
    <x v="2"/>
    <x v="5"/>
    <s v="November"/>
    <x v="6"/>
    <n v="1.1622424242424201"/>
    <n v="3.64"/>
    <n v="12.78"/>
    <n v="47.94"/>
    <n v="89.81"/>
    <n v="91"/>
    <n v="1.9"/>
  </r>
  <r>
    <n v="1858"/>
    <s v="A2858"/>
    <x v="2"/>
    <n v="146"/>
    <x v="755"/>
    <n v="229"/>
    <n v="23"/>
    <n v="6"/>
    <n v="4.1095890410958902E-2"/>
    <x v="181"/>
    <d v="2024-11-05T00:00:00"/>
    <s v="Hyderabad"/>
    <x v="0"/>
    <x v="5"/>
    <s v="November"/>
    <x v="2"/>
    <n v="1.56753061615001"/>
    <n v="3.88"/>
    <n v="9.9499999999999993"/>
    <n v="38.14"/>
    <n v="56.86"/>
    <n v="59.83"/>
    <n v="1.57"/>
  </r>
  <r>
    <n v="1859"/>
    <s v="A2859"/>
    <x v="2"/>
    <n v="126"/>
    <x v="564"/>
    <n v="222"/>
    <n v="27"/>
    <n v="5"/>
    <n v="3.9682539682539597E-2"/>
    <x v="180"/>
    <d v="2024-11-30T00:00:00"/>
    <s v="Hyderabad"/>
    <x v="0"/>
    <x v="5"/>
    <s v="November"/>
    <x v="0"/>
    <n v="1.7651587301587299"/>
    <n v="3.4"/>
    <n v="8.24"/>
    <n v="44.48"/>
    <n v="36.68"/>
    <n v="60.8"/>
    <n v="1.37"/>
  </r>
  <r>
    <n v="1860"/>
    <s v="A2860"/>
    <x v="2"/>
    <n v="110"/>
    <x v="613"/>
    <n v="185"/>
    <n v="17"/>
    <n v="8"/>
    <n v="7.2727272727272696E-2"/>
    <x v="103"/>
    <d v="2024-11-22T00:00:00"/>
    <s v="Hyderabad"/>
    <x v="1"/>
    <x v="2"/>
    <s v="November"/>
    <x v="3"/>
    <n v="1.6784545454545401"/>
    <n v="2.27"/>
    <n v="10.86"/>
    <n v="23.08"/>
    <n v="12.12"/>
    <n v="25.88"/>
    <n v="1.1200000000000001"/>
  </r>
  <r>
    <n v="1861"/>
    <s v="A2861"/>
    <x v="3"/>
    <n v="97"/>
    <x v="1383"/>
    <n v="206"/>
    <n v="10"/>
    <n v="5"/>
    <n v="5.1546391752577303E-2"/>
    <x v="55"/>
    <d v="2024-11-16T00:00:00"/>
    <s v="Hyderabad"/>
    <x v="0"/>
    <x v="1"/>
    <s v="November"/>
    <x v="0"/>
    <n v="2.1279381443298901"/>
    <n v="2.19"/>
    <n v="20.64"/>
    <n v="41.28"/>
    <n v="20.63"/>
    <n v="49.8"/>
    <n v="1.21"/>
  </r>
  <r>
    <n v="1862"/>
    <s v="A2862"/>
    <x v="1"/>
    <n v="104"/>
    <x v="1384"/>
    <n v="203"/>
    <n v="21"/>
    <n v="8"/>
    <n v="7.69230769230769E-2"/>
    <x v="148"/>
    <d v="2024-11-26T00:00:00"/>
    <s v="Hyderabad"/>
    <x v="2"/>
    <x v="1"/>
    <s v="November"/>
    <x v="2"/>
    <n v="1.9475"/>
    <n v="2.4700000000000002"/>
    <n v="9.64"/>
    <n v="25.32"/>
    <n v="7.14"/>
    <n v="27.12"/>
    <n v="1.07"/>
  </r>
  <r>
    <n v="1863"/>
    <s v="A2863"/>
    <x v="0"/>
    <n v="176"/>
    <x v="1006"/>
    <n v="205"/>
    <n v="18"/>
    <n v="10"/>
    <n v="5.6818181818181802E-2"/>
    <x v="31"/>
    <d v="2024-11-24T00:00:00"/>
    <s v="Hyderabad"/>
    <x v="2"/>
    <x v="1"/>
    <s v="November"/>
    <x v="4"/>
    <n v="1.1674431818181801"/>
    <n v="3.51"/>
    <n v="11.42"/>
    <n v="20.55"/>
    <n v="69.849999999999994"/>
    <n v="34.9"/>
    <n v="1.7"/>
  </r>
  <r>
    <n v="1864"/>
    <s v="A2864"/>
    <x v="0"/>
    <n v="91"/>
    <x v="1385"/>
    <n v="226"/>
    <n v="12"/>
    <n v="7"/>
    <n v="7.69230769230769E-2"/>
    <x v="199"/>
    <d v="2024-11-13T00:00:00"/>
    <s v="Hyderabad"/>
    <x v="2"/>
    <x v="4"/>
    <s v="November"/>
    <x v="1"/>
    <n v="2.4815384615384599"/>
    <n v="2.25"/>
    <n v="18.82"/>
    <n v="32.26"/>
    <n v="65.180000000000007"/>
    <n v="53.29"/>
    <n v="1.65"/>
  </r>
  <r>
    <n v="1865"/>
    <s v="A2865"/>
    <x v="1"/>
    <n v="167"/>
    <x v="1386"/>
    <n v="183"/>
    <n v="19"/>
    <n v="9"/>
    <n v="5.3892215568862201E-2"/>
    <x v="156"/>
    <d v="2024-11-22T00:00:00"/>
    <s v="Hyderabad"/>
    <x v="0"/>
    <x v="4"/>
    <s v="November"/>
    <x v="3"/>
    <n v="1.0971257485029899"/>
    <n v="3.25"/>
    <n v="9.64"/>
    <n v="20.36"/>
    <n v="13.52"/>
    <n v="23.11"/>
    <n v="1.1399999999999999"/>
  </r>
  <r>
    <n v="1866"/>
    <s v="A2866"/>
    <x v="1"/>
    <n v="132"/>
    <x v="1387"/>
    <n v="197"/>
    <n v="16"/>
    <n v="6"/>
    <n v="4.54545454545454E-2"/>
    <x v="4"/>
    <d v="2024-11-01T00:00:00"/>
    <s v="Hyderabad"/>
    <x v="0"/>
    <x v="5"/>
    <s v="November"/>
    <x v="3"/>
    <n v="1.4922727272727201"/>
    <n v="3.54"/>
    <n v="12.31"/>
    <n v="32.83"/>
    <n v="13.21"/>
    <n v="37.17"/>
    <n v="1.1299999999999999"/>
  </r>
  <r>
    <n v="1867"/>
    <s v="A2867"/>
    <x v="1"/>
    <n v="93"/>
    <x v="1388"/>
    <n v="181"/>
    <n v="22"/>
    <n v="4"/>
    <n v="4.3010752688171998E-2"/>
    <x v="201"/>
    <d v="2024-11-30T00:00:00"/>
    <s v="Hyderabad"/>
    <x v="0"/>
    <x v="5"/>
    <s v="November"/>
    <x v="0"/>
    <n v="1.9498924731182701"/>
    <n v="1.87"/>
    <n v="8.24"/>
    <n v="45.34"/>
    <n v="23.52"/>
    <n v="56"/>
    <n v="1.24"/>
  </r>
  <r>
    <n v="1868"/>
    <s v="A2868"/>
    <x v="2"/>
    <n v="149"/>
    <x v="1389"/>
    <n v="228"/>
    <n v="18"/>
    <n v="7"/>
    <n v="4.6979865771811999E-2"/>
    <x v="115"/>
    <d v="2024-11-17T00:00:00"/>
    <s v="Hyderabad"/>
    <x v="0"/>
    <x v="0"/>
    <s v="November"/>
    <x v="4"/>
    <n v="1.53134228187919"/>
    <n v="4.88"/>
    <n v="12.68"/>
    <n v="32.6"/>
    <n v="23.59"/>
    <n v="40.29"/>
    <n v="1.24"/>
  </r>
  <r>
    <n v="1869"/>
    <s v="A2869"/>
    <x v="1"/>
    <n v="184"/>
    <x v="1383"/>
    <n v="222"/>
    <n v="30"/>
    <n v="6"/>
    <n v="3.2608695652173898E-2"/>
    <x v="207"/>
    <d v="2024-11-13T00:00:00"/>
    <s v="Hyderabad"/>
    <x v="2"/>
    <x v="2"/>
    <s v="November"/>
    <x v="1"/>
    <n v="1.20559782608695"/>
    <n v="4.16"/>
    <n v="7.39"/>
    <n v="36.97"/>
    <n v="79.87"/>
    <n v="66.5"/>
    <n v="1.8"/>
  </r>
  <r>
    <n v="1870"/>
    <s v="A2870"/>
    <x v="0"/>
    <n v="192"/>
    <x v="126"/>
    <n v="301"/>
    <n v="16"/>
    <n v="4"/>
    <n v="2.0833333333333301E-2"/>
    <x v="20"/>
    <d v="2024-11-06T00:00:00"/>
    <s v="Hyderabad"/>
    <x v="0"/>
    <x v="0"/>
    <s v="November"/>
    <x v="1"/>
    <n v="1.56753061615001"/>
    <n v="5.1100000000000003"/>
    <n v="18.809999999999999"/>
    <n v="75.239999999999995"/>
    <n v="22.27"/>
    <n v="92"/>
    <n v="1.22"/>
  </r>
  <r>
    <n v="1871"/>
    <s v="A2871"/>
    <x v="1"/>
    <n v="115"/>
    <x v="1390"/>
    <n v="237"/>
    <n v="24"/>
    <n v="5"/>
    <n v="4.3478260869565202E-2"/>
    <x v="19"/>
    <d v="2024-11-23T00:00:00"/>
    <s v="Hyderabad"/>
    <x v="2"/>
    <x v="2"/>
    <s v="November"/>
    <x v="0"/>
    <n v="2.06243478260869"/>
    <n v="2.38"/>
    <n v="9.8800000000000008"/>
    <n v="47.44"/>
    <n v="49.25"/>
    <n v="70.8"/>
    <n v="1.49"/>
  </r>
  <r>
    <n v="1872"/>
    <s v="A2872"/>
    <x v="1"/>
    <n v="81"/>
    <x v="1391"/>
    <n v="240"/>
    <n v="18"/>
    <n v="10"/>
    <n v="0.12345679012345601"/>
    <x v="146"/>
    <d v="2024-11-27T00:00:00"/>
    <s v="Hyderabad"/>
    <x v="2"/>
    <x v="4"/>
    <s v="November"/>
    <x v="1"/>
    <n v="2.9577777777777698"/>
    <n v="2.5099999999999998"/>
    <n v="13.31"/>
    <n v="23.96"/>
    <n v="4.7699999999999996"/>
    <n v="25.1"/>
    <n v="1.05"/>
  </r>
  <r>
    <n v="1873"/>
    <s v="A2873"/>
    <x v="1"/>
    <n v="119"/>
    <x v="1392"/>
    <n v="224"/>
    <n v="11"/>
    <n v="7"/>
    <n v="5.8823529411764698E-2"/>
    <x v="19"/>
    <d v="2024-11-19T00:00:00"/>
    <s v="Hyderabad"/>
    <x v="1"/>
    <x v="5"/>
    <s v="November"/>
    <x v="2"/>
    <n v="1.8865546218487299"/>
    <n v="2.0499999999999998"/>
    <n v="20.41"/>
    <n v="32.07"/>
    <n v="57.68"/>
    <n v="50.57"/>
    <n v="1.58"/>
  </r>
  <r>
    <n v="1874"/>
    <s v="A2874"/>
    <x v="1"/>
    <n v="169"/>
    <x v="1393"/>
    <n v="194"/>
    <n v="22"/>
    <n v="4"/>
    <n v="2.3668639053254399E-2"/>
    <x v="192"/>
    <d v="2024-11-12T00:00:00"/>
    <s v="Hyderabad"/>
    <x v="0"/>
    <x v="2"/>
    <s v="November"/>
    <x v="2"/>
    <n v="1.14710059171597"/>
    <n v="4.2"/>
    <n v="8.81"/>
    <n v="48.46"/>
    <n v="45.98"/>
    <n v="70.75"/>
    <n v="1.46"/>
  </r>
  <r>
    <n v="1875"/>
    <s v="A2875"/>
    <x v="3"/>
    <n v="103"/>
    <x v="1394"/>
    <n v="231"/>
    <n v="24"/>
    <n v="10"/>
    <n v="9.7087378640776698E-2"/>
    <x v="57"/>
    <d v="2024-11-02T00:00:00"/>
    <s v="Hyderabad"/>
    <x v="1"/>
    <x v="3"/>
    <s v="November"/>
    <x v="0"/>
    <n v="2.2465048543689301"/>
    <n v="1.75"/>
    <n v="9.64"/>
    <n v="23.14"/>
    <n v="73.3"/>
    <n v="40.1"/>
    <n v="1.73"/>
  </r>
  <r>
    <n v="1876"/>
    <s v="A2876"/>
    <x v="2"/>
    <n v="90"/>
    <x v="1395"/>
    <n v="217"/>
    <n v="21"/>
    <n v="4"/>
    <n v="4.4444444444444398E-2"/>
    <x v="209"/>
    <d v="2024-11-23T00:00:00"/>
    <s v="Hyderabad"/>
    <x v="1"/>
    <x v="0"/>
    <s v="November"/>
    <x v="0"/>
    <n v="2.40888888888888"/>
    <n v="2.56"/>
    <n v="10.32"/>
    <n v="54.2"/>
    <n v="67.44"/>
    <n v="90.75"/>
    <n v="1.67"/>
  </r>
  <r>
    <n v="1877"/>
    <s v="A2877"/>
    <x v="1"/>
    <n v="184"/>
    <x v="1396"/>
    <n v="228"/>
    <n v="26"/>
    <n v="10"/>
    <n v="5.4347826086956499E-2"/>
    <x v="135"/>
    <d v="2024-11-09T00:00:00"/>
    <s v="Hyderabad"/>
    <x v="2"/>
    <x v="0"/>
    <s v="November"/>
    <x v="0"/>
    <n v="1.24179347826086"/>
    <n v="4.34"/>
    <n v="8.7899999999999991"/>
    <n v="22.85"/>
    <n v="-10.28"/>
    <n v="20.5"/>
    <n v="0.9"/>
  </r>
  <r>
    <n v="1878"/>
    <s v="A2878"/>
    <x v="2"/>
    <n v="143"/>
    <x v="376"/>
    <n v="248"/>
    <n v="21"/>
    <n v="10"/>
    <n v="6.9930069930069894E-2"/>
    <x v="209"/>
    <d v="2024-11-25T00:00:00"/>
    <s v="Hyderabad"/>
    <x v="1"/>
    <x v="2"/>
    <s v="November"/>
    <x v="6"/>
    <n v="1.7345454545454499"/>
    <n v="2.77"/>
    <n v="11.81"/>
    <n v="24.8"/>
    <n v="46.35"/>
    <n v="36.299999999999997"/>
    <n v="1.46"/>
  </r>
  <r>
    <n v="1879"/>
    <s v="A2879"/>
    <x v="2"/>
    <n v="123"/>
    <x v="884"/>
    <n v="204"/>
    <n v="29"/>
    <n v="10"/>
    <n v="8.1300813008129996E-2"/>
    <x v="12"/>
    <d v="2024-11-15T00:00:00"/>
    <s v="Hyderabad"/>
    <x v="1"/>
    <x v="3"/>
    <s v="November"/>
    <x v="3"/>
    <n v="1.6552032520325199"/>
    <n v="2.59"/>
    <n v="7.02"/>
    <n v="20.36"/>
    <n v="96.47"/>
    <n v="40"/>
    <n v="1.96"/>
  </r>
  <r>
    <n v="1880"/>
    <s v="A2880"/>
    <x v="0"/>
    <n v="155"/>
    <x v="450"/>
    <n v="191"/>
    <n v="25"/>
    <n v="5"/>
    <n v="3.2258064516128997E-2"/>
    <x v="157"/>
    <d v="2024-11-28T00:00:00"/>
    <s v="Hyderabad"/>
    <x v="2"/>
    <x v="3"/>
    <s v="November"/>
    <x v="5"/>
    <n v="1.2314193548387"/>
    <n v="3.12"/>
    <n v="7.63"/>
    <n v="38.17"/>
    <n v="93.33"/>
    <n v="73.8"/>
    <n v="1.93"/>
  </r>
  <r>
    <n v="1881"/>
    <s v="A2881"/>
    <x v="3"/>
    <n v="140"/>
    <x v="1397"/>
    <n v="241"/>
    <n v="13"/>
    <n v="8"/>
    <n v="5.7142857142857099E-2"/>
    <x v="164"/>
    <d v="2024-11-12T00:00:00"/>
    <s v="Hyderabad"/>
    <x v="1"/>
    <x v="3"/>
    <s v="November"/>
    <x v="2"/>
    <n v="1.7210714285714199"/>
    <n v="3.17"/>
    <n v="18.53"/>
    <n v="30.12"/>
    <n v="33.64"/>
    <n v="40.25"/>
    <n v="1.34"/>
  </r>
  <r>
    <n v="1882"/>
    <s v="A2882"/>
    <x v="0"/>
    <n v="110"/>
    <x v="1398"/>
    <n v="193"/>
    <n v="16"/>
    <n v="4"/>
    <n v="3.6363636363636299E-2"/>
    <x v="68"/>
    <d v="2024-11-14T00:00:00"/>
    <s v="Hyderabad"/>
    <x v="1"/>
    <x v="3"/>
    <s v="November"/>
    <x v="5"/>
    <n v="1.7574545454545401"/>
    <n v="2.8"/>
    <n v="12.08"/>
    <n v="48.33"/>
    <n v="14.84"/>
    <n v="55.5"/>
    <n v="1.1499999999999999"/>
  </r>
  <r>
    <n v="1883"/>
    <s v="A2883"/>
    <x v="2"/>
    <n v="103"/>
    <x v="1399"/>
    <n v="247"/>
    <n v="18"/>
    <n v="8"/>
    <n v="7.7669902912621297E-2"/>
    <x v="116"/>
    <d v="2024-11-24T00:00:00"/>
    <s v="Hyderabad"/>
    <x v="0"/>
    <x v="4"/>
    <s v="November"/>
    <x v="4"/>
    <n v="2.3967961165048499"/>
    <n v="2.34"/>
    <n v="13.72"/>
    <n v="30.86"/>
    <n v="-6.02"/>
    <n v="29"/>
    <n v="0.94"/>
  </r>
  <r>
    <n v="1884"/>
    <s v="A2884"/>
    <x v="2"/>
    <n v="127"/>
    <x v="953"/>
    <n v="195"/>
    <n v="22"/>
    <n v="10"/>
    <n v="7.8740157480314904E-2"/>
    <x v="174"/>
    <d v="2024-11-16T00:00:00"/>
    <s v="Hyderabad"/>
    <x v="1"/>
    <x v="0"/>
    <s v="November"/>
    <x v="0"/>
    <n v="1.5359842519685001"/>
    <n v="2.5099999999999998"/>
    <n v="8.8699999999999992"/>
    <n v="19.510000000000002"/>
    <n v="58.92"/>
    <n v="31"/>
    <n v="1.59"/>
  </r>
  <r>
    <n v="1885"/>
    <s v="A2885"/>
    <x v="1"/>
    <n v="151"/>
    <x v="1400"/>
    <n v="191"/>
    <n v="20"/>
    <n v="10"/>
    <n v="6.6225165562913899E-2"/>
    <x v="92"/>
    <d v="2024-11-30T00:00:00"/>
    <s v="Hyderabad"/>
    <x v="0"/>
    <x v="1"/>
    <s v="November"/>
    <x v="0"/>
    <n v="1.2675496688741701"/>
    <n v="3.87"/>
    <n v="9.57"/>
    <n v="19.14"/>
    <n v="43.16"/>
    <n v="27.4"/>
    <n v="1.43"/>
  </r>
  <r>
    <n v="1886"/>
    <s v="A2886"/>
    <x v="0"/>
    <n v="191"/>
    <x v="91"/>
    <n v="214"/>
    <n v="15"/>
    <n v="6"/>
    <n v="3.1413612565444997E-2"/>
    <x v="46"/>
    <d v="2024-11-05T00:00:00"/>
    <s v="Hyderabad"/>
    <x v="0"/>
    <x v="1"/>
    <s v="November"/>
    <x v="2"/>
    <n v="1.1216753926701499"/>
    <n v="4.0599999999999996"/>
    <n v="14.28"/>
    <n v="35.71"/>
    <n v="2.69"/>
    <n v="36.67"/>
    <n v="1.03"/>
  </r>
  <r>
    <n v="1887"/>
    <s v="A2887"/>
    <x v="2"/>
    <n v="177"/>
    <x v="1381"/>
    <n v="199"/>
    <n v="23"/>
    <n v="4"/>
    <n v="2.2598870056497099E-2"/>
    <x v="83"/>
    <d v="2024-11-04T00:00:00"/>
    <s v="Hyderabad"/>
    <x v="0"/>
    <x v="1"/>
    <s v="November"/>
    <x v="6"/>
    <n v="1.12361581920903"/>
    <n v="4.57"/>
    <n v="8.65"/>
    <n v="49.72"/>
    <n v="96.1"/>
    <n v="97.5"/>
    <n v="1.96"/>
  </r>
  <r>
    <n v="1888"/>
    <s v="A2888"/>
    <x v="2"/>
    <n v="122"/>
    <x v="367"/>
    <n v="233"/>
    <n v="22"/>
    <n v="7"/>
    <n v="5.7377049180327801E-2"/>
    <x v="17"/>
    <d v="2024-11-16T00:00:00"/>
    <s v="Hyderabad"/>
    <x v="0"/>
    <x v="5"/>
    <s v="November"/>
    <x v="0"/>
    <n v="1.91368852459016"/>
    <n v="3.24"/>
    <n v="10.61"/>
    <n v="33.35"/>
    <n v="55.91"/>
    <n v="52"/>
    <n v="1.56"/>
  </r>
  <r>
    <n v="1889"/>
    <s v="A2889"/>
    <x v="1"/>
    <n v="99"/>
    <x v="1186"/>
    <n v="189"/>
    <n v="16"/>
    <n v="4"/>
    <n v="4.0404040404040401E-2"/>
    <x v="105"/>
    <d v="2024-11-20T00:00:00"/>
    <s v="Hyderabad"/>
    <x v="2"/>
    <x v="3"/>
    <s v="November"/>
    <x v="1"/>
    <n v="1.9044444444444399"/>
    <n v="2.4900000000000002"/>
    <n v="11.78"/>
    <n v="47.14"/>
    <n v="34.72"/>
    <n v="63.5"/>
    <n v="1.35"/>
  </r>
  <r>
    <n v="1890"/>
    <s v="A2890"/>
    <x v="0"/>
    <n v="92"/>
    <x v="1401"/>
    <n v="206"/>
    <n v="13"/>
    <n v="7"/>
    <n v="7.6086956521739094E-2"/>
    <x v="187"/>
    <d v="2024-11-07T00:00:00"/>
    <s v="Hyderabad"/>
    <x v="2"/>
    <x v="0"/>
    <s v="November"/>
    <x v="5"/>
    <n v="2.2355434782608601"/>
    <n v="3.04"/>
    <n v="15.82"/>
    <n v="29.38"/>
    <n v="58.02"/>
    <n v="46.43"/>
    <n v="1.58"/>
  </r>
  <r>
    <n v="1891"/>
    <s v="A2891"/>
    <x v="0"/>
    <n v="114"/>
    <x v="1402"/>
    <n v="185"/>
    <n v="10"/>
    <n v="4"/>
    <n v="3.5087719298245598E-2"/>
    <x v="49"/>
    <d v="2024-11-28T00:00:00"/>
    <s v="Hyderabad"/>
    <x v="1"/>
    <x v="1"/>
    <s v="November"/>
    <x v="5"/>
    <n v="1.6231578947368399"/>
    <n v="2.5099999999999998"/>
    <n v="18.5"/>
    <n v="46.26"/>
    <n v="72.400000000000006"/>
    <n v="79.75"/>
    <n v="1.72"/>
  </r>
  <r>
    <n v="1892"/>
    <s v="A2892"/>
    <x v="0"/>
    <n v="92"/>
    <x v="1323"/>
    <n v="244"/>
    <n v="18"/>
    <n v="6"/>
    <n v="6.5217391304347797E-2"/>
    <x v="83"/>
    <d v="2024-11-07T00:00:00"/>
    <s v="Hyderabad"/>
    <x v="0"/>
    <x v="0"/>
    <s v="November"/>
    <x v="5"/>
    <n v="2.6571739130434699"/>
    <n v="2.06"/>
    <n v="13.58"/>
    <n v="40.74"/>
    <n v="59.54"/>
    <n v="65"/>
    <n v="1.6"/>
  </r>
  <r>
    <n v="1893"/>
    <s v="A2893"/>
    <x v="1"/>
    <n v="148"/>
    <x v="1403"/>
    <n v="206"/>
    <n v="25"/>
    <n v="9"/>
    <n v="6.08108108108108E-2"/>
    <x v="69"/>
    <d v="2024-11-08T00:00:00"/>
    <s v="Hyderabad"/>
    <x v="0"/>
    <x v="2"/>
    <s v="November"/>
    <x v="3"/>
    <n v="1.3931081081081"/>
    <n v="3.04"/>
    <n v="8.25"/>
    <n v="22.91"/>
    <n v="81.88"/>
    <n v="41.67"/>
    <n v="1.82"/>
  </r>
  <r>
    <n v="1894"/>
    <s v="A2894"/>
    <x v="0"/>
    <n v="157"/>
    <x v="1404"/>
    <n v="222"/>
    <n v="27"/>
    <n v="7"/>
    <n v="4.4585987261146397E-2"/>
    <x v="95"/>
    <d v="2024-11-11T00:00:00"/>
    <s v="Hyderabad"/>
    <x v="1"/>
    <x v="3"/>
    <s v="November"/>
    <x v="6"/>
    <n v="1.4110191082802499"/>
    <n v="2.67"/>
    <n v="8.1999999999999993"/>
    <n v="31.65"/>
    <n v="3.37"/>
    <n v="32.71"/>
    <n v="1.03"/>
  </r>
  <r>
    <n v="1895"/>
    <s v="A2895"/>
    <x v="3"/>
    <n v="91"/>
    <x v="596"/>
    <n v="230"/>
    <n v="11"/>
    <n v="6"/>
    <n v="6.5934065934065894E-2"/>
    <x v="40"/>
    <d v="2024-11-02T00:00:00"/>
    <s v="Hyderabad"/>
    <x v="1"/>
    <x v="5"/>
    <s v="November"/>
    <x v="0"/>
    <n v="2.52571428571428"/>
    <n v="2.27"/>
    <n v="20.89"/>
    <n v="38.31"/>
    <n v="44.88"/>
    <n v="55.5"/>
    <n v="1.45"/>
  </r>
  <r>
    <n v="1896"/>
    <s v="A2896"/>
    <x v="1"/>
    <n v="91"/>
    <x v="1405"/>
    <n v="183"/>
    <n v="12"/>
    <n v="9"/>
    <n v="9.8901098901098897E-2"/>
    <x v="118"/>
    <d v="2024-11-25T00:00:00"/>
    <s v="Hyderabad"/>
    <x v="1"/>
    <x v="2"/>
    <s v="November"/>
    <x v="6"/>
    <n v="2.00923076923076"/>
    <n v="1.96"/>
    <n v="15.24"/>
    <n v="20.32"/>
    <n v="37.83"/>
    <n v="28"/>
    <n v="1.38"/>
  </r>
  <r>
    <n v="1897"/>
    <s v="A2897"/>
    <x v="3"/>
    <n v="99"/>
    <x v="1406"/>
    <n v="202"/>
    <n v="24"/>
    <n v="7"/>
    <n v="7.0707070707070704E-2"/>
    <x v="168"/>
    <d v="2024-11-11T00:00:00"/>
    <s v="Hyderabad"/>
    <x v="0"/>
    <x v="4"/>
    <s v="November"/>
    <x v="6"/>
    <n v="2.0451515151515101"/>
    <n v="1.75"/>
    <n v="8.44"/>
    <n v="28.92"/>
    <n v="87.68"/>
    <n v="54.29"/>
    <n v="1.88"/>
  </r>
  <r>
    <n v="1898"/>
    <s v="A2898"/>
    <x v="2"/>
    <n v="160"/>
    <x v="1407"/>
    <n v="202"/>
    <n v="28"/>
    <n v="9"/>
    <n v="5.6250000000000001E-2"/>
    <x v="175"/>
    <d v="2024-11-16T00:00:00"/>
    <s v="Hyderabad"/>
    <x v="0"/>
    <x v="2"/>
    <s v="November"/>
    <x v="0"/>
    <n v="1.2605625"/>
    <n v="5.33"/>
    <n v="7.2"/>
    <n v="22.41"/>
    <n v="11.56"/>
    <n v="25"/>
    <n v="1.1200000000000001"/>
  </r>
  <r>
    <n v="1899"/>
    <s v="A2899"/>
    <x v="3"/>
    <n v="121"/>
    <x v="1186"/>
    <n v="241"/>
    <n v="25"/>
    <n v="10"/>
    <n v="8.2644628099173501E-2"/>
    <x v="180"/>
    <d v="2024-11-10T00:00:00"/>
    <s v="Hyderabad"/>
    <x v="0"/>
    <x v="1"/>
    <s v="November"/>
    <x v="4"/>
    <n v="1.99421487603305"/>
    <n v="3.04"/>
    <n v="9.65"/>
    <n v="24.13"/>
    <n v="25.98"/>
    <n v="30.4"/>
    <n v="1.26"/>
  </r>
  <r>
    <n v="1900"/>
    <s v="A2900"/>
    <x v="2"/>
    <n v="185"/>
    <x v="1121"/>
    <n v="193"/>
    <n v="23"/>
    <n v="5"/>
    <n v="2.7027027027027001E-2"/>
    <x v="91"/>
    <d v="2024-11-01T00:00:00"/>
    <s v="Hyderabad"/>
    <x v="0"/>
    <x v="0"/>
    <s v="November"/>
    <x v="3"/>
    <n v="1.04108108108108"/>
    <n v="3.03"/>
    <n v="8.3699999999999992"/>
    <n v="38.520000000000003"/>
    <n v="25.13"/>
    <n v="48.2"/>
    <n v="1.25"/>
  </r>
  <r>
    <n v="1901"/>
    <s v="A2901"/>
    <x v="3"/>
    <n v="137"/>
    <x v="1408"/>
    <n v="181"/>
    <n v="26"/>
    <n v="3"/>
    <n v="2.18978102189781E-2"/>
    <x v="157"/>
    <d v="2024-11-18T00:00:00"/>
    <s v="Hyderabad"/>
    <x v="0"/>
    <x v="3"/>
    <s v="November"/>
    <x v="6"/>
    <n v="1.3181021897810199"/>
    <n v="2.71"/>
    <n v="6.95"/>
    <n v="60.19"/>
    <n v="104.34"/>
    <n v="123"/>
    <n v="2.04"/>
  </r>
  <r>
    <n v="1902"/>
    <s v="A2902"/>
    <x v="0"/>
    <n v="159"/>
    <x v="181"/>
    <n v="204"/>
    <n v="20"/>
    <n v="4"/>
    <n v="2.51572327044025E-2"/>
    <x v="142"/>
    <d v="2024-11-10T00:00:00"/>
    <s v="Hyderabad"/>
    <x v="2"/>
    <x v="1"/>
    <s v="November"/>
    <x v="4"/>
    <n v="1.2825786163521999"/>
    <n v="4.34"/>
    <n v="10.199999999999999"/>
    <n v="50.98"/>
    <n v="77.510000000000005"/>
    <n v="90.5"/>
    <n v="1.78"/>
  </r>
  <r>
    <n v="1903"/>
    <s v="A2903"/>
    <x v="3"/>
    <n v="155"/>
    <x v="1409"/>
    <n v="227"/>
    <n v="10"/>
    <n v="4"/>
    <n v="2.5806451612903201E-2"/>
    <x v="153"/>
    <d v="2024-11-28T00:00:00"/>
    <s v="Hyderabad"/>
    <x v="1"/>
    <x v="2"/>
    <s v="November"/>
    <x v="5"/>
    <n v="1.46754838709677"/>
    <n v="2.66"/>
    <n v="22.75"/>
    <n v="56.87"/>
    <n v="23.09"/>
    <n v="70"/>
    <n v="1.23"/>
  </r>
  <r>
    <n v="1904"/>
    <s v="A2904"/>
    <x v="0"/>
    <n v="103"/>
    <x v="1410"/>
    <n v="187"/>
    <n v="12"/>
    <n v="9"/>
    <n v="8.7378640776699004E-2"/>
    <x v="201"/>
    <d v="2024-11-24T00:00:00"/>
    <s v="Hyderabad"/>
    <x v="1"/>
    <x v="0"/>
    <s v="November"/>
    <x v="4"/>
    <n v="1.8166019417475701"/>
    <n v="2.74"/>
    <n v="15.59"/>
    <n v="20.79"/>
    <n v="19.72"/>
    <n v="24.89"/>
    <n v="1.2"/>
  </r>
  <r>
    <n v="1905"/>
    <s v="A2905"/>
    <x v="0"/>
    <n v="134"/>
    <x v="981"/>
    <n v="210"/>
    <n v="21"/>
    <n v="7"/>
    <n v="5.2238805970149203E-2"/>
    <x v="47"/>
    <d v="2024-11-03T00:00:00"/>
    <s v="Hyderabad"/>
    <x v="0"/>
    <x v="0"/>
    <s v="November"/>
    <x v="4"/>
    <n v="1.5663432835820801"/>
    <n v="3.67"/>
    <n v="9.99"/>
    <n v="29.98"/>
    <n v="69.61"/>
    <n v="50.86"/>
    <n v="1.7"/>
  </r>
  <r>
    <n v="1906"/>
    <s v="A2906"/>
    <x v="1"/>
    <n v="128"/>
    <x v="651"/>
    <n v="236"/>
    <n v="27"/>
    <n v="8"/>
    <n v="6.25E-2"/>
    <x v="153"/>
    <d v="2024-11-17T00:00:00"/>
    <s v="Hyderabad"/>
    <x v="0"/>
    <x v="1"/>
    <s v="November"/>
    <x v="4"/>
    <n v="1.841328125"/>
    <n v="3.71"/>
    <n v="8.73"/>
    <n v="29.46"/>
    <n v="18.8"/>
    <n v="35"/>
    <n v="1.19"/>
  </r>
  <r>
    <n v="1907"/>
    <s v="A2907"/>
    <x v="3"/>
    <n v="156"/>
    <x v="5"/>
    <n v="213"/>
    <n v="30"/>
    <n v="4"/>
    <n v="2.5641025641025599E-2"/>
    <x v="103"/>
    <d v="2024-11-19T00:00:00"/>
    <s v="Hyderabad"/>
    <x v="2"/>
    <x v="4"/>
    <s v="November"/>
    <x v="2"/>
    <n v="1.3673076923076899"/>
    <n v="4.13"/>
    <n v="7.11"/>
    <n v="53.32"/>
    <n v="-2.95"/>
    <n v="51.75"/>
    <n v="0.97"/>
  </r>
  <r>
    <n v="1908"/>
    <s v="A2908"/>
    <x v="0"/>
    <n v="154"/>
    <x v="683"/>
    <n v="240"/>
    <n v="20"/>
    <n v="10"/>
    <n v="6.4935064935064901E-2"/>
    <x v="179"/>
    <d v="2024-11-25T00:00:00"/>
    <s v="Hyderabad"/>
    <x v="1"/>
    <x v="2"/>
    <s v="November"/>
    <x v="6"/>
    <n v="1.5607142857142799"/>
    <n v="2.67"/>
    <n v="12.02"/>
    <n v="24.04"/>
    <n v="54.36"/>
    <n v="37.1"/>
    <n v="1.54"/>
  </r>
  <r>
    <n v="1909"/>
    <s v="A2909"/>
    <x v="3"/>
    <n v="176"/>
    <x v="184"/>
    <n v="210"/>
    <n v="10"/>
    <n v="3"/>
    <n v="1.7045454545454499E-2"/>
    <x v="48"/>
    <d v="2024-11-05T00:00:00"/>
    <s v="Hyderabad"/>
    <x v="2"/>
    <x v="1"/>
    <s v="November"/>
    <x v="2"/>
    <n v="1.19380681818181"/>
    <n v="4.59"/>
    <n v="21.01"/>
    <n v="70.040000000000006"/>
    <n v="-0.53"/>
    <n v="69.67"/>
    <n v="0.99"/>
  </r>
  <r>
    <n v="1910"/>
    <s v="A2910"/>
    <x v="3"/>
    <n v="124"/>
    <x v="360"/>
    <n v="244"/>
    <n v="23"/>
    <n v="6"/>
    <n v="4.8387096774193498E-2"/>
    <x v="83"/>
    <d v="2024-11-29T00:00:00"/>
    <s v="Hyderabad"/>
    <x v="2"/>
    <x v="0"/>
    <s v="November"/>
    <x v="3"/>
    <n v="1.96612903225806"/>
    <n v="3.04"/>
    <n v="10.6"/>
    <n v="40.630000000000003"/>
    <n v="59.97"/>
    <n v="65"/>
    <n v="1.6"/>
  </r>
  <r>
    <n v="1911"/>
    <s v="A2911"/>
    <x v="3"/>
    <n v="182"/>
    <x v="1191"/>
    <n v="189"/>
    <n v="19"/>
    <n v="9"/>
    <n v="4.94505494505494E-2"/>
    <x v="65"/>
    <d v="2024-11-25T00:00:00"/>
    <s v="Hyderabad"/>
    <x v="0"/>
    <x v="1"/>
    <s v="November"/>
    <x v="6"/>
    <n v="1.0376923076922999"/>
    <n v="4.0999999999999996"/>
    <n v="9.94"/>
    <n v="20.98"/>
    <n v="67.849999999999994"/>
    <n v="35.22"/>
    <n v="1.68"/>
  </r>
  <r>
    <n v="1912"/>
    <s v="A2912"/>
    <x v="2"/>
    <n v="84"/>
    <x v="248"/>
    <n v="183"/>
    <n v="17"/>
    <n v="8"/>
    <n v="9.5238095238095205E-2"/>
    <x v="145"/>
    <d v="2024-11-09T00:00:00"/>
    <s v="Hyderabad"/>
    <x v="1"/>
    <x v="3"/>
    <s v="November"/>
    <x v="0"/>
    <n v="2.1767857142857099"/>
    <n v="2.1800000000000002"/>
    <n v="10.76"/>
    <n v="22.86"/>
    <n v="27.97"/>
    <n v="29.25"/>
    <n v="1.28"/>
  </r>
  <r>
    <n v="1913"/>
    <s v="A2913"/>
    <x v="0"/>
    <n v="192"/>
    <x v="1411"/>
    <n v="241"/>
    <n v="23"/>
    <n v="8"/>
    <n v="4.1666666666666602E-2"/>
    <x v="86"/>
    <d v="2024-11-13T00:00:00"/>
    <s v="Hyderabad"/>
    <x v="0"/>
    <x v="1"/>
    <s v="November"/>
    <x v="1"/>
    <n v="1.25317708333333"/>
    <n v="5.12"/>
    <n v="10.46"/>
    <n v="30.08"/>
    <n v="27.59"/>
    <n v="38.380000000000003"/>
    <n v="1.28"/>
  </r>
  <r>
    <n v="1914"/>
    <s v="A2914"/>
    <x v="2"/>
    <n v="133"/>
    <x v="1412"/>
    <n v="243"/>
    <n v="22"/>
    <n v="7"/>
    <n v="5.2631578947368397E-2"/>
    <x v="74"/>
    <d v="2024-11-18T00:00:00"/>
    <s v="Hyderabad"/>
    <x v="0"/>
    <x v="2"/>
    <s v="November"/>
    <x v="6"/>
    <n v="1.8304511278195399"/>
    <n v="2.42"/>
    <n v="11.07"/>
    <n v="34.78"/>
    <n v="-11.28"/>
    <n v="30.86"/>
    <n v="0.89"/>
  </r>
  <r>
    <n v="1915"/>
    <s v="A2915"/>
    <x v="3"/>
    <n v="81"/>
    <x v="1413"/>
    <n v="238"/>
    <n v="15"/>
    <n v="7"/>
    <n v="8.6419753086419707E-2"/>
    <x v="210"/>
    <d v="2024-11-01T00:00:00"/>
    <s v="Hyderabad"/>
    <x v="0"/>
    <x v="5"/>
    <s v="November"/>
    <x v="3"/>
    <n v="2.9416049382715999"/>
    <n v="1.67"/>
    <n v="15.88"/>
    <n v="34.04"/>
    <n v="9.5399999999999991"/>
    <n v="37.29"/>
    <n v="1.1000000000000001"/>
  </r>
  <r>
    <n v="1916"/>
    <s v="A2916"/>
    <x v="3"/>
    <n v="196"/>
    <x v="441"/>
    <n v="216"/>
    <n v="10"/>
    <n v="3"/>
    <n v="1.53061224489795E-2"/>
    <x v="176"/>
    <d v="2024-11-03T00:00:00"/>
    <s v="Hyderabad"/>
    <x v="1"/>
    <x v="2"/>
    <s v="November"/>
    <x v="4"/>
    <n v="1.1031632653061201"/>
    <n v="5.1100000000000003"/>
    <n v="21.62"/>
    <n v="72.069999999999993"/>
    <n v="62.8"/>
    <n v="117.33"/>
    <n v="1.63"/>
  </r>
  <r>
    <n v="1917"/>
    <s v="A2917"/>
    <x v="0"/>
    <n v="103"/>
    <x v="665"/>
    <n v="211"/>
    <n v="15"/>
    <n v="7"/>
    <n v="6.7961165048543604E-2"/>
    <x v="46"/>
    <d v="2024-11-15T00:00:00"/>
    <s v="Hyderabad"/>
    <x v="1"/>
    <x v="4"/>
    <s v="November"/>
    <x v="3"/>
    <n v="2.0471844660194098"/>
    <n v="1.76"/>
    <n v="14.06"/>
    <n v="30.12"/>
    <n v="4.33"/>
    <n v="31.43"/>
    <n v="1.04"/>
  </r>
  <r>
    <n v="1918"/>
    <s v="A2918"/>
    <x v="0"/>
    <n v="107"/>
    <x v="1414"/>
    <n v="187"/>
    <n v="28"/>
    <n v="8"/>
    <n v="7.4766355140186896E-2"/>
    <x v="94"/>
    <d v="2024-11-26T00:00:00"/>
    <s v="Hyderabad"/>
    <x v="2"/>
    <x v="1"/>
    <s v="November"/>
    <x v="2"/>
    <n v="1.74841121495327"/>
    <n v="2.42"/>
    <n v="6.68"/>
    <n v="23.38"/>
    <n v="92.43"/>
    <n v="45"/>
    <n v="1.92"/>
  </r>
  <r>
    <n v="1919"/>
    <s v="A2919"/>
    <x v="1"/>
    <n v="199"/>
    <x v="1415"/>
    <n v="224"/>
    <n v="11"/>
    <n v="4"/>
    <n v="2.01005025125628E-2"/>
    <x v="160"/>
    <d v="2024-11-22T00:00:00"/>
    <s v="Hyderabad"/>
    <x v="0"/>
    <x v="1"/>
    <s v="November"/>
    <x v="3"/>
    <n v="1.1237185929648199"/>
    <n v="3.52"/>
    <n v="20.329999999999998"/>
    <n v="55.9"/>
    <n v="-2.0699999999999998"/>
    <n v="54.75"/>
    <n v="0.98"/>
  </r>
  <r>
    <n v="1920"/>
    <s v="A2920"/>
    <x v="2"/>
    <n v="133"/>
    <x v="1416"/>
    <n v="248"/>
    <n v="14"/>
    <n v="3"/>
    <n v="2.2556390977443601E-2"/>
    <x v="190"/>
    <d v="2024-11-20T00:00:00"/>
    <s v="Hyderabad"/>
    <x v="1"/>
    <x v="1"/>
    <s v="November"/>
    <x v="1"/>
    <n v="1.86661654135338"/>
    <n v="3.23"/>
    <n v="17.73"/>
    <n v="82.75"/>
    <n v="-4.54"/>
    <n v="79"/>
    <n v="0.95"/>
  </r>
  <r>
    <n v="1921"/>
    <s v="A2921"/>
    <x v="0"/>
    <n v="192"/>
    <x v="512"/>
    <n v="210"/>
    <n v="25"/>
    <n v="9"/>
    <n v="4.6875E-2"/>
    <x v="96"/>
    <d v="2024-11-30T00:00:00"/>
    <s v="Hyderabad"/>
    <x v="2"/>
    <x v="1"/>
    <s v="November"/>
    <x v="0"/>
    <n v="1.0931770833333301"/>
    <n v="3.82"/>
    <n v="8.4"/>
    <n v="23.32"/>
    <n v="92.48"/>
    <n v="44.89"/>
    <n v="1.92"/>
  </r>
  <r>
    <n v="1922"/>
    <s v="A2922"/>
    <x v="3"/>
    <n v="189"/>
    <x v="450"/>
    <n v="245"/>
    <n v="11"/>
    <n v="9"/>
    <n v="4.7619047619047603E-2"/>
    <x v="66"/>
    <d v="2024-11-05T00:00:00"/>
    <s v="Hyderabad"/>
    <x v="2"/>
    <x v="4"/>
    <s v="November"/>
    <x v="2"/>
    <n v="1.29682539682539"/>
    <n v="3.8"/>
    <n v="22.28"/>
    <n v="27.23"/>
    <n v="66.05"/>
    <n v="45.22"/>
    <n v="1.66"/>
  </r>
  <r>
    <n v="1923"/>
    <s v="A2923"/>
    <x v="2"/>
    <n v="197"/>
    <x v="66"/>
    <n v="221"/>
    <n v="26"/>
    <n v="6"/>
    <n v="3.0456852791878101E-2"/>
    <x v="114"/>
    <d v="2024-11-16T00:00:00"/>
    <s v="Hyderabad"/>
    <x v="0"/>
    <x v="4"/>
    <s v="November"/>
    <x v="0"/>
    <n v="1.1210152284263899"/>
    <n v="4.4400000000000004"/>
    <n v="8.49"/>
    <n v="36.81"/>
    <n v="26.92"/>
    <n v="46.71"/>
    <n v="1.27"/>
  </r>
  <r>
    <n v="1924"/>
    <s v="A2924"/>
    <x v="2"/>
    <n v="142"/>
    <x v="649"/>
    <n v="221"/>
    <n v="25"/>
    <n v="9"/>
    <n v="6.3380281690140802E-2"/>
    <x v="0"/>
    <d v="2024-11-01T00:00:00"/>
    <s v="Hyderabad"/>
    <x v="0"/>
    <x v="2"/>
    <s v="November"/>
    <x v="3"/>
    <n v="1.5544366197182999"/>
    <n v="2.93"/>
    <n v="8.83"/>
    <n v="24.53"/>
    <n v="74.87"/>
    <n v="42.89"/>
    <n v="1.75"/>
  </r>
  <r>
    <n v="1925"/>
    <s v="A2925"/>
    <x v="1"/>
    <n v="122"/>
    <x v="596"/>
    <n v="238"/>
    <n v="12"/>
    <n v="3"/>
    <n v="2.4590163934426201E-2"/>
    <x v="90"/>
    <d v="2024-11-05T00:00:00"/>
    <s v="Hyderabad"/>
    <x v="2"/>
    <x v="5"/>
    <s v="November"/>
    <x v="2"/>
    <n v="1.9533606557376999"/>
    <n v="3.04"/>
    <n v="19.86"/>
    <n v="79.44"/>
    <n v="62.39"/>
    <n v="129"/>
    <n v="1.62"/>
  </r>
  <r>
    <n v="1926"/>
    <s v="A2926"/>
    <x v="1"/>
    <n v="134"/>
    <x v="1417"/>
    <n v="182"/>
    <n v="19"/>
    <n v="5"/>
    <n v="3.7313432835820802E-2"/>
    <x v="177"/>
    <d v="2024-11-25T00:00:00"/>
    <s v="Hyderabad"/>
    <x v="0"/>
    <x v="5"/>
    <s v="November"/>
    <x v="6"/>
    <n v="1.3618656716417901"/>
    <n v="2.8"/>
    <n v="9.6"/>
    <n v="36.5"/>
    <n v="21.1"/>
    <n v="44.2"/>
    <n v="1.21"/>
  </r>
  <r>
    <n v="1927"/>
    <s v="A2927"/>
    <x v="3"/>
    <n v="198"/>
    <x v="1126"/>
    <n v="202"/>
    <n v="22"/>
    <n v="8"/>
    <n v="4.0404040404040401E-2"/>
    <x v="195"/>
    <d v="2024-11-29T00:00:00"/>
    <s v="Hyderabad"/>
    <x v="1"/>
    <x v="3"/>
    <s v="November"/>
    <x v="3"/>
    <n v="1.01868686868686"/>
    <n v="4"/>
    <n v="9.17"/>
    <n v="25.21"/>
    <n v="73.53"/>
    <n v="43.75"/>
    <n v="1.74"/>
  </r>
  <r>
    <n v="1928"/>
    <s v="A2928"/>
    <x v="0"/>
    <n v="142"/>
    <x v="1418"/>
    <n v="234"/>
    <n v="24"/>
    <n v="5"/>
    <n v="3.5211267605633798E-2"/>
    <x v="140"/>
    <d v="2024-11-03T00:00:00"/>
    <s v="Hyderabad"/>
    <x v="0"/>
    <x v="5"/>
    <s v="November"/>
    <x v="4"/>
    <n v="1.6460563380281601"/>
    <n v="2.95"/>
    <n v="9.74"/>
    <n v="46.75"/>
    <n v="37.33"/>
    <n v="64.2"/>
    <n v="1.37"/>
  </r>
  <r>
    <n v="1929"/>
    <s v="A2929"/>
    <x v="0"/>
    <n v="91"/>
    <x v="879"/>
    <n v="141"/>
    <n v="21"/>
    <n v="4"/>
    <n v="4.3956043956043897E-2"/>
    <x v="178"/>
    <d v="2024-11-15T00:00:00"/>
    <s v="Hyderabad"/>
    <x v="2"/>
    <x v="4"/>
    <s v="November"/>
    <x v="3"/>
    <n v="1.5454545454545401"/>
    <n v="2.0699999999999998"/>
    <n v="6.7"/>
    <n v="35.159999999999997"/>
    <n v="179.44"/>
    <n v="98.25"/>
    <n v="2.79"/>
  </r>
  <r>
    <n v="1930"/>
    <s v="A2930"/>
    <x v="1"/>
    <n v="81"/>
    <x v="1419"/>
    <n v="186"/>
    <n v="21"/>
    <n v="9"/>
    <n v="0.11111111111111099"/>
    <x v="35"/>
    <d v="2024-11-14T00:00:00"/>
    <s v="Hyderabad"/>
    <x v="0"/>
    <x v="0"/>
    <s v="November"/>
    <x v="5"/>
    <n v="2.29246913580246"/>
    <n v="2.1"/>
    <n v="8.84"/>
    <n v="20.63"/>
    <n v="43.79"/>
    <n v="29.67"/>
    <n v="1.44"/>
  </r>
  <r>
    <n v="1931"/>
    <s v="A2931"/>
    <x v="2"/>
    <n v="160"/>
    <x v="1420"/>
    <n v="242"/>
    <n v="23"/>
    <n v="3"/>
    <n v="1.8749999999999999E-2"/>
    <x v="142"/>
    <d v="2024-11-05T00:00:00"/>
    <s v="Hyderabad"/>
    <x v="2"/>
    <x v="2"/>
    <s v="November"/>
    <x v="2"/>
    <n v="1.5124375000000001"/>
    <n v="4.2300000000000004"/>
    <n v="10.52"/>
    <n v="80.66"/>
    <n v="49.59"/>
    <n v="120.67"/>
    <n v="1.5"/>
  </r>
  <r>
    <n v="1932"/>
    <s v="A2932"/>
    <x v="0"/>
    <n v="106"/>
    <x v="1421"/>
    <n v="217"/>
    <n v="25"/>
    <n v="4"/>
    <n v="3.7735849056603703E-2"/>
    <x v="7"/>
    <d v="2024-11-03T00:00:00"/>
    <s v="Hyderabad"/>
    <x v="2"/>
    <x v="1"/>
    <s v="November"/>
    <x v="4"/>
    <n v="2.0490566037735798"/>
    <n v="3.2"/>
    <n v="8.69"/>
    <n v="54.3"/>
    <n v="41.8"/>
    <n v="77"/>
    <n v="1.42"/>
  </r>
  <r>
    <n v="1933"/>
    <s v="A2933"/>
    <x v="0"/>
    <n v="148"/>
    <x v="1422"/>
    <n v="211"/>
    <n v="24"/>
    <n v="6"/>
    <n v="4.0540540540540501E-2"/>
    <x v="112"/>
    <d v="2024-11-19T00:00:00"/>
    <s v="Hyderabad"/>
    <x v="1"/>
    <x v="3"/>
    <s v="November"/>
    <x v="2"/>
    <n v="1.42574324324324"/>
    <n v="3"/>
    <n v="8.7899999999999991"/>
    <n v="35.17"/>
    <n v="33.17"/>
    <n v="46.83"/>
    <n v="1.33"/>
  </r>
  <r>
    <n v="1934"/>
    <s v="A2934"/>
    <x v="0"/>
    <n v="83"/>
    <x v="1423"/>
    <n v="185"/>
    <n v="12"/>
    <n v="10"/>
    <n v="0.120481927710843"/>
    <x v="30"/>
    <d v="2024-11-01T00:00:00"/>
    <s v="Hyderabad"/>
    <x v="0"/>
    <x v="0"/>
    <s v="November"/>
    <x v="3"/>
    <n v="2.2286746987951802"/>
    <n v="1.72"/>
    <n v="15.42"/>
    <n v="18.5"/>
    <n v="14.61"/>
    <n v="21.2"/>
    <n v="1.1499999999999999"/>
  </r>
  <r>
    <n v="1935"/>
    <s v="A2935"/>
    <x v="3"/>
    <n v="89"/>
    <x v="1424"/>
    <n v="200"/>
    <n v="12"/>
    <n v="6"/>
    <n v="6.7415730337078594E-2"/>
    <x v="10"/>
    <d v="2024-11-09T00:00:00"/>
    <s v="Hyderabad"/>
    <x v="0"/>
    <x v="3"/>
    <s v="November"/>
    <x v="0"/>
    <n v="2.2461797752808899"/>
    <n v="1.64"/>
    <n v="16.66"/>
    <n v="33.32"/>
    <n v="94.09"/>
    <n v="64.67"/>
    <n v="1.94"/>
  </r>
  <r>
    <n v="1936"/>
    <s v="A2936"/>
    <x v="2"/>
    <n v="123"/>
    <x v="1425"/>
    <n v="212"/>
    <n v="30"/>
    <n v="3"/>
    <n v="2.4390243902439001E-2"/>
    <x v="75"/>
    <d v="2024-11-15T00:00:00"/>
    <s v="Hyderabad"/>
    <x v="0"/>
    <x v="4"/>
    <s v="November"/>
    <x v="3"/>
    <n v="1.72162601626016"/>
    <n v="2.64"/>
    <n v="7.06"/>
    <n v="70.59"/>
    <n v="15.7"/>
    <n v="81.67"/>
    <n v="1.1599999999999999"/>
  </r>
  <r>
    <n v="1937"/>
    <s v="A2937"/>
    <x v="3"/>
    <n v="103"/>
    <x v="1340"/>
    <n v="233"/>
    <n v="13"/>
    <n v="4"/>
    <n v="3.88349514563106E-2"/>
    <x v="132"/>
    <d v="2024-11-04T00:00:00"/>
    <s v="Hyderabad"/>
    <x v="0"/>
    <x v="1"/>
    <s v="November"/>
    <x v="6"/>
    <n v="2.2606796116504801"/>
    <n v="3.17"/>
    <n v="17.91"/>
    <n v="58.21"/>
    <n v="22.4"/>
    <n v="71.25"/>
    <n v="1.22"/>
  </r>
  <r>
    <n v="1938"/>
    <s v="A2938"/>
    <x v="3"/>
    <n v="130"/>
    <x v="1426"/>
    <n v="199"/>
    <n v="19"/>
    <n v="7"/>
    <n v="5.3846153846153801E-2"/>
    <x v="118"/>
    <d v="2024-11-11T00:00:00"/>
    <s v="Hyderabad"/>
    <x v="0"/>
    <x v="2"/>
    <s v="November"/>
    <x v="6"/>
    <n v="1.52815384615384"/>
    <n v="2.96"/>
    <n v="10.46"/>
    <n v="28.38"/>
    <n v="26.85"/>
    <n v="36"/>
    <n v="1.27"/>
  </r>
  <r>
    <n v="1939"/>
    <s v="A2939"/>
    <x v="0"/>
    <n v="193"/>
    <x v="1126"/>
    <n v="244"/>
    <n v="14"/>
    <n v="3"/>
    <n v="1.55440414507772E-2"/>
    <x v="88"/>
    <d v="2024-11-04T00:00:00"/>
    <s v="Hyderabad"/>
    <x v="1"/>
    <x v="5"/>
    <s v="November"/>
    <x v="6"/>
    <n v="1.2629533678756399"/>
    <n v="3.9"/>
    <n v="17.41"/>
    <n v="81.25"/>
    <n v="-6.46"/>
    <n v="76"/>
    <n v="0.94"/>
  </r>
  <r>
    <n v="1940"/>
    <s v="A2940"/>
    <x v="0"/>
    <n v="185"/>
    <x v="1427"/>
    <n v="227"/>
    <n v="16"/>
    <n v="4"/>
    <n v="2.1621621621621599E-2"/>
    <x v="207"/>
    <d v="2024-11-08T00:00:00"/>
    <s v="Hyderabad"/>
    <x v="1"/>
    <x v="3"/>
    <s v="November"/>
    <x v="3"/>
    <n v="1.2284324324324301"/>
    <n v="3.55"/>
    <n v="14.2"/>
    <n v="56.82"/>
    <n v="75.569999999999993"/>
    <n v="99.75"/>
    <n v="1.76"/>
  </r>
  <r>
    <n v="1941"/>
    <s v="A2941"/>
    <x v="3"/>
    <n v="163"/>
    <x v="319"/>
    <n v="225"/>
    <n v="18"/>
    <n v="8"/>
    <n v="4.9079754601226898E-2"/>
    <x v="79"/>
    <d v="2024-11-24T00:00:00"/>
    <s v="Hyderabad"/>
    <x v="0"/>
    <x v="4"/>
    <s v="November"/>
    <x v="4"/>
    <n v="1.3791411042944699"/>
    <n v="3.96"/>
    <n v="12.49"/>
    <n v="28.1"/>
    <n v="35.68"/>
    <n v="38.119999999999997"/>
    <n v="1.36"/>
  </r>
  <r>
    <n v="1942"/>
    <s v="A2942"/>
    <x v="2"/>
    <n v="197"/>
    <x v="1428"/>
    <n v="181"/>
    <n v="20"/>
    <n v="4"/>
    <n v="2.03045685279187E-2"/>
    <x v="33"/>
    <d v="2024-11-16T00:00:00"/>
    <s v="Hyderabad"/>
    <x v="1"/>
    <x v="3"/>
    <s v="November"/>
    <x v="0"/>
    <n v="0.91898477157360403"/>
    <n v="5.62"/>
    <n v="9.0500000000000007"/>
    <n v="45.26"/>
    <n v="105.48"/>
    <n v="93"/>
    <n v="2.0499999999999998"/>
  </r>
  <r>
    <n v="1943"/>
    <s v="A2943"/>
    <x v="3"/>
    <n v="89"/>
    <x v="868"/>
    <n v="215"/>
    <n v="22"/>
    <n v="9"/>
    <n v="0.101123595505617"/>
    <x v="21"/>
    <d v="2024-11-15T00:00:00"/>
    <s v="Hyderabad"/>
    <x v="2"/>
    <x v="2"/>
    <s v="November"/>
    <x v="3"/>
    <n v="2.4194382022471901"/>
    <n v="1.55"/>
    <n v="9.7899999999999991"/>
    <n v="23.93"/>
    <n v="25.39"/>
    <n v="30"/>
    <n v="1.25"/>
  </r>
  <r>
    <n v="1944"/>
    <s v="A2944"/>
    <x v="0"/>
    <n v="99"/>
    <x v="923"/>
    <n v="199"/>
    <n v="22"/>
    <n v="4"/>
    <n v="4.0404040404040401E-2"/>
    <x v="125"/>
    <d v="2024-11-19T00:00:00"/>
    <s v="Hyderabad"/>
    <x v="1"/>
    <x v="3"/>
    <s v="November"/>
    <x v="2"/>
    <n v="2.00656565656565"/>
    <n v="2.5099999999999998"/>
    <n v="9.0299999999999994"/>
    <n v="49.66"/>
    <n v="48.5"/>
    <n v="73.75"/>
    <n v="1.49"/>
  </r>
  <r>
    <n v="1945"/>
    <s v="A2945"/>
    <x v="0"/>
    <n v="110"/>
    <x v="1429"/>
    <n v="211"/>
    <n v="27"/>
    <n v="10"/>
    <n v="9.0909090909090898E-2"/>
    <x v="109"/>
    <d v="2024-11-12T00:00:00"/>
    <s v="Hyderabad"/>
    <x v="1"/>
    <x v="3"/>
    <s v="November"/>
    <x v="2"/>
    <n v="1.9153636363636299"/>
    <n v="2.4500000000000002"/>
    <n v="7.8"/>
    <n v="21.07"/>
    <n v="81.31"/>
    <n v="38.200000000000003"/>
    <n v="1.81"/>
  </r>
  <r>
    <n v="1946"/>
    <s v="A2946"/>
    <x v="1"/>
    <n v="124"/>
    <x v="519"/>
    <n v="235"/>
    <n v="24"/>
    <n v="10"/>
    <n v="8.0645161290322495E-2"/>
    <x v="64"/>
    <d v="2024-11-17T00:00:00"/>
    <s v="Hyderabad"/>
    <x v="0"/>
    <x v="4"/>
    <s v="November"/>
    <x v="4"/>
    <n v="1.8949193548387"/>
    <n v="2.61"/>
    <n v="9.7899999999999991"/>
    <n v="23.5"/>
    <n v="98.81"/>
    <n v="46.71"/>
    <n v="1.99"/>
  </r>
  <r>
    <n v="1947"/>
    <s v="A2947"/>
    <x v="0"/>
    <n v="120"/>
    <x v="1430"/>
    <n v="221"/>
    <n v="17"/>
    <n v="4"/>
    <n v="3.3333333333333298E-2"/>
    <x v="92"/>
    <d v="2024-11-08T00:00:00"/>
    <s v="Hyderabad"/>
    <x v="2"/>
    <x v="5"/>
    <s v="November"/>
    <x v="3"/>
    <n v="1.8430833333333301"/>
    <n v="2.2400000000000002"/>
    <n v="13.01"/>
    <n v="55.29"/>
    <n v="23.89"/>
    <n v="68.5"/>
    <n v="1.24"/>
  </r>
  <r>
    <n v="1948"/>
    <s v="A2948"/>
    <x v="1"/>
    <n v="97"/>
    <x v="806"/>
    <n v="185"/>
    <n v="25"/>
    <n v="10"/>
    <n v="0.103092783505154"/>
    <x v="64"/>
    <d v="2024-11-14T00:00:00"/>
    <s v="Hyderabad"/>
    <x v="2"/>
    <x v="2"/>
    <s v="November"/>
    <x v="5"/>
    <n v="1.90474226804123"/>
    <n v="3.03"/>
    <n v="7.39"/>
    <n v="18.48"/>
    <n v="152.84"/>
    <n v="46.71"/>
    <n v="2.5299999999999998"/>
  </r>
  <r>
    <n v="1949"/>
    <s v="A2949"/>
    <x v="3"/>
    <n v="108"/>
    <x v="926"/>
    <n v="224"/>
    <n v="29"/>
    <n v="8"/>
    <n v="7.4074074074074001E-2"/>
    <x v="138"/>
    <d v="2024-11-11T00:00:00"/>
    <s v="Hyderabad"/>
    <x v="1"/>
    <x v="5"/>
    <s v="November"/>
    <x v="6"/>
    <n v="2.0775925925925902"/>
    <n v="1.92"/>
    <n v="7.74"/>
    <n v="28.05"/>
    <n v="71.58"/>
    <n v="48.12"/>
    <n v="1.72"/>
  </r>
  <r>
    <n v="1950"/>
    <s v="A2950"/>
    <x v="0"/>
    <n v="143"/>
    <x v="1431"/>
    <n v="213"/>
    <n v="24"/>
    <n v="7"/>
    <n v="4.8951048951048903E-2"/>
    <x v="204"/>
    <d v="2024-11-01T00:00:00"/>
    <s v="Hyderabad"/>
    <x v="0"/>
    <x v="5"/>
    <s v="November"/>
    <x v="3"/>
    <n v="1.4909090909090901"/>
    <n v="2.99"/>
    <n v="8.8800000000000008"/>
    <n v="30.46"/>
    <n v="29.92"/>
    <n v="39.57"/>
    <n v="1.3"/>
  </r>
  <r>
    <n v="1951"/>
    <s v="A2951"/>
    <x v="3"/>
    <n v="129"/>
    <x v="732"/>
    <n v="217"/>
    <n v="15"/>
    <n v="9"/>
    <n v="6.9767441860465101E-2"/>
    <x v="140"/>
    <d v="2024-11-30T00:00:00"/>
    <s v="Hyderabad"/>
    <x v="0"/>
    <x v="1"/>
    <s v="November"/>
    <x v="0"/>
    <n v="1.68100775193798"/>
    <n v="2.19"/>
    <n v="14.46"/>
    <n v="24.09"/>
    <n v="48.03"/>
    <n v="35.67"/>
    <n v="1.48"/>
  </r>
  <r>
    <n v="1952"/>
    <s v="A2952"/>
    <x v="0"/>
    <n v="165"/>
    <x v="1432"/>
    <n v="225"/>
    <n v="30"/>
    <n v="7"/>
    <n v="4.2424242424242399E-2"/>
    <x v="107"/>
    <d v="2024-11-03T00:00:00"/>
    <s v="Hyderabad"/>
    <x v="1"/>
    <x v="1"/>
    <s v="November"/>
    <x v="4"/>
    <n v="1.3611515151515099"/>
    <n v="4"/>
    <n v="7.49"/>
    <n v="32.08"/>
    <n v="42.48"/>
    <n v="45.71"/>
    <n v="1.42"/>
  </r>
  <r>
    <n v="1953"/>
    <s v="A2953"/>
    <x v="1"/>
    <n v="155"/>
    <x v="1433"/>
    <n v="234"/>
    <n v="13"/>
    <n v="5"/>
    <n v="3.2258064516128997E-2"/>
    <x v="29"/>
    <d v="2024-11-08T00:00:00"/>
    <s v="Hyderabad"/>
    <x v="1"/>
    <x v="4"/>
    <s v="November"/>
    <x v="3"/>
    <n v="1.5123225806451599"/>
    <n v="3.08"/>
    <n v="18.03"/>
    <n v="46.88"/>
    <n v="-3.16"/>
    <n v="45.4"/>
    <n v="0.97"/>
  </r>
  <r>
    <n v="1954"/>
    <s v="A2954"/>
    <x v="0"/>
    <n v="156"/>
    <x v="1037"/>
    <n v="212"/>
    <n v="22"/>
    <n v="9"/>
    <n v="5.7692307692307598E-2"/>
    <x v="165"/>
    <d v="2024-11-10T00:00:00"/>
    <s v="Hyderabad"/>
    <x v="1"/>
    <x v="1"/>
    <s v="November"/>
    <x v="4"/>
    <n v="1.3570512820512799"/>
    <n v="4.42"/>
    <n v="9.6199999999999992"/>
    <n v="23.52"/>
    <n v="35.1"/>
    <n v="31.78"/>
    <n v="1.35"/>
  </r>
  <r>
    <n v="1955"/>
    <s v="A2955"/>
    <x v="3"/>
    <n v="94"/>
    <x v="67"/>
    <n v="205"/>
    <n v="10"/>
    <n v="9"/>
    <n v="9.5744680851063801E-2"/>
    <x v="141"/>
    <d v="2024-11-19T00:00:00"/>
    <s v="Hyderabad"/>
    <x v="2"/>
    <x v="1"/>
    <s v="November"/>
    <x v="2"/>
    <n v="2.1847872340425498"/>
    <n v="1.63"/>
    <n v="20.54"/>
    <n v="22.82"/>
    <n v="14.91"/>
    <n v="26.22"/>
    <n v="1.1499999999999999"/>
  </r>
  <r>
    <n v="1956"/>
    <s v="A2956"/>
    <x v="0"/>
    <n v="170"/>
    <x v="1254"/>
    <n v="210"/>
    <n v="20"/>
    <n v="9"/>
    <n v="5.29411764705882E-2"/>
    <x v="206"/>
    <d v="2024-11-23T00:00:00"/>
    <s v="Hyderabad"/>
    <x v="2"/>
    <x v="3"/>
    <s v="November"/>
    <x v="0"/>
    <n v="1.23694117647058"/>
    <n v="3.1"/>
    <n v="10.51"/>
    <n v="23.36"/>
    <n v="27.92"/>
    <n v="29.89"/>
    <n v="1.28"/>
  </r>
  <r>
    <n v="1957"/>
    <s v="A2957"/>
    <x v="0"/>
    <n v="90"/>
    <x v="574"/>
    <n v="234"/>
    <n v="17"/>
    <n v="9"/>
    <n v="0.1"/>
    <x v="190"/>
    <d v="2024-11-19T00:00:00"/>
    <s v="Hyderabad"/>
    <x v="0"/>
    <x v="1"/>
    <s v="November"/>
    <x v="2"/>
    <n v="2.5944444444444401"/>
    <n v="1.65"/>
    <n v="13.74"/>
    <n v="25.94"/>
    <n v="1.5"/>
    <n v="26.33"/>
    <n v="1.01"/>
  </r>
  <r>
    <n v="1958"/>
    <s v="A2958"/>
    <x v="2"/>
    <n v="100"/>
    <x v="1434"/>
    <n v="158"/>
    <n v="26"/>
    <n v="10"/>
    <n v="0.1"/>
    <x v="41"/>
    <d v="2024-11-27T00:00:00"/>
    <s v="Hyderabad"/>
    <x v="0"/>
    <x v="5"/>
    <s v="November"/>
    <x v="1"/>
    <n v="1.57527392711035"/>
    <n v="3.02"/>
    <n v="6.06"/>
    <n v="15.75"/>
    <n v="124.09"/>
    <n v="35.299999999999997"/>
    <n v="2.2400000000000002"/>
  </r>
  <r>
    <n v="1959"/>
    <s v="A2959"/>
    <x v="2"/>
    <n v="80"/>
    <x v="675"/>
    <n v="240"/>
    <n v="12"/>
    <n v="4"/>
    <n v="0.05"/>
    <x v="184"/>
    <d v="2024-11-16T00:00:00"/>
    <s v="Hyderabad"/>
    <x v="0"/>
    <x v="2"/>
    <s v="November"/>
    <x v="0"/>
    <n v="3.0055000000000001"/>
    <n v="1.38"/>
    <n v="20.04"/>
    <n v="60.11"/>
    <n v="31.01"/>
    <n v="78.75"/>
    <n v="1.31"/>
  </r>
  <r>
    <n v="1960"/>
    <s v="A2960"/>
    <x v="1"/>
    <n v="166"/>
    <x v="1435"/>
    <n v="199"/>
    <n v="29"/>
    <n v="5"/>
    <n v="3.0120481927710802E-2"/>
    <x v="147"/>
    <d v="2024-11-08T00:00:00"/>
    <s v="Hyderabad"/>
    <x v="1"/>
    <x v="0"/>
    <s v="November"/>
    <x v="3"/>
    <n v="1.19957831325301"/>
    <n v="2.98"/>
    <n v="6.87"/>
    <n v="39.83"/>
    <n v="51.16"/>
    <n v="60.2"/>
    <n v="1.51"/>
  </r>
  <r>
    <n v="1961"/>
    <s v="A2961"/>
    <x v="0"/>
    <n v="149"/>
    <x v="674"/>
    <n v="247"/>
    <n v="14"/>
    <n v="6"/>
    <n v="4.0268456375838903E-2"/>
    <x v="132"/>
    <d v="2024-11-01T00:00:00"/>
    <s v="Hyderabad"/>
    <x v="0"/>
    <x v="0"/>
    <s v="November"/>
    <x v="3"/>
    <n v="1.6548993288590601"/>
    <n v="2.5099999999999998"/>
    <n v="17.61"/>
    <n v="41.1"/>
    <n v="15.58"/>
    <n v="47.5"/>
    <n v="1.1599999999999999"/>
  </r>
  <r>
    <n v="1962"/>
    <s v="A2962"/>
    <x v="1"/>
    <n v="151"/>
    <x v="1436"/>
    <n v="224"/>
    <n v="15"/>
    <n v="3"/>
    <n v="1.98675496688741E-2"/>
    <x v="124"/>
    <d v="2024-11-09T00:00:00"/>
    <s v="Hyderabad"/>
    <x v="2"/>
    <x v="5"/>
    <s v="November"/>
    <x v="0"/>
    <n v="1.48125827814569"/>
    <n v="3.04"/>
    <n v="14.91"/>
    <n v="74.56"/>
    <n v="28.76"/>
    <n v="96"/>
    <n v="1.29"/>
  </r>
  <r>
    <n v="1963"/>
    <s v="A2963"/>
    <x v="2"/>
    <n v="186"/>
    <x v="1417"/>
    <n v="233"/>
    <n v="10"/>
    <n v="3"/>
    <n v="1.6129032258064498E-2"/>
    <x v="75"/>
    <d v="2024-11-25T00:00:00"/>
    <s v="Hyderabad"/>
    <x v="0"/>
    <x v="3"/>
    <s v="November"/>
    <x v="6"/>
    <n v="1.25494623655913"/>
    <n v="3.88"/>
    <n v="23.34"/>
    <n v="77.81"/>
    <n v="4.96"/>
    <n v="81.67"/>
    <n v="1.05"/>
  </r>
  <r>
    <n v="1964"/>
    <s v="A2964"/>
    <x v="3"/>
    <n v="143"/>
    <x v="1178"/>
    <n v="206"/>
    <n v="20"/>
    <n v="9"/>
    <n v="6.2937062937062901E-2"/>
    <x v="11"/>
    <d v="2024-11-22T00:00:00"/>
    <s v="Hyderabad"/>
    <x v="0"/>
    <x v="1"/>
    <s v="November"/>
    <x v="3"/>
    <n v="1.44300699300699"/>
    <n v="2.9"/>
    <n v="10.32"/>
    <n v="22.93"/>
    <n v="11.95"/>
    <n v="25.67"/>
    <n v="1.1200000000000001"/>
  </r>
  <r>
    <n v="1965"/>
    <s v="A2965"/>
    <x v="3"/>
    <n v="180"/>
    <x v="1437"/>
    <n v="200"/>
    <n v="10"/>
    <n v="10"/>
    <n v="5.5555555555555497E-2"/>
    <x v="37"/>
    <d v="2024-11-21T00:00:00"/>
    <s v="Hyderabad"/>
    <x v="2"/>
    <x v="4"/>
    <s v="November"/>
    <x v="5"/>
    <n v="1.1134999999999999"/>
    <n v="4.51"/>
    <n v="20.04"/>
    <n v="20.04"/>
    <n v="45.19"/>
    <n v="29.1"/>
    <n v="1.45"/>
  </r>
  <r>
    <n v="1966"/>
    <s v="A2966"/>
    <x v="1"/>
    <n v="141"/>
    <x v="1438"/>
    <n v="188"/>
    <n v="30"/>
    <n v="9"/>
    <n v="6.3829787234042507E-2"/>
    <x v="49"/>
    <d v="2024-11-18T00:00:00"/>
    <s v="Hyderabad"/>
    <x v="2"/>
    <x v="5"/>
    <s v="November"/>
    <x v="6"/>
    <n v="1.3353900709219799"/>
    <n v="4.26"/>
    <n v="6.28"/>
    <n v="20.92"/>
    <n v="69.42"/>
    <n v="35.44"/>
    <n v="1.69"/>
  </r>
  <r>
    <n v="1967"/>
    <s v="A2967"/>
    <x v="3"/>
    <n v="80"/>
    <x v="1439"/>
    <n v="226"/>
    <n v="11"/>
    <n v="9"/>
    <n v="0.1125"/>
    <x v="121"/>
    <d v="2024-11-07T00:00:00"/>
    <s v="Hyderabad"/>
    <x v="0"/>
    <x v="0"/>
    <s v="November"/>
    <x v="5"/>
    <n v="2.8253750000000002"/>
    <n v="2.33"/>
    <n v="20.55"/>
    <n v="25.11"/>
    <n v="13.26"/>
    <n v="28.44"/>
    <n v="1.1299999999999999"/>
  </r>
  <r>
    <n v="1968"/>
    <s v="A2968"/>
    <x v="3"/>
    <n v="152"/>
    <x v="83"/>
    <n v="223"/>
    <n v="12"/>
    <n v="7"/>
    <n v="4.6052631578947303E-2"/>
    <x v="16"/>
    <d v="2024-11-18T00:00:00"/>
    <s v="Hyderabad"/>
    <x v="2"/>
    <x v="1"/>
    <s v="November"/>
    <x v="6"/>
    <n v="1.4692763157894699"/>
    <n v="3.25"/>
    <n v="18.61"/>
    <n v="31.9"/>
    <n v="54.93"/>
    <n v="49.43"/>
    <n v="1.55"/>
  </r>
  <r>
    <n v="1969"/>
    <s v="A2969"/>
    <x v="0"/>
    <n v="189"/>
    <x v="1440"/>
    <n v="229"/>
    <n v="17"/>
    <n v="9"/>
    <n v="4.7619047619047603E-2"/>
    <x v="3"/>
    <d v="2024-11-13T00:00:00"/>
    <s v="Hyderabad"/>
    <x v="2"/>
    <x v="4"/>
    <s v="November"/>
    <x v="1"/>
    <n v="1.2120634920634901"/>
    <n v="5.2"/>
    <n v="13.48"/>
    <n v="25.45"/>
    <n v="9.1300000000000008"/>
    <n v="27.78"/>
    <n v="1.0900000000000001"/>
  </r>
  <r>
    <n v="1970"/>
    <s v="A2970"/>
    <x v="2"/>
    <n v="121"/>
    <x v="1441"/>
    <n v="199"/>
    <n v="14"/>
    <n v="6"/>
    <n v="4.9586776859504099E-2"/>
    <x v="57"/>
    <d v="2024-11-08T00:00:00"/>
    <s v="Hyderabad"/>
    <x v="0"/>
    <x v="0"/>
    <s v="November"/>
    <x v="3"/>
    <n v="1.64363636363636"/>
    <n v="2.61"/>
    <n v="14.21"/>
    <n v="33.15"/>
    <n v="101.63"/>
    <n v="66.83"/>
    <n v="2.02"/>
  </r>
  <r>
    <n v="1971"/>
    <s v="A2971"/>
    <x v="1"/>
    <n v="140"/>
    <x v="486"/>
    <n v="224"/>
    <n v="28"/>
    <n v="7"/>
    <n v="0.05"/>
    <x v="118"/>
    <d v="2024-11-14T00:00:00"/>
    <s v="Hyderabad"/>
    <x v="2"/>
    <x v="0"/>
    <s v="November"/>
    <x v="5"/>
    <n v="1.5983571428571399"/>
    <n v="2.75"/>
    <n v="7.99"/>
    <n v="31.97"/>
    <n v="12.62"/>
    <n v="36"/>
    <n v="1.1299999999999999"/>
  </r>
  <r>
    <n v="1972"/>
    <s v="A2972"/>
    <x v="3"/>
    <n v="183"/>
    <x v="936"/>
    <n v="214"/>
    <n v="23"/>
    <n v="7"/>
    <n v="3.8251366120218497E-2"/>
    <x v="78"/>
    <d v="2024-11-22T00:00:00"/>
    <s v="Hyderabad"/>
    <x v="1"/>
    <x v="4"/>
    <s v="November"/>
    <x v="3"/>
    <n v="1.16754098360655"/>
    <n v="3.18"/>
    <n v="9.2899999999999991"/>
    <n v="30.52"/>
    <n v="13.26"/>
    <n v="34.57"/>
    <n v="1.1299999999999999"/>
  </r>
  <r>
    <n v="1973"/>
    <s v="A2973"/>
    <x v="0"/>
    <n v="156"/>
    <x v="821"/>
    <n v="184"/>
    <n v="22"/>
    <n v="6"/>
    <n v="3.8461538461538401E-2"/>
    <x v="0"/>
    <d v="2024-11-30T00:00:00"/>
    <s v="Hyderabad"/>
    <x v="2"/>
    <x v="4"/>
    <s v="November"/>
    <x v="0"/>
    <n v="1.18217948717948"/>
    <n v="3.94"/>
    <n v="8.3800000000000008"/>
    <n v="30.74"/>
    <n v="109.3"/>
    <n v="64.33"/>
    <n v="2.09"/>
  </r>
  <r>
    <n v="1974"/>
    <s v="A2974"/>
    <x v="0"/>
    <n v="136"/>
    <x v="738"/>
    <n v="196"/>
    <n v="26"/>
    <n v="4"/>
    <n v="2.94117647058823E-2"/>
    <x v="142"/>
    <d v="2024-11-01T00:00:00"/>
    <s v="Hyderabad"/>
    <x v="2"/>
    <x v="0"/>
    <s v="November"/>
    <x v="3"/>
    <n v="1.4378676470588201"/>
    <n v="2.41"/>
    <n v="7.52"/>
    <n v="48.89"/>
    <n v="85.12"/>
    <n v="90.5"/>
    <n v="1.85"/>
  </r>
  <r>
    <n v="1975"/>
    <s v="A2975"/>
    <x v="1"/>
    <n v="107"/>
    <x v="660"/>
    <n v="223"/>
    <n v="16"/>
    <n v="8"/>
    <n v="7.4766355140186896E-2"/>
    <x v="29"/>
    <d v="2024-11-28T00:00:00"/>
    <s v="Hyderabad"/>
    <x v="0"/>
    <x v="0"/>
    <s v="November"/>
    <x v="5"/>
    <n v="2.08579439252336"/>
    <n v="2.0299999999999998"/>
    <n v="13.95"/>
    <n v="27.9"/>
    <n v="1.71"/>
    <n v="28.38"/>
    <n v="1.02"/>
  </r>
  <r>
    <n v="1976"/>
    <s v="A2976"/>
    <x v="0"/>
    <n v="86"/>
    <x v="1442"/>
    <n v="232"/>
    <n v="20"/>
    <n v="7"/>
    <n v="8.1395348837209294E-2"/>
    <x v="144"/>
    <d v="2024-11-10T00:00:00"/>
    <s v="Hyderabad"/>
    <x v="2"/>
    <x v="2"/>
    <s v="November"/>
    <x v="4"/>
    <n v="2.6931395348837199"/>
    <n v="1.78"/>
    <n v="11.58"/>
    <n v="33.090000000000003"/>
    <n v="22.62"/>
    <n v="40.57"/>
    <n v="1.23"/>
  </r>
  <r>
    <n v="1977"/>
    <s v="A2977"/>
    <x v="3"/>
    <n v="165"/>
    <x v="1000"/>
    <n v="192"/>
    <n v="30"/>
    <n v="5"/>
    <n v="3.03030303030303E-2"/>
    <x v="145"/>
    <d v="2024-11-02T00:00:00"/>
    <s v="Hyderabad"/>
    <x v="0"/>
    <x v="3"/>
    <s v="November"/>
    <x v="0"/>
    <n v="1.1621212121212099"/>
    <n v="3.02"/>
    <n v="6.39"/>
    <n v="38.35"/>
    <n v="22.03"/>
    <n v="46.8"/>
    <n v="1.22"/>
  </r>
  <r>
    <n v="1978"/>
    <s v="A2978"/>
    <x v="3"/>
    <n v="145"/>
    <x v="1443"/>
    <n v="183"/>
    <n v="27"/>
    <n v="4"/>
    <n v="2.7586206896551699E-2"/>
    <x v="8"/>
    <d v="2024-11-24T00:00:00"/>
    <s v="Hyderabad"/>
    <x v="2"/>
    <x v="5"/>
    <s v="November"/>
    <x v="4"/>
    <n v="1.2596551724137901"/>
    <n v="3.84"/>
    <n v="6.76"/>
    <n v="45.66"/>
    <n v="52.2"/>
    <n v="69.5"/>
    <n v="1.52"/>
  </r>
  <r>
    <n v="1979"/>
    <s v="A2979"/>
    <x v="0"/>
    <n v="99"/>
    <x v="562"/>
    <n v="244"/>
    <n v="16"/>
    <n v="9"/>
    <n v="9.0909090909090898E-2"/>
    <x v="149"/>
    <d v="2024-11-11T00:00:00"/>
    <s v="Hyderabad"/>
    <x v="0"/>
    <x v="2"/>
    <s v="November"/>
    <x v="6"/>
    <n v="2.4635353535353501"/>
    <n v="1.66"/>
    <n v="15.24"/>
    <n v="27.1"/>
    <n v="57.04"/>
    <n v="42.56"/>
    <n v="1.57"/>
  </r>
  <r>
    <n v="1980"/>
    <s v="A2980"/>
    <x v="2"/>
    <n v="181"/>
    <x v="1115"/>
    <n v="216"/>
    <n v="27"/>
    <n v="10"/>
    <n v="5.5248618784530301E-2"/>
    <x v="189"/>
    <d v="2024-11-28T00:00:00"/>
    <s v="Hyderabad"/>
    <x v="0"/>
    <x v="3"/>
    <s v="November"/>
    <x v="5"/>
    <n v="1.19348066298342"/>
    <n v="3.04"/>
    <n v="8"/>
    <n v="21.6"/>
    <n v="77.760000000000005"/>
    <n v="38.4"/>
    <n v="1.78"/>
  </r>
  <r>
    <n v="1981"/>
    <s v="A2981"/>
    <x v="0"/>
    <n v="139"/>
    <x v="666"/>
    <n v="215"/>
    <n v="19"/>
    <n v="8"/>
    <n v="5.7553956834532301E-2"/>
    <x v="16"/>
    <d v="2024-11-29T00:00:00"/>
    <s v="Hyderabad"/>
    <x v="2"/>
    <x v="4"/>
    <s v="November"/>
    <x v="3"/>
    <n v="1.5454545454545401"/>
    <n v="2.75"/>
    <n v="11.31"/>
    <n v="26.85"/>
    <n v="61.07"/>
    <n v="43.25"/>
    <n v="1.61"/>
  </r>
  <r>
    <n v="1982"/>
    <s v="A2982"/>
    <x v="0"/>
    <n v="153"/>
    <x v="143"/>
    <n v="224"/>
    <n v="20"/>
    <n v="4"/>
    <n v="2.61437908496732E-2"/>
    <x v="177"/>
    <d v="2024-11-05T00:00:00"/>
    <s v="Hyderabad"/>
    <x v="2"/>
    <x v="0"/>
    <s v="November"/>
    <x v="2"/>
    <n v="1.46503267973856"/>
    <n v="3.38"/>
    <n v="11.21"/>
    <n v="56.04"/>
    <n v="-1.41"/>
    <n v="55.25"/>
    <n v="0.99"/>
  </r>
  <r>
    <n v="1983"/>
    <s v="A2983"/>
    <x v="0"/>
    <n v="184"/>
    <x v="93"/>
    <n v="182"/>
    <n v="15"/>
    <n v="10"/>
    <n v="5.4347826086956499E-2"/>
    <x v="146"/>
    <d v="2024-11-25T00:00:00"/>
    <s v="Hyderabad"/>
    <x v="1"/>
    <x v="0"/>
    <s v="November"/>
    <x v="6"/>
    <n v="0.99184782608695599"/>
    <n v="3.12"/>
    <n v="12.17"/>
    <n v="18.25"/>
    <n v="37.53"/>
    <n v="25.1"/>
    <n v="1.38"/>
  </r>
  <r>
    <n v="1984"/>
    <s v="A2984"/>
    <x v="0"/>
    <n v="119"/>
    <x v="1144"/>
    <n v="181"/>
    <n v="12"/>
    <n v="8"/>
    <n v="6.7226890756302504E-2"/>
    <x v="105"/>
    <d v="2024-11-04T00:00:00"/>
    <s v="Hyderabad"/>
    <x v="1"/>
    <x v="5"/>
    <s v="November"/>
    <x v="6"/>
    <n v="1.51739495798319"/>
    <n v="2.36"/>
    <n v="15.05"/>
    <n v="22.57"/>
    <n v="40.67"/>
    <n v="31.75"/>
    <n v="1.41"/>
  </r>
  <r>
    <n v="1985"/>
    <s v="A2985"/>
    <x v="0"/>
    <n v="109"/>
    <x v="662"/>
    <n v="183"/>
    <n v="27"/>
    <n v="8"/>
    <n v="7.3394495412843999E-2"/>
    <x v="95"/>
    <d v="2024-11-21T00:00:00"/>
    <s v="Hyderabad"/>
    <x v="0"/>
    <x v="3"/>
    <s v="November"/>
    <x v="5"/>
    <n v="1.6779816513761401"/>
    <n v="2.2599999999999998"/>
    <n v="6.77"/>
    <n v="22.86"/>
    <n v="25.21"/>
    <n v="28.62"/>
    <n v="1.25"/>
  </r>
  <r>
    <n v="1986"/>
    <s v="A2986"/>
    <x v="0"/>
    <n v="168"/>
    <x v="1076"/>
    <n v="223"/>
    <n v="29"/>
    <n v="7"/>
    <n v="4.1666666666666602E-2"/>
    <x v="19"/>
    <d v="2024-11-12T00:00:00"/>
    <s v="Hyderabad"/>
    <x v="1"/>
    <x v="3"/>
    <s v="November"/>
    <x v="2"/>
    <n v="1.3273214285714201"/>
    <n v="4.13"/>
    <n v="7.69"/>
    <n v="31.86"/>
    <n v="58.75"/>
    <n v="50.57"/>
    <n v="1.59"/>
  </r>
  <r>
    <n v="1987"/>
    <s v="A2987"/>
    <x v="2"/>
    <n v="177"/>
    <x v="1444"/>
    <n v="191"/>
    <n v="14"/>
    <n v="3"/>
    <n v="1.6949152542372801E-2"/>
    <x v="41"/>
    <d v="2024-11-30T00:00:00"/>
    <s v="Hyderabad"/>
    <x v="0"/>
    <x v="1"/>
    <s v="November"/>
    <x v="0"/>
    <n v="1.07870056497175"/>
    <n v="3.04"/>
    <n v="13.64"/>
    <n v="63.64"/>
    <n v="84.88"/>
    <n v="117.67"/>
    <n v="1.85"/>
  </r>
  <r>
    <n v="1988"/>
    <s v="A2988"/>
    <x v="3"/>
    <n v="82"/>
    <x v="1445"/>
    <n v="235"/>
    <n v="27"/>
    <n v="10"/>
    <n v="0.12195121951219499"/>
    <x v="63"/>
    <d v="2024-11-17T00:00:00"/>
    <s v="Hyderabad"/>
    <x v="0"/>
    <x v="3"/>
    <s v="November"/>
    <x v="4"/>
    <n v="2.8636585365853602"/>
    <n v="1.67"/>
    <n v="8.6999999999999993"/>
    <n v="23.48"/>
    <n v="35.42"/>
    <n v="31.8"/>
    <n v="1.35"/>
  </r>
  <r>
    <n v="1989"/>
    <s v="A2989"/>
    <x v="0"/>
    <n v="112"/>
    <x v="1446"/>
    <n v="250"/>
    <n v="27"/>
    <n v="3"/>
    <n v="2.6785714285714201E-2"/>
    <x v="207"/>
    <d v="2024-11-26T00:00:00"/>
    <s v="Hyderabad"/>
    <x v="2"/>
    <x v="2"/>
    <s v="November"/>
    <x v="2"/>
    <n v="2.2290178571428498"/>
    <n v="2.62"/>
    <n v="9.25"/>
    <n v="83.22"/>
    <n v="59.82"/>
    <n v="133"/>
    <n v="1.6"/>
  </r>
  <r>
    <n v="1990"/>
    <s v="A2990"/>
    <x v="1"/>
    <n v="99"/>
    <x v="1447"/>
    <n v="196"/>
    <n v="19"/>
    <n v="10"/>
    <n v="0.10101010101010099"/>
    <x v="139"/>
    <d v="2024-11-04T00:00:00"/>
    <s v="Hyderabad"/>
    <x v="0"/>
    <x v="3"/>
    <s v="November"/>
    <x v="6"/>
    <n v="1.97888888888888"/>
    <n v="2.9"/>
    <n v="10.31"/>
    <n v="19.59"/>
    <n v="29.14"/>
    <n v="25.3"/>
    <n v="1.29"/>
  </r>
  <r>
    <n v="1991"/>
    <s v="A2991"/>
    <x v="0"/>
    <n v="89"/>
    <x v="1024"/>
    <n v="220"/>
    <n v="26"/>
    <n v="4"/>
    <n v="4.49438202247191E-2"/>
    <x v="167"/>
    <d v="2024-11-09T00:00:00"/>
    <s v="Hyderabad"/>
    <x v="0"/>
    <x v="1"/>
    <s v="November"/>
    <x v="0"/>
    <n v="2.47269662921348"/>
    <n v="2.65"/>
    <n v="8.4600000000000009"/>
    <n v="55.02"/>
    <n v="79.94"/>
    <n v="99"/>
    <n v="1.8"/>
  </r>
  <r>
    <n v="1992"/>
    <s v="A2992"/>
    <x v="2"/>
    <n v="154"/>
    <x v="1448"/>
    <n v="233"/>
    <n v="24"/>
    <n v="6"/>
    <n v="3.8961038961038898E-2"/>
    <x v="136"/>
    <d v="2024-11-02T00:00:00"/>
    <s v="Hyderabad"/>
    <x v="2"/>
    <x v="0"/>
    <s v="November"/>
    <x v="0"/>
    <n v="1.51551948051948"/>
    <n v="3.19"/>
    <n v="9.7200000000000006"/>
    <n v="38.9"/>
    <n v="45.25"/>
    <n v="56.5"/>
    <n v="1.45"/>
  </r>
  <r>
    <n v="1993"/>
    <s v="A2993"/>
    <x v="2"/>
    <n v="155"/>
    <x v="1449"/>
    <n v="227"/>
    <n v="26"/>
    <n v="7"/>
    <n v="4.5161290322580601E-2"/>
    <x v="133"/>
    <d v="2024-11-22T00:00:00"/>
    <s v="Hyderabad"/>
    <x v="2"/>
    <x v="5"/>
    <s v="November"/>
    <x v="3"/>
    <n v="1.4623225806451601"/>
    <n v="3.75"/>
    <n v="8.7200000000000006"/>
    <n v="32.380000000000003"/>
    <n v="29.71"/>
    <n v="42"/>
    <n v="1.3"/>
  </r>
  <r>
    <n v="1994"/>
    <s v="A2994"/>
    <x v="2"/>
    <n v="188"/>
    <x v="1450"/>
    <n v="190"/>
    <n v="27"/>
    <n v="7"/>
    <n v="3.7234042553191397E-2"/>
    <x v="33"/>
    <d v="2024-11-16T00:00:00"/>
    <s v="Hyderabad"/>
    <x v="0"/>
    <x v="4"/>
    <s v="November"/>
    <x v="0"/>
    <n v="1.01292553191489"/>
    <n v="3.58"/>
    <n v="7.05"/>
    <n v="27.2"/>
    <n v="95.35"/>
    <n v="53.14"/>
    <n v="1.95"/>
  </r>
  <r>
    <n v="1995"/>
    <s v="A2995"/>
    <x v="0"/>
    <n v="83"/>
    <x v="1451"/>
    <n v="232"/>
    <n v="28"/>
    <n v="7"/>
    <n v="8.43373493975903E-2"/>
    <x v="107"/>
    <d v="2024-11-19T00:00:00"/>
    <s v="Hyderabad"/>
    <x v="1"/>
    <x v="3"/>
    <s v="November"/>
    <x v="2"/>
    <n v="2.7967469879518001"/>
    <n v="1.87"/>
    <n v="8.2899999999999991"/>
    <n v="33.159999999999997"/>
    <n v="37.85"/>
    <n v="45.71"/>
    <n v="1.38"/>
  </r>
  <r>
    <n v="1996"/>
    <s v="A2996"/>
    <x v="2"/>
    <n v="127"/>
    <x v="1452"/>
    <n v="184"/>
    <n v="10"/>
    <n v="8"/>
    <n v="6.2992125984251898E-2"/>
    <x v="194"/>
    <d v="2024-11-13T00:00:00"/>
    <s v="Hyderabad"/>
    <x v="2"/>
    <x v="1"/>
    <s v="November"/>
    <x v="1"/>
    <n v="1.44543307086614"/>
    <n v="4.16"/>
    <n v="18.36"/>
    <n v="22.95"/>
    <n v="85.76"/>
    <n v="42.62"/>
    <n v="1.86"/>
  </r>
  <r>
    <n v="1997"/>
    <s v="A2997"/>
    <x v="2"/>
    <n v="141"/>
    <x v="1087"/>
    <n v="214"/>
    <n v="20"/>
    <n v="10"/>
    <n v="7.09219858156028E-2"/>
    <x v="184"/>
    <d v="2024-11-15T00:00:00"/>
    <s v="Hyderabad"/>
    <x v="2"/>
    <x v="2"/>
    <s v="November"/>
    <x v="3"/>
    <n v="1.5164539007092099"/>
    <n v="2.54"/>
    <n v="10.69"/>
    <n v="21.38"/>
    <n v="47.32"/>
    <n v="31.5"/>
    <n v="1.47"/>
  </r>
  <r>
    <n v="1998"/>
    <s v="A2998"/>
    <x v="3"/>
    <n v="149"/>
    <x v="960"/>
    <n v="241"/>
    <n v="11"/>
    <n v="6"/>
    <n v="4.0268456375838903E-2"/>
    <x v="162"/>
    <d v="2024-11-04T00:00:00"/>
    <s v="Hyderabad"/>
    <x v="0"/>
    <x v="5"/>
    <s v="November"/>
    <x v="6"/>
    <n v="1.62020134228187"/>
    <n v="3.19"/>
    <n v="21.95"/>
    <n v="40.24"/>
    <n v="-6.38"/>
    <n v="37.67"/>
    <n v="0.94"/>
  </r>
  <r>
    <n v="1999"/>
    <s v="A2999"/>
    <x v="1"/>
    <n v="152"/>
    <x v="1453"/>
    <n v="211"/>
    <n v="12"/>
    <n v="6"/>
    <n v="3.94736842105263E-2"/>
    <x v="160"/>
    <d v="2024-11-10T00:00:00"/>
    <s v="Hyderabad"/>
    <x v="2"/>
    <x v="2"/>
    <s v="November"/>
    <x v="4"/>
    <n v="1.38671052631578"/>
    <n v="5.01"/>
    <n v="17.57"/>
    <n v="35.130000000000003"/>
    <n v="3.9"/>
    <n v="36.5"/>
    <n v="1.04"/>
  </r>
  <r>
    <n v="2000"/>
    <s v="A3000"/>
    <x v="3"/>
    <n v="123"/>
    <x v="1144"/>
    <n v="248"/>
    <n v="11"/>
    <n v="8"/>
    <n v="6.5040650406504003E-2"/>
    <x v="14"/>
    <d v="2024-11-29T00:00:00"/>
    <s v="Hyderabad"/>
    <x v="2"/>
    <x v="5"/>
    <s v="November"/>
    <x v="3"/>
    <n v="2.0156910569105602"/>
    <n v="2.44"/>
    <n v="22.54"/>
    <n v="30.99"/>
    <n v="44.4"/>
    <n v="44.75"/>
    <n v="1.44"/>
  </r>
  <r>
    <n v="2001"/>
    <s v="A3001"/>
    <x v="1"/>
    <n v="137"/>
    <x v="1454"/>
    <n v="194"/>
    <n v="11"/>
    <n v="6"/>
    <n v="4.3795620437956199E-2"/>
    <x v="200"/>
    <d v="2024-11-09T00:00:00"/>
    <s v="Hyderabad"/>
    <x v="0"/>
    <x v="1"/>
    <s v="November"/>
    <x v="0"/>
    <n v="1.4168613138686099"/>
    <n v="2.71"/>
    <n v="17.649999999999999"/>
    <n v="32.35"/>
    <n v="26.73"/>
    <n v="41"/>
    <n v="1.27"/>
  </r>
  <r>
    <n v="2002"/>
    <s v="A3002"/>
    <x v="3"/>
    <n v="93"/>
    <x v="610"/>
    <n v="198"/>
    <n v="15"/>
    <n v="8"/>
    <n v="8.6021505376343996E-2"/>
    <x v="82"/>
    <d v="2024-11-15T00:00:00"/>
    <s v="Hyderabad"/>
    <x v="2"/>
    <x v="2"/>
    <s v="November"/>
    <x v="3"/>
    <n v="2.1266666666666598"/>
    <n v="1.74"/>
    <n v="13.19"/>
    <n v="24.72"/>
    <n v="6.68"/>
    <n v="26.38"/>
    <n v="1.07"/>
  </r>
  <r>
    <n v="2003"/>
    <s v="A3003"/>
    <x v="1"/>
    <n v="150"/>
    <x v="1297"/>
    <n v="205"/>
    <n v="24"/>
    <n v="10"/>
    <n v="6.6666666666666596E-2"/>
    <x v="64"/>
    <d v="2024-11-17T00:00:00"/>
    <s v="Hyderabad"/>
    <x v="2"/>
    <x v="1"/>
    <s v="November"/>
    <x v="4"/>
    <n v="1.36486666666666"/>
    <n v="2.69"/>
    <n v="8.5299999999999994"/>
    <n v="20.47"/>
    <n v="128.18"/>
    <n v="46.71"/>
    <n v="2.2799999999999998"/>
  </r>
  <r>
    <n v="2004"/>
    <s v="A3004"/>
    <x v="1"/>
    <n v="122"/>
    <x v="29"/>
    <n v="196"/>
    <n v="13"/>
    <n v="3"/>
    <n v="2.4590163934426201E-2"/>
    <x v="8"/>
    <d v="2024-11-30T00:00:00"/>
    <s v="Hyderabad"/>
    <x v="0"/>
    <x v="1"/>
    <s v="November"/>
    <x v="0"/>
    <n v="1.6105737704917999"/>
    <n v="3.64"/>
    <n v="15.11"/>
    <n v="65.5"/>
    <n v="41.48"/>
    <n v="92.67"/>
    <n v="1.41"/>
  </r>
  <r>
    <n v="2005"/>
    <s v="A3005"/>
    <x v="1"/>
    <n v="168"/>
    <x v="669"/>
    <n v="184"/>
    <n v="30"/>
    <n v="7"/>
    <n v="4.1666666666666602E-2"/>
    <x v="207"/>
    <d v="2024-11-01T00:00:00"/>
    <s v="Hyderabad"/>
    <x v="2"/>
    <x v="1"/>
    <s v="November"/>
    <x v="3"/>
    <n v="1.09684523809523"/>
    <n v="5.37"/>
    <n v="6.14"/>
    <n v="26.32"/>
    <n v="116.53"/>
    <n v="57"/>
    <n v="2.17"/>
  </r>
  <r>
    <n v="2006"/>
    <s v="A3006"/>
    <x v="2"/>
    <n v="113"/>
    <x v="1455"/>
    <n v="172"/>
    <n v="26"/>
    <n v="8"/>
    <n v="7.0796460176991094E-2"/>
    <x v="151"/>
    <d v="2024-11-12T00:00:00"/>
    <s v="Hyderabad"/>
    <x v="1"/>
    <x v="1"/>
    <s v="November"/>
    <x v="2"/>
    <n v="1.5243795620437901"/>
    <n v="3.03"/>
    <n v="6.63"/>
    <n v="21.53"/>
    <n v="52.1"/>
    <n v="32.75"/>
    <n v="1.52"/>
  </r>
  <r>
    <n v="2007"/>
    <s v="A3007"/>
    <x v="0"/>
    <n v="124"/>
    <x v="1338"/>
    <n v="222"/>
    <n v="21"/>
    <n v="7"/>
    <n v="5.6451612903225798E-2"/>
    <x v="4"/>
    <d v="2024-11-27T00:00:00"/>
    <s v="Hyderabad"/>
    <x v="0"/>
    <x v="3"/>
    <s v="November"/>
    <x v="1"/>
    <n v="1.7916129032257999"/>
    <n v="2.2999999999999998"/>
    <n v="10.58"/>
    <n v="31.74"/>
    <n v="0.38"/>
    <n v="31.86"/>
    <n v="1"/>
  </r>
  <r>
    <n v="2008"/>
    <s v="A3008"/>
    <x v="1"/>
    <n v="95"/>
    <x v="48"/>
    <n v="194"/>
    <n v="17"/>
    <n v="4"/>
    <n v="4.2105263157894701E-2"/>
    <x v="26"/>
    <d v="2024-11-27T00:00:00"/>
    <s v="Hyderabad"/>
    <x v="0"/>
    <x v="1"/>
    <s v="November"/>
    <x v="1"/>
    <n v="2.0382105263157801"/>
    <n v="2.04"/>
    <n v="11.39"/>
    <n v="48.41"/>
    <n v="77.66"/>
    <n v="86"/>
    <n v="1.78"/>
  </r>
  <r>
    <n v="2009"/>
    <s v="A3009"/>
    <x v="1"/>
    <n v="185"/>
    <x v="1456"/>
    <n v="248"/>
    <n v="15"/>
    <n v="5"/>
    <n v="2.7027027027027001E-2"/>
    <x v="194"/>
    <d v="2024-11-06T00:00:00"/>
    <s v="Hyderabad"/>
    <x v="0"/>
    <x v="2"/>
    <s v="November"/>
    <x v="1"/>
    <n v="1.34205405405405"/>
    <n v="4.0199999999999996"/>
    <n v="16.55"/>
    <n v="49.66"/>
    <n v="37.340000000000003"/>
    <n v="68.2"/>
    <n v="1.37"/>
  </r>
  <r>
    <n v="2010"/>
    <s v="A3010"/>
    <x v="3"/>
    <n v="144"/>
    <x v="1324"/>
    <n v="222"/>
    <n v="24"/>
    <n v="7"/>
    <n v="4.8611111111111098E-2"/>
    <x v="148"/>
    <d v="2024-11-13T00:00:00"/>
    <s v="Hyderabad"/>
    <x v="1"/>
    <x v="3"/>
    <s v="November"/>
    <x v="1"/>
    <n v="1.5393055555555499"/>
    <n v="4.62"/>
    <n v="9.24"/>
    <n v="31.67"/>
    <n v="-2.1"/>
    <n v="31"/>
    <n v="0.98"/>
  </r>
  <r>
    <n v="2011"/>
    <s v="A3011"/>
    <x v="2"/>
    <n v="175"/>
    <x v="1457"/>
    <n v="210"/>
    <n v="14"/>
    <n v="9"/>
    <n v="5.14285714285714E-2"/>
    <x v="97"/>
    <d v="2024-11-28T00:00:00"/>
    <s v="Hyderabad"/>
    <x v="1"/>
    <x v="5"/>
    <s v="November"/>
    <x v="5"/>
    <n v="1.20062857142857"/>
    <n v="4.97"/>
    <n v="15.01"/>
    <n v="23.35"/>
    <n v="10.89"/>
    <n v="25.89"/>
    <n v="1.1100000000000001"/>
  </r>
  <r>
    <n v="2012"/>
    <s v="A3012"/>
    <x v="1"/>
    <n v="88"/>
    <x v="1458"/>
    <n v="247"/>
    <n v="12"/>
    <n v="9"/>
    <n v="0.102272727272727"/>
    <x v="18"/>
    <d v="2024-11-01T00:00:00"/>
    <s v="Hyderabad"/>
    <x v="1"/>
    <x v="1"/>
    <s v="November"/>
    <x v="3"/>
    <n v="2.8030681818181802"/>
    <n v="1.51"/>
    <n v="20.56"/>
    <n v="27.41"/>
    <n v="25.27"/>
    <n v="34.33"/>
    <n v="1.25"/>
  </r>
  <r>
    <n v="2013"/>
    <s v="A3013"/>
    <x v="2"/>
    <n v="90"/>
    <x v="1459"/>
    <n v="197"/>
    <n v="27"/>
    <n v="4"/>
    <n v="4.4444444444444398E-2"/>
    <x v="18"/>
    <d v="2024-11-20T00:00:00"/>
    <s v="Hyderabad"/>
    <x v="0"/>
    <x v="2"/>
    <s v="November"/>
    <x v="1"/>
    <n v="2.18444444444444"/>
    <n v="1.62"/>
    <n v="7.28"/>
    <n v="49.15"/>
    <n v="57.17"/>
    <n v="77.25"/>
    <n v="1.57"/>
  </r>
  <r>
    <n v="2014"/>
    <s v="A3014"/>
    <x v="1"/>
    <n v="94"/>
    <x v="430"/>
    <n v="221"/>
    <n v="13"/>
    <n v="5"/>
    <n v="5.31914893617021E-2"/>
    <x v="2"/>
    <d v="2024-11-20T00:00:00"/>
    <s v="Hyderabad"/>
    <x v="0"/>
    <x v="0"/>
    <s v="November"/>
    <x v="1"/>
    <n v="2.35170212765957"/>
    <n v="2.21"/>
    <n v="17"/>
    <n v="44.21"/>
    <n v="49.73"/>
    <n v="66.2"/>
    <n v="1.5"/>
  </r>
  <r>
    <n v="2015"/>
    <s v="A3015"/>
    <x v="0"/>
    <n v="191"/>
    <x v="601"/>
    <n v="233"/>
    <n v="14"/>
    <n v="10"/>
    <n v="5.23560209424083E-2"/>
    <x v="46"/>
    <d v="2024-11-03T00:00:00"/>
    <s v="Hyderabad"/>
    <x v="2"/>
    <x v="5"/>
    <s v="November"/>
    <x v="4"/>
    <n v="1.2183246073298399"/>
    <n v="3.89"/>
    <n v="16.62"/>
    <n v="23.27"/>
    <n v="-5.46"/>
    <n v="22"/>
    <n v="0.95"/>
  </r>
  <r>
    <n v="2016"/>
    <s v="A3016"/>
    <x v="3"/>
    <n v="167"/>
    <x v="1460"/>
    <n v="223"/>
    <n v="15"/>
    <n v="4"/>
    <n v="2.39520958083832E-2"/>
    <x v="168"/>
    <d v="2024-11-17T00:00:00"/>
    <s v="Hyderabad"/>
    <x v="2"/>
    <x v="5"/>
    <s v="November"/>
    <x v="4"/>
    <n v="1.3326946107784401"/>
    <n v="2.94"/>
    <n v="14.84"/>
    <n v="55.64"/>
    <n v="70.739999999999995"/>
    <n v="95"/>
    <n v="1.71"/>
  </r>
  <r>
    <n v="2017"/>
    <s v="A3017"/>
    <x v="2"/>
    <n v="136"/>
    <x v="488"/>
    <n v="186"/>
    <n v="11"/>
    <n v="4"/>
    <n v="2.94117647058823E-2"/>
    <x v="9"/>
    <d v="2024-11-05T00:00:00"/>
    <s v="Hyderabad"/>
    <x v="1"/>
    <x v="0"/>
    <s v="November"/>
    <x v="2"/>
    <n v="1.3713235294117601"/>
    <n v="3.6"/>
    <n v="16.95"/>
    <n v="46.62"/>
    <n v="12.6"/>
    <n v="52.5"/>
    <n v="1.1299999999999999"/>
  </r>
  <r>
    <n v="2018"/>
    <s v="A3018"/>
    <x v="3"/>
    <n v="110"/>
    <x v="1461"/>
    <n v="170"/>
    <n v="23"/>
    <n v="9"/>
    <n v="8.1818181818181804E-2"/>
    <x v="72"/>
    <d v="2024-11-08T00:00:00"/>
    <s v="Hyderabad"/>
    <x v="2"/>
    <x v="2"/>
    <s v="November"/>
    <x v="3"/>
    <n v="1.5454545454545401"/>
    <n v="1.9"/>
    <n v="7.39"/>
    <n v="18.89"/>
    <n v="75.88"/>
    <n v="33.22"/>
    <n v="1.76"/>
  </r>
  <r>
    <n v="2019"/>
    <s v="A3019"/>
    <x v="0"/>
    <n v="171"/>
    <x v="1389"/>
    <n v="261"/>
    <n v="26"/>
    <n v="5"/>
    <n v="2.9239766081871298E-2"/>
    <x v="99"/>
    <d v="2024-11-18T00:00:00"/>
    <s v="Hyderabad"/>
    <x v="1"/>
    <x v="3"/>
    <s v="November"/>
    <x v="6"/>
    <n v="1.5243795620437901"/>
    <n v="5.6"/>
    <n v="10.029999999999999"/>
    <n v="52.13"/>
    <n v="33.119999999999997"/>
    <n v="69.400000000000006"/>
    <n v="1.33"/>
  </r>
  <r>
    <n v="2020"/>
    <s v="A3020"/>
    <x v="2"/>
    <n v="134"/>
    <x v="873"/>
    <n v="231"/>
    <n v="28"/>
    <n v="7"/>
    <n v="5.2238805970149203E-2"/>
    <x v="89"/>
    <d v="2024-11-29T00:00:00"/>
    <s v="Hyderabad"/>
    <x v="0"/>
    <x v="3"/>
    <s v="November"/>
    <x v="3"/>
    <n v="1.7268656716417901"/>
    <n v="2.38"/>
    <n v="8.26"/>
    <n v="33.06"/>
    <n v="32.24"/>
    <n v="43.71"/>
    <n v="1.32"/>
  </r>
  <r>
    <n v="2021"/>
    <s v="A3021"/>
    <x v="2"/>
    <n v="170"/>
    <x v="1462"/>
    <n v="193"/>
    <n v="27"/>
    <n v="9"/>
    <n v="5.29411764705882E-2"/>
    <x v="206"/>
    <d v="2024-11-27T00:00:00"/>
    <s v="Hyderabad"/>
    <x v="1"/>
    <x v="5"/>
    <s v="November"/>
    <x v="1"/>
    <n v="1.1364705882352899"/>
    <n v="3.7"/>
    <n v="7.16"/>
    <n v="21.47"/>
    <n v="39.229999999999997"/>
    <n v="29.89"/>
    <n v="1.39"/>
  </r>
  <r>
    <n v="2022"/>
    <s v="A3022"/>
    <x v="2"/>
    <n v="151"/>
    <x v="1289"/>
    <n v="248"/>
    <n v="10"/>
    <n v="4"/>
    <n v="2.64900662251655E-2"/>
    <x v="155"/>
    <d v="2024-11-23T00:00:00"/>
    <s v="Hyderabad"/>
    <x v="0"/>
    <x v="1"/>
    <s v="November"/>
    <x v="0"/>
    <n v="1.6445033112582701"/>
    <n v="3.08"/>
    <n v="24.83"/>
    <n v="62.08"/>
    <n v="60.28"/>
    <n v="99.5"/>
    <n v="1.6"/>
  </r>
  <r>
    <n v="2023"/>
    <s v="A3023"/>
    <x v="1"/>
    <n v="124"/>
    <x v="862"/>
    <n v="181"/>
    <n v="29"/>
    <n v="7"/>
    <n v="5.6451612903225798E-2"/>
    <x v="49"/>
    <d v="2024-11-09T00:00:00"/>
    <s v="Hyderabad"/>
    <x v="0"/>
    <x v="5"/>
    <s v="November"/>
    <x v="0"/>
    <n v="1.45596774193548"/>
    <n v="2.2799999999999998"/>
    <n v="6.23"/>
    <n v="25.79"/>
    <n v="76.69"/>
    <n v="45.57"/>
    <n v="1.77"/>
  </r>
  <r>
    <n v="2024"/>
    <s v="A3024"/>
    <x v="2"/>
    <n v="88"/>
    <x v="510"/>
    <n v="242"/>
    <n v="11"/>
    <n v="3"/>
    <n v="3.4090909090908998E-2"/>
    <x v="39"/>
    <d v="2024-11-07T00:00:00"/>
    <s v="Hyderabad"/>
    <x v="1"/>
    <x v="3"/>
    <s v="November"/>
    <x v="5"/>
    <n v="2.75318181818181"/>
    <n v="1.84"/>
    <n v="22.03"/>
    <n v="80.760000000000005"/>
    <n v="1.95"/>
    <n v="82.33"/>
    <n v="1.02"/>
  </r>
  <r>
    <n v="2025"/>
    <s v="A3025"/>
    <x v="0"/>
    <n v="118"/>
    <x v="1097"/>
    <n v="200"/>
    <n v="19"/>
    <n v="8"/>
    <n v="6.7796610169491497E-2"/>
    <x v="76"/>
    <d v="2024-11-24T00:00:00"/>
    <s v="Hyderabad"/>
    <x v="2"/>
    <x v="5"/>
    <s v="November"/>
    <x v="4"/>
    <n v="1.6928813559322"/>
    <n v="2.2200000000000002"/>
    <n v="10.51"/>
    <n v="24.97"/>
    <n v="22.15"/>
    <n v="30.5"/>
    <n v="1.22"/>
  </r>
  <r>
    <n v="2026"/>
    <s v="A3026"/>
    <x v="0"/>
    <n v="160"/>
    <x v="570"/>
    <n v="201"/>
    <n v="25"/>
    <n v="8"/>
    <n v="0.05"/>
    <x v="215"/>
    <d v="2024-11-29T00:00:00"/>
    <s v="Hyderabad"/>
    <x v="1"/>
    <x v="0"/>
    <s v="November"/>
    <x v="3"/>
    <n v="1.255125"/>
    <n v="2.84"/>
    <n v="8.0299999999999994"/>
    <n v="25.1"/>
    <n v="74.459999999999994"/>
    <n v="43.79"/>
    <n v="1.74"/>
  </r>
  <r>
    <n v="2027"/>
    <s v="A3027"/>
    <x v="0"/>
    <n v="112"/>
    <x v="1462"/>
    <n v="236"/>
    <n v="29"/>
    <n v="8"/>
    <n v="7.1428571428571397E-2"/>
    <x v="107"/>
    <d v="2024-11-23T00:00:00"/>
    <s v="Hyderabad"/>
    <x v="1"/>
    <x v="3"/>
    <s v="November"/>
    <x v="0"/>
    <n v="2.10821428571428"/>
    <n v="2.44"/>
    <n v="8.14"/>
    <n v="29.52"/>
    <n v="35.520000000000003"/>
    <n v="40"/>
    <n v="1.36"/>
  </r>
  <r>
    <n v="2028"/>
    <s v="A3028"/>
    <x v="3"/>
    <n v="186"/>
    <x v="1463"/>
    <n v="224"/>
    <n v="29"/>
    <n v="3"/>
    <n v="1.6129032258064498E-2"/>
    <x v="61"/>
    <d v="2024-11-06T00:00:00"/>
    <s v="Hyderabad"/>
    <x v="1"/>
    <x v="3"/>
    <s v="November"/>
    <x v="1"/>
    <n v="1.20403225806451"/>
    <n v="4.2699999999999996"/>
    <n v="7.72"/>
    <n v="74.650000000000006"/>
    <n v="17.440000000000001"/>
    <n v="87.67"/>
    <n v="1.17"/>
  </r>
  <r>
    <n v="2029"/>
    <s v="A3029"/>
    <x v="1"/>
    <n v="139"/>
    <x v="907"/>
    <n v="206"/>
    <n v="21"/>
    <n v="5"/>
    <n v="3.5971223021582698E-2"/>
    <x v="194"/>
    <d v="2024-11-21T00:00:00"/>
    <s v="Hyderabad"/>
    <x v="0"/>
    <x v="0"/>
    <s v="November"/>
    <x v="5"/>
    <n v="1.4821582733812899"/>
    <n v="3.29"/>
    <n v="9.81"/>
    <n v="41.2"/>
    <n v="65.52"/>
    <n v="68.2"/>
    <n v="1.66"/>
  </r>
  <r>
    <n v="2030"/>
    <s v="A3030"/>
    <x v="2"/>
    <n v="164"/>
    <x v="1464"/>
    <n v="245"/>
    <n v="13"/>
    <n v="3"/>
    <n v="1.8292682926829201E-2"/>
    <x v="113"/>
    <d v="2024-11-04T00:00:00"/>
    <s v="Hyderabad"/>
    <x v="1"/>
    <x v="0"/>
    <s v="November"/>
    <x v="6"/>
    <n v="1.4942682926829201"/>
    <n v="3.34"/>
    <n v="18.850000000000001"/>
    <n v="81.69"/>
    <n v="33.44"/>
    <n v="109"/>
    <n v="1.33"/>
  </r>
  <r>
    <n v="2031"/>
    <s v="A3031"/>
    <x v="1"/>
    <n v="89"/>
    <x v="1465"/>
    <n v="219"/>
    <n v="13"/>
    <n v="4"/>
    <n v="4.49438202247191E-2"/>
    <x v="182"/>
    <d v="2024-11-06T00:00:00"/>
    <s v="Hyderabad"/>
    <x v="0"/>
    <x v="2"/>
    <s v="November"/>
    <x v="1"/>
    <n v="2.4634831460674098"/>
    <n v="2.83"/>
    <n v="16.87"/>
    <n v="54.81"/>
    <n v="42.76"/>
    <n v="78.25"/>
    <n v="1.43"/>
  </r>
  <r>
    <n v="2032"/>
    <s v="A3032"/>
    <x v="0"/>
    <n v="107"/>
    <x v="1466"/>
    <n v="195"/>
    <n v="20"/>
    <n v="10"/>
    <n v="9.34579439252336E-2"/>
    <x v="24"/>
    <d v="2024-11-19T00:00:00"/>
    <s v="Hyderabad"/>
    <x v="1"/>
    <x v="2"/>
    <s v="November"/>
    <x v="2"/>
    <n v="1.8267289719626101"/>
    <n v="3.45"/>
    <n v="9.77"/>
    <n v="19.55"/>
    <n v="51.95"/>
    <n v="29.7"/>
    <n v="1.52"/>
  </r>
  <r>
    <n v="2033"/>
    <s v="A3033"/>
    <x v="1"/>
    <n v="179"/>
    <x v="237"/>
    <n v="215"/>
    <n v="18"/>
    <n v="4"/>
    <n v="2.23463687150838E-2"/>
    <x v="110"/>
    <d v="2024-11-24T00:00:00"/>
    <s v="Hyderabad"/>
    <x v="1"/>
    <x v="1"/>
    <s v="November"/>
    <x v="4"/>
    <n v="1.19921787709497"/>
    <n v="3.54"/>
    <n v="11.93"/>
    <n v="53.66"/>
    <n v="72.37"/>
    <n v="92.5"/>
    <n v="1.72"/>
  </r>
  <r>
    <n v="2034"/>
    <s v="A3034"/>
    <x v="0"/>
    <n v="136"/>
    <x v="242"/>
    <n v="229"/>
    <n v="19"/>
    <n v="10"/>
    <n v="7.3529411764705802E-2"/>
    <x v="53"/>
    <d v="2024-11-26T00:00:00"/>
    <s v="Hyderabad"/>
    <x v="0"/>
    <x v="3"/>
    <s v="November"/>
    <x v="2"/>
    <n v="1.6822794117647"/>
    <n v="3.32"/>
    <n v="12.04"/>
    <n v="22.88"/>
    <n v="-6.03"/>
    <n v="21.5"/>
    <n v="0.94"/>
  </r>
  <r>
    <n v="2035"/>
    <s v="A3035"/>
    <x v="1"/>
    <n v="140"/>
    <x v="1467"/>
    <n v="205"/>
    <n v="22"/>
    <n v="7"/>
    <n v="0.05"/>
    <x v="134"/>
    <d v="2024-11-11T00:00:00"/>
    <s v="Hyderabad"/>
    <x v="1"/>
    <x v="1"/>
    <s v="November"/>
    <x v="6"/>
    <n v="1.4644285714285701"/>
    <n v="3.27"/>
    <n v="9.32"/>
    <n v="29.29"/>
    <n v="66.81"/>
    <n v="48.86"/>
    <n v="1.67"/>
  </r>
  <r>
    <n v="2036"/>
    <s v="A3036"/>
    <x v="0"/>
    <n v="137"/>
    <x v="1468"/>
    <n v="209"/>
    <n v="17"/>
    <n v="6"/>
    <n v="4.3795620437956199E-2"/>
    <x v="39"/>
    <d v="2024-11-09T00:00:00"/>
    <s v="Hyderabad"/>
    <x v="1"/>
    <x v="4"/>
    <s v="November"/>
    <x v="0"/>
    <n v="1.5243795620437901"/>
    <n v="3.27"/>
    <n v="12.28"/>
    <n v="34.81"/>
    <n v="18.27"/>
    <n v="41.17"/>
    <n v="1.18"/>
  </r>
  <r>
    <n v="2037"/>
    <s v="A3037"/>
    <x v="2"/>
    <n v="199"/>
    <x v="1418"/>
    <n v="230"/>
    <n v="11"/>
    <n v="7"/>
    <n v="3.5175879396984903E-2"/>
    <x v="195"/>
    <d v="2024-11-08T00:00:00"/>
    <s v="Hyderabad"/>
    <x v="0"/>
    <x v="4"/>
    <s v="November"/>
    <x v="3"/>
    <n v="1.1567336683417"/>
    <n v="4.13"/>
    <n v="20.93"/>
    <n v="32.880000000000003"/>
    <n v="52.05"/>
    <n v="50"/>
    <n v="1.52"/>
  </r>
  <r>
    <n v="2038"/>
    <s v="A3038"/>
    <x v="2"/>
    <n v="95"/>
    <x v="1469"/>
    <n v="236"/>
    <n v="12"/>
    <n v="8"/>
    <n v="8.4210526315789402E-2"/>
    <x v="21"/>
    <d v="2024-11-24T00:00:00"/>
    <s v="Hyderabad"/>
    <x v="1"/>
    <x v="3"/>
    <s v="November"/>
    <x v="4"/>
    <n v="2.4825263157894701"/>
    <n v="1.81"/>
    <n v="19.649999999999999"/>
    <n v="29.48"/>
    <n v="14.48"/>
    <n v="33.75"/>
    <n v="1.1399999999999999"/>
  </r>
  <r>
    <n v="2039"/>
    <s v="A3039"/>
    <x v="3"/>
    <n v="182"/>
    <x v="1470"/>
    <n v="192"/>
    <n v="16"/>
    <n v="5"/>
    <n v="2.7472527472527399E-2"/>
    <x v="106"/>
    <d v="2024-11-08T00:00:00"/>
    <s v="Hyderabad"/>
    <x v="2"/>
    <x v="4"/>
    <s v="November"/>
    <x v="3"/>
    <n v="1.0535714285714199"/>
    <n v="4.57"/>
    <n v="11.98"/>
    <n v="38.35"/>
    <n v="11.6"/>
    <n v="42.8"/>
    <n v="1.1200000000000001"/>
  </r>
  <r>
    <n v="2040"/>
    <s v="A3040"/>
    <x v="2"/>
    <n v="132"/>
    <x v="235"/>
    <n v="237"/>
    <n v="29"/>
    <n v="3"/>
    <n v="2.27272727272727E-2"/>
    <x v="109"/>
    <d v="2024-11-01T00:00:00"/>
    <s v="Hyderabad"/>
    <x v="1"/>
    <x v="4"/>
    <s v="November"/>
    <x v="3"/>
    <n v="1.7963636363636299"/>
    <n v="3.03"/>
    <n v="8.18"/>
    <n v="79.040000000000006"/>
    <n v="61.1"/>
    <n v="127.33"/>
    <n v="1.61"/>
  </r>
  <r>
    <n v="2041"/>
    <s v="A3041"/>
    <x v="1"/>
    <n v="139"/>
    <x v="1097"/>
    <n v="242"/>
    <n v="29"/>
    <n v="5"/>
    <n v="3.5971223021582698E-2"/>
    <x v="100"/>
    <d v="2024-11-08T00:00:00"/>
    <s v="Hyderabad"/>
    <x v="1"/>
    <x v="5"/>
    <s v="November"/>
    <x v="3"/>
    <n v="1.7388489208633"/>
    <n v="2.61"/>
    <n v="8.33"/>
    <n v="48.34"/>
    <n v="19.98"/>
    <n v="58"/>
    <n v="1.2"/>
  </r>
  <r>
    <n v="2042"/>
    <s v="A3042"/>
    <x v="3"/>
    <n v="134"/>
    <x v="1471"/>
    <n v="221"/>
    <n v="14"/>
    <n v="6"/>
    <n v="4.4776119402985003E-2"/>
    <x v="114"/>
    <d v="2024-11-15T00:00:00"/>
    <s v="Hyderabad"/>
    <x v="0"/>
    <x v="2"/>
    <s v="November"/>
    <x v="3"/>
    <n v="1.64567164179104"/>
    <n v="2.39"/>
    <n v="15.75"/>
    <n v="36.75"/>
    <n v="27.1"/>
    <n v="46.71"/>
    <n v="1.27"/>
  </r>
  <r>
    <n v="2043"/>
    <s v="A3043"/>
    <x v="3"/>
    <n v="166"/>
    <x v="1472"/>
    <n v="214"/>
    <n v="16"/>
    <n v="5"/>
    <n v="3.0120481927710802E-2"/>
    <x v="117"/>
    <d v="2024-11-08T00:00:00"/>
    <s v="Hyderabad"/>
    <x v="1"/>
    <x v="2"/>
    <s v="November"/>
    <x v="3"/>
    <n v="1.2880120481927699"/>
    <n v="4.43"/>
    <n v="13.36"/>
    <n v="42.76"/>
    <n v="66.97"/>
    <n v="71.400000000000006"/>
    <n v="1.67"/>
  </r>
  <r>
    <n v="2044"/>
    <s v="A3044"/>
    <x v="3"/>
    <n v="121"/>
    <x v="1473"/>
    <n v="220"/>
    <n v="19"/>
    <n v="4"/>
    <n v="3.3057851239669402E-2"/>
    <x v="39"/>
    <d v="2024-11-14T00:00:00"/>
    <s v="Hyderabad"/>
    <x v="2"/>
    <x v="3"/>
    <s v="November"/>
    <x v="5"/>
    <n v="1.81752066115702"/>
    <n v="2.16"/>
    <n v="11.57"/>
    <n v="54.98"/>
    <n v="12.31"/>
    <n v="61.75"/>
    <n v="1.1200000000000001"/>
  </r>
  <r>
    <n v="2045"/>
    <s v="A3045"/>
    <x v="2"/>
    <n v="173"/>
    <x v="1474"/>
    <n v="205"/>
    <n v="17"/>
    <n v="5"/>
    <n v="2.8901734104046201E-2"/>
    <x v="36"/>
    <d v="2024-11-21T00:00:00"/>
    <s v="Hyderabad"/>
    <x v="0"/>
    <x v="3"/>
    <s v="November"/>
    <x v="5"/>
    <n v="1.1849132947976799"/>
    <n v="3.78"/>
    <n v="12.06"/>
    <n v="41"/>
    <n v="69.760000000000005"/>
    <n v="69.599999999999994"/>
    <n v="1.7"/>
  </r>
  <r>
    <n v="2046"/>
    <s v="A3046"/>
    <x v="1"/>
    <n v="132"/>
    <x v="1475"/>
    <n v="233"/>
    <n v="24"/>
    <n v="7"/>
    <n v="5.3030303030302997E-2"/>
    <x v="12"/>
    <d v="2024-11-09T00:00:00"/>
    <s v="Hyderabad"/>
    <x v="0"/>
    <x v="5"/>
    <s v="November"/>
    <x v="0"/>
    <n v="1.76272727272727"/>
    <n v="2.97"/>
    <n v="9.6999999999999993"/>
    <n v="33.24"/>
    <n v="71.91"/>
    <n v="57.14"/>
    <n v="1.72"/>
  </r>
  <r>
    <n v="2047"/>
    <s v="A3047"/>
    <x v="0"/>
    <n v="136"/>
    <x v="1476"/>
    <n v="237"/>
    <n v="25"/>
    <n v="5"/>
    <n v="3.6764705882352901E-2"/>
    <x v="42"/>
    <d v="2024-11-03T00:00:00"/>
    <s v="Hyderabad"/>
    <x v="1"/>
    <x v="1"/>
    <s v="November"/>
    <x v="4"/>
    <n v="1.73985294117647"/>
    <n v="2.71"/>
    <n v="9.4600000000000009"/>
    <n v="47.32"/>
    <n v="36.51"/>
    <n v="64.599999999999994"/>
    <n v="1.37"/>
  </r>
  <r>
    <n v="2048"/>
    <s v="A3048"/>
    <x v="1"/>
    <n v="174"/>
    <x v="1477"/>
    <n v="190"/>
    <n v="26"/>
    <n v="5"/>
    <n v="2.8735632183908E-2"/>
    <x v="7"/>
    <d v="2024-11-27T00:00:00"/>
    <s v="Hyderabad"/>
    <x v="1"/>
    <x v="3"/>
    <s v="November"/>
    <x v="1"/>
    <n v="1.09454022988505"/>
    <n v="2.97"/>
    <n v="7.32"/>
    <n v="38.090000000000003"/>
    <n v="61.72"/>
    <n v="61.6"/>
    <n v="1.62"/>
  </r>
  <r>
    <n v="2049"/>
    <s v="A3049"/>
    <x v="3"/>
    <n v="168"/>
    <x v="1478"/>
    <n v="187"/>
    <n v="10"/>
    <n v="3"/>
    <n v="1.7857142857142801E-2"/>
    <x v="123"/>
    <d v="2024-11-18T00:00:00"/>
    <s v="Hyderabad"/>
    <x v="0"/>
    <x v="4"/>
    <s v="November"/>
    <x v="6"/>
    <n v="1.1116071428571399"/>
    <n v="3.29"/>
    <n v="18.68"/>
    <n v="62.25"/>
    <n v="67.069999999999993"/>
    <n v="104"/>
    <n v="1.67"/>
  </r>
  <r>
    <n v="2050"/>
    <s v="A3050"/>
    <x v="3"/>
    <n v="117"/>
    <x v="1479"/>
    <n v="191"/>
    <n v="13"/>
    <n v="3"/>
    <n v="2.5641025641025599E-2"/>
    <x v="209"/>
    <d v="2024-11-25T00:00:00"/>
    <s v="Hyderabad"/>
    <x v="1"/>
    <x v="0"/>
    <s v="November"/>
    <x v="6"/>
    <n v="1.6365811965811901"/>
    <n v="2.0699999999999998"/>
    <n v="14.73"/>
    <n v="63.83"/>
    <n v="89.58"/>
    <n v="121"/>
    <n v="1.9"/>
  </r>
  <r>
    <n v="2051"/>
    <s v="A3051"/>
    <x v="3"/>
    <n v="187"/>
    <x v="1480"/>
    <n v="192"/>
    <n v="16"/>
    <n v="5"/>
    <n v="2.6737967914438499E-2"/>
    <x v="132"/>
    <d v="2024-11-09T00:00:00"/>
    <s v="Hyderabad"/>
    <x v="2"/>
    <x v="5"/>
    <s v="November"/>
    <x v="0"/>
    <n v="1.0278074866310101"/>
    <n v="3.84"/>
    <n v="12.01"/>
    <n v="38.44"/>
    <n v="48.28"/>
    <n v="57"/>
    <n v="1.48"/>
  </r>
  <r>
    <n v="2052"/>
    <s v="A3052"/>
    <x v="1"/>
    <n v="156"/>
    <x v="1295"/>
    <n v="212"/>
    <n v="20"/>
    <n v="10"/>
    <n v="6.4102564102564097E-2"/>
    <x v="15"/>
    <d v="2024-11-18T00:00:00"/>
    <s v="Hyderabad"/>
    <x v="2"/>
    <x v="4"/>
    <s v="November"/>
    <x v="6"/>
    <n v="1.3602564102564101"/>
    <n v="3.04"/>
    <n v="10.61"/>
    <n v="21.22"/>
    <n v="55.04"/>
    <n v="32.9"/>
    <n v="1.55"/>
  </r>
  <r>
    <n v="2053"/>
    <s v="A3053"/>
    <x v="3"/>
    <n v="166"/>
    <x v="1481"/>
    <n v="211"/>
    <n v="24"/>
    <n v="7"/>
    <n v="4.2168674698795101E-2"/>
    <x v="178"/>
    <d v="2024-11-21T00:00:00"/>
    <s v="Hyderabad"/>
    <x v="0"/>
    <x v="2"/>
    <s v="November"/>
    <x v="5"/>
    <n v="1.2709036144578301"/>
    <n v="3.03"/>
    <n v="8.7899999999999991"/>
    <n v="30.14"/>
    <n v="86.28"/>
    <n v="56.14"/>
    <n v="1.86"/>
  </r>
  <r>
    <n v="2054"/>
    <s v="A3054"/>
    <x v="0"/>
    <n v="112"/>
    <x v="761"/>
    <n v="243"/>
    <n v="18"/>
    <n v="3"/>
    <n v="2.6785714285714201E-2"/>
    <x v="9"/>
    <d v="2024-11-07T00:00:00"/>
    <s v="Hyderabad"/>
    <x v="1"/>
    <x v="3"/>
    <s v="November"/>
    <x v="5"/>
    <n v="2.16928571428571"/>
    <n v="2.1800000000000002"/>
    <n v="13.5"/>
    <n v="80.989999999999995"/>
    <n v="-13.57"/>
    <n v="70"/>
    <n v="0.86"/>
  </r>
  <r>
    <n v="2055"/>
    <s v="A3055"/>
    <x v="2"/>
    <n v="124"/>
    <x v="1482"/>
    <n v="210"/>
    <n v="15"/>
    <n v="4"/>
    <n v="3.2258064516128997E-2"/>
    <x v="159"/>
    <d v="2024-11-25T00:00:00"/>
    <s v="Hyderabad"/>
    <x v="0"/>
    <x v="2"/>
    <s v="November"/>
    <x v="6"/>
    <n v="1.69290322580645"/>
    <n v="3.03"/>
    <n v="13.99"/>
    <n v="52.48"/>
    <n v="-10.99"/>
    <n v="46.71"/>
    <n v="0.89"/>
  </r>
  <r>
    <n v="2056"/>
    <s v="A3056"/>
    <x v="3"/>
    <n v="132"/>
    <x v="381"/>
    <n v="236"/>
    <n v="15"/>
    <n v="4"/>
    <n v="3.03030303030303E-2"/>
    <x v="159"/>
    <d v="2024-11-26T00:00:00"/>
    <s v="Hyderabad"/>
    <x v="2"/>
    <x v="5"/>
    <s v="November"/>
    <x v="2"/>
    <n v="1.7909848484848401"/>
    <n v="2.77"/>
    <n v="15.76"/>
    <n v="59.1"/>
    <n v="-20.96"/>
    <n v="46.71"/>
    <n v="0.79"/>
  </r>
  <r>
    <n v="2057"/>
    <s v="A3057"/>
    <x v="2"/>
    <n v="167"/>
    <x v="764"/>
    <n v="213"/>
    <n v="28"/>
    <n v="4"/>
    <n v="2.39520958083832E-2"/>
    <x v="190"/>
    <d v="2024-11-14T00:00:00"/>
    <s v="Hyderabad"/>
    <x v="1"/>
    <x v="1"/>
    <s v="November"/>
    <x v="5"/>
    <n v="1.27556886227544"/>
    <n v="4.96"/>
    <n v="7.61"/>
    <n v="53.26"/>
    <n v="11.26"/>
    <n v="59.25"/>
    <n v="1.1100000000000001"/>
  </r>
  <r>
    <n v="2058"/>
    <s v="A3058"/>
    <x v="0"/>
    <n v="165"/>
    <x v="992"/>
    <n v="200"/>
    <n v="27"/>
    <n v="3"/>
    <n v="1.8181818181818101E-2"/>
    <x v="199"/>
    <d v="2024-11-05T00:00:00"/>
    <s v="Hyderabad"/>
    <x v="1"/>
    <x v="5"/>
    <s v="November"/>
    <x v="2"/>
    <n v="1.2104848484848401"/>
    <n v="3.16"/>
    <n v="7.4"/>
    <n v="66.58"/>
    <n v="86.75"/>
    <n v="124.33"/>
    <n v="1.87"/>
  </r>
  <r>
    <n v="2059"/>
    <s v="A3059"/>
    <x v="0"/>
    <n v="108"/>
    <x v="1483"/>
    <n v="220"/>
    <n v="24"/>
    <n v="5"/>
    <n v="4.6296296296296197E-2"/>
    <x v="151"/>
    <d v="2024-11-23T00:00:00"/>
    <s v="Hyderabad"/>
    <x v="1"/>
    <x v="3"/>
    <s v="November"/>
    <x v="0"/>
    <n v="2.03722222222222"/>
    <n v="2.5299999999999998"/>
    <n v="9.17"/>
    <n v="44"/>
    <n v="19.079999999999998"/>
    <n v="52.4"/>
    <n v="1.19"/>
  </r>
  <r>
    <n v="2060"/>
    <s v="A3060"/>
    <x v="2"/>
    <n v="182"/>
    <x v="1484"/>
    <n v="226"/>
    <n v="16"/>
    <n v="10"/>
    <n v="5.4945054945054903E-2"/>
    <x v="113"/>
    <d v="2024-11-07T00:00:00"/>
    <s v="Hyderabad"/>
    <x v="1"/>
    <x v="1"/>
    <s v="November"/>
    <x v="5"/>
    <n v="1.2429670329670299"/>
    <n v="3.57"/>
    <n v="14.14"/>
    <n v="22.62"/>
    <n v="44.55"/>
    <n v="32.700000000000003"/>
    <n v="1.45"/>
  </r>
  <r>
    <n v="2061"/>
    <s v="A3061"/>
    <x v="1"/>
    <n v="91"/>
    <x v="598"/>
    <n v="226"/>
    <n v="26"/>
    <n v="8"/>
    <n v="8.7912087912087905E-2"/>
    <x v="79"/>
    <d v="2024-11-10T00:00:00"/>
    <s v="Hyderabad"/>
    <x v="2"/>
    <x v="1"/>
    <s v="November"/>
    <x v="4"/>
    <n v="2.4853846153846102"/>
    <n v="2.4"/>
    <n v="8.6999999999999993"/>
    <n v="28.27"/>
    <n v="34.85"/>
    <n v="38.119999999999997"/>
    <n v="1.35"/>
  </r>
  <r>
    <n v="2062"/>
    <s v="A3062"/>
    <x v="3"/>
    <n v="194"/>
    <x v="1485"/>
    <n v="234"/>
    <n v="25"/>
    <n v="4"/>
    <n v="2.06185567010309E-2"/>
    <x v="49"/>
    <d v="2024-11-05T00:00:00"/>
    <s v="Hyderabad"/>
    <x v="2"/>
    <x v="2"/>
    <s v="November"/>
    <x v="2"/>
    <n v="1.20546391752577"/>
    <n v="4.22"/>
    <n v="9.35"/>
    <n v="58.46"/>
    <n v="36.409999999999997"/>
    <n v="79.75"/>
    <n v="1.36"/>
  </r>
  <r>
    <n v="2063"/>
    <s v="A3063"/>
    <x v="3"/>
    <n v="189"/>
    <x v="1486"/>
    <n v="218"/>
    <n v="17"/>
    <n v="10"/>
    <n v="5.29100529100529E-2"/>
    <x v="128"/>
    <d v="2024-11-24T00:00:00"/>
    <s v="Hyderabad"/>
    <x v="1"/>
    <x v="0"/>
    <s v="November"/>
    <x v="4"/>
    <n v="1.15560846560846"/>
    <n v="3.5"/>
    <n v="12.85"/>
    <n v="21.84"/>
    <n v="32.32"/>
    <n v="28.9"/>
    <n v="1.32"/>
  </r>
  <r>
    <n v="2064"/>
    <s v="A3064"/>
    <x v="1"/>
    <n v="85"/>
    <x v="538"/>
    <n v="215"/>
    <n v="22"/>
    <n v="7"/>
    <n v="8.2352941176470504E-2"/>
    <x v="59"/>
    <d v="2024-11-23T00:00:00"/>
    <s v="Hyderabad"/>
    <x v="2"/>
    <x v="2"/>
    <s v="November"/>
    <x v="0"/>
    <n v="2.5269411764705798"/>
    <n v="1.92"/>
    <n v="9.76"/>
    <n v="30.68"/>
    <n v="20.12"/>
    <n v="36.86"/>
    <n v="1.2"/>
  </r>
  <r>
    <n v="2065"/>
    <s v="A3065"/>
    <x v="0"/>
    <n v="162"/>
    <x v="1487"/>
    <n v="224"/>
    <n v="28"/>
    <n v="10"/>
    <n v="6.1728395061728301E-2"/>
    <x v="74"/>
    <d v="2024-11-19T00:00:00"/>
    <s v="Hyderabad"/>
    <x v="1"/>
    <x v="3"/>
    <s v="November"/>
    <x v="2"/>
    <n v="1.3856790123456699"/>
    <n v="4.03"/>
    <n v="8.02"/>
    <n v="22.45"/>
    <n v="-3.78"/>
    <n v="21.6"/>
    <n v="0.96"/>
  </r>
  <r>
    <n v="2066"/>
    <s v="A3066"/>
    <x v="2"/>
    <n v="163"/>
    <x v="901"/>
    <n v="248"/>
    <n v="28"/>
    <n v="5"/>
    <n v="3.0674846625766802E-2"/>
    <x v="189"/>
    <d v="2024-11-27T00:00:00"/>
    <s v="Hyderabad"/>
    <x v="0"/>
    <x v="4"/>
    <s v="November"/>
    <x v="1"/>
    <n v="1.5242944785276"/>
    <n v="3.03"/>
    <n v="8.8699999999999992"/>
    <n v="49.69"/>
    <n v="54.55"/>
    <n v="76.8"/>
    <n v="1.55"/>
  </r>
  <r>
    <n v="2067"/>
    <s v="A3067"/>
    <x v="2"/>
    <n v="88"/>
    <x v="623"/>
    <n v="222"/>
    <n v="13"/>
    <n v="9"/>
    <n v="0.102272727272727"/>
    <x v="78"/>
    <d v="2024-11-09T00:00:00"/>
    <s v="Hyderabad"/>
    <x v="0"/>
    <x v="4"/>
    <s v="November"/>
    <x v="0"/>
    <n v="2.52590909090909"/>
    <n v="1.73"/>
    <n v="17.100000000000001"/>
    <n v="24.7"/>
    <n v="8.8699999999999992"/>
    <n v="26.89"/>
    <n v="1.0900000000000001"/>
  </r>
  <r>
    <n v="2068"/>
    <s v="A3068"/>
    <x v="3"/>
    <n v="121"/>
    <x v="1488"/>
    <n v="219"/>
    <n v="21"/>
    <n v="6"/>
    <n v="4.9586776859504099E-2"/>
    <x v="168"/>
    <d v="2024-11-04T00:00:00"/>
    <s v="Hyderabad"/>
    <x v="0"/>
    <x v="5"/>
    <s v="November"/>
    <x v="6"/>
    <n v="1.8111570247933799"/>
    <n v="2.38"/>
    <n v="10.44"/>
    <n v="36.520000000000003"/>
    <n v="73.400000000000006"/>
    <n v="63.33"/>
    <n v="1.73"/>
  </r>
  <r>
    <n v="2069"/>
    <s v="A3069"/>
    <x v="3"/>
    <n v="81"/>
    <x v="753"/>
    <n v="219"/>
    <n v="10"/>
    <n v="7"/>
    <n v="8.6419753086419707E-2"/>
    <x v="143"/>
    <d v="2024-11-27T00:00:00"/>
    <s v="Hyderabad"/>
    <x v="0"/>
    <x v="0"/>
    <s v="November"/>
    <x v="1"/>
    <n v="2.6998765432098701"/>
    <n v="2.69"/>
    <n v="21.87"/>
    <n v="31.24"/>
    <n v="44.5"/>
    <n v="45.14"/>
    <n v="1.44"/>
  </r>
  <r>
    <n v="2070"/>
    <s v="A3070"/>
    <x v="2"/>
    <n v="125"/>
    <x v="1489"/>
    <n v="207"/>
    <n v="24"/>
    <n v="3"/>
    <n v="2.4E-2"/>
    <x v="67"/>
    <d v="2024-11-08T00:00:00"/>
    <s v="Hyderabad"/>
    <x v="2"/>
    <x v="1"/>
    <s v="November"/>
    <x v="3"/>
    <n v="1.65544"/>
    <n v="3.34"/>
    <n v="8.6199999999999992"/>
    <n v="68.98"/>
    <n v="59.47"/>
    <n v="110"/>
    <n v="1.59"/>
  </r>
  <r>
    <n v="2071"/>
    <s v="A3071"/>
    <x v="3"/>
    <n v="188"/>
    <x v="1490"/>
    <n v="203"/>
    <n v="18"/>
    <n v="10"/>
    <n v="5.31914893617021E-2"/>
    <x v="186"/>
    <d v="2024-11-05T00:00:00"/>
    <s v="Hyderabad"/>
    <x v="2"/>
    <x v="4"/>
    <s v="November"/>
    <x v="2"/>
    <n v="1.0772340425531901"/>
    <n v="3.73"/>
    <n v="11.25"/>
    <n v="20.25"/>
    <n v="63.93"/>
    <n v="33.200000000000003"/>
    <n v="1.64"/>
  </r>
  <r>
    <n v="2072"/>
    <s v="A3072"/>
    <x v="1"/>
    <n v="99"/>
    <x v="1491"/>
    <n v="186"/>
    <n v="19"/>
    <n v="5"/>
    <n v="5.0505050505050497E-2"/>
    <x v="160"/>
    <d v="2024-11-03T00:00:00"/>
    <s v="Hyderabad"/>
    <x v="0"/>
    <x v="1"/>
    <s v="November"/>
    <x v="4"/>
    <n v="1.88333333333333"/>
    <n v="2.46"/>
    <n v="9.81"/>
    <n v="37.29"/>
    <n v="17.46"/>
    <n v="43.8"/>
    <n v="1.17"/>
  </r>
  <r>
    <n v="2073"/>
    <s v="A3073"/>
    <x v="2"/>
    <n v="170"/>
    <x v="1492"/>
    <n v="245"/>
    <n v="29"/>
    <n v="8"/>
    <n v="4.7058823529411702E-2"/>
    <x v="75"/>
    <d v="2024-11-26T00:00:00"/>
    <s v="Hyderabad"/>
    <x v="2"/>
    <x v="1"/>
    <s v="November"/>
    <x v="2"/>
    <n v="1.44117647058823"/>
    <n v="4.38"/>
    <n v="8.4499999999999993"/>
    <n v="30.62"/>
    <n v="0"/>
    <n v="30.62"/>
    <n v="1"/>
  </r>
  <r>
    <n v="2074"/>
    <s v="A3074"/>
    <x v="1"/>
    <n v="105"/>
    <x v="733"/>
    <n v="188"/>
    <n v="14"/>
    <n v="5"/>
    <n v="4.7619047619047603E-2"/>
    <x v="116"/>
    <d v="2024-11-21T00:00:00"/>
    <s v="Hyderabad"/>
    <x v="2"/>
    <x v="0"/>
    <s v="November"/>
    <x v="5"/>
    <n v="1.79409523809523"/>
    <n v="2.11"/>
    <n v="13.46"/>
    <n v="37.68"/>
    <n v="23.16"/>
    <n v="46.4"/>
    <n v="1.23"/>
  </r>
  <r>
    <n v="2075"/>
    <s v="A3075"/>
    <x v="3"/>
    <n v="173"/>
    <x v="336"/>
    <n v="190"/>
    <n v="24"/>
    <n v="5"/>
    <n v="2.8901734104046201E-2"/>
    <x v="207"/>
    <d v="2024-11-26T00:00:00"/>
    <s v="Hyderabad"/>
    <x v="2"/>
    <x v="2"/>
    <s v="November"/>
    <x v="2"/>
    <n v="1.1000000000000001"/>
    <n v="2.95"/>
    <n v="7.93"/>
    <n v="38.06"/>
    <n v="109.67"/>
    <n v="79.8"/>
    <n v="2.1"/>
  </r>
  <r>
    <n v="2076"/>
    <s v="A3076"/>
    <x v="0"/>
    <n v="186"/>
    <x v="1493"/>
    <n v="231"/>
    <n v="27"/>
    <n v="7"/>
    <n v="3.7634408602150497E-2"/>
    <x v="113"/>
    <d v="2024-11-23T00:00:00"/>
    <s v="Hyderabad"/>
    <x v="1"/>
    <x v="5"/>
    <s v="November"/>
    <x v="0"/>
    <n v="1.24037634408602"/>
    <n v="6.08"/>
    <n v="8.5399999999999991"/>
    <n v="32.96"/>
    <n v="41.74"/>
    <n v="46.71"/>
    <n v="1.42"/>
  </r>
  <r>
    <n v="2077"/>
    <s v="A3077"/>
    <x v="1"/>
    <n v="143"/>
    <x v="1494"/>
    <n v="247"/>
    <n v="22"/>
    <n v="5"/>
    <n v="3.4965034965034898E-2"/>
    <x v="28"/>
    <d v="2024-11-13T00:00:00"/>
    <s v="Hyderabad"/>
    <x v="2"/>
    <x v="0"/>
    <s v="November"/>
    <x v="1"/>
    <n v="1.7267132867132799"/>
    <n v="4.5999999999999996"/>
    <n v="11.22"/>
    <n v="49.38"/>
    <n v="31.22"/>
    <n v="64.8"/>
    <n v="1.31"/>
  </r>
  <r>
    <n v="2078"/>
    <s v="A3078"/>
    <x v="1"/>
    <n v="124"/>
    <x v="853"/>
    <n v="218"/>
    <n v="18"/>
    <n v="4"/>
    <n v="3.2258064516128997E-2"/>
    <x v="127"/>
    <d v="2024-11-27T00:00:00"/>
    <s v="Hyderabad"/>
    <x v="0"/>
    <x v="2"/>
    <s v="November"/>
    <x v="1"/>
    <n v="1.7544354838709599"/>
    <n v="2.29"/>
    <n v="12.09"/>
    <n v="54.39"/>
    <n v="18.13"/>
    <n v="64.25"/>
    <n v="1.18"/>
  </r>
  <r>
    <n v="2079"/>
    <s v="A3079"/>
    <x v="0"/>
    <n v="154"/>
    <x v="1495"/>
    <n v="246"/>
    <n v="29"/>
    <n v="7"/>
    <n v="4.54545454545454E-2"/>
    <x v="113"/>
    <d v="2024-11-03T00:00:00"/>
    <s v="Hyderabad"/>
    <x v="2"/>
    <x v="0"/>
    <s v="November"/>
    <x v="4"/>
    <n v="1.5970779220779201"/>
    <n v="2.73"/>
    <n v="8.48"/>
    <n v="35.14"/>
    <n v="32.950000000000003"/>
    <n v="46.71"/>
    <n v="1.33"/>
  </r>
  <r>
    <n v="2080"/>
    <s v="A3080"/>
    <x v="0"/>
    <n v="85"/>
    <x v="1338"/>
    <n v="192"/>
    <n v="18"/>
    <n v="7"/>
    <n v="8.2352941176470504E-2"/>
    <x v="188"/>
    <d v="2024-11-26T00:00:00"/>
    <s v="Hyderabad"/>
    <x v="0"/>
    <x v="3"/>
    <s v="November"/>
    <x v="2"/>
    <n v="2.25823529411764"/>
    <n v="1.57"/>
    <n v="10.66"/>
    <n v="27.42"/>
    <n v="6.28"/>
    <n v="29.14"/>
    <n v="1.06"/>
  </r>
  <r>
    <n v="2081"/>
    <s v="A3081"/>
    <x v="1"/>
    <n v="167"/>
    <x v="1496"/>
    <n v="209"/>
    <n v="17"/>
    <n v="4"/>
    <n v="2.39520958083832E-2"/>
    <x v="47"/>
    <d v="2024-11-16T00:00:00"/>
    <s v="Hyderabad"/>
    <x v="2"/>
    <x v="0"/>
    <s v="November"/>
    <x v="0"/>
    <n v="1.2525748502994001"/>
    <n v="4.1100000000000003"/>
    <n v="12.3"/>
    <n v="52.3"/>
    <n v="70.19"/>
    <n v="89"/>
    <n v="1.7"/>
  </r>
  <r>
    <n v="2082"/>
    <s v="A3082"/>
    <x v="3"/>
    <n v="139"/>
    <x v="1497"/>
    <n v="228"/>
    <n v="20"/>
    <n v="10"/>
    <n v="7.1942446043165395E-2"/>
    <x v="11"/>
    <d v="2024-11-28T00:00:00"/>
    <s v="Hyderabad"/>
    <x v="2"/>
    <x v="5"/>
    <s v="November"/>
    <x v="5"/>
    <n v="1.63906474820143"/>
    <n v="4.38"/>
    <n v="11.39"/>
    <n v="22.78"/>
    <n v="1.39"/>
    <n v="23.1"/>
    <n v="1.01"/>
  </r>
  <r>
    <n v="2083"/>
    <s v="A3083"/>
    <x v="0"/>
    <n v="193"/>
    <x v="590"/>
    <n v="225"/>
    <n v="19"/>
    <n v="9"/>
    <n v="4.6632124352331598E-2"/>
    <x v="212"/>
    <d v="2024-11-13T00:00:00"/>
    <s v="Hyderabad"/>
    <x v="0"/>
    <x v="4"/>
    <s v="November"/>
    <x v="1"/>
    <n v="1.16336787564766"/>
    <n v="3.38"/>
    <n v="11.82"/>
    <n v="24.95"/>
    <n v="6"/>
    <n v="26.44"/>
    <n v="1.06"/>
  </r>
  <r>
    <n v="2084"/>
    <s v="A3084"/>
    <x v="0"/>
    <n v="127"/>
    <x v="662"/>
    <n v="245"/>
    <n v="23"/>
    <n v="3"/>
    <n v="2.3622047244094401E-2"/>
    <x v="191"/>
    <d v="2024-11-07T00:00:00"/>
    <s v="Hyderabad"/>
    <x v="2"/>
    <x v="0"/>
    <s v="November"/>
    <x v="5"/>
    <n v="1.9311023622047201"/>
    <n v="2.64"/>
    <n v="10.66"/>
    <n v="81.75"/>
    <n v="65.14"/>
    <n v="135"/>
    <n v="1.65"/>
  </r>
  <r>
    <n v="2085"/>
    <s v="A3085"/>
    <x v="0"/>
    <n v="80"/>
    <x v="13"/>
    <n v="247"/>
    <n v="11"/>
    <n v="10"/>
    <n v="0.125"/>
    <x v="26"/>
    <d v="2024-11-08T00:00:00"/>
    <s v="Hyderabad"/>
    <x v="2"/>
    <x v="5"/>
    <s v="November"/>
    <x v="3"/>
    <n v="3.0895000000000001"/>
    <n v="2.14"/>
    <n v="22.47"/>
    <n v="24.72"/>
    <n v="39.18"/>
    <n v="34.4"/>
    <n v="1.39"/>
  </r>
  <r>
    <n v="2086"/>
    <s v="A3086"/>
    <x v="3"/>
    <n v="174"/>
    <x v="263"/>
    <n v="216"/>
    <n v="14"/>
    <n v="8"/>
    <n v="4.5977011494252797E-2"/>
    <x v="67"/>
    <d v="2024-11-07T00:00:00"/>
    <s v="Hyderabad"/>
    <x v="0"/>
    <x v="4"/>
    <s v="November"/>
    <x v="5"/>
    <n v="1.24126436781609"/>
    <n v="3.89"/>
    <n v="15.43"/>
    <n v="27"/>
    <n v="52.79"/>
    <n v="41.25"/>
    <n v="1.53"/>
  </r>
  <r>
    <n v="2087"/>
    <s v="A3087"/>
    <x v="0"/>
    <n v="127"/>
    <x v="576"/>
    <n v="209"/>
    <n v="19"/>
    <n v="10"/>
    <n v="7.8740157480314904E-2"/>
    <x v="208"/>
    <d v="2024-11-05T00:00:00"/>
    <s v="Hyderabad"/>
    <x v="0"/>
    <x v="3"/>
    <s v="November"/>
    <x v="2"/>
    <n v="1.6471653543307001"/>
    <n v="3.68"/>
    <n v="11.01"/>
    <n v="20.92"/>
    <n v="88.82"/>
    <n v="39.5"/>
    <n v="1.89"/>
  </r>
  <r>
    <n v="2088"/>
    <s v="A3088"/>
    <x v="2"/>
    <n v="151"/>
    <x v="564"/>
    <n v="245"/>
    <n v="22"/>
    <n v="9"/>
    <n v="5.9602649006622502E-2"/>
    <x v="191"/>
    <d v="2024-11-04T00:00:00"/>
    <s v="Hyderabad"/>
    <x v="2"/>
    <x v="0"/>
    <s v="November"/>
    <x v="6"/>
    <n v="1.6226490066225101"/>
    <n v="4.08"/>
    <n v="11.14"/>
    <n v="27.22"/>
    <n v="65.290000000000006"/>
    <n v="45"/>
    <n v="1.65"/>
  </r>
  <r>
    <n v="2089"/>
    <s v="A3089"/>
    <x v="3"/>
    <n v="113"/>
    <x v="1498"/>
    <n v="232"/>
    <n v="16"/>
    <n v="10"/>
    <n v="8.8495575221238895E-2"/>
    <x v="153"/>
    <d v="2024-11-24T00:00:00"/>
    <s v="Hyderabad"/>
    <x v="1"/>
    <x v="4"/>
    <s v="November"/>
    <x v="4"/>
    <n v="2.05530973451327"/>
    <n v="2.65"/>
    <n v="14.52"/>
    <n v="23.22"/>
    <n v="20.56"/>
    <n v="28"/>
    <n v="1.21"/>
  </r>
  <r>
    <n v="2090"/>
    <s v="A3090"/>
    <x v="0"/>
    <n v="159"/>
    <x v="1009"/>
    <n v="206"/>
    <n v="24"/>
    <n v="3"/>
    <n v="1.8867924528301799E-2"/>
    <x v="73"/>
    <d v="2024-11-09T00:00:00"/>
    <s v="Hyderabad"/>
    <x v="2"/>
    <x v="5"/>
    <s v="November"/>
    <x v="0"/>
    <n v="1.2932075471698099"/>
    <n v="3.93"/>
    <n v="8.57"/>
    <n v="68.540000000000006"/>
    <n v="16.72"/>
    <n v="80"/>
    <n v="1.17"/>
  </r>
  <r>
    <n v="2091"/>
    <s v="A3091"/>
    <x v="3"/>
    <n v="197"/>
    <x v="1301"/>
    <n v="216"/>
    <n v="26"/>
    <n v="10"/>
    <n v="5.0761421319796898E-2"/>
    <x v="92"/>
    <d v="2024-11-18T00:00:00"/>
    <s v="Hyderabad"/>
    <x v="0"/>
    <x v="5"/>
    <s v="November"/>
    <x v="6"/>
    <n v="1.09558375634517"/>
    <n v="5.94"/>
    <n v="8.3000000000000007"/>
    <n v="21.58"/>
    <n v="26.95"/>
    <n v="27.4"/>
    <n v="1.27"/>
  </r>
  <r>
    <n v="2092"/>
    <s v="A3092"/>
    <x v="2"/>
    <n v="106"/>
    <x v="1499"/>
    <n v="182"/>
    <n v="17"/>
    <n v="3"/>
    <n v="2.83018867924528E-2"/>
    <x v="102"/>
    <d v="2024-11-11T00:00:00"/>
    <s v="Hyderabad"/>
    <x v="0"/>
    <x v="2"/>
    <s v="November"/>
    <x v="6"/>
    <n v="1.7166037735849"/>
    <n v="1.87"/>
    <n v="10.7"/>
    <n v="60.65"/>
    <n v="40.14"/>
    <n v="85"/>
    <n v="1.4"/>
  </r>
  <r>
    <n v="2093"/>
    <s v="A3093"/>
    <x v="3"/>
    <n v="143"/>
    <x v="1500"/>
    <n v="223"/>
    <n v="12"/>
    <n v="7"/>
    <n v="4.8951048951048903E-2"/>
    <x v="210"/>
    <d v="2024-11-12T00:00:00"/>
    <s v="Hyderabad"/>
    <x v="0"/>
    <x v="5"/>
    <s v="November"/>
    <x v="2"/>
    <n v="1.55727272727272"/>
    <n v="2.91"/>
    <n v="18.559999999999999"/>
    <n v="31.81"/>
    <n v="17.2"/>
    <n v="37.29"/>
    <n v="1.17"/>
  </r>
  <r>
    <n v="2094"/>
    <s v="A3094"/>
    <x v="3"/>
    <n v="111"/>
    <x v="1501"/>
    <n v="220"/>
    <n v="29"/>
    <n v="5"/>
    <n v="4.5045045045045001E-2"/>
    <x v="72"/>
    <d v="2024-11-25T00:00:00"/>
    <s v="Hyderabad"/>
    <x v="0"/>
    <x v="5"/>
    <s v="November"/>
    <x v="6"/>
    <n v="1.97828828828828"/>
    <n v="2.06"/>
    <n v="7.57"/>
    <n v="43.92"/>
    <n v="36.159999999999997"/>
    <n v="59.8"/>
    <n v="1.36"/>
  </r>
  <r>
    <n v="2095"/>
    <s v="A3095"/>
    <x v="2"/>
    <n v="98"/>
    <x v="1502"/>
    <n v="186"/>
    <n v="20"/>
    <n v="6"/>
    <n v="6.1224489795918297E-2"/>
    <x v="114"/>
    <d v="2024-11-09T00:00:00"/>
    <s v="Hyderabad"/>
    <x v="1"/>
    <x v="2"/>
    <s v="November"/>
    <x v="0"/>
    <n v="1.9026530612244801"/>
    <n v="1.66"/>
    <n v="9.32"/>
    <n v="31.08"/>
    <n v="50.32"/>
    <n v="46.71"/>
    <n v="1.5"/>
  </r>
  <r>
    <n v="2096"/>
    <s v="A3096"/>
    <x v="3"/>
    <n v="98"/>
    <x v="1503"/>
    <n v="215"/>
    <n v="12"/>
    <n v="5"/>
    <n v="5.10204081632653E-2"/>
    <x v="91"/>
    <d v="2024-11-08T00:00:00"/>
    <s v="Hyderabad"/>
    <x v="0"/>
    <x v="5"/>
    <s v="November"/>
    <x v="3"/>
    <n v="2.1888775510204002"/>
    <n v="2.4700000000000002"/>
    <n v="17.88"/>
    <n v="42.9"/>
    <n v="12.35"/>
    <n v="48.2"/>
    <n v="1.1200000000000001"/>
  </r>
  <r>
    <n v="2097"/>
    <s v="A3097"/>
    <x v="3"/>
    <n v="109"/>
    <x v="1504"/>
    <n v="190"/>
    <n v="16"/>
    <n v="7"/>
    <n v="6.4220183486238494E-2"/>
    <x v="209"/>
    <d v="2024-11-01T00:00:00"/>
    <s v="Hyderabad"/>
    <x v="2"/>
    <x v="2"/>
    <s v="November"/>
    <x v="3"/>
    <n v="1.7431192660550401"/>
    <n v="3.53"/>
    <n v="11.88"/>
    <n v="27.14"/>
    <n v="91.05"/>
    <n v="51.86"/>
    <n v="1.91"/>
  </r>
  <r>
    <n v="2098"/>
    <s v="A3098"/>
    <x v="2"/>
    <n v="168"/>
    <x v="1505"/>
    <n v="193"/>
    <n v="12"/>
    <n v="7"/>
    <n v="4.1666666666666602E-2"/>
    <x v="132"/>
    <d v="2024-11-23T00:00:00"/>
    <s v="Hyderabad"/>
    <x v="1"/>
    <x v="4"/>
    <s v="November"/>
    <x v="0"/>
    <n v="1.1497619047619001"/>
    <n v="5.22"/>
    <n v="16.100000000000001"/>
    <n v="27.59"/>
    <n v="47.55"/>
    <n v="40.71"/>
    <n v="1.48"/>
  </r>
  <r>
    <n v="2099"/>
    <s v="A3099"/>
    <x v="2"/>
    <n v="127"/>
    <x v="871"/>
    <n v="248"/>
    <n v="20"/>
    <n v="8"/>
    <n v="6.2992125984251898E-2"/>
    <x v="32"/>
    <d v="2024-11-27T00:00:00"/>
    <s v="Hyderabad"/>
    <x v="1"/>
    <x v="0"/>
    <s v="November"/>
    <x v="1"/>
    <n v="1.95212598425196"/>
    <n v="3.14"/>
    <n v="12.4"/>
    <n v="30.99"/>
    <n v="50.74"/>
    <n v="46.71"/>
    <n v="1.51"/>
  </r>
  <r>
    <n v="2100"/>
    <s v="A3100"/>
    <x v="1"/>
    <n v="136"/>
    <x v="839"/>
    <n v="194"/>
    <n v="25"/>
    <n v="5"/>
    <n v="3.6764705882352901E-2"/>
    <x v="84"/>
    <d v="2024-11-28T00:00:00"/>
    <s v="Hyderabad"/>
    <x v="2"/>
    <x v="0"/>
    <s v="November"/>
    <x v="5"/>
    <n v="1.42860294117647"/>
    <n v="3.36"/>
    <n v="7.77"/>
    <n v="38.86"/>
    <n v="20.22"/>
    <n v="46.71"/>
    <n v="1.2"/>
  </r>
  <r>
    <n v="2101"/>
    <s v="A3101"/>
    <x v="3"/>
    <n v="173"/>
    <x v="1506"/>
    <n v="233"/>
    <n v="11"/>
    <n v="7"/>
    <n v="4.0462427745664699E-2"/>
    <x v="17"/>
    <d v="2024-11-16T00:00:00"/>
    <s v="Hyderabad"/>
    <x v="0"/>
    <x v="5"/>
    <s v="November"/>
    <x v="0"/>
    <n v="1.3487283236994201"/>
    <n v="3.28"/>
    <n v="21.21"/>
    <n v="33.33"/>
    <n v="56"/>
    <n v="52"/>
    <n v="1.56"/>
  </r>
  <r>
    <n v="2102"/>
    <s v="A3102"/>
    <x v="3"/>
    <n v="184"/>
    <x v="1507"/>
    <n v="221"/>
    <n v="25"/>
    <n v="10"/>
    <n v="5.4347826086956499E-2"/>
    <x v="63"/>
    <d v="2024-11-04T00:00:00"/>
    <s v="Hyderabad"/>
    <x v="0"/>
    <x v="4"/>
    <s v="November"/>
    <x v="6"/>
    <n v="1.2028804347826001"/>
    <n v="5.68"/>
    <n v="8.85"/>
    <n v="22.13"/>
    <n v="43.68"/>
    <n v="31.8"/>
    <n v="1.44"/>
  </r>
  <r>
    <n v="2103"/>
    <s v="A3103"/>
    <x v="0"/>
    <n v="174"/>
    <x v="827"/>
    <n v="201"/>
    <n v="15"/>
    <n v="7"/>
    <n v="4.0229885057471201E-2"/>
    <x v="18"/>
    <d v="2024-11-23T00:00:00"/>
    <s v="Hyderabad"/>
    <x v="1"/>
    <x v="0"/>
    <s v="November"/>
    <x v="0"/>
    <n v="1.1566091954022899"/>
    <n v="4.29"/>
    <n v="13.42"/>
    <n v="28.75"/>
    <n v="53.54"/>
    <n v="44.14"/>
    <n v="1.54"/>
  </r>
  <r>
    <n v="2104"/>
    <s v="A3104"/>
    <x v="2"/>
    <n v="196"/>
    <x v="895"/>
    <n v="233"/>
    <n v="30"/>
    <n v="8"/>
    <n v="4.08163265306122E-2"/>
    <x v="16"/>
    <d v="2024-11-14T00:00:00"/>
    <s v="Hyderabad"/>
    <x v="0"/>
    <x v="0"/>
    <s v="November"/>
    <x v="5"/>
    <n v="1.1864795918367299"/>
    <n v="3.6"/>
    <n v="7.75"/>
    <n v="29.07"/>
    <n v="48.79"/>
    <n v="43.25"/>
    <n v="1.49"/>
  </r>
  <r>
    <n v="2105"/>
    <s v="A3105"/>
    <x v="3"/>
    <n v="193"/>
    <x v="1028"/>
    <n v="239"/>
    <n v="20"/>
    <n v="5"/>
    <n v="2.59067357512953E-2"/>
    <x v="71"/>
    <d v="2024-11-02T00:00:00"/>
    <s v="Hyderabad"/>
    <x v="1"/>
    <x v="3"/>
    <s v="November"/>
    <x v="0"/>
    <n v="1.2373056994818601"/>
    <n v="3.03"/>
    <n v="11.94"/>
    <n v="47.76"/>
    <n v="13.48"/>
    <n v="54.2"/>
    <n v="1.1299999999999999"/>
  </r>
  <r>
    <n v="2106"/>
    <s v="A3106"/>
    <x v="2"/>
    <n v="97"/>
    <x v="1508"/>
    <n v="197"/>
    <n v="14"/>
    <n v="10"/>
    <n v="0.103092783505154"/>
    <x v="190"/>
    <d v="2024-11-22T00:00:00"/>
    <s v="Hyderabad"/>
    <x v="2"/>
    <x v="0"/>
    <s v="November"/>
    <x v="3"/>
    <n v="2.0347422680412302"/>
    <n v="2.46"/>
    <n v="14.1"/>
    <n v="19.739999999999998"/>
    <n v="20.079999999999998"/>
    <n v="23.7"/>
    <n v="1.2"/>
  </r>
  <r>
    <n v="2107"/>
    <s v="A3107"/>
    <x v="1"/>
    <n v="128"/>
    <x v="1509"/>
    <n v="200"/>
    <n v="12"/>
    <n v="10"/>
    <n v="7.8125E-2"/>
    <x v="108"/>
    <d v="2024-11-20T00:00:00"/>
    <s v="Hyderabad"/>
    <x v="0"/>
    <x v="2"/>
    <s v="November"/>
    <x v="1"/>
    <n v="1.5633593750000001"/>
    <n v="3.07"/>
    <n v="16.68"/>
    <n v="20.010000000000002"/>
    <n v="62.91"/>
    <n v="32.6"/>
    <n v="1.63"/>
  </r>
  <r>
    <n v="2108"/>
    <s v="A3108"/>
    <x v="0"/>
    <n v="143"/>
    <x v="1510"/>
    <n v="238"/>
    <n v="24"/>
    <n v="4"/>
    <n v="2.7972027972027899E-2"/>
    <x v="133"/>
    <d v="2024-11-15T00:00:00"/>
    <s v="Hyderabad"/>
    <x v="1"/>
    <x v="2"/>
    <s v="November"/>
    <x v="3"/>
    <n v="1.66090909090909"/>
    <n v="2.4700000000000002"/>
    <n v="9.9"/>
    <n v="59.38"/>
    <n v="23.78"/>
    <n v="73.5"/>
    <n v="1.24"/>
  </r>
  <r>
    <n v="2109"/>
    <s v="A3109"/>
    <x v="2"/>
    <n v="116"/>
    <x v="128"/>
    <n v="202"/>
    <n v="17"/>
    <n v="9"/>
    <n v="7.7586206896551699E-2"/>
    <x v="9"/>
    <d v="2024-11-17T00:00:00"/>
    <s v="Hyderabad"/>
    <x v="0"/>
    <x v="1"/>
    <s v="November"/>
    <x v="4"/>
    <n v="1.7437931034482701"/>
    <n v="3.05"/>
    <n v="11.9"/>
    <n v="22.48"/>
    <n v="3.82"/>
    <n v="23.33"/>
    <n v="1.04"/>
  </r>
  <r>
    <n v="2110"/>
    <s v="A3110"/>
    <x v="1"/>
    <n v="83"/>
    <x v="1511"/>
    <n v="203"/>
    <n v="12"/>
    <n v="4"/>
    <n v="4.8192771084337303E-2"/>
    <x v="20"/>
    <d v="2024-11-17T00:00:00"/>
    <s v="Hyderabad"/>
    <x v="2"/>
    <x v="1"/>
    <s v="November"/>
    <x v="4"/>
    <n v="2.45144578313253"/>
    <n v="2.25"/>
    <n v="16.96"/>
    <n v="50.87"/>
    <n v="80.86"/>
    <n v="92"/>
    <n v="1.81"/>
  </r>
  <r>
    <n v="2111"/>
    <s v="A3111"/>
    <x v="0"/>
    <n v="189"/>
    <x v="1512"/>
    <n v="237"/>
    <n v="14"/>
    <n v="6"/>
    <n v="3.1746031746031703E-2"/>
    <x v="8"/>
    <d v="2024-11-06T00:00:00"/>
    <s v="Hyderabad"/>
    <x v="2"/>
    <x v="5"/>
    <s v="November"/>
    <x v="1"/>
    <n v="1.25227513227513"/>
    <n v="5.86"/>
    <n v="16.91"/>
    <n v="39.450000000000003"/>
    <n v="17.46"/>
    <n v="46.33"/>
    <n v="1.17"/>
  </r>
  <r>
    <n v="2112"/>
    <s v="A3112"/>
    <x v="0"/>
    <n v="165"/>
    <x v="1513"/>
    <n v="180"/>
    <n v="12"/>
    <n v="4"/>
    <n v="2.4242424242424201E-2"/>
    <x v="95"/>
    <d v="2024-11-14T00:00:00"/>
    <s v="Hyderabad"/>
    <x v="2"/>
    <x v="4"/>
    <s v="November"/>
    <x v="5"/>
    <n v="1.0924242424242401"/>
    <n v="3.31"/>
    <n v="15.02"/>
    <n v="45.06"/>
    <n v="27.05"/>
    <n v="57.25"/>
    <n v="1.27"/>
  </r>
  <r>
    <n v="2113"/>
    <s v="A3113"/>
    <x v="2"/>
    <n v="172"/>
    <x v="1514"/>
    <n v="189"/>
    <n v="22"/>
    <n v="10"/>
    <n v="5.8139534883720902E-2"/>
    <x v="80"/>
    <d v="2024-11-07T00:00:00"/>
    <s v="Hyderabad"/>
    <x v="1"/>
    <x v="3"/>
    <s v="November"/>
    <x v="5"/>
    <n v="1.1006395348837199"/>
    <n v="3.41"/>
    <n v="8.6"/>
    <n v="18.93"/>
    <n v="77.489999999999995"/>
    <n v="33.6"/>
    <n v="1.77"/>
  </r>
  <r>
    <n v="2114"/>
    <s v="A3114"/>
    <x v="0"/>
    <n v="183"/>
    <x v="1515"/>
    <n v="187"/>
    <n v="24"/>
    <n v="6"/>
    <n v="3.2786885245901599E-2"/>
    <x v="91"/>
    <d v="2024-11-28T00:00:00"/>
    <s v="Hyderabad"/>
    <x v="2"/>
    <x v="1"/>
    <s v="November"/>
    <x v="5"/>
    <n v="1.02"/>
    <n v="4.4400000000000004"/>
    <n v="7.78"/>
    <n v="31.11"/>
    <n v="29.11"/>
    <n v="40.17"/>
    <n v="1.29"/>
  </r>
  <r>
    <n v="2115"/>
    <s v="A3115"/>
    <x v="3"/>
    <n v="196"/>
    <x v="478"/>
    <n v="238"/>
    <n v="28"/>
    <n v="7"/>
    <n v="3.5714285714285698E-2"/>
    <x v="118"/>
    <d v="2024-11-08T00:00:00"/>
    <s v="Hyderabad"/>
    <x v="1"/>
    <x v="2"/>
    <s v="November"/>
    <x v="3"/>
    <n v="1.2154081632653"/>
    <n v="6.24"/>
    <n v="8.51"/>
    <n v="34.03"/>
    <n v="5.78"/>
    <n v="36"/>
    <n v="1.06"/>
  </r>
  <r>
    <n v="2116"/>
    <s v="A3116"/>
    <x v="3"/>
    <n v="98"/>
    <x v="190"/>
    <n v="209"/>
    <n v="27"/>
    <n v="5"/>
    <n v="5.10204081632653E-2"/>
    <x v="78"/>
    <d v="2024-11-29T00:00:00"/>
    <s v="Hyderabad"/>
    <x v="2"/>
    <x v="0"/>
    <s v="November"/>
    <x v="3"/>
    <n v="2.1363265306122399"/>
    <n v="2.1800000000000002"/>
    <n v="7.75"/>
    <n v="41.87"/>
    <n v="15.59"/>
    <n v="48.4"/>
    <n v="1.1599999999999999"/>
  </r>
  <r>
    <n v="2117"/>
    <s v="A3117"/>
    <x v="0"/>
    <n v="158"/>
    <x v="1516"/>
    <n v="227"/>
    <n v="11"/>
    <n v="8"/>
    <n v="5.0632911392405E-2"/>
    <x v="202"/>
    <d v="2024-11-29T00:00:00"/>
    <s v="Hyderabad"/>
    <x v="2"/>
    <x v="3"/>
    <s v="November"/>
    <x v="3"/>
    <n v="1.43664556962025"/>
    <n v="4.2300000000000004"/>
    <n v="20.64"/>
    <n v="28.37"/>
    <n v="44.5"/>
    <n v="41"/>
    <n v="1.44"/>
  </r>
  <r>
    <n v="2118"/>
    <s v="A3118"/>
    <x v="2"/>
    <n v="104"/>
    <x v="780"/>
    <n v="217"/>
    <n v="28"/>
    <n v="4"/>
    <n v="3.8461538461538401E-2"/>
    <x v="175"/>
    <d v="2024-11-10T00:00:00"/>
    <s v="Hyderabad"/>
    <x v="1"/>
    <x v="5"/>
    <s v="November"/>
    <x v="4"/>
    <n v="2.0826923076922998"/>
    <n v="1.75"/>
    <n v="7.74"/>
    <n v="54.15"/>
    <n v="3.88"/>
    <n v="56.25"/>
    <n v="1.04"/>
  </r>
  <r>
    <n v="2119"/>
    <s v="A3119"/>
    <x v="1"/>
    <n v="84"/>
    <x v="493"/>
    <n v="226"/>
    <n v="13"/>
    <n v="5"/>
    <n v="5.95238095238095E-2"/>
    <x v="211"/>
    <d v="2024-11-14T00:00:00"/>
    <s v="Hyderabad"/>
    <x v="0"/>
    <x v="4"/>
    <s v="November"/>
    <x v="5"/>
    <n v="2.6907142857142801"/>
    <n v="1.82"/>
    <n v="17.39"/>
    <n v="45.2"/>
    <n v="77.86"/>
    <n v="80.400000000000006"/>
    <n v="1.78"/>
  </r>
  <r>
    <n v="2120"/>
    <s v="A3120"/>
    <x v="0"/>
    <n v="128"/>
    <x v="1517"/>
    <n v="189"/>
    <n v="26"/>
    <n v="6"/>
    <n v="4.6875E-2"/>
    <x v="162"/>
    <d v="2024-11-02T00:00:00"/>
    <s v="Hyderabad"/>
    <x v="1"/>
    <x v="3"/>
    <s v="November"/>
    <x v="0"/>
    <n v="1.4762500000000001"/>
    <n v="2.5499999999999998"/>
    <n v="7.27"/>
    <n v="31.49"/>
    <n v="19.600000000000001"/>
    <n v="37.67"/>
    <n v="1.2"/>
  </r>
  <r>
    <n v="2121"/>
    <s v="A3121"/>
    <x v="0"/>
    <n v="99"/>
    <x v="937"/>
    <n v="180"/>
    <n v="14"/>
    <n v="5"/>
    <n v="5.0505050505050497E-2"/>
    <x v="26"/>
    <d v="2024-11-04T00:00:00"/>
    <s v="Hyderabad"/>
    <x v="0"/>
    <x v="5"/>
    <s v="November"/>
    <x v="6"/>
    <n v="1.8185858585858501"/>
    <n v="1.81"/>
    <n v="12.86"/>
    <n v="36.01"/>
    <n v="91.07"/>
    <n v="68.8"/>
    <n v="1.91"/>
  </r>
  <r>
    <n v="2122"/>
    <s v="A3122"/>
    <x v="2"/>
    <n v="107"/>
    <x v="1518"/>
    <n v="218"/>
    <n v="17"/>
    <n v="10"/>
    <n v="9.34579439252336E-2"/>
    <x v="169"/>
    <d v="2024-11-11T00:00:00"/>
    <s v="Hyderabad"/>
    <x v="1"/>
    <x v="4"/>
    <s v="November"/>
    <x v="6"/>
    <n v="2.0371962616822401"/>
    <n v="1.95"/>
    <n v="12.82"/>
    <n v="21.8"/>
    <n v="38.54"/>
    <n v="30.2"/>
    <n v="1.39"/>
  </r>
  <r>
    <n v="2123"/>
    <s v="A3123"/>
    <x v="0"/>
    <n v="86"/>
    <x v="735"/>
    <n v="209"/>
    <n v="26"/>
    <n v="3"/>
    <n v="3.4883720930232502E-2"/>
    <x v="99"/>
    <d v="2024-11-06T00:00:00"/>
    <s v="Hyderabad"/>
    <x v="1"/>
    <x v="1"/>
    <s v="November"/>
    <x v="1"/>
    <n v="2.4293023255813901"/>
    <n v="2.11"/>
    <n v="8.0399999999999991"/>
    <n v="69.64"/>
    <n v="66.09"/>
    <n v="115.67"/>
    <n v="1.66"/>
  </r>
  <r>
    <n v="2124"/>
    <s v="A3124"/>
    <x v="2"/>
    <n v="93"/>
    <x v="933"/>
    <n v="245"/>
    <n v="24"/>
    <n v="6"/>
    <n v="6.4516129032257993E-2"/>
    <x v="60"/>
    <d v="2024-11-28T00:00:00"/>
    <s v="Hyderabad"/>
    <x v="0"/>
    <x v="2"/>
    <s v="November"/>
    <x v="5"/>
    <n v="2.6392473118279498"/>
    <n v="3.05"/>
    <n v="10.23"/>
    <n v="40.909999999999997"/>
    <n v="47.08"/>
    <n v="60.17"/>
    <n v="1.47"/>
  </r>
  <r>
    <n v="2125"/>
    <s v="A3125"/>
    <x v="0"/>
    <n v="88"/>
    <x v="1519"/>
    <n v="226"/>
    <n v="10"/>
    <n v="5"/>
    <n v="5.6818181818181802E-2"/>
    <x v="129"/>
    <d v="2024-11-12T00:00:00"/>
    <s v="Hyderabad"/>
    <x v="2"/>
    <x v="3"/>
    <s v="November"/>
    <x v="2"/>
    <n v="2.5654545454545401"/>
    <n v="2.37"/>
    <n v="22.58"/>
    <n v="45.15"/>
    <n v="50.6"/>
    <n v="68"/>
    <n v="1.51"/>
  </r>
  <r>
    <n v="2126"/>
    <s v="A3126"/>
    <x v="1"/>
    <n v="141"/>
    <x v="878"/>
    <n v="184"/>
    <n v="29"/>
    <n v="10"/>
    <n v="7.09219858156028E-2"/>
    <x v="50"/>
    <d v="2024-11-19T00:00:00"/>
    <s v="Hyderabad"/>
    <x v="1"/>
    <x v="4"/>
    <s v="November"/>
    <x v="2"/>
    <n v="1.30737588652482"/>
    <n v="2.65"/>
    <n v="6.36"/>
    <n v="18.43"/>
    <n v="40.5"/>
    <n v="25.9"/>
    <n v="1.41"/>
  </r>
  <r>
    <n v="2127"/>
    <s v="A3127"/>
    <x v="3"/>
    <n v="193"/>
    <x v="1520"/>
    <n v="213"/>
    <n v="19"/>
    <n v="7"/>
    <n v="3.6269430051813399E-2"/>
    <x v="5"/>
    <d v="2024-11-04T00:00:00"/>
    <s v="Hyderabad"/>
    <x v="0"/>
    <x v="2"/>
    <s v="November"/>
    <x v="6"/>
    <n v="1.1022279792746099"/>
    <n v="5.41"/>
    <n v="11.2"/>
    <n v="30.39"/>
    <n v="25.98"/>
    <n v="38.29"/>
    <n v="1.26"/>
  </r>
  <r>
    <n v="2128"/>
    <s v="A3128"/>
    <x v="3"/>
    <n v="185"/>
    <x v="1521"/>
    <n v="194"/>
    <n v="26"/>
    <n v="6"/>
    <n v="3.24324324324324E-2"/>
    <x v="180"/>
    <d v="2024-11-04T00:00:00"/>
    <s v="Hyderabad"/>
    <x v="0"/>
    <x v="3"/>
    <s v="November"/>
    <x v="6"/>
    <n v="1.04859459459459"/>
    <n v="3.82"/>
    <n v="7.46"/>
    <n v="32.33"/>
    <n v="56.71"/>
    <n v="50.67"/>
    <n v="1.57"/>
  </r>
  <r>
    <n v="2129"/>
    <s v="A3129"/>
    <x v="2"/>
    <n v="117"/>
    <x v="1386"/>
    <n v="244"/>
    <n v="12"/>
    <n v="8"/>
    <n v="6.83760683760683E-2"/>
    <x v="32"/>
    <d v="2024-11-10T00:00:00"/>
    <s v="Hyderabad"/>
    <x v="1"/>
    <x v="2"/>
    <s v="November"/>
    <x v="4"/>
    <n v="2.0892307692307601"/>
    <n v="2.27"/>
    <n v="20.37"/>
    <n v="30.56"/>
    <n v="52.89"/>
    <n v="46.71"/>
    <n v="1.53"/>
  </r>
  <r>
    <n v="2130"/>
    <s v="A3130"/>
    <x v="3"/>
    <n v="147"/>
    <x v="1080"/>
    <n v="243"/>
    <n v="26"/>
    <n v="9"/>
    <n v="6.1224489795918297E-2"/>
    <x v="142"/>
    <d v="2024-11-18T00:00:00"/>
    <s v="Hyderabad"/>
    <x v="0"/>
    <x v="4"/>
    <s v="November"/>
    <x v="6"/>
    <n v="1.65333333333333"/>
    <n v="3.36"/>
    <n v="9.35"/>
    <n v="27"/>
    <n v="48.95"/>
    <n v="40.22"/>
    <n v="1.49"/>
  </r>
  <r>
    <n v="2131"/>
    <s v="A3131"/>
    <x v="0"/>
    <n v="197"/>
    <x v="1522"/>
    <n v="244"/>
    <n v="13"/>
    <n v="3"/>
    <n v="1.5228426395939E-2"/>
    <x v="141"/>
    <d v="2024-11-06T00:00:00"/>
    <s v="Hyderabad"/>
    <x v="1"/>
    <x v="0"/>
    <s v="November"/>
    <x v="1"/>
    <n v="1.2371573604060899"/>
    <n v="3.46"/>
    <n v="18.75"/>
    <n v="81.239999999999995"/>
    <n v="-3.17"/>
    <n v="78.67"/>
    <n v="0.97"/>
  </r>
  <r>
    <n v="2132"/>
    <s v="A3132"/>
    <x v="0"/>
    <n v="81"/>
    <x v="1523"/>
    <n v="228"/>
    <n v="22"/>
    <n v="3"/>
    <n v="3.7037037037037E-2"/>
    <x v="192"/>
    <d v="2024-11-22T00:00:00"/>
    <s v="Hyderabad"/>
    <x v="2"/>
    <x v="5"/>
    <s v="November"/>
    <x v="3"/>
    <n v="2.8206172839506101"/>
    <n v="2.62"/>
    <n v="10.38"/>
    <n v="76.16"/>
    <n v="23.87"/>
    <n v="94.33"/>
    <n v="1.24"/>
  </r>
  <r>
    <n v="2133"/>
    <s v="A3133"/>
    <x v="2"/>
    <n v="198"/>
    <x v="736"/>
    <n v="219"/>
    <n v="11"/>
    <n v="6"/>
    <n v="3.03030303030303E-2"/>
    <x v="183"/>
    <d v="2024-11-30T00:00:00"/>
    <s v="Hyderabad"/>
    <x v="2"/>
    <x v="0"/>
    <s v="November"/>
    <x v="0"/>
    <n v="1.10424242424242"/>
    <n v="4.76"/>
    <n v="19.88"/>
    <n v="36.44"/>
    <n v="77.92"/>
    <n v="64.83"/>
    <n v="1.78"/>
  </r>
  <r>
    <n v="2134"/>
    <s v="A3134"/>
    <x v="1"/>
    <n v="155"/>
    <x v="1524"/>
    <n v="225"/>
    <n v="24"/>
    <n v="7"/>
    <n v="4.5161290322580601E-2"/>
    <x v="145"/>
    <d v="2024-11-04T00:00:00"/>
    <s v="Hyderabad"/>
    <x v="2"/>
    <x v="1"/>
    <s v="November"/>
    <x v="6"/>
    <n v="1.4490322580645101"/>
    <n v="3.01"/>
    <n v="9.36"/>
    <n v="32.090000000000003"/>
    <n v="4.1900000000000004"/>
    <n v="33.43"/>
    <n v="1.04"/>
  </r>
  <r>
    <n v="2135"/>
    <s v="A3135"/>
    <x v="3"/>
    <n v="181"/>
    <x v="923"/>
    <n v="224"/>
    <n v="17"/>
    <n v="4"/>
    <n v="2.2099447513812098E-2"/>
    <x v="160"/>
    <d v="2024-11-10T00:00:00"/>
    <s v="Hyderabad"/>
    <x v="1"/>
    <x v="5"/>
    <s v="November"/>
    <x v="4"/>
    <n v="1.2348618784530301"/>
    <n v="4.58"/>
    <n v="13.15"/>
    <n v="55.88"/>
    <n v="-2.02"/>
    <n v="54.75"/>
    <n v="0.98"/>
  </r>
  <r>
    <n v="2136"/>
    <s v="A3136"/>
    <x v="2"/>
    <n v="108"/>
    <x v="1525"/>
    <n v="249"/>
    <n v="12"/>
    <n v="3"/>
    <n v="2.77777777777777E-2"/>
    <x v="167"/>
    <d v="2024-11-16T00:00:00"/>
    <s v="Hyderabad"/>
    <x v="2"/>
    <x v="5"/>
    <s v="November"/>
    <x v="0"/>
    <n v="2.3050000000000002"/>
    <n v="3.45"/>
    <n v="20.74"/>
    <n v="82.98"/>
    <n v="59.07"/>
    <n v="132"/>
    <n v="1.59"/>
  </r>
  <r>
    <n v="2137"/>
    <s v="A3137"/>
    <x v="3"/>
    <n v="114"/>
    <x v="1526"/>
    <n v="195"/>
    <n v="30"/>
    <n v="5"/>
    <n v="4.3859649122807001E-2"/>
    <x v="121"/>
    <d v="2024-11-15T00:00:00"/>
    <s v="Hyderabad"/>
    <x v="2"/>
    <x v="5"/>
    <s v="November"/>
    <x v="3"/>
    <n v="1.7143859649122799"/>
    <n v="2.0499999999999998"/>
    <n v="6.51"/>
    <n v="39.090000000000003"/>
    <n v="30.99"/>
    <n v="51.2"/>
    <n v="1.31"/>
  </r>
  <r>
    <n v="2138"/>
    <s v="A3138"/>
    <x v="2"/>
    <n v="146"/>
    <x v="1527"/>
    <n v="222"/>
    <n v="26"/>
    <n v="5"/>
    <n v="3.4246575342465703E-2"/>
    <x v="75"/>
    <d v="2024-11-12T00:00:00"/>
    <s v="Hyderabad"/>
    <x v="1"/>
    <x v="5"/>
    <s v="November"/>
    <x v="2"/>
    <n v="1.51869863013698"/>
    <n v="2.56"/>
    <n v="8.5299999999999994"/>
    <n v="44.35"/>
    <n v="10.49"/>
    <n v="49"/>
    <n v="1.1000000000000001"/>
  </r>
  <r>
    <n v="2139"/>
    <s v="A3139"/>
    <x v="0"/>
    <n v="89"/>
    <x v="1509"/>
    <n v="194"/>
    <n v="11"/>
    <n v="3"/>
    <n v="3.3707865168539297E-2"/>
    <x v="153"/>
    <d v="2024-11-22T00:00:00"/>
    <s v="Hyderabad"/>
    <x v="0"/>
    <x v="3"/>
    <s v="November"/>
    <x v="3"/>
    <n v="2.1822471910112302"/>
    <n v="2.13"/>
    <n v="17.66"/>
    <n v="64.739999999999995"/>
    <n v="44.17"/>
    <n v="93.33"/>
    <n v="1.44"/>
  </r>
  <r>
    <n v="2140"/>
    <s v="A3140"/>
    <x v="0"/>
    <n v="82"/>
    <x v="1528"/>
    <n v="129"/>
    <n v="30"/>
    <n v="8"/>
    <n v="9.7560975609756101E-2"/>
    <x v="7"/>
    <d v="2024-11-17T00:00:00"/>
    <s v="Hyderabad"/>
    <x v="0"/>
    <x v="0"/>
    <s v="November"/>
    <x v="4"/>
    <n v="1.56753061615001"/>
    <n v="3.03"/>
    <n v="4.28"/>
    <n v="16.07"/>
    <n v="139.62"/>
    <n v="38.5"/>
    <n v="2.4"/>
  </r>
  <r>
    <n v="2141"/>
    <s v="A3141"/>
    <x v="0"/>
    <n v="98"/>
    <x v="1075"/>
    <n v="231"/>
    <n v="14"/>
    <n v="10"/>
    <n v="0.10204081632653"/>
    <x v="21"/>
    <d v="2024-11-07T00:00:00"/>
    <s v="Hyderabad"/>
    <x v="1"/>
    <x v="3"/>
    <s v="November"/>
    <x v="5"/>
    <n v="2.3522448979591801"/>
    <n v="1.71"/>
    <n v="16.47"/>
    <n v="23.05"/>
    <n v="17.13"/>
    <n v="27"/>
    <n v="1.17"/>
  </r>
  <r>
    <n v="2142"/>
    <s v="A3142"/>
    <x v="0"/>
    <n v="87"/>
    <x v="1529"/>
    <n v="244"/>
    <n v="24"/>
    <n v="8"/>
    <n v="9.1954022988505704E-2"/>
    <x v="190"/>
    <d v="2024-11-06T00:00:00"/>
    <s v="Hyderabad"/>
    <x v="2"/>
    <x v="2"/>
    <s v="November"/>
    <x v="1"/>
    <n v="2.8102298850574701"/>
    <n v="2.75"/>
    <n v="10.19"/>
    <n v="30.56"/>
    <n v="-3.06"/>
    <n v="29.62"/>
    <n v="0.97"/>
  </r>
  <r>
    <n v="2143"/>
    <s v="A3143"/>
    <x v="3"/>
    <n v="146"/>
    <x v="987"/>
    <n v="248"/>
    <n v="30"/>
    <n v="6"/>
    <n v="4.1095890410958902E-2"/>
    <x v="43"/>
    <d v="2024-11-01T00:00:00"/>
    <s v="Hyderabad"/>
    <x v="2"/>
    <x v="4"/>
    <s v="November"/>
    <x v="3"/>
    <n v="1.7004794520547899"/>
    <n v="3.06"/>
    <n v="8.2799999999999994"/>
    <n v="41.38"/>
    <n v="7.14"/>
    <n v="44.33"/>
    <n v="1.07"/>
  </r>
  <r>
    <n v="2144"/>
    <s v="A3144"/>
    <x v="1"/>
    <n v="103"/>
    <x v="1530"/>
    <n v="208"/>
    <n v="25"/>
    <n v="10"/>
    <n v="9.7087378640776698E-2"/>
    <x v="211"/>
    <d v="2024-11-16T00:00:00"/>
    <s v="Hyderabad"/>
    <x v="1"/>
    <x v="5"/>
    <s v="November"/>
    <x v="0"/>
    <n v="2.02242718446601"/>
    <n v="3.04"/>
    <n v="8.33"/>
    <n v="20.83"/>
    <n v="92.98"/>
    <n v="40.200000000000003"/>
    <n v="1.93"/>
  </r>
  <r>
    <n v="2145"/>
    <s v="A3145"/>
    <x v="2"/>
    <n v="122"/>
    <x v="1531"/>
    <n v="223"/>
    <n v="12"/>
    <n v="3"/>
    <n v="2.4590163934426201E-2"/>
    <x v="148"/>
    <d v="2024-11-18T00:00:00"/>
    <s v="Hyderabad"/>
    <x v="2"/>
    <x v="0"/>
    <s v="November"/>
    <x v="6"/>
    <n v="1.8283606557376999"/>
    <n v="2.1800000000000002"/>
    <n v="18.59"/>
    <n v="74.349999999999994"/>
    <n v="-2.72"/>
    <n v="72.33"/>
    <n v="0.97"/>
  </r>
  <r>
    <n v="2146"/>
    <s v="A3146"/>
    <x v="3"/>
    <n v="153"/>
    <x v="1532"/>
    <n v="228"/>
    <n v="16"/>
    <n v="7"/>
    <n v="4.5751633986928102E-2"/>
    <x v="73"/>
    <d v="2024-11-03T00:00:00"/>
    <s v="Hyderabad"/>
    <x v="1"/>
    <x v="2"/>
    <s v="November"/>
    <x v="4"/>
    <n v="1.4925490196078399"/>
    <n v="3.63"/>
    <n v="14.27"/>
    <n v="32.619999999999997"/>
    <n v="5.0999999999999996"/>
    <n v="34.29"/>
    <n v="1.05"/>
  </r>
  <r>
    <n v="2147"/>
    <s v="A3147"/>
    <x v="1"/>
    <n v="108"/>
    <x v="1533"/>
    <n v="184"/>
    <n v="28"/>
    <n v="4"/>
    <n v="3.7037037037037E-2"/>
    <x v="138"/>
    <d v="2024-11-16T00:00:00"/>
    <s v="Hyderabad"/>
    <x v="0"/>
    <x v="5"/>
    <s v="November"/>
    <x v="0"/>
    <n v="1.7046296296296199"/>
    <n v="3.22"/>
    <n v="6.58"/>
    <n v="46.02"/>
    <n v="109.13"/>
    <n v="96.25"/>
    <n v="2.09"/>
  </r>
  <r>
    <n v="2148"/>
    <s v="A3148"/>
    <x v="2"/>
    <n v="147"/>
    <x v="832"/>
    <n v="200"/>
    <n v="20"/>
    <n v="4"/>
    <n v="2.7210884353741398E-2"/>
    <x v="126"/>
    <d v="2024-11-18T00:00:00"/>
    <s v="Hyderabad"/>
    <x v="1"/>
    <x v="5"/>
    <s v="November"/>
    <x v="6"/>
    <n v="1.3617006802720999"/>
    <n v="4.87"/>
    <n v="10.01"/>
    <n v="50.04"/>
    <n v="75.349999999999994"/>
    <n v="87.75"/>
    <n v="1.75"/>
  </r>
  <r>
    <n v="2149"/>
    <s v="A3149"/>
    <x v="2"/>
    <n v="121"/>
    <x v="1372"/>
    <n v="225"/>
    <n v="28"/>
    <n v="10"/>
    <n v="8.2644628099173501E-2"/>
    <x v="113"/>
    <d v="2024-11-17T00:00:00"/>
    <s v="Hyderabad"/>
    <x v="2"/>
    <x v="2"/>
    <s v="November"/>
    <x v="4"/>
    <n v="1.85760330578512"/>
    <n v="2.7"/>
    <n v="8.0299999999999994"/>
    <n v="22.48"/>
    <n v="45.48"/>
    <n v="32.700000000000003"/>
    <n v="1.45"/>
  </r>
  <r>
    <n v="2150"/>
    <s v="A3150"/>
    <x v="1"/>
    <n v="112"/>
    <x v="1534"/>
    <n v="180"/>
    <n v="30"/>
    <n v="4"/>
    <n v="3.5714285714285698E-2"/>
    <x v="186"/>
    <d v="2024-11-12T00:00:00"/>
    <s v="Hyderabad"/>
    <x v="2"/>
    <x v="3"/>
    <s v="November"/>
    <x v="2"/>
    <n v="1.60928571428571"/>
    <n v="2.75"/>
    <n v="6.01"/>
    <n v="45.06"/>
    <n v="84.2"/>
    <n v="83"/>
    <n v="1.84"/>
  </r>
  <r>
    <n v="2151"/>
    <s v="A3151"/>
    <x v="1"/>
    <n v="127"/>
    <x v="1535"/>
    <n v="204"/>
    <n v="10"/>
    <n v="4"/>
    <n v="3.1496062992125901E-2"/>
    <x v="91"/>
    <d v="2024-11-20T00:00:00"/>
    <s v="Hyderabad"/>
    <x v="1"/>
    <x v="2"/>
    <s v="November"/>
    <x v="1"/>
    <n v="1.60779527559055"/>
    <n v="2.46"/>
    <n v="20.420000000000002"/>
    <n v="51.05"/>
    <n v="18.03"/>
    <n v="60.25"/>
    <n v="1.18"/>
  </r>
  <r>
    <n v="2152"/>
    <s v="A3152"/>
    <x v="2"/>
    <n v="192"/>
    <x v="1536"/>
    <n v="201"/>
    <n v="30"/>
    <n v="9"/>
    <n v="4.6875E-2"/>
    <x v="28"/>
    <d v="2024-11-30T00:00:00"/>
    <s v="Hyderabad"/>
    <x v="0"/>
    <x v="1"/>
    <s v="November"/>
    <x v="0"/>
    <n v="1.0478125"/>
    <n v="3.26"/>
    <n v="6.71"/>
    <n v="22.35"/>
    <n v="61.05"/>
    <n v="36"/>
    <n v="1.61"/>
  </r>
  <r>
    <n v="2153"/>
    <s v="A3153"/>
    <x v="2"/>
    <n v="174"/>
    <x v="1537"/>
    <n v="224"/>
    <n v="20"/>
    <n v="7"/>
    <n v="4.0229885057471201E-2"/>
    <x v="161"/>
    <d v="2024-11-15T00:00:00"/>
    <s v="Hyderabad"/>
    <x v="0"/>
    <x v="5"/>
    <s v="November"/>
    <x v="3"/>
    <n v="1.2860344827586201"/>
    <n v="5.08"/>
    <n v="11.19"/>
    <n v="31.97"/>
    <n v="17.98"/>
    <n v="37.71"/>
    <n v="1.18"/>
  </r>
  <r>
    <n v="2154"/>
    <s v="A3154"/>
    <x v="3"/>
    <n v="166"/>
    <x v="1538"/>
    <n v="243"/>
    <n v="16"/>
    <n v="9"/>
    <n v="5.4216867469879498E-2"/>
    <x v="145"/>
    <d v="2024-11-24T00:00:00"/>
    <s v="Hyderabad"/>
    <x v="0"/>
    <x v="0"/>
    <s v="November"/>
    <x v="4"/>
    <n v="1.4644578313253001"/>
    <n v="3.98"/>
    <n v="15.19"/>
    <n v="27.01"/>
    <n v="-3.74"/>
    <n v="26"/>
    <n v="0.96"/>
  </r>
  <r>
    <n v="2155"/>
    <s v="A3155"/>
    <x v="0"/>
    <n v="98"/>
    <x v="316"/>
    <n v="233"/>
    <n v="19"/>
    <n v="6"/>
    <n v="6.1224489795918297E-2"/>
    <x v="170"/>
    <d v="2024-11-02T00:00:00"/>
    <s v="Hyderabad"/>
    <x v="1"/>
    <x v="2"/>
    <s v="November"/>
    <x v="0"/>
    <n v="2.3757142857142801"/>
    <n v="1.68"/>
    <n v="12.25"/>
    <n v="38.799999999999997"/>
    <n v="74.38"/>
    <n v="67.67"/>
    <n v="1.74"/>
  </r>
  <r>
    <n v="2156"/>
    <s v="A3156"/>
    <x v="0"/>
    <n v="191"/>
    <x v="1213"/>
    <n v="244"/>
    <n v="19"/>
    <n v="5"/>
    <n v="2.6178010471204102E-2"/>
    <x v="200"/>
    <d v="2024-11-08T00:00:00"/>
    <s v="Hyderabad"/>
    <x v="2"/>
    <x v="0"/>
    <s v="November"/>
    <x v="3"/>
    <n v="1.27801047120418"/>
    <n v="3.51"/>
    <n v="12.85"/>
    <n v="48.82"/>
    <n v="0.78"/>
    <n v="49.2"/>
    <n v="1.01"/>
  </r>
  <r>
    <n v="2157"/>
    <s v="A3157"/>
    <x v="2"/>
    <n v="89"/>
    <x v="1539"/>
    <n v="200"/>
    <n v="16"/>
    <n v="4"/>
    <n v="4.49438202247191E-2"/>
    <x v="184"/>
    <d v="2024-11-14T00:00:00"/>
    <s v="Hyderabad"/>
    <x v="0"/>
    <x v="1"/>
    <s v="November"/>
    <x v="5"/>
    <n v="2.2461797752808899"/>
    <n v="1.8"/>
    <n v="12.49"/>
    <n v="49.98"/>
    <n v="57.57"/>
    <n v="78.75"/>
    <n v="1.58"/>
  </r>
  <r>
    <n v="2158"/>
    <s v="A3158"/>
    <x v="0"/>
    <n v="180"/>
    <x v="1088"/>
    <n v="274"/>
    <n v="15"/>
    <n v="7"/>
    <n v="3.8888888888888799E-2"/>
    <x v="51"/>
    <d v="2024-11-16T00:00:00"/>
    <s v="Hyderabad"/>
    <x v="1"/>
    <x v="4"/>
    <s v="November"/>
    <x v="0"/>
    <n v="1.5243795620437901"/>
    <n v="5.0999999999999996"/>
    <n v="18.29"/>
    <n v="39.200000000000003"/>
    <n v="-0.51"/>
    <n v="39"/>
    <n v="0.99"/>
  </r>
  <r>
    <n v="2159"/>
    <s v="A3159"/>
    <x v="1"/>
    <n v="91"/>
    <x v="33"/>
    <n v="186"/>
    <n v="29"/>
    <n v="5"/>
    <n v="5.4945054945054903E-2"/>
    <x v="178"/>
    <d v="2024-11-02T00:00:00"/>
    <s v="Hyderabad"/>
    <x v="1"/>
    <x v="0"/>
    <s v="November"/>
    <x v="0"/>
    <n v="2.0463736263736201"/>
    <n v="1.65"/>
    <n v="6.42"/>
    <n v="37.24"/>
    <n v="111.04"/>
    <n v="78.599999999999994"/>
    <n v="2.11"/>
  </r>
  <r>
    <n v="2160"/>
    <s v="A3160"/>
    <x v="2"/>
    <n v="114"/>
    <x v="787"/>
    <n v="185"/>
    <n v="16"/>
    <n v="8"/>
    <n v="7.0175438596491196E-2"/>
    <x v="180"/>
    <d v="2024-11-21T00:00:00"/>
    <s v="Hyderabad"/>
    <x v="0"/>
    <x v="2"/>
    <s v="November"/>
    <x v="5"/>
    <n v="1.6207017543859601"/>
    <n v="1.98"/>
    <n v="11.55"/>
    <n v="23.1"/>
    <n v="64.540000000000006"/>
    <n v="38"/>
    <n v="1.65"/>
  </r>
  <r>
    <n v="2161"/>
    <s v="A3161"/>
    <x v="0"/>
    <n v="80"/>
    <x v="1330"/>
    <n v="217"/>
    <n v="28"/>
    <n v="5"/>
    <n v="6.25E-2"/>
    <x v="206"/>
    <d v="2024-11-12T00:00:00"/>
    <s v="Hyderabad"/>
    <x v="2"/>
    <x v="1"/>
    <s v="November"/>
    <x v="2"/>
    <n v="2.7162500000000001"/>
    <n v="1.55"/>
    <n v="7.76"/>
    <n v="43.46"/>
    <n v="23.79"/>
    <n v="53.8"/>
    <n v="1.24"/>
  </r>
  <r>
    <n v="2162"/>
    <s v="A3162"/>
    <x v="3"/>
    <n v="127"/>
    <x v="1382"/>
    <n v="247"/>
    <n v="17"/>
    <n v="7"/>
    <n v="5.5118110236220402E-2"/>
    <x v="22"/>
    <d v="2024-11-18T00:00:00"/>
    <s v="Hyderabad"/>
    <x v="2"/>
    <x v="5"/>
    <s v="November"/>
    <x v="6"/>
    <n v="1.94574803149606"/>
    <n v="2.8"/>
    <n v="14.54"/>
    <n v="35.299999999999997"/>
    <n v="19.78"/>
    <n v="42.29"/>
    <n v="1.2"/>
  </r>
  <r>
    <n v="2163"/>
    <s v="A3163"/>
    <x v="0"/>
    <n v="84"/>
    <x v="1540"/>
    <n v="227"/>
    <n v="13"/>
    <n v="4"/>
    <n v="4.7619047619047603E-2"/>
    <x v="146"/>
    <d v="2024-11-26T00:00:00"/>
    <s v="Hyderabad"/>
    <x v="2"/>
    <x v="1"/>
    <s v="November"/>
    <x v="2"/>
    <n v="2.7066666666666599"/>
    <n v="1.54"/>
    <n v="17.489999999999998"/>
    <n v="56.84"/>
    <n v="10.4"/>
    <n v="62.75"/>
    <n v="1.1000000000000001"/>
  </r>
  <r>
    <n v="2164"/>
    <s v="A3164"/>
    <x v="1"/>
    <n v="182"/>
    <x v="741"/>
    <n v="239"/>
    <n v="11"/>
    <n v="7"/>
    <n v="3.8461538461538401E-2"/>
    <x v="119"/>
    <d v="2024-11-27T00:00:00"/>
    <s v="Hyderabad"/>
    <x v="2"/>
    <x v="3"/>
    <s v="November"/>
    <x v="1"/>
    <n v="1.3149999999999999"/>
    <n v="4.1500000000000004"/>
    <n v="21.76"/>
    <n v="34.19"/>
    <n v="53.34"/>
    <n v="52.43"/>
    <n v="1.53"/>
  </r>
  <r>
    <n v="2165"/>
    <s v="A3165"/>
    <x v="0"/>
    <n v="105"/>
    <x v="366"/>
    <n v="180"/>
    <n v="20"/>
    <n v="4"/>
    <n v="3.8095238095238099E-2"/>
    <x v="28"/>
    <d v="2024-11-05T00:00:00"/>
    <s v="Hyderabad"/>
    <x v="1"/>
    <x v="1"/>
    <s v="November"/>
    <x v="2"/>
    <n v="1.7149523809523799"/>
    <n v="1.78"/>
    <n v="9"/>
    <n v="45.02"/>
    <n v="79.930000000000007"/>
    <n v="81"/>
    <n v="1.8"/>
  </r>
  <r>
    <n v="2166"/>
    <s v="A3166"/>
    <x v="1"/>
    <n v="162"/>
    <x v="1324"/>
    <n v="246"/>
    <n v="30"/>
    <n v="6"/>
    <n v="3.7037037037037E-2"/>
    <x v="155"/>
    <d v="2024-11-06T00:00:00"/>
    <s v="Hyderabad"/>
    <x v="1"/>
    <x v="3"/>
    <s v="November"/>
    <x v="1"/>
    <n v="1.5159259259259199"/>
    <n v="5.19"/>
    <n v="8.19"/>
    <n v="40.93"/>
    <n v="62.07"/>
    <n v="66.33"/>
    <n v="1.62"/>
  </r>
  <r>
    <n v="2167"/>
    <s v="A3167"/>
    <x v="1"/>
    <n v="118"/>
    <x v="1541"/>
    <n v="220"/>
    <n v="21"/>
    <n v="4"/>
    <n v="3.38983050847457E-2"/>
    <x v="61"/>
    <d v="2024-11-14T00:00:00"/>
    <s v="Hyderabad"/>
    <x v="0"/>
    <x v="5"/>
    <s v="November"/>
    <x v="5"/>
    <n v="1.8627966101694899"/>
    <n v="2.7"/>
    <n v="10.47"/>
    <n v="54.95"/>
    <n v="19.649999999999999"/>
    <n v="65.75"/>
    <n v="1.2"/>
  </r>
  <r>
    <n v="2168"/>
    <s v="A3168"/>
    <x v="2"/>
    <n v="131"/>
    <x v="454"/>
    <n v="184"/>
    <n v="12"/>
    <n v="7"/>
    <n v="5.3435114503816702E-2"/>
    <x v="65"/>
    <d v="2024-11-23T00:00:00"/>
    <s v="Hyderabad"/>
    <x v="1"/>
    <x v="3"/>
    <s v="November"/>
    <x v="0"/>
    <n v="1.4022137404580099"/>
    <n v="2.29"/>
    <n v="15.31"/>
    <n v="26.24"/>
    <n v="72.569999999999993"/>
    <n v="45.29"/>
    <n v="1.73"/>
  </r>
  <r>
    <n v="2169"/>
    <s v="A3169"/>
    <x v="1"/>
    <n v="116"/>
    <x v="481"/>
    <n v="186"/>
    <n v="12"/>
    <n v="3"/>
    <n v="2.5862068965517199E-2"/>
    <x v="122"/>
    <d v="2024-11-30T00:00:00"/>
    <s v="Hyderabad"/>
    <x v="0"/>
    <x v="5"/>
    <s v="November"/>
    <x v="0"/>
    <n v="1.6063793103448201"/>
    <n v="2.73"/>
    <n v="15.53"/>
    <n v="62.11"/>
    <n v="14.31"/>
    <n v="71"/>
    <n v="1.1399999999999999"/>
  </r>
  <r>
    <n v="2170"/>
    <s v="A3170"/>
    <x v="1"/>
    <n v="80"/>
    <x v="1542"/>
    <n v="239"/>
    <n v="10"/>
    <n v="6"/>
    <n v="7.4999999999999997E-2"/>
    <x v="135"/>
    <d v="2024-11-20T00:00:00"/>
    <s v="Hyderabad"/>
    <x v="1"/>
    <x v="1"/>
    <s v="November"/>
    <x v="1"/>
    <n v="2.9907499999999998"/>
    <n v="1.42"/>
    <n v="23.93"/>
    <n v="39.880000000000003"/>
    <n v="-14.32"/>
    <n v="34.17"/>
    <n v="0.86"/>
  </r>
  <r>
    <n v="2171"/>
    <s v="A3171"/>
    <x v="1"/>
    <n v="81"/>
    <x v="361"/>
    <n v="187"/>
    <n v="12"/>
    <n v="6"/>
    <n v="7.4074074074074001E-2"/>
    <x v="3"/>
    <d v="2024-11-12T00:00:00"/>
    <s v="Hyderabad"/>
    <x v="2"/>
    <x v="1"/>
    <s v="November"/>
    <x v="2"/>
    <n v="2.3116049382716"/>
    <n v="2.39"/>
    <n v="15.6"/>
    <n v="31.21"/>
    <n v="33.520000000000003"/>
    <n v="41.67"/>
    <n v="1.34"/>
  </r>
  <r>
    <n v="2172"/>
    <s v="A3172"/>
    <x v="1"/>
    <n v="189"/>
    <x v="1543"/>
    <n v="198"/>
    <n v="20"/>
    <n v="8"/>
    <n v="4.2328042328042298E-2"/>
    <x v="31"/>
    <d v="2024-11-28T00:00:00"/>
    <s v="Hyderabad"/>
    <x v="1"/>
    <x v="5"/>
    <s v="November"/>
    <x v="5"/>
    <n v="1.04708994708994"/>
    <n v="3.69"/>
    <n v="9.9"/>
    <n v="24.74"/>
    <n v="76.349999999999994"/>
    <n v="43.62"/>
    <n v="1.76"/>
  </r>
  <r>
    <n v="2173"/>
    <s v="A3173"/>
    <x v="1"/>
    <n v="128"/>
    <x v="1544"/>
    <n v="232"/>
    <n v="30"/>
    <n v="10"/>
    <n v="7.8125E-2"/>
    <x v="120"/>
    <d v="2024-11-18T00:00:00"/>
    <s v="Hyderabad"/>
    <x v="2"/>
    <x v="1"/>
    <s v="November"/>
    <x v="6"/>
    <n v="1.8133593750000001"/>
    <n v="3.32"/>
    <n v="7.74"/>
    <n v="23.21"/>
    <n v="43.9"/>
    <n v="33.4"/>
    <n v="1.44"/>
  </r>
  <r>
    <n v="2174"/>
    <s v="A3174"/>
    <x v="2"/>
    <n v="182"/>
    <x v="1545"/>
    <n v="238"/>
    <n v="17"/>
    <n v="4"/>
    <n v="2.19780219780219E-2"/>
    <x v="16"/>
    <d v="2024-11-05T00:00:00"/>
    <s v="Hyderabad"/>
    <x v="0"/>
    <x v="2"/>
    <s v="November"/>
    <x v="2"/>
    <n v="1.3098901098901099"/>
    <n v="5.51"/>
    <n v="14.02"/>
    <n v="59.6"/>
    <n v="45.13"/>
    <n v="86.5"/>
    <n v="1.45"/>
  </r>
  <r>
    <n v="2175"/>
    <s v="A3175"/>
    <x v="1"/>
    <n v="124"/>
    <x v="971"/>
    <n v="184"/>
    <n v="12"/>
    <n v="6"/>
    <n v="4.8387096774193498E-2"/>
    <x v="114"/>
    <d v="2024-11-05T00:00:00"/>
    <s v="Hyderabad"/>
    <x v="2"/>
    <x v="1"/>
    <s v="November"/>
    <x v="2"/>
    <n v="1.48725806451612"/>
    <n v="2.96"/>
    <n v="15.37"/>
    <n v="30.74"/>
    <n v="51.98"/>
    <n v="46.71"/>
    <n v="1.52"/>
  </r>
  <r>
    <n v="2176"/>
    <s v="A3176"/>
    <x v="1"/>
    <n v="137"/>
    <x v="1546"/>
    <n v="237"/>
    <n v="24"/>
    <n v="5"/>
    <n v="3.6496350364963501E-2"/>
    <x v="110"/>
    <d v="2024-11-10T00:00:00"/>
    <s v="Hyderabad"/>
    <x v="1"/>
    <x v="4"/>
    <s v="November"/>
    <x v="4"/>
    <n v="1.7315328467153199"/>
    <n v="3.68"/>
    <n v="9.8800000000000008"/>
    <n v="47.44"/>
    <n v="55.97"/>
    <n v="74"/>
    <n v="1.56"/>
  </r>
  <r>
    <n v="2177"/>
    <s v="A3177"/>
    <x v="1"/>
    <n v="106"/>
    <x v="1547"/>
    <n v="184"/>
    <n v="19"/>
    <n v="3"/>
    <n v="2.83018867924528E-2"/>
    <x v="69"/>
    <d v="2024-11-16T00:00:00"/>
    <s v="Hyderabad"/>
    <x v="0"/>
    <x v="2"/>
    <s v="November"/>
    <x v="0"/>
    <n v="1.73226415094339"/>
    <n v="1.83"/>
    <n v="9.66"/>
    <n v="61.21"/>
    <n v="104.23"/>
    <n v="125"/>
    <n v="2.04"/>
  </r>
  <r>
    <n v="2178"/>
    <s v="A3178"/>
    <x v="2"/>
    <n v="102"/>
    <x v="1548"/>
    <n v="207"/>
    <n v="27"/>
    <n v="6"/>
    <n v="5.8823529411764698E-2"/>
    <x v="72"/>
    <d v="2024-11-19T00:00:00"/>
    <s v="Hyderabad"/>
    <x v="1"/>
    <x v="1"/>
    <s v="November"/>
    <x v="2"/>
    <n v="2.02598039215686"/>
    <n v="1.99"/>
    <n v="7.65"/>
    <n v="34.44"/>
    <n v="44.69"/>
    <n v="49.83"/>
    <n v="1.45"/>
  </r>
  <r>
    <n v="2179"/>
    <s v="A3179"/>
    <x v="0"/>
    <n v="155"/>
    <x v="177"/>
    <n v="204"/>
    <n v="12"/>
    <n v="4"/>
    <n v="2.5806451612903201E-2"/>
    <x v="165"/>
    <d v="2024-11-16T00:00:00"/>
    <s v="Hyderabad"/>
    <x v="0"/>
    <x v="0"/>
    <s v="November"/>
    <x v="0"/>
    <n v="1.31916129032258"/>
    <n v="4.79"/>
    <n v="17.04"/>
    <n v="51.12"/>
    <n v="39.869999999999997"/>
    <n v="71.5"/>
    <n v="1.4"/>
  </r>
  <r>
    <n v="2180"/>
    <s v="A3180"/>
    <x v="1"/>
    <n v="85"/>
    <x v="1549"/>
    <n v="234"/>
    <n v="24"/>
    <n v="4"/>
    <n v="4.7058823529411702E-2"/>
    <x v="39"/>
    <d v="2024-11-07T00:00:00"/>
    <s v="Hyderabad"/>
    <x v="2"/>
    <x v="5"/>
    <s v="November"/>
    <x v="5"/>
    <n v="2.75576470588235"/>
    <n v="2.75"/>
    <n v="9.76"/>
    <n v="58.56"/>
    <n v="5.45"/>
    <n v="61.75"/>
    <n v="1.05"/>
  </r>
  <r>
    <n v="2181"/>
    <s v="A3181"/>
    <x v="0"/>
    <n v="126"/>
    <x v="1478"/>
    <n v="233"/>
    <n v="30"/>
    <n v="5"/>
    <n v="3.9682539682539597E-2"/>
    <x v="76"/>
    <d v="2024-11-15T00:00:00"/>
    <s v="Hyderabad"/>
    <x v="2"/>
    <x v="2"/>
    <s v="November"/>
    <x v="3"/>
    <n v="1.8513492063492001"/>
    <n v="2.46"/>
    <n v="7.78"/>
    <n v="46.65"/>
    <n v="4.5999999999999996"/>
    <n v="48.8"/>
    <n v="1.05"/>
  </r>
  <r>
    <n v="2182"/>
    <s v="A3182"/>
    <x v="0"/>
    <n v="96"/>
    <x v="1147"/>
    <n v="211"/>
    <n v="27"/>
    <n v="10"/>
    <n v="0.10416666666666601"/>
    <x v="23"/>
    <d v="2024-11-18T00:00:00"/>
    <s v="Hyderabad"/>
    <x v="2"/>
    <x v="4"/>
    <s v="November"/>
    <x v="6"/>
    <n v="2.1940624999999998"/>
    <n v="1.89"/>
    <n v="7.8"/>
    <n v="21.06"/>
    <n v="60"/>
    <n v="33.700000000000003"/>
    <n v="1.6"/>
  </r>
  <r>
    <n v="2183"/>
    <s v="A3183"/>
    <x v="3"/>
    <n v="128"/>
    <x v="1550"/>
    <n v="201"/>
    <n v="14"/>
    <n v="4"/>
    <n v="3.125E-2"/>
    <x v="168"/>
    <d v="2024-11-05T00:00:00"/>
    <s v="Hyderabad"/>
    <x v="2"/>
    <x v="0"/>
    <s v="November"/>
    <x v="2"/>
    <n v="1.5665625000000001"/>
    <n v="2.88"/>
    <n v="14.32"/>
    <n v="50.13"/>
    <n v="89.51"/>
    <n v="95"/>
    <n v="1.9"/>
  </r>
  <r>
    <n v="2184"/>
    <s v="A3184"/>
    <x v="0"/>
    <n v="151"/>
    <x v="1197"/>
    <n v="200"/>
    <n v="26"/>
    <n v="7"/>
    <n v="4.6357615894039701E-2"/>
    <x v="107"/>
    <d v="2024-11-17T00:00:00"/>
    <s v="Hyderabad"/>
    <x v="0"/>
    <x v="4"/>
    <s v="November"/>
    <x v="4"/>
    <n v="1.3242384105960201"/>
    <n v="4.13"/>
    <n v="7.69"/>
    <n v="28.57"/>
    <n v="60.03"/>
    <n v="45.71"/>
    <n v="1.6"/>
  </r>
  <r>
    <n v="2185"/>
    <s v="A3185"/>
    <x v="3"/>
    <n v="95"/>
    <x v="1551"/>
    <n v="223"/>
    <n v="22"/>
    <n v="9"/>
    <n v="9.4736842105263105E-2"/>
    <x v="33"/>
    <d v="2024-11-29T00:00:00"/>
    <s v="Hyderabad"/>
    <x v="0"/>
    <x v="4"/>
    <s v="November"/>
    <x v="3"/>
    <n v="2.3512631578947301"/>
    <n v="2.65"/>
    <n v="10.15"/>
    <n v="24.82"/>
    <n v="66.540000000000006"/>
    <n v="41.33"/>
    <n v="1.67"/>
  </r>
  <r>
    <n v="2186"/>
    <s v="A3186"/>
    <x v="2"/>
    <n v="193"/>
    <x v="1417"/>
    <n v="248"/>
    <n v="23"/>
    <n v="5"/>
    <n v="2.59067357512953E-2"/>
    <x v="26"/>
    <d v="2024-11-24T00:00:00"/>
    <s v="Hyderabad"/>
    <x v="1"/>
    <x v="2"/>
    <s v="November"/>
    <x v="4"/>
    <n v="1.2833678756476601"/>
    <n v="4.03"/>
    <n v="10.77"/>
    <n v="49.54"/>
    <n v="38.880000000000003"/>
    <n v="68.8"/>
    <n v="1.39"/>
  </r>
  <r>
    <n v="2187"/>
    <s v="A3187"/>
    <x v="2"/>
    <n v="90"/>
    <x v="711"/>
    <n v="211"/>
    <n v="29"/>
    <n v="10"/>
    <n v="0.11111111111111099"/>
    <x v="61"/>
    <d v="2024-11-19T00:00:00"/>
    <s v="Hyderabad"/>
    <x v="2"/>
    <x v="5"/>
    <s v="November"/>
    <x v="2"/>
    <n v="2.3488888888888799"/>
    <n v="2.78"/>
    <n v="7.29"/>
    <n v="21.14"/>
    <n v="24.41"/>
    <n v="26.3"/>
    <n v="1.24"/>
  </r>
  <r>
    <n v="2188"/>
    <s v="A3188"/>
    <x v="3"/>
    <n v="175"/>
    <x v="1552"/>
    <n v="246"/>
    <n v="27"/>
    <n v="5"/>
    <n v="2.8571428571428501E-2"/>
    <x v="192"/>
    <d v="2024-11-26T00:00:00"/>
    <s v="Hyderabad"/>
    <x v="0"/>
    <x v="2"/>
    <s v="November"/>
    <x v="2"/>
    <n v="1.40348571428571"/>
    <n v="4.57"/>
    <n v="9.1"/>
    <n v="49.12"/>
    <n v="15.22"/>
    <n v="56.6"/>
    <n v="1.1499999999999999"/>
  </r>
  <r>
    <n v="2189"/>
    <s v="A3189"/>
    <x v="3"/>
    <n v="153"/>
    <x v="1553"/>
    <n v="230"/>
    <n v="27"/>
    <n v="7"/>
    <n v="4.5751633986928102E-2"/>
    <x v="9"/>
    <d v="2024-11-05T00:00:00"/>
    <s v="Hyderabad"/>
    <x v="0"/>
    <x v="5"/>
    <s v="November"/>
    <x v="2"/>
    <n v="1.5049019607843099"/>
    <n v="3.59"/>
    <n v="8.5299999999999994"/>
    <n v="32.89"/>
    <n v="-8.7899999999999991"/>
    <n v="30"/>
    <n v="0.91"/>
  </r>
  <r>
    <n v="2190"/>
    <s v="A3190"/>
    <x v="2"/>
    <n v="103"/>
    <x v="1554"/>
    <n v="181"/>
    <n v="26"/>
    <n v="7"/>
    <n v="6.7961165048543604E-2"/>
    <x v="175"/>
    <d v="2024-11-03T00:00:00"/>
    <s v="Hyderabad"/>
    <x v="1"/>
    <x v="3"/>
    <s v="November"/>
    <x v="4"/>
    <n v="1.75378640776699"/>
    <n v="2.15"/>
    <n v="6.95"/>
    <n v="25.81"/>
    <n v="24.56"/>
    <n v="32.14"/>
    <n v="1.25"/>
  </r>
  <r>
    <n v="2191"/>
    <s v="A3191"/>
    <x v="1"/>
    <n v="102"/>
    <x v="1555"/>
    <n v="209"/>
    <n v="30"/>
    <n v="5"/>
    <n v="4.9019607843137199E-2"/>
    <x v="148"/>
    <d v="2024-11-15T00:00:00"/>
    <s v="Hyderabad"/>
    <x v="1"/>
    <x v="5"/>
    <s v="November"/>
    <x v="3"/>
    <n v="2.0446078431372499"/>
    <n v="1.95"/>
    <n v="6.95"/>
    <n v="41.71"/>
    <n v="4.05"/>
    <n v="43.4"/>
    <n v="1.04"/>
  </r>
  <r>
    <n v="2192"/>
    <s v="A3192"/>
    <x v="2"/>
    <n v="199"/>
    <x v="599"/>
    <n v="220"/>
    <n v="26"/>
    <n v="9"/>
    <n v="4.5226130653266298E-2"/>
    <x v="59"/>
    <d v="2024-11-20T00:00:00"/>
    <s v="Hyderabad"/>
    <x v="2"/>
    <x v="1"/>
    <s v="November"/>
    <x v="1"/>
    <n v="1.10633165829145"/>
    <n v="5.3"/>
    <n v="8.4700000000000006"/>
    <n v="24.46"/>
    <n v="17.190000000000001"/>
    <n v="28.67"/>
    <n v="1.17"/>
  </r>
  <r>
    <n v="2193"/>
    <s v="A3193"/>
    <x v="0"/>
    <n v="96"/>
    <x v="90"/>
    <n v="229"/>
    <n v="27"/>
    <n v="6"/>
    <n v="6.25E-2"/>
    <x v="50"/>
    <d v="2024-11-03T00:00:00"/>
    <s v="Hyderabad"/>
    <x v="2"/>
    <x v="3"/>
    <s v="November"/>
    <x v="4"/>
    <n v="2.3866666666666601"/>
    <n v="1.98"/>
    <n v="8.49"/>
    <n v="38.19"/>
    <n v="13.04"/>
    <n v="43.17"/>
    <n v="1.1299999999999999"/>
  </r>
  <r>
    <n v="2194"/>
    <s v="A3194"/>
    <x v="2"/>
    <n v="107"/>
    <x v="662"/>
    <n v="243"/>
    <n v="20"/>
    <n v="5"/>
    <n v="4.67289719626168E-2"/>
    <x v="84"/>
    <d v="2024-11-25T00:00:00"/>
    <s v="Hyderabad"/>
    <x v="2"/>
    <x v="1"/>
    <s v="November"/>
    <x v="6"/>
    <n v="2.27485981308411"/>
    <n v="2.2200000000000002"/>
    <n v="12.17"/>
    <n v="48.68"/>
    <n v="-4.04"/>
    <n v="46.71"/>
    <n v="0.96"/>
  </r>
  <r>
    <n v="2195"/>
    <s v="A3195"/>
    <x v="1"/>
    <n v="170"/>
    <x v="1486"/>
    <n v="218"/>
    <n v="24"/>
    <n v="5"/>
    <n v="2.94117647058823E-2"/>
    <x v="179"/>
    <d v="2024-11-29T00:00:00"/>
    <s v="Hyderabad"/>
    <x v="0"/>
    <x v="2"/>
    <s v="November"/>
    <x v="3"/>
    <n v="1.28376470588235"/>
    <n v="3.15"/>
    <n v="9.09"/>
    <n v="43.65"/>
    <n v="70"/>
    <n v="74.2"/>
    <n v="1.7"/>
  </r>
  <r>
    <n v="2196"/>
    <s v="A3196"/>
    <x v="0"/>
    <n v="145"/>
    <x v="1003"/>
    <n v="238"/>
    <n v="24"/>
    <n v="7"/>
    <n v="4.8275862068965503E-2"/>
    <x v="79"/>
    <d v="2024-11-19T00:00:00"/>
    <s v="Hyderabad"/>
    <x v="1"/>
    <x v="1"/>
    <s v="November"/>
    <x v="2"/>
    <n v="1.6393103448275801"/>
    <n v="4.7300000000000004"/>
    <n v="9.9"/>
    <n v="33.96"/>
    <n v="28.31"/>
    <n v="43.57"/>
    <n v="1.28"/>
  </r>
  <r>
    <n v="2197"/>
    <s v="A3197"/>
    <x v="0"/>
    <n v="148"/>
    <x v="1312"/>
    <n v="214"/>
    <n v="25"/>
    <n v="8"/>
    <n v="5.4054054054054002E-2"/>
    <x v="153"/>
    <d v="2024-11-18T00:00:00"/>
    <s v="Hyderabad"/>
    <x v="0"/>
    <x v="0"/>
    <s v="November"/>
    <x v="6"/>
    <n v="1.4448648648648601"/>
    <n v="2.52"/>
    <n v="8.5500000000000007"/>
    <n v="26.73"/>
    <n v="30.94"/>
    <n v="35"/>
    <n v="1.31"/>
  </r>
  <r>
    <n v="2198"/>
    <s v="A3198"/>
    <x v="2"/>
    <n v="141"/>
    <x v="909"/>
    <n v="228"/>
    <n v="16"/>
    <n v="9"/>
    <n v="6.3829787234042507E-2"/>
    <x v="200"/>
    <d v="2024-11-30T00:00:00"/>
    <s v="Hyderabad"/>
    <x v="0"/>
    <x v="2"/>
    <s v="November"/>
    <x v="0"/>
    <n v="1.61787234042553"/>
    <n v="3.37"/>
    <n v="14.26"/>
    <n v="25.35"/>
    <n v="7.84"/>
    <n v="27.33"/>
    <n v="1.08"/>
  </r>
  <r>
    <n v="2199"/>
    <s v="A3199"/>
    <x v="3"/>
    <n v="89"/>
    <x v="1556"/>
    <n v="184"/>
    <n v="14"/>
    <n v="4"/>
    <n v="4.49438202247191E-2"/>
    <x v="121"/>
    <d v="2024-11-16T00:00:00"/>
    <s v="Hyderabad"/>
    <x v="1"/>
    <x v="2"/>
    <s v="November"/>
    <x v="0"/>
    <n v="2.0626966292134798"/>
    <n v="1.57"/>
    <n v="13.11"/>
    <n v="45.9"/>
    <n v="39.450000000000003"/>
    <n v="64"/>
    <n v="1.39"/>
  </r>
  <r>
    <n v="2200"/>
    <s v="A3200"/>
    <x v="0"/>
    <n v="140"/>
    <x v="1557"/>
    <n v="224"/>
    <n v="20"/>
    <n v="9"/>
    <n v="6.4285714285714196E-2"/>
    <x v="15"/>
    <d v="2024-11-04T00:00:00"/>
    <s v="Hyderabad"/>
    <x v="1"/>
    <x v="0"/>
    <s v="November"/>
    <x v="6"/>
    <n v="1.59814285714285"/>
    <n v="2.99"/>
    <n v="11.19"/>
    <n v="24.86"/>
    <n v="47.05"/>
    <n v="36.56"/>
    <n v="1.47"/>
  </r>
  <r>
    <n v="2201"/>
    <s v="A3201"/>
    <x v="0"/>
    <n v="135"/>
    <x v="109"/>
    <n v="191"/>
    <n v="24"/>
    <n v="9"/>
    <n v="6.6666666666666596E-2"/>
    <x v="104"/>
    <d v="2024-11-19T00:00:00"/>
    <s v="Hyderabad"/>
    <x v="0"/>
    <x v="2"/>
    <s v="November"/>
    <x v="2"/>
    <n v="1.41392592592592"/>
    <n v="3.56"/>
    <n v="7.95"/>
    <n v="21.21"/>
    <n v="120.26"/>
    <n v="46.71"/>
    <n v="2.2000000000000002"/>
  </r>
  <r>
    <n v="2202"/>
    <s v="A3202"/>
    <x v="0"/>
    <n v="105"/>
    <x v="1558"/>
    <n v="217"/>
    <n v="30"/>
    <n v="7"/>
    <n v="6.6666666666666596E-2"/>
    <x v="136"/>
    <d v="2024-11-14T00:00:00"/>
    <s v="Hyderabad"/>
    <x v="2"/>
    <x v="0"/>
    <s v="November"/>
    <x v="5"/>
    <n v="2.0647619047618999"/>
    <n v="2.96"/>
    <n v="7.23"/>
    <n v="30.97"/>
    <n v="56.37"/>
    <n v="48.43"/>
    <n v="1.56"/>
  </r>
  <r>
    <n v="2203"/>
    <s v="A3203"/>
    <x v="3"/>
    <n v="119"/>
    <x v="1559"/>
    <n v="226"/>
    <n v="24"/>
    <n v="6"/>
    <n v="5.0420168067226802E-2"/>
    <x v="18"/>
    <d v="2024-11-13T00:00:00"/>
    <s v="Hyderabad"/>
    <x v="2"/>
    <x v="5"/>
    <s v="November"/>
    <x v="1"/>
    <n v="1.8970588235294099"/>
    <n v="2"/>
    <n v="9.41"/>
    <n v="37.619999999999997"/>
    <n v="36.880000000000003"/>
    <n v="51.5"/>
    <n v="1.37"/>
  </r>
  <r>
    <n v="2204"/>
    <s v="A3204"/>
    <x v="3"/>
    <n v="128"/>
    <x v="754"/>
    <n v="187"/>
    <n v="23"/>
    <n v="9"/>
    <n v="7.03125E-2"/>
    <x v="31"/>
    <d v="2024-11-13T00:00:00"/>
    <s v="Hyderabad"/>
    <x v="0"/>
    <x v="3"/>
    <s v="November"/>
    <x v="1"/>
    <n v="1.463125"/>
    <n v="2.75"/>
    <n v="8.14"/>
    <n v="20.81"/>
    <n v="86.35"/>
    <n v="38.78"/>
    <n v="1.86"/>
  </r>
  <r>
    <n v="2205"/>
    <s v="A3205"/>
    <x v="2"/>
    <n v="120"/>
    <x v="1560"/>
    <n v="240"/>
    <n v="23"/>
    <n v="8"/>
    <n v="6.6666666666666596E-2"/>
    <x v="22"/>
    <d v="2024-11-26T00:00:00"/>
    <s v="Hyderabad"/>
    <x v="2"/>
    <x v="4"/>
    <s v="November"/>
    <x v="2"/>
    <n v="2.0028333333333301"/>
    <n v="2.69"/>
    <n v="10.45"/>
    <n v="30.04"/>
    <n v="23.16"/>
    <n v="37"/>
    <n v="1.23"/>
  </r>
  <r>
    <n v="2206"/>
    <s v="A3206"/>
    <x v="0"/>
    <n v="163"/>
    <x v="1561"/>
    <n v="235"/>
    <n v="24"/>
    <n v="6"/>
    <n v="3.6809815950920199E-2"/>
    <x v="38"/>
    <d v="2024-11-17T00:00:00"/>
    <s v="Hyderabad"/>
    <x v="1"/>
    <x v="4"/>
    <s v="November"/>
    <x v="4"/>
    <n v="1.4400613496932499"/>
    <n v="3.23"/>
    <n v="9.7799999999999994"/>
    <n v="39.119999999999997"/>
    <n v="60.61"/>
    <n v="62.83"/>
    <n v="1.61"/>
  </r>
  <r>
    <n v="2207"/>
    <s v="A3207"/>
    <x v="1"/>
    <n v="94"/>
    <x v="1562"/>
    <n v="246"/>
    <n v="14"/>
    <n v="6"/>
    <n v="6.3829787234042507E-2"/>
    <x v="180"/>
    <d v="2024-11-15T00:00:00"/>
    <s v="Hyderabad"/>
    <x v="2"/>
    <x v="2"/>
    <s v="November"/>
    <x v="3"/>
    <n v="2.61893617021276"/>
    <n v="2.11"/>
    <n v="17.579999999999998"/>
    <n v="41.03"/>
    <n v="23.49"/>
    <n v="50.67"/>
    <n v="1.23"/>
  </r>
  <r>
    <n v="2208"/>
    <s v="A3208"/>
    <x v="0"/>
    <n v="168"/>
    <x v="583"/>
    <n v="186"/>
    <n v="21"/>
    <n v="5"/>
    <n v="2.9761904761904701E-2"/>
    <x v="126"/>
    <d v="2024-11-15T00:00:00"/>
    <s v="Hyderabad"/>
    <x v="1"/>
    <x v="3"/>
    <s v="November"/>
    <x v="3"/>
    <n v="1.10672619047619"/>
    <n v="3.04"/>
    <n v="8.85"/>
    <n v="37.19"/>
    <n v="88.78"/>
    <n v="70.2"/>
    <n v="1.89"/>
  </r>
  <r>
    <n v="2209"/>
    <s v="A3209"/>
    <x v="2"/>
    <n v="146"/>
    <x v="1050"/>
    <n v="191"/>
    <n v="18"/>
    <n v="10"/>
    <n v="6.8493150684931503E-2"/>
    <x v="109"/>
    <d v="2024-11-07T00:00:00"/>
    <s v="Hyderabad"/>
    <x v="2"/>
    <x v="2"/>
    <s v="November"/>
    <x v="5"/>
    <n v="1.30780821917808"/>
    <n v="3.26"/>
    <n v="10.61"/>
    <n v="19.09"/>
    <n v="100.06"/>
    <n v="38.200000000000003"/>
    <n v="2"/>
  </r>
  <r>
    <n v="2210"/>
    <s v="A3210"/>
    <x v="2"/>
    <n v="193"/>
    <x v="1563"/>
    <n v="244"/>
    <n v="13"/>
    <n v="10"/>
    <n v="5.1813471502590601E-2"/>
    <x v="42"/>
    <d v="2024-11-06T00:00:00"/>
    <s v="Hyderabad"/>
    <x v="2"/>
    <x v="1"/>
    <s v="November"/>
    <x v="1"/>
    <n v="1.26310880829015"/>
    <n v="3.76"/>
    <n v="18.75"/>
    <n v="24.38"/>
    <n v="32.5"/>
    <n v="32.299999999999997"/>
    <n v="1.32"/>
  </r>
  <r>
    <n v="2211"/>
    <s v="A3211"/>
    <x v="0"/>
    <n v="96"/>
    <x v="1564"/>
    <n v="223"/>
    <n v="10"/>
    <n v="8"/>
    <n v="8.3333333333333301E-2"/>
    <x v="111"/>
    <d v="2024-11-29T00:00:00"/>
    <s v="Hyderabad"/>
    <x v="2"/>
    <x v="4"/>
    <s v="November"/>
    <x v="3"/>
    <n v="2.3234374999999998"/>
    <n v="1.84"/>
    <n v="22.3"/>
    <n v="27.88"/>
    <n v="35.840000000000003"/>
    <n v="37.880000000000003"/>
    <n v="1.36"/>
  </r>
  <r>
    <n v="2212"/>
    <s v="A3212"/>
    <x v="2"/>
    <n v="150"/>
    <x v="1565"/>
    <n v="242"/>
    <n v="16"/>
    <n v="7"/>
    <n v="4.6666666666666599E-2"/>
    <x v="152"/>
    <d v="2024-11-02T00:00:00"/>
    <s v="Hyderabad"/>
    <x v="0"/>
    <x v="3"/>
    <s v="November"/>
    <x v="0"/>
    <n v="1.6148"/>
    <n v="4.34"/>
    <n v="15.14"/>
    <n v="34.6"/>
    <n v="2.39"/>
    <n v="35.43"/>
    <n v="1.02"/>
  </r>
  <r>
    <n v="2213"/>
    <s v="A3213"/>
    <x v="1"/>
    <n v="130"/>
    <x v="403"/>
    <n v="207"/>
    <n v="19"/>
    <n v="6"/>
    <n v="4.6153846153846101E-2"/>
    <x v="174"/>
    <d v="2024-11-16T00:00:00"/>
    <s v="Hyderabad"/>
    <x v="1"/>
    <x v="0"/>
    <s v="November"/>
    <x v="0"/>
    <n v="1.5930769230769199"/>
    <n v="3.16"/>
    <n v="10.9"/>
    <n v="34.520000000000003"/>
    <n v="49.69"/>
    <n v="51.67"/>
    <n v="1.5"/>
  </r>
  <r>
    <n v="2214"/>
    <s v="A3214"/>
    <x v="3"/>
    <n v="99"/>
    <x v="1023"/>
    <n v="210"/>
    <n v="28"/>
    <n v="9"/>
    <n v="9.0909090909090898E-2"/>
    <x v="70"/>
    <d v="2024-11-23T00:00:00"/>
    <s v="Hyderabad"/>
    <x v="1"/>
    <x v="5"/>
    <s v="November"/>
    <x v="0"/>
    <n v="2.1213131313131299"/>
    <n v="2.81"/>
    <n v="7.5"/>
    <n v="23.33"/>
    <n v="87.61"/>
    <n v="43.78"/>
    <n v="1.88"/>
  </r>
  <r>
    <n v="2215"/>
    <s v="A3215"/>
    <x v="2"/>
    <n v="143"/>
    <x v="305"/>
    <n v="238"/>
    <n v="26"/>
    <n v="7"/>
    <n v="4.8951048951048903E-2"/>
    <x v="0"/>
    <d v="2024-11-09T00:00:00"/>
    <s v="Hyderabad"/>
    <x v="2"/>
    <x v="5"/>
    <s v="November"/>
    <x v="0"/>
    <n v="1.6653146853146801"/>
    <n v="3.97"/>
    <n v="9.16"/>
    <n v="34.020000000000003"/>
    <n v="62.09"/>
    <n v="55.14"/>
    <n v="1.62"/>
  </r>
  <r>
    <n v="2216"/>
    <s v="A3216"/>
    <x v="2"/>
    <n v="116"/>
    <x v="1566"/>
    <n v="209"/>
    <n v="24"/>
    <n v="9"/>
    <n v="7.7586206896551699E-2"/>
    <x v="179"/>
    <d v="2024-11-10T00:00:00"/>
    <s v="Hyderabad"/>
    <x v="0"/>
    <x v="2"/>
    <s v="November"/>
    <x v="4"/>
    <n v="1.80198275862068"/>
    <n v="3.83"/>
    <n v="8.7100000000000009"/>
    <n v="23.23"/>
    <n v="77.489999999999995"/>
    <n v="41.22"/>
    <n v="1.77"/>
  </r>
  <r>
    <n v="2217"/>
    <s v="A3217"/>
    <x v="2"/>
    <n v="120"/>
    <x v="1567"/>
    <n v="215"/>
    <n v="29"/>
    <n v="5"/>
    <n v="4.1666666666666602E-2"/>
    <x v="178"/>
    <d v="2024-11-30T00:00:00"/>
    <s v="Hyderabad"/>
    <x v="1"/>
    <x v="3"/>
    <s v="November"/>
    <x v="0"/>
    <n v="1.7896666666666601"/>
    <n v="3.03"/>
    <n v="7.41"/>
    <n v="42.95"/>
    <n v="82.99"/>
    <n v="78.599999999999994"/>
    <n v="1.83"/>
  </r>
  <r>
    <n v="2218"/>
    <s v="A3218"/>
    <x v="2"/>
    <n v="115"/>
    <x v="628"/>
    <n v="195"/>
    <n v="29"/>
    <n v="9"/>
    <n v="7.8260869565217397E-2"/>
    <x v="80"/>
    <d v="2024-11-17T00:00:00"/>
    <s v="Hyderabad"/>
    <x v="0"/>
    <x v="3"/>
    <s v="November"/>
    <x v="4"/>
    <n v="1.69608695652173"/>
    <n v="2.37"/>
    <n v="6.73"/>
    <n v="21.67"/>
    <n v="72.260000000000005"/>
    <n v="37.33"/>
    <n v="1.72"/>
  </r>
  <r>
    <n v="2219"/>
    <s v="A3219"/>
    <x v="1"/>
    <n v="175"/>
    <x v="287"/>
    <n v="223"/>
    <n v="23"/>
    <n v="8"/>
    <n v="4.57142857142857E-2"/>
    <x v="108"/>
    <d v="2024-11-08T00:00:00"/>
    <s v="Hyderabad"/>
    <x v="2"/>
    <x v="0"/>
    <s v="November"/>
    <x v="3"/>
    <n v="1.2765142857142799"/>
    <n v="2.96"/>
    <n v="9.7100000000000009"/>
    <n v="27.92"/>
    <n v="45.93"/>
    <n v="40.75"/>
    <n v="1.46"/>
  </r>
  <r>
    <n v="2220"/>
    <s v="A3220"/>
    <x v="3"/>
    <n v="100"/>
    <x v="923"/>
    <n v="231"/>
    <n v="30"/>
    <n v="6"/>
    <n v="0.06"/>
    <x v="118"/>
    <d v="2024-11-12T00:00:00"/>
    <s v="Hyderabad"/>
    <x v="2"/>
    <x v="5"/>
    <s v="November"/>
    <x v="2"/>
    <n v="2.3056000000000001"/>
    <n v="2.5299999999999998"/>
    <n v="7.69"/>
    <n v="38.43"/>
    <n v="9.3000000000000007"/>
    <n v="42"/>
    <n v="1.0900000000000001"/>
  </r>
  <r>
    <n v="2221"/>
    <s v="A3221"/>
    <x v="3"/>
    <n v="114"/>
    <x v="1568"/>
    <n v="208"/>
    <n v="11"/>
    <n v="8"/>
    <n v="7.0175438596491196E-2"/>
    <x v="204"/>
    <d v="2024-11-12T00:00:00"/>
    <s v="Hyderabad"/>
    <x v="1"/>
    <x v="2"/>
    <s v="November"/>
    <x v="2"/>
    <n v="1.82122807017543"/>
    <n v="2.09"/>
    <n v="18.87"/>
    <n v="25.95"/>
    <n v="33.42"/>
    <n v="34.619999999999997"/>
    <n v="1.33"/>
  </r>
  <r>
    <n v="2222"/>
    <s v="A3222"/>
    <x v="1"/>
    <n v="109"/>
    <x v="1569"/>
    <n v="206"/>
    <n v="22"/>
    <n v="6"/>
    <n v="5.5045871559633003E-2"/>
    <x v="51"/>
    <d v="2024-11-19T00:00:00"/>
    <s v="Hyderabad"/>
    <x v="0"/>
    <x v="3"/>
    <s v="November"/>
    <x v="2"/>
    <n v="1.88697247706422"/>
    <n v="2.02"/>
    <n v="9.35"/>
    <n v="34.28"/>
    <n v="32.729999999999997"/>
    <n v="45.5"/>
    <n v="1.33"/>
  </r>
  <r>
    <n v="2223"/>
    <s v="A3223"/>
    <x v="0"/>
    <n v="154"/>
    <x v="1570"/>
    <n v="194"/>
    <n v="17"/>
    <n v="7"/>
    <n v="4.54545454545454E-2"/>
    <x v="161"/>
    <d v="2024-11-17T00:00:00"/>
    <s v="Hyderabad"/>
    <x v="1"/>
    <x v="1"/>
    <s v="November"/>
    <x v="4"/>
    <n v="1.2607142857142799"/>
    <n v="3"/>
    <n v="11.42"/>
    <n v="27.74"/>
    <n v="35.979999999999997"/>
    <n v="37.71"/>
    <n v="1.36"/>
  </r>
  <r>
    <n v="2224"/>
    <s v="A3224"/>
    <x v="2"/>
    <n v="199"/>
    <x v="1571"/>
    <n v="239"/>
    <n v="24"/>
    <n v="5"/>
    <n v="2.5125628140703501E-2"/>
    <x v="142"/>
    <d v="2024-11-21T00:00:00"/>
    <s v="Hyderabad"/>
    <x v="1"/>
    <x v="3"/>
    <s v="November"/>
    <x v="5"/>
    <n v="1.1993467336683401"/>
    <n v="5.63"/>
    <n v="9.94"/>
    <n v="47.73"/>
    <n v="51.67"/>
    <n v="72.400000000000006"/>
    <n v="1.52"/>
  </r>
  <r>
    <n v="2225"/>
    <s v="A3225"/>
    <x v="1"/>
    <n v="98"/>
    <x v="1572"/>
    <n v="183"/>
    <n v="16"/>
    <n v="9"/>
    <n v="9.18367346938775E-2"/>
    <x v="94"/>
    <d v="2024-11-19T00:00:00"/>
    <s v="Hyderabad"/>
    <x v="0"/>
    <x v="1"/>
    <s v="November"/>
    <x v="2"/>
    <n v="1.8714285714285701"/>
    <n v="2.2799999999999998"/>
    <n v="11.46"/>
    <n v="20.38"/>
    <n v="96.29"/>
    <n v="40"/>
    <n v="1.96"/>
  </r>
  <r>
    <n v="2226"/>
    <s v="A3226"/>
    <x v="2"/>
    <n v="196"/>
    <x v="147"/>
    <n v="238"/>
    <n v="20"/>
    <n v="7"/>
    <n v="3.5714285714285698E-2"/>
    <x v="70"/>
    <d v="2024-11-27T00:00:00"/>
    <s v="Hyderabad"/>
    <x v="0"/>
    <x v="2"/>
    <s v="November"/>
    <x v="1"/>
    <n v="1.21653061224489"/>
    <n v="4.49"/>
    <n v="11.92"/>
    <n v="34.06"/>
    <n v="65.239999999999995"/>
    <n v="56.29"/>
    <n v="1.65"/>
  </r>
  <r>
    <n v="2227"/>
    <s v="A3227"/>
    <x v="0"/>
    <n v="81"/>
    <x v="43"/>
    <n v="223"/>
    <n v="17"/>
    <n v="4"/>
    <n v="4.9382716049382699E-2"/>
    <x v="52"/>
    <d v="2024-11-15T00:00:00"/>
    <s v="Hyderabad"/>
    <x v="0"/>
    <x v="1"/>
    <s v="November"/>
    <x v="3"/>
    <n v="2.7517283950617202"/>
    <n v="2.1800000000000002"/>
    <n v="13.11"/>
    <n v="55.72"/>
    <n v="54.78"/>
    <n v="86.25"/>
    <n v="1.55"/>
  </r>
  <r>
    <n v="2228"/>
    <s v="A3228"/>
    <x v="0"/>
    <n v="150"/>
    <x v="1341"/>
    <n v="204"/>
    <n v="26"/>
    <n v="8"/>
    <n v="5.3333333333333302E-2"/>
    <x v="94"/>
    <d v="2024-11-18T00:00:00"/>
    <s v="Hyderabad"/>
    <x v="0"/>
    <x v="3"/>
    <s v="November"/>
    <x v="6"/>
    <n v="1.3579999999999901"/>
    <n v="3.45"/>
    <n v="7.83"/>
    <n v="25.46"/>
    <n v="76.73"/>
    <n v="45"/>
    <n v="1.77"/>
  </r>
  <r>
    <n v="2229"/>
    <s v="A3229"/>
    <x v="1"/>
    <n v="121"/>
    <x v="1032"/>
    <n v="238"/>
    <n v="29"/>
    <n v="6"/>
    <n v="4.9586776859504099E-2"/>
    <x v="119"/>
    <d v="2024-11-07T00:00:00"/>
    <s v="Hyderabad"/>
    <x v="1"/>
    <x v="0"/>
    <s v="November"/>
    <x v="5"/>
    <n v="1.9633884297520601"/>
    <n v="3.88"/>
    <n v="8.19"/>
    <n v="39.6"/>
    <n v="54.48"/>
    <n v="61.17"/>
    <n v="1.54"/>
  </r>
  <r>
    <n v="2230"/>
    <s v="A3230"/>
    <x v="3"/>
    <n v="124"/>
    <x v="1300"/>
    <n v="189"/>
    <n v="24"/>
    <n v="6"/>
    <n v="4.8387096774193498E-2"/>
    <x v="198"/>
    <d v="2024-11-04T00:00:00"/>
    <s v="Hyderabad"/>
    <x v="2"/>
    <x v="3"/>
    <s v="November"/>
    <x v="6"/>
    <n v="1.5214516129032201"/>
    <n v="3.16"/>
    <n v="7.86"/>
    <n v="31.44"/>
    <n v="59.02"/>
    <n v="50"/>
    <n v="1.59"/>
  </r>
  <r>
    <n v="2231"/>
    <s v="A3231"/>
    <x v="2"/>
    <n v="108"/>
    <x v="1573"/>
    <n v="219"/>
    <n v="22"/>
    <n v="3"/>
    <n v="2.77777777777777E-2"/>
    <x v="197"/>
    <d v="2024-11-29T00:00:00"/>
    <s v="Hyderabad"/>
    <x v="1"/>
    <x v="1"/>
    <s v="November"/>
    <x v="3"/>
    <n v="2.0308333333333302"/>
    <n v="2.62"/>
    <n v="9.9700000000000006"/>
    <n v="73.11"/>
    <n v="18.54"/>
    <n v="86.67"/>
    <n v="1.19"/>
  </r>
  <r>
    <n v="2232"/>
    <s v="A3232"/>
    <x v="3"/>
    <n v="192"/>
    <x v="1143"/>
    <n v="238"/>
    <n v="20"/>
    <n v="10"/>
    <n v="5.2083333333333301E-2"/>
    <x v="64"/>
    <d v="2024-11-12T00:00:00"/>
    <s v="Hyderabad"/>
    <x v="2"/>
    <x v="5"/>
    <s v="November"/>
    <x v="2"/>
    <n v="1.2386979166666601"/>
    <n v="5.49"/>
    <n v="11.89"/>
    <n v="23.78"/>
    <n v="96.42"/>
    <n v="46.71"/>
    <n v="1.96"/>
  </r>
  <r>
    <n v="2233"/>
    <s v="A3233"/>
    <x v="1"/>
    <n v="178"/>
    <x v="1519"/>
    <n v="193"/>
    <n v="20"/>
    <n v="10"/>
    <n v="5.6179775280898799E-2"/>
    <x v="161"/>
    <d v="2024-11-16T00:00:00"/>
    <s v="Hyderabad"/>
    <x v="2"/>
    <x v="2"/>
    <s v="November"/>
    <x v="0"/>
    <n v="1.0829775280898799"/>
    <n v="4.8"/>
    <n v="9.64"/>
    <n v="19.28"/>
    <n v="36.950000000000003"/>
    <n v="26.4"/>
    <n v="1.37"/>
  </r>
  <r>
    <n v="2234"/>
    <s v="A3234"/>
    <x v="1"/>
    <n v="191"/>
    <x v="1136"/>
    <n v="208"/>
    <n v="18"/>
    <n v="9"/>
    <n v="4.7120418848167499E-2"/>
    <x v="104"/>
    <d v="2024-11-26T00:00:00"/>
    <s v="Hyderabad"/>
    <x v="1"/>
    <x v="0"/>
    <s v="November"/>
    <x v="2"/>
    <n v="1.08769633507853"/>
    <n v="5.78"/>
    <n v="11.54"/>
    <n v="23.08"/>
    <n v="102.37"/>
    <n v="46.71"/>
    <n v="2.02"/>
  </r>
  <r>
    <n v="2235"/>
    <s v="A3235"/>
    <x v="1"/>
    <n v="147"/>
    <x v="919"/>
    <n v="243"/>
    <n v="10"/>
    <n v="4"/>
    <n v="2.7210884353741398E-2"/>
    <x v="146"/>
    <d v="2024-11-18T00:00:00"/>
    <s v="Hyderabad"/>
    <x v="0"/>
    <x v="1"/>
    <s v="November"/>
    <x v="6"/>
    <n v="1.64986394557823"/>
    <n v="4.6900000000000004"/>
    <n v="24.25"/>
    <n v="60.63"/>
    <n v="3.49"/>
    <n v="62.75"/>
    <n v="1.03"/>
  </r>
  <r>
    <n v="2236"/>
    <s v="A3236"/>
    <x v="1"/>
    <n v="88"/>
    <x v="1386"/>
    <n v="243"/>
    <n v="16"/>
    <n v="10"/>
    <n v="0.11363636363636299"/>
    <x v="57"/>
    <d v="2024-11-14T00:00:00"/>
    <s v="Hyderabad"/>
    <x v="2"/>
    <x v="5"/>
    <s v="November"/>
    <x v="5"/>
    <n v="2.7602272727272701"/>
    <n v="1.71"/>
    <n v="15.18"/>
    <n v="24.29"/>
    <n v="65.09"/>
    <n v="40.1"/>
    <n v="1.65"/>
  </r>
  <r>
    <n v="2237"/>
    <s v="A3237"/>
    <x v="2"/>
    <n v="92"/>
    <x v="1285"/>
    <n v="223"/>
    <n v="23"/>
    <n v="9"/>
    <n v="9.7826086956521702E-2"/>
    <x v="106"/>
    <d v="2024-11-18T00:00:00"/>
    <s v="Hyderabad"/>
    <x v="0"/>
    <x v="2"/>
    <s v="November"/>
    <x v="6"/>
    <n v="2.4291304347825999"/>
    <n v="1.76"/>
    <n v="9.7200000000000006"/>
    <n v="24.83"/>
    <n v="-4.24"/>
    <n v="23.78"/>
    <n v="0.96"/>
  </r>
  <r>
    <n v="2238"/>
    <s v="A3238"/>
    <x v="2"/>
    <n v="148"/>
    <x v="1377"/>
    <n v="223"/>
    <n v="30"/>
    <n v="6"/>
    <n v="4.0540540540540501E-2"/>
    <x v="206"/>
    <d v="2024-11-08T00:00:00"/>
    <s v="Hyderabad"/>
    <x v="2"/>
    <x v="1"/>
    <s v="November"/>
    <x v="3"/>
    <n v="1.5089864864864799"/>
    <n v="3.57"/>
    <n v="7.44"/>
    <n v="37.22"/>
    <n v="20.45"/>
    <n v="44.83"/>
    <n v="1.2"/>
  </r>
  <r>
    <n v="2239"/>
    <s v="A3239"/>
    <x v="0"/>
    <n v="127"/>
    <x v="394"/>
    <n v="231"/>
    <n v="11"/>
    <n v="6"/>
    <n v="4.7244094488188899E-2"/>
    <x v="173"/>
    <d v="2024-11-03T00:00:00"/>
    <s v="Hyderabad"/>
    <x v="0"/>
    <x v="4"/>
    <s v="November"/>
    <x v="4"/>
    <n v="1.8193700787401501"/>
    <n v="3.35"/>
    <n v="21.01"/>
    <n v="38.51"/>
    <n v="19.45"/>
    <n v="46"/>
    <n v="1.19"/>
  </r>
  <r>
    <n v="2240"/>
    <s v="A3240"/>
    <x v="2"/>
    <n v="156"/>
    <x v="466"/>
    <n v="249"/>
    <n v="26"/>
    <n v="6"/>
    <n v="3.8461538461538401E-2"/>
    <x v="136"/>
    <d v="2024-11-15T00:00:00"/>
    <s v="Hyderabad"/>
    <x v="2"/>
    <x v="1"/>
    <s v="November"/>
    <x v="3"/>
    <n v="1.5982692307692301"/>
    <n v="3.57"/>
    <n v="9.59"/>
    <n v="41.56"/>
    <n v="35.96"/>
    <n v="56.5"/>
    <n v="1.36"/>
  </r>
  <r>
    <n v="2241"/>
    <s v="A3241"/>
    <x v="3"/>
    <n v="176"/>
    <x v="1021"/>
    <n v="202"/>
    <n v="11"/>
    <n v="4"/>
    <n v="2.27272727272727E-2"/>
    <x v="158"/>
    <d v="2024-11-07T00:00:00"/>
    <s v="Hyderabad"/>
    <x v="1"/>
    <x v="3"/>
    <s v="November"/>
    <x v="5"/>
    <n v="1.14636363636363"/>
    <n v="4.6900000000000004"/>
    <n v="18.34"/>
    <n v="50.44"/>
    <n v="8.0500000000000007"/>
    <n v="54.5"/>
    <n v="1.08"/>
  </r>
  <r>
    <n v="2242"/>
    <s v="A3242"/>
    <x v="1"/>
    <n v="145"/>
    <x v="1574"/>
    <n v="185"/>
    <n v="25"/>
    <n v="7"/>
    <n v="4.8275862068965503E-2"/>
    <x v="140"/>
    <d v="2024-11-09T00:00:00"/>
    <s v="Hyderabad"/>
    <x v="0"/>
    <x v="3"/>
    <s v="November"/>
    <x v="0"/>
    <n v="1.2762068965517199"/>
    <n v="3.39"/>
    <n v="7.4"/>
    <n v="26.44"/>
    <n v="73.47"/>
    <n v="45.86"/>
    <n v="1.73"/>
  </r>
  <r>
    <n v="2243"/>
    <s v="A3243"/>
    <x v="3"/>
    <n v="136"/>
    <x v="1575"/>
    <n v="235"/>
    <n v="19"/>
    <n v="6"/>
    <n v="4.4117647058823498E-2"/>
    <x v="190"/>
    <d v="2024-11-18T00:00:00"/>
    <s v="Hyderabad"/>
    <x v="0"/>
    <x v="0"/>
    <s v="November"/>
    <x v="6"/>
    <n v="1.7244117647058801"/>
    <n v="3.14"/>
    <n v="12.34"/>
    <n v="39.090000000000003"/>
    <n v="1.06"/>
    <n v="39.5"/>
    <n v="1.01"/>
  </r>
  <r>
    <n v="2244"/>
    <s v="A3244"/>
    <x v="3"/>
    <n v="150"/>
    <x v="206"/>
    <n v="219"/>
    <n v="25"/>
    <n v="6"/>
    <n v="0.04"/>
    <x v="44"/>
    <d v="2024-11-09T00:00:00"/>
    <s v="Hyderabad"/>
    <x v="2"/>
    <x v="4"/>
    <s v="November"/>
    <x v="0"/>
    <n v="1.4606666666666599"/>
    <n v="3.75"/>
    <n v="8.76"/>
    <n v="36.520000000000003"/>
    <n v="27.34"/>
    <n v="46.5"/>
    <n v="1.27"/>
  </r>
  <r>
    <n v="2245"/>
    <s v="A3245"/>
    <x v="3"/>
    <n v="145"/>
    <x v="640"/>
    <n v="191"/>
    <n v="13"/>
    <n v="10"/>
    <n v="6.8965517241379296E-2"/>
    <x v="86"/>
    <d v="2024-11-21T00:00:00"/>
    <s v="Hyderabad"/>
    <x v="2"/>
    <x v="1"/>
    <s v="November"/>
    <x v="5"/>
    <n v="1.3146896551724101"/>
    <n v="3.27"/>
    <n v="14.66"/>
    <n v="19.059999999999999"/>
    <n v="61.04"/>
    <n v="30.7"/>
    <n v="1.61"/>
  </r>
  <r>
    <n v="2246"/>
    <s v="A3246"/>
    <x v="0"/>
    <n v="165"/>
    <x v="1499"/>
    <n v="259"/>
    <n v="28"/>
    <n v="6"/>
    <n v="3.6363636363636299E-2"/>
    <x v="38"/>
    <d v="2024-11-02T00:00:00"/>
    <s v="Hyderabad"/>
    <x v="0"/>
    <x v="2"/>
    <s v="November"/>
    <x v="0"/>
    <n v="1.56753061615001"/>
    <n v="2.91"/>
    <n v="9.24"/>
    <n v="43.11"/>
    <n v="45.76"/>
    <n v="62.83"/>
    <n v="1.46"/>
  </r>
  <r>
    <n v="2247"/>
    <s v="A3247"/>
    <x v="2"/>
    <n v="183"/>
    <x v="1576"/>
    <n v="248"/>
    <n v="14"/>
    <n v="5"/>
    <n v="2.7322404371584699E-2"/>
    <x v="103"/>
    <d v="2024-11-25T00:00:00"/>
    <s v="Hyderabad"/>
    <x v="2"/>
    <x v="1"/>
    <s v="November"/>
    <x v="6"/>
    <n v="1.3560109289617399"/>
    <n v="3.18"/>
    <n v="17.73"/>
    <n v="49.63"/>
    <n v="-16.579999999999998"/>
    <n v="41.4"/>
    <n v="0.83"/>
  </r>
  <r>
    <n v="2248"/>
    <s v="A3248"/>
    <x v="3"/>
    <n v="176"/>
    <x v="708"/>
    <n v="214"/>
    <n v="29"/>
    <n v="4"/>
    <n v="2.27272727272727E-2"/>
    <x v="115"/>
    <d v="2024-11-25T00:00:00"/>
    <s v="Hyderabad"/>
    <x v="2"/>
    <x v="4"/>
    <s v="November"/>
    <x v="6"/>
    <n v="1.2159090909090899"/>
    <n v="4.51"/>
    <n v="7.38"/>
    <n v="53.5"/>
    <n v="31.78"/>
    <n v="70.5"/>
    <n v="1.32"/>
  </r>
  <r>
    <n v="2249"/>
    <s v="A3249"/>
    <x v="0"/>
    <n v="164"/>
    <x v="107"/>
    <n v="195"/>
    <n v="20"/>
    <n v="5"/>
    <n v="3.04878048780487E-2"/>
    <x v="84"/>
    <d v="2024-11-12T00:00:00"/>
    <s v="Hyderabad"/>
    <x v="2"/>
    <x v="5"/>
    <s v="November"/>
    <x v="2"/>
    <n v="1.18756097560975"/>
    <n v="3.2"/>
    <n v="9.74"/>
    <n v="38.950000000000003"/>
    <n v="19.93"/>
    <n v="46.71"/>
    <n v="1.2"/>
  </r>
  <r>
    <n v="2250"/>
    <s v="A3250"/>
    <x v="0"/>
    <n v="124"/>
    <x v="938"/>
    <n v="231"/>
    <n v="15"/>
    <n v="6"/>
    <n v="4.8387096774193498E-2"/>
    <x v="195"/>
    <d v="2024-11-02T00:00:00"/>
    <s v="Hyderabad"/>
    <x v="0"/>
    <x v="1"/>
    <s v="November"/>
    <x v="0"/>
    <n v="1.8613709677419299"/>
    <n v="3.03"/>
    <n v="15.39"/>
    <n v="38.47"/>
    <n v="51.64"/>
    <n v="58.33"/>
    <n v="1.52"/>
  </r>
  <r>
    <n v="2251"/>
    <s v="A3251"/>
    <x v="2"/>
    <n v="95"/>
    <x v="1577"/>
    <n v="220"/>
    <n v="15"/>
    <n v="3"/>
    <n v="3.1578947368420998E-2"/>
    <x v="44"/>
    <d v="2024-11-04T00:00:00"/>
    <s v="Hyderabad"/>
    <x v="1"/>
    <x v="3"/>
    <s v="November"/>
    <x v="6"/>
    <n v="2.3162105263157802"/>
    <n v="1.93"/>
    <n v="14.67"/>
    <n v="73.349999999999994"/>
    <n v="26.8"/>
    <n v="93"/>
    <n v="1.27"/>
  </r>
  <r>
    <n v="2252"/>
    <s v="A3252"/>
    <x v="2"/>
    <n v="83"/>
    <x v="1578"/>
    <n v="210"/>
    <n v="30"/>
    <n v="4"/>
    <n v="4.8192771084337303E-2"/>
    <x v="211"/>
    <d v="2024-11-13T00:00:00"/>
    <s v="Hyderabad"/>
    <x v="0"/>
    <x v="5"/>
    <s v="November"/>
    <x v="1"/>
    <n v="2.5255421686746899"/>
    <n v="1.6"/>
    <n v="6.99"/>
    <n v="52.4"/>
    <n v="91.78"/>
    <n v="100.5"/>
    <n v="1.92"/>
  </r>
  <r>
    <n v="2253"/>
    <s v="A3253"/>
    <x v="3"/>
    <n v="91"/>
    <x v="1579"/>
    <n v="217"/>
    <n v="10"/>
    <n v="10"/>
    <n v="0.109890109890109"/>
    <x v="7"/>
    <d v="2024-11-29T00:00:00"/>
    <s v="Hyderabad"/>
    <x v="1"/>
    <x v="0"/>
    <s v="November"/>
    <x v="3"/>
    <n v="2.38835164835164"/>
    <n v="1.82"/>
    <n v="21.73"/>
    <n v="21.73"/>
    <n v="41.71"/>
    <n v="30.8"/>
    <n v="1.42"/>
  </r>
  <r>
    <n v="2254"/>
    <s v="A3254"/>
    <x v="0"/>
    <n v="107"/>
    <x v="671"/>
    <n v="216"/>
    <n v="14"/>
    <n v="8"/>
    <n v="7.4766355140186896E-2"/>
    <x v="77"/>
    <d v="2024-11-19T00:00:00"/>
    <s v="Hyderabad"/>
    <x v="1"/>
    <x v="4"/>
    <s v="November"/>
    <x v="2"/>
    <n v="2.0196261682242902"/>
    <n v="1.94"/>
    <n v="15.44"/>
    <n v="27.01"/>
    <n v="75.38"/>
    <n v="47.38"/>
    <n v="1.75"/>
  </r>
  <r>
    <n v="2255"/>
    <s v="A3255"/>
    <x v="1"/>
    <n v="83"/>
    <x v="1225"/>
    <n v="127"/>
    <n v="25"/>
    <n v="10"/>
    <n v="0.120481927710843"/>
    <x v="140"/>
    <d v="2024-11-07T00:00:00"/>
    <s v="Hyderabad"/>
    <x v="1"/>
    <x v="0"/>
    <s v="November"/>
    <x v="5"/>
    <n v="1.5243795620437901"/>
    <n v="2.6"/>
    <n v="5.0599999999999996"/>
    <n v="12.65"/>
    <n v="153.71"/>
    <n v="32.1"/>
    <n v="2.54"/>
  </r>
  <r>
    <n v="2256"/>
    <s v="A3256"/>
    <x v="1"/>
    <n v="166"/>
    <x v="1580"/>
    <n v="239"/>
    <n v="18"/>
    <n v="8"/>
    <n v="4.8192771084337303E-2"/>
    <x v="25"/>
    <d v="2024-11-06T00:00:00"/>
    <s v="Hyderabad"/>
    <x v="1"/>
    <x v="0"/>
    <s v="November"/>
    <x v="1"/>
    <n v="1.43710843373493"/>
    <n v="4.38"/>
    <n v="13.25"/>
    <n v="29.82"/>
    <n v="41.68"/>
    <n v="42.25"/>
    <n v="1.42"/>
  </r>
  <r>
    <n v="2257"/>
    <s v="A3257"/>
    <x v="2"/>
    <n v="182"/>
    <x v="794"/>
    <n v="234"/>
    <n v="24"/>
    <n v="10"/>
    <n v="5.4945054945054903E-2"/>
    <x v="87"/>
    <d v="2024-11-13T00:00:00"/>
    <s v="Hyderabad"/>
    <x v="1"/>
    <x v="0"/>
    <s v="November"/>
    <x v="1"/>
    <n v="1.28428571428571"/>
    <n v="3.98"/>
    <n v="9.74"/>
    <n v="23.37"/>
    <n v="60.86"/>
    <n v="37.6"/>
    <n v="1.61"/>
  </r>
  <r>
    <n v="2258"/>
    <s v="A3258"/>
    <x v="0"/>
    <n v="188"/>
    <x v="1581"/>
    <n v="250"/>
    <n v="12"/>
    <n v="9"/>
    <n v="4.7872340425531901E-2"/>
    <x v="47"/>
    <d v="2024-11-13T00:00:00"/>
    <s v="Hyderabad"/>
    <x v="0"/>
    <x v="5"/>
    <s v="November"/>
    <x v="1"/>
    <n v="1.3271276595744601"/>
    <n v="4.29"/>
    <n v="20.79"/>
    <n v="27.72"/>
    <n v="42.69"/>
    <n v="39.56"/>
    <n v="1.43"/>
  </r>
  <r>
    <n v="2259"/>
    <s v="A3259"/>
    <x v="3"/>
    <n v="107"/>
    <x v="514"/>
    <n v="231"/>
    <n v="17"/>
    <n v="7"/>
    <n v="6.5420560747663503E-2"/>
    <x v="28"/>
    <d v="2024-11-18T00:00:00"/>
    <s v="Hyderabad"/>
    <x v="2"/>
    <x v="4"/>
    <s v="November"/>
    <x v="6"/>
    <n v="2.1564485981308401"/>
    <n v="2.3199999999999998"/>
    <n v="13.57"/>
    <n v="32.96"/>
    <n v="40.42"/>
    <n v="46.29"/>
    <n v="1.4"/>
  </r>
  <r>
    <n v="2260"/>
    <s v="A3260"/>
    <x v="3"/>
    <n v="169"/>
    <x v="628"/>
    <n v="195"/>
    <n v="18"/>
    <n v="7"/>
    <n v="4.14201183431952E-2"/>
    <x v="144"/>
    <d v="2024-11-22T00:00:00"/>
    <s v="Hyderabad"/>
    <x v="1"/>
    <x v="2"/>
    <s v="November"/>
    <x v="3"/>
    <n v="1.15260355029585"/>
    <n v="3.48"/>
    <n v="10.82"/>
    <n v="27.83"/>
    <n v="45.8"/>
    <n v="40.57"/>
    <n v="1.46"/>
  </r>
  <r>
    <n v="2261"/>
    <s v="A3261"/>
    <x v="1"/>
    <n v="165"/>
    <x v="872"/>
    <n v="190"/>
    <n v="18"/>
    <n v="3"/>
    <n v="1.8181818181818101E-2"/>
    <x v="150"/>
    <d v="2024-11-18T00:00:00"/>
    <s v="Hyderabad"/>
    <x v="0"/>
    <x v="3"/>
    <s v="November"/>
    <x v="6"/>
    <n v="1.15333333333333"/>
    <n v="5.24"/>
    <n v="10.57"/>
    <n v="63.43"/>
    <n v="20.86"/>
    <n v="76.67"/>
    <n v="1.21"/>
  </r>
  <r>
    <n v="2262"/>
    <s v="A3262"/>
    <x v="3"/>
    <n v="137"/>
    <x v="462"/>
    <n v="201"/>
    <n v="10"/>
    <n v="4"/>
    <n v="2.9197080291970798E-2"/>
    <x v="1"/>
    <d v="2024-11-27T00:00:00"/>
    <s v="Hyderabad"/>
    <x v="2"/>
    <x v="0"/>
    <s v="November"/>
    <x v="1"/>
    <n v="1.4681751824817499"/>
    <n v="2.96"/>
    <n v="20.11"/>
    <n v="50.28"/>
    <n v="70.53"/>
    <n v="85.75"/>
    <n v="1.71"/>
  </r>
  <r>
    <n v="2263"/>
    <s v="A3263"/>
    <x v="3"/>
    <n v="135"/>
    <x v="1582"/>
    <n v="207"/>
    <n v="14"/>
    <n v="3"/>
    <n v="2.2222222222222199E-2"/>
    <x v="196"/>
    <d v="2024-11-21T00:00:00"/>
    <s v="Hyderabad"/>
    <x v="2"/>
    <x v="3"/>
    <s v="November"/>
    <x v="5"/>
    <n v="1.5343703703703699"/>
    <n v="3.64"/>
    <n v="14.8"/>
    <n v="69.05"/>
    <n v="76.209999999999994"/>
    <n v="121.67"/>
    <n v="1.76"/>
  </r>
  <r>
    <n v="2264"/>
    <s v="A3264"/>
    <x v="2"/>
    <n v="130"/>
    <x v="1583"/>
    <n v="198"/>
    <n v="23"/>
    <n v="8"/>
    <n v="6.15384615384615E-2"/>
    <x v="32"/>
    <d v="2024-11-30T00:00:00"/>
    <s v="Hyderabad"/>
    <x v="1"/>
    <x v="2"/>
    <s v="November"/>
    <x v="0"/>
    <n v="1.5243795620437901"/>
    <n v="2.27"/>
    <n v="8.6199999999999992"/>
    <n v="24.77"/>
    <n v="88.58"/>
    <n v="46.71"/>
    <n v="1.89"/>
  </r>
  <r>
    <n v="2265"/>
    <s v="A3265"/>
    <x v="1"/>
    <n v="193"/>
    <x v="1028"/>
    <n v="231"/>
    <n v="26"/>
    <n v="8"/>
    <n v="4.1450777202072499E-2"/>
    <x v="53"/>
    <d v="2024-11-11T00:00:00"/>
    <s v="Hyderabad"/>
    <x v="0"/>
    <x v="2"/>
    <s v="November"/>
    <x v="6"/>
    <n v="1.1966321243523299"/>
    <n v="3.03"/>
    <n v="8.8800000000000008"/>
    <n v="28.87"/>
    <n v="-6.91"/>
    <n v="26.88"/>
    <n v="0.93"/>
  </r>
  <r>
    <n v="2266"/>
    <s v="A3266"/>
    <x v="2"/>
    <n v="122"/>
    <x v="1584"/>
    <n v="244"/>
    <n v="26"/>
    <n v="4"/>
    <n v="3.2786885245901599E-2"/>
    <x v="212"/>
    <d v="2024-11-24T00:00:00"/>
    <s v="Hyderabad"/>
    <x v="1"/>
    <x v="4"/>
    <s v="November"/>
    <x v="4"/>
    <n v="1.99868852459016"/>
    <n v="2.68"/>
    <n v="9.3800000000000008"/>
    <n v="60.96"/>
    <n v="-2.4"/>
    <n v="59.5"/>
    <n v="0.98"/>
  </r>
  <r>
    <n v="2267"/>
    <s v="A3267"/>
    <x v="0"/>
    <n v="167"/>
    <x v="615"/>
    <n v="204"/>
    <n v="24"/>
    <n v="8"/>
    <n v="4.7904191616766401E-2"/>
    <x v="22"/>
    <d v="2024-11-09T00:00:00"/>
    <s v="Hyderabad"/>
    <x v="1"/>
    <x v="1"/>
    <s v="November"/>
    <x v="0"/>
    <n v="1.22263473053892"/>
    <n v="2.87"/>
    <n v="8.51"/>
    <n v="25.52"/>
    <n v="44.97"/>
    <n v="37"/>
    <n v="1.45"/>
  </r>
  <r>
    <n v="2268"/>
    <s v="A3268"/>
    <x v="1"/>
    <n v="145"/>
    <x v="1585"/>
    <n v="241"/>
    <n v="18"/>
    <n v="6"/>
    <n v="4.1379310344827502E-2"/>
    <x v="74"/>
    <d v="2024-11-19T00:00:00"/>
    <s v="Hyderabad"/>
    <x v="0"/>
    <x v="3"/>
    <s v="November"/>
    <x v="2"/>
    <n v="1.6594482758620599"/>
    <n v="2.52"/>
    <n v="13.37"/>
    <n v="40.1"/>
    <n v="-10.23"/>
    <n v="36"/>
    <n v="0.9"/>
  </r>
  <r>
    <n v="2269"/>
    <s v="A3269"/>
    <x v="0"/>
    <n v="80"/>
    <x v="885"/>
    <n v="228"/>
    <n v="19"/>
    <n v="8"/>
    <n v="0.1"/>
    <x v="203"/>
    <d v="2024-11-13T00:00:00"/>
    <s v="Hyderabad"/>
    <x v="2"/>
    <x v="5"/>
    <s v="November"/>
    <x v="1"/>
    <n v="2.8507500000000001"/>
    <n v="1.42"/>
    <n v="12"/>
    <n v="28.51"/>
    <n v="60.48"/>
    <n v="45.75"/>
    <n v="1.6"/>
  </r>
  <r>
    <n v="2270"/>
    <s v="A3270"/>
    <x v="1"/>
    <n v="133"/>
    <x v="1586"/>
    <n v="239"/>
    <n v="24"/>
    <n v="8"/>
    <n v="6.01503759398496E-2"/>
    <x v="32"/>
    <d v="2024-11-10T00:00:00"/>
    <s v="Hyderabad"/>
    <x v="1"/>
    <x v="3"/>
    <s v="November"/>
    <x v="4"/>
    <n v="1.79511278195488"/>
    <n v="3.04"/>
    <n v="9.9499999999999993"/>
    <n v="29.84"/>
    <n v="56.53"/>
    <n v="46.71"/>
    <n v="1.57"/>
  </r>
  <r>
    <n v="2271"/>
    <s v="A3271"/>
    <x v="1"/>
    <n v="141"/>
    <x v="312"/>
    <n v="224"/>
    <n v="19"/>
    <n v="5"/>
    <n v="3.54609929078014E-2"/>
    <x v="205"/>
    <d v="2024-11-16T00:00:00"/>
    <s v="Hyderabad"/>
    <x v="1"/>
    <x v="4"/>
    <s v="November"/>
    <x v="0"/>
    <n v="1.5918439716312001"/>
    <n v="2.5099999999999998"/>
    <n v="11.81"/>
    <n v="44.89"/>
    <n v="4.7"/>
    <n v="47"/>
    <n v="1.05"/>
  </r>
  <r>
    <n v="2272"/>
    <s v="A3272"/>
    <x v="3"/>
    <n v="180"/>
    <x v="825"/>
    <n v="198"/>
    <n v="19"/>
    <n v="3"/>
    <n v="1.6666666666666601E-2"/>
    <x v="54"/>
    <d v="2024-11-29T00:00:00"/>
    <s v="Hyderabad"/>
    <x v="1"/>
    <x v="4"/>
    <s v="November"/>
    <x v="3"/>
    <n v="1.10205555555555"/>
    <n v="5.8"/>
    <n v="10.44"/>
    <n v="66.12"/>
    <n v="-29.35"/>
    <n v="46.71"/>
    <n v="0.71"/>
  </r>
  <r>
    <n v="2273"/>
    <s v="A3273"/>
    <x v="2"/>
    <n v="196"/>
    <x v="1587"/>
    <n v="247"/>
    <n v="22"/>
    <n v="9"/>
    <n v="4.5918367346938702E-2"/>
    <x v="195"/>
    <d v="2024-11-14T00:00:00"/>
    <s v="Hyderabad"/>
    <x v="1"/>
    <x v="4"/>
    <s v="November"/>
    <x v="5"/>
    <n v="1.2595918367346901"/>
    <n v="3.37"/>
    <n v="11.22"/>
    <n v="27.43"/>
    <n v="41.77"/>
    <n v="38.89"/>
    <n v="1.42"/>
  </r>
  <r>
    <n v="2274"/>
    <s v="A3274"/>
    <x v="3"/>
    <n v="168"/>
    <x v="1588"/>
    <n v="219"/>
    <n v="22"/>
    <n v="5"/>
    <n v="2.9761904761904701E-2"/>
    <x v="13"/>
    <d v="2024-11-15T00:00:00"/>
    <s v="Hyderabad"/>
    <x v="2"/>
    <x v="4"/>
    <s v="November"/>
    <x v="3"/>
    <n v="1.3035714285714199"/>
    <n v="3.43"/>
    <n v="9.9499999999999993"/>
    <n v="43.8"/>
    <n v="43.38"/>
    <n v="62.8"/>
    <n v="1.43"/>
  </r>
  <r>
    <n v="2275"/>
    <s v="A3275"/>
    <x v="0"/>
    <n v="138"/>
    <x v="224"/>
    <n v="184"/>
    <n v="17"/>
    <n v="9"/>
    <n v="6.5217391304347797E-2"/>
    <x v="129"/>
    <d v="2024-11-30T00:00:00"/>
    <s v="Hyderabad"/>
    <x v="0"/>
    <x v="1"/>
    <s v="November"/>
    <x v="0"/>
    <n v="1.33028985507246"/>
    <n v="3.02"/>
    <n v="10.8"/>
    <n v="20.399999999999999"/>
    <n v="85.21"/>
    <n v="37.78"/>
    <n v="1.85"/>
  </r>
  <r>
    <n v="2276"/>
    <s v="A3276"/>
    <x v="1"/>
    <n v="178"/>
    <x v="1589"/>
    <n v="238"/>
    <n v="14"/>
    <n v="10"/>
    <n v="5.6179775280898799E-2"/>
    <x v="22"/>
    <d v="2024-11-21T00:00:00"/>
    <s v="Hyderabad"/>
    <x v="1"/>
    <x v="0"/>
    <s v="November"/>
    <x v="5"/>
    <n v="1.33578651685393"/>
    <n v="3.78"/>
    <n v="16.98"/>
    <n v="23.78"/>
    <n v="24.49"/>
    <n v="29.6"/>
    <n v="1.24"/>
  </r>
  <r>
    <n v="2277"/>
    <s v="A3277"/>
    <x v="1"/>
    <n v="93"/>
    <x v="1590"/>
    <n v="190"/>
    <n v="27"/>
    <n v="3"/>
    <n v="3.2258064516128997E-2"/>
    <x v="63"/>
    <d v="2024-11-18T00:00:00"/>
    <s v="Hyderabad"/>
    <x v="2"/>
    <x v="0"/>
    <s v="November"/>
    <x v="6"/>
    <n v="2.0379569892473102"/>
    <n v="2.36"/>
    <n v="7.02"/>
    <n v="63.18"/>
    <n v="67.78"/>
    <n v="106"/>
    <n v="1.68"/>
  </r>
  <r>
    <n v="2278"/>
    <s v="A3278"/>
    <x v="3"/>
    <n v="138"/>
    <x v="435"/>
    <n v="201"/>
    <n v="30"/>
    <n v="10"/>
    <n v="7.2463768115942004E-2"/>
    <x v="90"/>
    <d v="2024-11-18T00:00:00"/>
    <s v="Hyderabad"/>
    <x v="0"/>
    <x v="5"/>
    <s v="November"/>
    <x v="6"/>
    <n v="1.45789855072463"/>
    <n v="2.35"/>
    <n v="6.71"/>
    <n v="20.12"/>
    <n v="92.36"/>
    <n v="38.700000000000003"/>
    <n v="1.92"/>
  </r>
  <r>
    <n v="2279"/>
    <s v="A3279"/>
    <x v="3"/>
    <n v="143"/>
    <x v="1591"/>
    <n v="214"/>
    <n v="14"/>
    <n v="8"/>
    <n v="5.5944055944055902E-2"/>
    <x v="173"/>
    <d v="2024-11-22T00:00:00"/>
    <s v="Hyderabad"/>
    <x v="1"/>
    <x v="1"/>
    <s v="November"/>
    <x v="3"/>
    <n v="1.49944055944055"/>
    <n v="3.2"/>
    <n v="15.32"/>
    <n v="26.8"/>
    <n v="28.72"/>
    <n v="34.5"/>
    <n v="1.29"/>
  </r>
  <r>
    <n v="2280"/>
    <s v="A3280"/>
    <x v="1"/>
    <n v="176"/>
    <x v="103"/>
    <n v="272"/>
    <n v="22"/>
    <n v="9"/>
    <n v="5.1136363636363598E-2"/>
    <x v="44"/>
    <d v="2024-11-14T00:00:00"/>
    <s v="Hyderabad"/>
    <x v="2"/>
    <x v="1"/>
    <s v="November"/>
    <x v="5"/>
    <n v="1.5443975742271101"/>
    <n v="3.03"/>
    <n v="12.36"/>
    <n v="30.2"/>
    <n v="2.64"/>
    <n v="31"/>
    <n v="1.03"/>
  </r>
  <r>
    <n v="2281"/>
    <s v="A3281"/>
    <x v="3"/>
    <n v="147"/>
    <x v="1592"/>
    <n v="229"/>
    <n v="16"/>
    <n v="10"/>
    <n v="6.8027210884353706E-2"/>
    <x v="63"/>
    <d v="2024-11-27T00:00:00"/>
    <s v="Hyderabad"/>
    <x v="0"/>
    <x v="5"/>
    <s v="November"/>
    <x v="1"/>
    <n v="1.5591156462585001"/>
    <n v="3.64"/>
    <n v="14.32"/>
    <n v="22.92"/>
    <n v="38.75"/>
    <n v="31.8"/>
    <n v="1.39"/>
  </r>
  <r>
    <n v="2282"/>
    <s v="A3282"/>
    <x v="3"/>
    <n v="101"/>
    <x v="577"/>
    <n v="188"/>
    <n v="16"/>
    <n v="10"/>
    <n v="9.9009900990099001E-2"/>
    <x v="206"/>
    <d v="2024-11-08T00:00:00"/>
    <s v="Hyderabad"/>
    <x v="0"/>
    <x v="4"/>
    <s v="November"/>
    <x v="3"/>
    <n v="1.86524752475247"/>
    <n v="2.93"/>
    <n v="11.77"/>
    <n v="18.84"/>
    <n v="42.79"/>
    <n v="26.9"/>
    <n v="1.43"/>
  </r>
  <r>
    <n v="2283"/>
    <s v="A3283"/>
    <x v="3"/>
    <n v="195"/>
    <x v="1593"/>
    <n v="232"/>
    <n v="13"/>
    <n v="10"/>
    <n v="5.1282051282051197E-2"/>
    <x v="34"/>
    <d v="2024-11-25T00:00:00"/>
    <s v="Hyderabad"/>
    <x v="0"/>
    <x v="0"/>
    <s v="November"/>
    <x v="6"/>
    <n v="1.18907692307692"/>
    <n v="4.6500000000000004"/>
    <n v="17.84"/>
    <n v="23.19"/>
    <n v="61.3"/>
    <n v="37.4"/>
    <n v="1.61"/>
  </r>
  <r>
    <n v="2284"/>
    <s v="A3284"/>
    <x v="1"/>
    <n v="142"/>
    <x v="321"/>
    <n v="238"/>
    <n v="17"/>
    <n v="10"/>
    <n v="7.0422535211267595E-2"/>
    <x v="143"/>
    <d v="2024-11-27T00:00:00"/>
    <s v="Hyderabad"/>
    <x v="2"/>
    <x v="2"/>
    <s v="November"/>
    <x v="1"/>
    <n v="1.6757042253521099"/>
    <n v="2.65"/>
    <n v="14"/>
    <n v="23.8"/>
    <n v="32.799999999999997"/>
    <n v="31.6"/>
    <n v="1.33"/>
  </r>
  <r>
    <n v="2285"/>
    <s v="A3285"/>
    <x v="0"/>
    <n v="139"/>
    <x v="1594"/>
    <n v="235"/>
    <n v="10"/>
    <n v="3"/>
    <n v="2.15827338129496E-2"/>
    <x v="20"/>
    <d v="2024-11-18T00:00:00"/>
    <s v="Hyderabad"/>
    <x v="2"/>
    <x v="0"/>
    <s v="November"/>
    <x v="6"/>
    <n v="1.6887050359712199"/>
    <n v="3.61"/>
    <n v="23.47"/>
    <n v="78.239999999999995"/>
    <n v="56.78"/>
    <n v="122.67"/>
    <n v="1.57"/>
  </r>
  <r>
    <n v="2286"/>
    <s v="A3286"/>
    <x v="0"/>
    <n v="84"/>
    <x v="1595"/>
    <n v="244"/>
    <n v="22"/>
    <n v="10"/>
    <n v="0.119047619047619"/>
    <x v="26"/>
    <d v="2024-11-03T00:00:00"/>
    <s v="Hyderabad"/>
    <x v="2"/>
    <x v="3"/>
    <s v="November"/>
    <x v="4"/>
    <n v="2.9094047619047601"/>
    <n v="1.5"/>
    <n v="11.11"/>
    <n v="24.44"/>
    <n v="40.76"/>
    <n v="34.4"/>
    <n v="1.41"/>
  </r>
  <r>
    <n v="2287"/>
    <s v="A3287"/>
    <x v="3"/>
    <n v="103"/>
    <x v="1596"/>
    <n v="237"/>
    <n v="21"/>
    <n v="7"/>
    <n v="6.7961165048543604E-2"/>
    <x v="109"/>
    <d v="2024-11-22T00:00:00"/>
    <s v="Hyderabad"/>
    <x v="2"/>
    <x v="5"/>
    <s v="November"/>
    <x v="3"/>
    <n v="2.3015533980582501"/>
    <n v="1.88"/>
    <n v="11.29"/>
    <n v="33.869999999999997"/>
    <n v="61.14"/>
    <n v="54.57"/>
    <n v="1.61"/>
  </r>
  <r>
    <n v="2288"/>
    <s v="A3288"/>
    <x v="2"/>
    <n v="108"/>
    <x v="1597"/>
    <n v="203"/>
    <n v="29"/>
    <n v="8"/>
    <n v="7.4074074074074001E-2"/>
    <x v="44"/>
    <d v="2024-11-01T00:00:00"/>
    <s v="Hyderabad"/>
    <x v="1"/>
    <x v="2"/>
    <s v="November"/>
    <x v="3"/>
    <n v="1.88379629629629"/>
    <n v="2.94"/>
    <n v="7.02"/>
    <n v="25.43"/>
    <n v="37.130000000000003"/>
    <n v="34.880000000000003"/>
    <n v="1.37"/>
  </r>
  <r>
    <n v="2289"/>
    <s v="A3289"/>
    <x v="1"/>
    <n v="171"/>
    <x v="1598"/>
    <n v="221"/>
    <n v="25"/>
    <n v="8"/>
    <n v="4.6783625730994101E-2"/>
    <x v="78"/>
    <d v="2024-11-01T00:00:00"/>
    <s v="Hyderabad"/>
    <x v="2"/>
    <x v="2"/>
    <s v="November"/>
    <x v="3"/>
    <n v="1.2917543859649101"/>
    <n v="3.97"/>
    <n v="8.84"/>
    <n v="27.61"/>
    <n v="9.56"/>
    <n v="30.25"/>
    <n v="1.1000000000000001"/>
  </r>
  <r>
    <n v="2290"/>
    <s v="A3290"/>
    <x v="1"/>
    <n v="80"/>
    <x v="1599"/>
    <n v="227"/>
    <n v="14"/>
    <n v="3"/>
    <n v="3.7499999999999999E-2"/>
    <x v="93"/>
    <d v="2024-11-21T00:00:00"/>
    <s v="Hyderabad"/>
    <x v="2"/>
    <x v="1"/>
    <s v="November"/>
    <x v="5"/>
    <n v="2.8348749999999998"/>
    <n v="1.9"/>
    <n v="16.2"/>
    <n v="75.599999999999994"/>
    <n v="29.19"/>
    <n v="97.67"/>
    <n v="1.29"/>
  </r>
  <r>
    <n v="2291"/>
    <s v="A3291"/>
    <x v="3"/>
    <n v="169"/>
    <x v="1600"/>
    <n v="238"/>
    <n v="15"/>
    <n v="3"/>
    <n v="1.7751479289940801E-2"/>
    <x v="14"/>
    <d v="2024-11-21T00:00:00"/>
    <s v="Hyderabad"/>
    <x v="1"/>
    <x v="5"/>
    <s v="November"/>
    <x v="5"/>
    <n v="1.40727810650887"/>
    <n v="4.71"/>
    <n v="15.86"/>
    <n v="79.28"/>
    <n v="50.53"/>
    <n v="119.33"/>
    <n v="1.51"/>
  </r>
  <r>
    <n v="2292"/>
    <s v="A3292"/>
    <x v="3"/>
    <n v="92"/>
    <x v="1601"/>
    <n v="189"/>
    <n v="22"/>
    <n v="7"/>
    <n v="7.6086956521739094E-2"/>
    <x v="172"/>
    <d v="2024-11-18T00:00:00"/>
    <s v="Hyderabad"/>
    <x v="1"/>
    <x v="5"/>
    <s v="November"/>
    <x v="6"/>
    <n v="2.0595652173913002"/>
    <n v="3.02"/>
    <n v="8.61"/>
    <n v="27.07"/>
    <n v="87.35"/>
    <n v="50.71"/>
    <n v="1.87"/>
  </r>
  <r>
    <n v="2293"/>
    <s v="A3293"/>
    <x v="1"/>
    <n v="92"/>
    <x v="1602"/>
    <n v="233"/>
    <n v="19"/>
    <n v="10"/>
    <n v="0.108695652173913"/>
    <x v="174"/>
    <d v="2024-11-27T00:00:00"/>
    <s v="Hyderabad"/>
    <x v="1"/>
    <x v="0"/>
    <s v="November"/>
    <x v="1"/>
    <n v="2.5358695652173902"/>
    <n v="1.99"/>
    <n v="12.28"/>
    <n v="23.33"/>
    <n v="32.880000000000003"/>
    <n v="31"/>
    <n v="1.33"/>
  </r>
  <r>
    <n v="2294"/>
    <s v="A3294"/>
    <x v="0"/>
    <n v="189"/>
    <x v="1603"/>
    <n v="248"/>
    <n v="23"/>
    <n v="7"/>
    <n v="3.7037037037037E-2"/>
    <x v="113"/>
    <d v="2024-11-10T00:00:00"/>
    <s v="Hyderabad"/>
    <x v="2"/>
    <x v="5"/>
    <s v="November"/>
    <x v="4"/>
    <n v="1.3123280423280399"/>
    <n v="3.36"/>
    <n v="10.78"/>
    <n v="35.43"/>
    <n v="31.84"/>
    <n v="46.71"/>
    <n v="1.32"/>
  </r>
  <r>
    <n v="2295"/>
    <s v="A3295"/>
    <x v="3"/>
    <n v="124"/>
    <x v="1604"/>
    <n v="214"/>
    <n v="21"/>
    <n v="3"/>
    <n v="2.4193548387096701E-2"/>
    <x v="183"/>
    <d v="2024-11-05T00:00:00"/>
    <s v="Hyderabad"/>
    <x v="2"/>
    <x v="4"/>
    <s v="November"/>
    <x v="2"/>
    <n v="1.7291129032257999"/>
    <n v="2.09"/>
    <n v="10.210000000000001"/>
    <n v="71.47"/>
    <n v="81.430000000000007"/>
    <n v="129.66999999999999"/>
    <n v="1.81"/>
  </r>
  <r>
    <n v="2296"/>
    <s v="A3296"/>
    <x v="0"/>
    <n v="138"/>
    <x v="315"/>
    <n v="247"/>
    <n v="14"/>
    <n v="7"/>
    <n v="5.0724637681159403E-2"/>
    <x v="116"/>
    <d v="2024-11-14T00:00:00"/>
    <s v="Hyderabad"/>
    <x v="0"/>
    <x v="4"/>
    <s v="November"/>
    <x v="5"/>
    <n v="1.7932608695652099"/>
    <n v="2.34"/>
    <n v="17.68"/>
    <n v="35.35"/>
    <n v="-6.25"/>
    <n v="33.14"/>
    <n v="0.94"/>
  </r>
  <r>
    <n v="2297"/>
    <s v="A3297"/>
    <x v="3"/>
    <n v="186"/>
    <x v="359"/>
    <n v="236"/>
    <n v="15"/>
    <n v="6"/>
    <n v="3.2258064516128997E-2"/>
    <x v="61"/>
    <d v="2024-11-12T00:00:00"/>
    <s v="Hyderabad"/>
    <x v="1"/>
    <x v="0"/>
    <s v="November"/>
    <x v="2"/>
    <n v="1.27"/>
    <n v="3.22"/>
    <n v="15.75"/>
    <n v="39.369999999999997"/>
    <n v="11.34"/>
    <n v="43.83"/>
    <n v="1.1100000000000001"/>
  </r>
  <r>
    <n v="2298"/>
    <s v="A3298"/>
    <x v="1"/>
    <n v="100"/>
    <x v="589"/>
    <n v="234"/>
    <n v="21"/>
    <n v="7"/>
    <n v="7.0000000000000007E-2"/>
    <x v="0"/>
    <d v="2024-11-01T00:00:00"/>
    <s v="Hyderabad"/>
    <x v="2"/>
    <x v="2"/>
    <s v="November"/>
    <x v="3"/>
    <n v="2.3437000000000001"/>
    <n v="2.0499999999999998"/>
    <n v="11.16"/>
    <n v="33.479999999999997"/>
    <n v="64.7"/>
    <n v="55.14"/>
    <n v="1.65"/>
  </r>
  <r>
    <n v="2299"/>
    <s v="A3299"/>
    <x v="0"/>
    <n v="151"/>
    <x v="864"/>
    <n v="181"/>
    <n v="22"/>
    <n v="3"/>
    <n v="1.98675496688741E-2"/>
    <x v="15"/>
    <d v="2024-11-29T00:00:00"/>
    <s v="Hyderabad"/>
    <x v="2"/>
    <x v="2"/>
    <s v="November"/>
    <x v="3"/>
    <n v="1.1969536423841001"/>
    <n v="2.79"/>
    <n v="8.2200000000000006"/>
    <n v="60.25"/>
    <n v="82.03"/>
    <n v="109.67"/>
    <n v="1.82"/>
  </r>
  <r>
    <n v="2300"/>
    <s v="A3300"/>
    <x v="2"/>
    <n v="176"/>
    <x v="1605"/>
    <n v="208"/>
    <n v="23"/>
    <n v="8"/>
    <n v="4.54545454545454E-2"/>
    <x v="132"/>
    <d v="2024-11-29T00:00:00"/>
    <s v="Hyderabad"/>
    <x v="2"/>
    <x v="3"/>
    <s v="November"/>
    <x v="3"/>
    <n v="1.1817045454545401"/>
    <n v="3.85"/>
    <n v="9.0399999999999991"/>
    <n v="26"/>
    <n v="37.03"/>
    <n v="35.619999999999997"/>
    <n v="1.37"/>
  </r>
  <r>
    <n v="2301"/>
    <s v="A3301"/>
    <x v="2"/>
    <n v="121"/>
    <x v="966"/>
    <n v="230"/>
    <n v="23"/>
    <n v="9"/>
    <n v="7.43801652892562E-2"/>
    <x v="203"/>
    <d v="2024-11-19T00:00:00"/>
    <s v="Hyderabad"/>
    <x v="0"/>
    <x v="5"/>
    <s v="November"/>
    <x v="2"/>
    <n v="1.90239669421487"/>
    <n v="3.04"/>
    <n v="10.01"/>
    <n v="25.58"/>
    <n v="59"/>
    <n v="40.67"/>
    <n v="1.59"/>
  </r>
  <r>
    <n v="2302"/>
    <s v="A3302"/>
    <x v="2"/>
    <n v="141"/>
    <x v="1606"/>
    <n v="240"/>
    <n v="25"/>
    <n v="4"/>
    <n v="2.8368794326241099E-2"/>
    <x v="18"/>
    <d v="2024-11-14T00:00:00"/>
    <s v="Hyderabad"/>
    <x v="2"/>
    <x v="5"/>
    <s v="November"/>
    <x v="5"/>
    <n v="1.7037588652482201"/>
    <n v="3.15"/>
    <n v="9.61"/>
    <n v="60.06"/>
    <n v="28.63"/>
    <n v="77.25"/>
    <n v="1.29"/>
  </r>
  <r>
    <n v="2303"/>
    <s v="A3303"/>
    <x v="3"/>
    <n v="117"/>
    <x v="1607"/>
    <n v="229"/>
    <n v="17"/>
    <n v="3"/>
    <n v="2.5641025641025599E-2"/>
    <x v="54"/>
    <d v="2024-11-14T00:00:00"/>
    <s v="Hyderabad"/>
    <x v="1"/>
    <x v="2"/>
    <s v="November"/>
    <x v="5"/>
    <n v="1.9555555555555499"/>
    <n v="2.0299999999999998"/>
    <n v="13.46"/>
    <n v="76.27"/>
    <n v="-38.75"/>
    <n v="46.71"/>
    <n v="0.61"/>
  </r>
  <r>
    <n v="2304"/>
    <s v="A3304"/>
    <x v="1"/>
    <n v="131"/>
    <x v="583"/>
    <n v="182"/>
    <n v="27"/>
    <n v="6"/>
    <n v="4.5801526717557203E-2"/>
    <x v="212"/>
    <d v="2024-11-03T00:00:00"/>
    <s v="Hyderabad"/>
    <x v="0"/>
    <x v="5"/>
    <s v="November"/>
    <x v="4"/>
    <n v="1.3922137404580099"/>
    <n v="2.37"/>
    <n v="6.75"/>
    <n v="30.4"/>
    <n v="30.5"/>
    <n v="39.67"/>
    <n v="1.3"/>
  </r>
  <r>
    <n v="2305"/>
    <s v="A3305"/>
    <x v="3"/>
    <n v="173"/>
    <x v="581"/>
    <n v="226"/>
    <n v="10"/>
    <n v="4"/>
    <n v="2.3121387283236899E-2"/>
    <x v="20"/>
    <d v="2024-11-27T00:00:00"/>
    <s v="Hyderabad"/>
    <x v="2"/>
    <x v="2"/>
    <s v="November"/>
    <x v="1"/>
    <n v="1.3047976878612699"/>
    <n v="4.75"/>
    <n v="22.57"/>
    <n v="56.43"/>
    <n v="63.03"/>
    <n v="92"/>
    <n v="1.63"/>
  </r>
  <r>
    <n v="2306"/>
    <s v="A3306"/>
    <x v="1"/>
    <n v="195"/>
    <x v="1608"/>
    <n v="221"/>
    <n v="20"/>
    <n v="8"/>
    <n v="4.1025641025640998E-2"/>
    <x v="60"/>
    <d v="2024-11-08T00:00:00"/>
    <s v="Hyderabad"/>
    <x v="0"/>
    <x v="1"/>
    <s v="November"/>
    <x v="3"/>
    <n v="1.13133333333333"/>
    <n v="4.79"/>
    <n v="11.03"/>
    <n v="27.58"/>
    <n v="63.64"/>
    <n v="45.12"/>
    <n v="1.64"/>
  </r>
  <r>
    <n v="2307"/>
    <s v="A3307"/>
    <x v="0"/>
    <n v="126"/>
    <x v="1398"/>
    <n v="212"/>
    <n v="20"/>
    <n v="9"/>
    <n v="7.1428571428571397E-2"/>
    <x v="13"/>
    <d v="2024-11-09T00:00:00"/>
    <s v="Hyderabad"/>
    <x v="0"/>
    <x v="0"/>
    <s v="November"/>
    <x v="0"/>
    <n v="1.6838095238095201"/>
    <n v="3.21"/>
    <n v="10.61"/>
    <n v="23.57"/>
    <n v="48"/>
    <n v="34.89"/>
    <n v="1.48"/>
  </r>
  <r>
    <n v="2308"/>
    <s v="A3308"/>
    <x v="0"/>
    <n v="119"/>
    <x v="326"/>
    <n v="192"/>
    <n v="26"/>
    <n v="3"/>
    <n v="2.5210084033613401E-2"/>
    <x v="53"/>
    <d v="2024-11-10T00:00:00"/>
    <s v="Hyderabad"/>
    <x v="2"/>
    <x v="5"/>
    <s v="November"/>
    <x v="4"/>
    <n v="1.6120168067226801"/>
    <n v="3.3"/>
    <n v="7.38"/>
    <n v="63.94"/>
    <n v="12.08"/>
    <n v="71.67"/>
    <n v="1.1200000000000001"/>
  </r>
  <r>
    <n v="2309"/>
    <s v="A3309"/>
    <x v="2"/>
    <n v="141"/>
    <x v="638"/>
    <n v="238"/>
    <n v="16"/>
    <n v="3"/>
    <n v="2.1276595744680799E-2"/>
    <x v="50"/>
    <d v="2024-11-18T00:00:00"/>
    <s v="Hyderabad"/>
    <x v="2"/>
    <x v="1"/>
    <s v="November"/>
    <x v="6"/>
    <n v="1.6848936170212701"/>
    <n v="2.4900000000000002"/>
    <n v="14.85"/>
    <n v="79.19"/>
    <n v="9.02"/>
    <n v="86.33"/>
    <n v="1.0900000000000001"/>
  </r>
  <r>
    <n v="2310"/>
    <s v="A3310"/>
    <x v="2"/>
    <n v="182"/>
    <x v="1609"/>
    <n v="281"/>
    <n v="24"/>
    <n v="7"/>
    <n v="3.8461538461538401E-2"/>
    <x v="125"/>
    <d v="2024-11-30T00:00:00"/>
    <s v="Hyderabad"/>
    <x v="2"/>
    <x v="4"/>
    <s v="November"/>
    <x v="0"/>
    <n v="1.5454545454545401"/>
    <n v="4.53"/>
    <n v="11.72"/>
    <n v="40.18"/>
    <n v="4.88"/>
    <n v="42.14"/>
    <n v="1.05"/>
  </r>
  <r>
    <n v="2311"/>
    <s v="A3311"/>
    <x v="2"/>
    <n v="192"/>
    <x v="220"/>
    <n v="224"/>
    <n v="22"/>
    <n v="10"/>
    <n v="5.2083333333333301E-2"/>
    <x v="146"/>
    <d v="2024-11-19T00:00:00"/>
    <s v="Hyderabad"/>
    <x v="0"/>
    <x v="3"/>
    <s v="November"/>
    <x v="2"/>
    <n v="1.16630208333333"/>
    <n v="4.22"/>
    <n v="10.18"/>
    <n v="22.39"/>
    <n v="12.09"/>
    <n v="25.1"/>
    <n v="1.1200000000000001"/>
  </r>
  <r>
    <n v="2312"/>
    <s v="A3312"/>
    <x v="0"/>
    <n v="155"/>
    <x v="1217"/>
    <n v="232"/>
    <n v="18"/>
    <n v="9"/>
    <n v="5.8064516129032198E-2"/>
    <x v="9"/>
    <d v="2024-11-18T00:00:00"/>
    <s v="Hyderabad"/>
    <x v="0"/>
    <x v="5"/>
    <s v="November"/>
    <x v="6"/>
    <n v="1.4963225806451601"/>
    <n v="3.03"/>
    <n v="12.88"/>
    <n v="25.77"/>
    <n v="-9.4600000000000009"/>
    <n v="23.33"/>
    <n v="0.91"/>
  </r>
  <r>
    <n v="2313"/>
    <s v="A3313"/>
    <x v="2"/>
    <n v="160"/>
    <x v="1610"/>
    <n v="208"/>
    <n v="27"/>
    <n v="9"/>
    <n v="5.6250000000000001E-2"/>
    <x v="189"/>
    <d v="2024-11-03T00:00:00"/>
    <s v="Hyderabad"/>
    <x v="1"/>
    <x v="5"/>
    <s v="November"/>
    <x v="4"/>
    <n v="1.2995625"/>
    <n v="4.1900000000000004"/>
    <n v="7.7"/>
    <n v="23.1"/>
    <n v="84.68"/>
    <n v="42.67"/>
    <n v="1.85"/>
  </r>
  <r>
    <n v="2314"/>
    <s v="A3314"/>
    <x v="3"/>
    <n v="140"/>
    <x v="1611"/>
    <n v="213"/>
    <n v="21"/>
    <n v="4"/>
    <n v="2.8571428571428501E-2"/>
    <x v="48"/>
    <d v="2024-11-14T00:00:00"/>
    <s v="Hyderabad"/>
    <x v="2"/>
    <x v="0"/>
    <s v="November"/>
    <x v="5"/>
    <n v="1.5194999999999901"/>
    <n v="4.4400000000000004"/>
    <n v="10.130000000000001"/>
    <n v="53.18"/>
    <n v="-1.75"/>
    <n v="52.25"/>
    <n v="0.98"/>
  </r>
  <r>
    <n v="2315"/>
    <s v="A3315"/>
    <x v="3"/>
    <n v="134"/>
    <x v="183"/>
    <n v="227"/>
    <n v="28"/>
    <n v="7"/>
    <n v="5.2238805970149203E-2"/>
    <x v="69"/>
    <d v="2024-11-04T00:00:00"/>
    <s v="Hyderabad"/>
    <x v="2"/>
    <x v="2"/>
    <s v="November"/>
    <x v="6"/>
    <n v="1.69082089552238"/>
    <n v="3.62"/>
    <n v="8.09"/>
    <n v="32.369999999999997"/>
    <n v="65.510000000000005"/>
    <n v="53.57"/>
    <n v="1.66"/>
  </r>
  <r>
    <n v="2316"/>
    <s v="A3316"/>
    <x v="1"/>
    <n v="92"/>
    <x v="930"/>
    <n v="219"/>
    <n v="22"/>
    <n v="10"/>
    <n v="0.108695652173913"/>
    <x v="34"/>
    <d v="2024-11-26T00:00:00"/>
    <s v="Hyderabad"/>
    <x v="1"/>
    <x v="4"/>
    <s v="November"/>
    <x v="2"/>
    <n v="2.38467391304347"/>
    <n v="2.3199999999999998"/>
    <n v="9.9700000000000006"/>
    <n v="21.94"/>
    <n v="70.47"/>
    <n v="37.4"/>
    <n v="1.7"/>
  </r>
  <r>
    <n v="2317"/>
    <s v="A3317"/>
    <x v="3"/>
    <n v="163"/>
    <x v="966"/>
    <n v="233"/>
    <n v="25"/>
    <n v="9"/>
    <n v="5.5214723926380299E-2"/>
    <x v="115"/>
    <d v="2024-11-08T00:00:00"/>
    <s v="Hyderabad"/>
    <x v="0"/>
    <x v="2"/>
    <s v="November"/>
    <x v="3"/>
    <n v="1.4276073619631899"/>
    <n v="4.0999999999999996"/>
    <n v="9.31"/>
    <n v="25.86"/>
    <n v="21.19"/>
    <n v="31.33"/>
    <n v="1.21"/>
  </r>
  <r>
    <n v="2318"/>
    <s v="A3318"/>
    <x v="2"/>
    <n v="155"/>
    <x v="1612"/>
    <n v="239"/>
    <n v="20"/>
    <n v="5"/>
    <n v="3.2258064516128997E-2"/>
    <x v="166"/>
    <d v="2024-11-05T00:00:00"/>
    <s v="Hyderabad"/>
    <x v="1"/>
    <x v="5"/>
    <s v="November"/>
    <x v="2"/>
    <n v="1.54264516129032"/>
    <n v="3.04"/>
    <n v="11.96"/>
    <n v="47.82"/>
    <n v="-13.85"/>
    <n v="41.2"/>
    <n v="0.86"/>
  </r>
  <r>
    <n v="2319"/>
    <s v="A3319"/>
    <x v="0"/>
    <n v="194"/>
    <x v="1613"/>
    <n v="206"/>
    <n v="15"/>
    <n v="9"/>
    <n v="4.6391752577319499E-2"/>
    <x v="94"/>
    <d v="2024-11-03T00:00:00"/>
    <s v="Hyderabad"/>
    <x v="0"/>
    <x v="4"/>
    <s v="November"/>
    <x v="4"/>
    <n v="1.06072164948453"/>
    <n v="5.45"/>
    <n v="13.72"/>
    <n v="22.86"/>
    <n v="74.94"/>
    <n v="40"/>
    <n v="1.75"/>
  </r>
  <r>
    <n v="2320"/>
    <s v="A3320"/>
    <x v="1"/>
    <n v="165"/>
    <x v="1614"/>
    <n v="239"/>
    <n v="23"/>
    <n v="6"/>
    <n v="3.6363636363636299E-2"/>
    <x v="170"/>
    <d v="2024-11-27T00:00:00"/>
    <s v="Hyderabad"/>
    <x v="2"/>
    <x v="0"/>
    <s v="November"/>
    <x v="1"/>
    <n v="1.44933333333333"/>
    <n v="5.49"/>
    <n v="10.4"/>
    <n v="39.86"/>
    <n v="69.78"/>
    <n v="67.67"/>
    <n v="1.7"/>
  </r>
  <r>
    <n v="2321"/>
    <s v="A3321"/>
    <x v="3"/>
    <n v="135"/>
    <x v="569"/>
    <n v="236"/>
    <n v="24"/>
    <n v="4"/>
    <n v="2.96296296296296E-2"/>
    <x v="195"/>
    <d v="2024-11-07T00:00:00"/>
    <s v="Hyderabad"/>
    <x v="0"/>
    <x v="5"/>
    <s v="November"/>
    <x v="5"/>
    <n v="1.7448148148148099"/>
    <n v="2.85"/>
    <n v="9.81"/>
    <n v="58.89"/>
    <n v="48.59"/>
    <n v="87.5"/>
    <n v="1.49"/>
  </r>
  <r>
    <n v="2322"/>
    <s v="A3322"/>
    <x v="0"/>
    <n v="87"/>
    <x v="1586"/>
    <n v="209"/>
    <n v="29"/>
    <n v="10"/>
    <n v="0.114942528735632"/>
    <x v="58"/>
    <d v="2024-11-05T00:00:00"/>
    <s v="Hyderabad"/>
    <x v="0"/>
    <x v="0"/>
    <s v="November"/>
    <x v="2"/>
    <n v="2.4051724137931001"/>
    <n v="1.99"/>
    <n v="7.22"/>
    <n v="20.92"/>
    <n v="31.42"/>
    <n v="27.5"/>
    <n v="1.31"/>
  </r>
  <r>
    <n v="2323"/>
    <s v="A3323"/>
    <x v="3"/>
    <n v="164"/>
    <x v="1615"/>
    <n v="220"/>
    <n v="30"/>
    <n v="9"/>
    <n v="5.4878048780487798E-2"/>
    <x v="104"/>
    <d v="2024-11-25T00:00:00"/>
    <s v="Hyderabad"/>
    <x v="0"/>
    <x v="4"/>
    <s v="November"/>
    <x v="6"/>
    <n v="1.3412804878048701"/>
    <n v="3.95"/>
    <n v="7.33"/>
    <n v="24.44"/>
    <n v="91.13"/>
    <n v="46.71"/>
    <n v="1.91"/>
  </r>
  <r>
    <n v="2324"/>
    <s v="A3324"/>
    <x v="2"/>
    <n v="97"/>
    <x v="3"/>
    <n v="217"/>
    <n v="21"/>
    <n v="3"/>
    <n v="3.0927835051546299E-2"/>
    <x v="54"/>
    <d v="2024-11-15T00:00:00"/>
    <s v="Hyderabad"/>
    <x v="1"/>
    <x v="3"/>
    <s v="November"/>
    <x v="3"/>
    <n v="2.2405154639175202"/>
    <n v="3.05"/>
    <n v="10.35"/>
    <n v="72.44"/>
    <n v="-35.520000000000003"/>
    <n v="46.71"/>
    <n v="0.64"/>
  </r>
  <r>
    <n v="2325"/>
    <s v="A3325"/>
    <x v="1"/>
    <n v="84"/>
    <x v="1145"/>
    <n v="192"/>
    <n v="30"/>
    <n v="8"/>
    <n v="9.5238095238095205E-2"/>
    <x v="41"/>
    <d v="2024-11-13T00:00:00"/>
    <s v="Hyderabad"/>
    <x v="1"/>
    <x v="2"/>
    <s v="November"/>
    <x v="1"/>
    <n v="2.2848809523809499"/>
    <n v="1.49"/>
    <n v="6.4"/>
    <n v="23.99"/>
    <n v="83.92"/>
    <n v="44.12"/>
    <n v="1.84"/>
  </r>
  <r>
    <n v="2326"/>
    <s v="A3326"/>
    <x v="3"/>
    <n v="158"/>
    <x v="1616"/>
    <n v="185"/>
    <n v="17"/>
    <n v="9"/>
    <n v="5.6962025316455597E-2"/>
    <x v="158"/>
    <d v="2024-11-24T00:00:00"/>
    <s v="Hyderabad"/>
    <x v="1"/>
    <x v="3"/>
    <s v="November"/>
    <x v="4"/>
    <n v="1.17303797468354"/>
    <n v="3.28"/>
    <n v="10.9"/>
    <n v="20.59"/>
    <n v="17.62"/>
    <n v="24.22"/>
    <n v="1.18"/>
  </r>
  <r>
    <n v="2327"/>
    <s v="A3327"/>
    <x v="3"/>
    <n v="90"/>
    <x v="1617"/>
    <n v="237"/>
    <n v="28"/>
    <n v="10"/>
    <n v="0.11111111111111099"/>
    <x v="186"/>
    <d v="2024-11-13T00:00:00"/>
    <s v="Hyderabad"/>
    <x v="1"/>
    <x v="0"/>
    <s v="November"/>
    <x v="1"/>
    <n v="2.6351111111111098"/>
    <n v="2.0099999999999998"/>
    <n v="8.4700000000000006"/>
    <n v="23.72"/>
    <n v="39.99"/>
    <n v="33.200000000000003"/>
    <n v="1.4"/>
  </r>
  <r>
    <n v="2328"/>
    <s v="A3328"/>
    <x v="0"/>
    <n v="197"/>
    <x v="1618"/>
    <n v="194"/>
    <n v="19"/>
    <n v="6"/>
    <n v="3.0456852791878101E-2"/>
    <x v="77"/>
    <d v="2024-11-14T00:00:00"/>
    <s v="Hyderabad"/>
    <x v="2"/>
    <x v="1"/>
    <s v="November"/>
    <x v="5"/>
    <n v="0.98700507614213195"/>
    <n v="6.18"/>
    <n v="10.23"/>
    <n v="32.409999999999997"/>
    <n v="94.92"/>
    <n v="63.17"/>
    <n v="1.95"/>
  </r>
  <r>
    <n v="2329"/>
    <s v="A3329"/>
    <x v="2"/>
    <n v="133"/>
    <x v="572"/>
    <n v="197"/>
    <n v="25"/>
    <n v="9"/>
    <n v="6.7669172932330796E-2"/>
    <x v="21"/>
    <d v="2024-11-26T00:00:00"/>
    <s v="Hyderabad"/>
    <x v="2"/>
    <x v="3"/>
    <s v="November"/>
    <x v="2"/>
    <n v="1.48315789473684"/>
    <n v="3.14"/>
    <n v="7.89"/>
    <n v="21.92"/>
    <n v="36.880000000000003"/>
    <n v="30"/>
    <n v="1.37"/>
  </r>
  <r>
    <n v="2330"/>
    <s v="A3330"/>
    <x v="2"/>
    <n v="149"/>
    <x v="1619"/>
    <n v="235"/>
    <n v="28"/>
    <n v="5"/>
    <n v="3.3557046979865703E-2"/>
    <x v="43"/>
    <d v="2024-11-04T00:00:00"/>
    <s v="Hyderabad"/>
    <x v="0"/>
    <x v="4"/>
    <s v="November"/>
    <x v="6"/>
    <n v="1.57395973154362"/>
    <n v="2.96"/>
    <n v="8.3800000000000008"/>
    <n v="46.9"/>
    <n v="13.42"/>
    <n v="53.2"/>
    <n v="1.1299999999999999"/>
  </r>
  <r>
    <n v="2331"/>
    <s v="A3331"/>
    <x v="2"/>
    <n v="197"/>
    <x v="1620"/>
    <n v="240"/>
    <n v="27"/>
    <n v="9"/>
    <n v="4.5685279187817202E-2"/>
    <x v="171"/>
    <d v="2024-11-17T00:00:00"/>
    <s v="Hyderabad"/>
    <x v="0"/>
    <x v="2"/>
    <s v="November"/>
    <x v="4"/>
    <n v="1.2170558375634499"/>
    <n v="3.46"/>
    <n v="8.8800000000000008"/>
    <n v="26.64"/>
    <n v="24.29"/>
    <n v="33.11"/>
    <n v="1.24"/>
  </r>
  <r>
    <n v="2332"/>
    <s v="A3332"/>
    <x v="3"/>
    <n v="157"/>
    <x v="1621"/>
    <n v="224"/>
    <n v="24"/>
    <n v="8"/>
    <n v="5.0955414012738801E-2"/>
    <x v="32"/>
    <d v="2024-11-25T00:00:00"/>
    <s v="Hyderabad"/>
    <x v="2"/>
    <x v="2"/>
    <s v="November"/>
    <x v="6"/>
    <n v="1.4249681528662399"/>
    <n v="3.87"/>
    <n v="9.32"/>
    <n v="27.96"/>
    <n v="67.05"/>
    <n v="46.71"/>
    <n v="1.67"/>
  </r>
  <r>
    <n v="2333"/>
    <s v="A3333"/>
    <x v="3"/>
    <n v="102"/>
    <x v="18"/>
    <n v="203"/>
    <n v="22"/>
    <n v="7"/>
    <n v="6.8627450980392093E-2"/>
    <x v="131"/>
    <d v="2024-11-06T00:00:00"/>
    <s v="Hyderabad"/>
    <x v="0"/>
    <x v="4"/>
    <s v="November"/>
    <x v="1"/>
    <n v="1.9879411764705801"/>
    <n v="3.28"/>
    <n v="9.2200000000000006"/>
    <n v="28.97"/>
    <n v="101.21"/>
    <n v="58.29"/>
    <n v="2.0099999999999998"/>
  </r>
  <r>
    <n v="2334"/>
    <s v="A3334"/>
    <x v="3"/>
    <n v="175"/>
    <x v="855"/>
    <n v="194"/>
    <n v="23"/>
    <n v="8"/>
    <n v="4.57142857142857E-2"/>
    <x v="148"/>
    <d v="2024-11-04T00:00:00"/>
    <s v="Hyderabad"/>
    <x v="1"/>
    <x v="1"/>
    <s v="November"/>
    <x v="6"/>
    <n v="1.1058285714285701"/>
    <n v="4.42"/>
    <n v="8.41"/>
    <n v="24.19"/>
    <n v="12.13"/>
    <n v="27.12"/>
    <n v="1.1200000000000001"/>
  </r>
  <r>
    <n v="2335"/>
    <s v="A3335"/>
    <x v="2"/>
    <n v="101"/>
    <x v="710"/>
    <n v="158"/>
    <n v="23"/>
    <n v="4"/>
    <n v="3.9603960396039598E-2"/>
    <x v="195"/>
    <d v="2024-11-10T00:00:00"/>
    <s v="Hyderabad"/>
    <x v="0"/>
    <x v="1"/>
    <s v="November"/>
    <x v="4"/>
    <n v="1.56753061615001"/>
    <n v="3.04"/>
    <n v="6.88"/>
    <n v="39.58"/>
    <n v="121.07"/>
    <n v="87.5"/>
    <n v="2.21"/>
  </r>
  <r>
    <n v="2336"/>
    <s v="A3336"/>
    <x v="3"/>
    <n v="127"/>
    <x v="1622"/>
    <n v="184"/>
    <n v="10"/>
    <n v="9"/>
    <n v="7.0866141732283394E-2"/>
    <x v="37"/>
    <d v="2024-11-08T00:00:00"/>
    <s v="Hyderabad"/>
    <x v="0"/>
    <x v="1"/>
    <s v="November"/>
    <x v="3"/>
    <n v="1.45244094488188"/>
    <n v="3.01"/>
    <n v="18.45"/>
    <n v="20.5"/>
    <n v="57.76"/>
    <n v="32.33"/>
    <n v="1.58"/>
  </r>
  <r>
    <n v="2337"/>
    <s v="A3337"/>
    <x v="0"/>
    <n v="148"/>
    <x v="1623"/>
    <n v="212"/>
    <n v="14"/>
    <n v="9"/>
    <n v="6.08108108108108E-2"/>
    <x v="90"/>
    <d v="2024-11-30T00:00:00"/>
    <s v="Hyderabad"/>
    <x v="2"/>
    <x v="2"/>
    <s v="November"/>
    <x v="0"/>
    <n v="1.4329054054054"/>
    <n v="4.2699999999999996"/>
    <n v="15.15"/>
    <n v="23.56"/>
    <n v="82.49"/>
    <n v="43"/>
    <n v="1.82"/>
  </r>
  <r>
    <n v="2338"/>
    <s v="A3338"/>
    <x v="1"/>
    <n v="181"/>
    <x v="248"/>
    <n v="246"/>
    <n v="22"/>
    <n v="9"/>
    <n v="4.9723756906077297E-2"/>
    <x v="60"/>
    <d v="2024-11-01T00:00:00"/>
    <s v="Hyderabad"/>
    <x v="1"/>
    <x v="4"/>
    <s v="November"/>
    <x v="3"/>
    <n v="1.3611049723756901"/>
    <n v="4.6900000000000004"/>
    <n v="11.2"/>
    <n v="27.37"/>
    <n v="46.53"/>
    <n v="40.11"/>
    <n v="1.47"/>
  </r>
  <r>
    <n v="2339"/>
    <s v="A3339"/>
    <x v="1"/>
    <n v="140"/>
    <x v="1624"/>
    <n v="183"/>
    <n v="28"/>
    <n v="6"/>
    <n v="4.2857142857142802E-2"/>
    <x v="192"/>
    <d v="2024-11-08T00:00:00"/>
    <s v="Hyderabad"/>
    <x v="1"/>
    <x v="4"/>
    <s v="November"/>
    <x v="3"/>
    <n v="1.3095000000000001"/>
    <n v="4.13"/>
    <n v="6.55"/>
    <n v="30.56"/>
    <n v="54.37"/>
    <n v="47.17"/>
    <n v="1.54"/>
  </r>
  <r>
    <n v="2340"/>
    <s v="A3340"/>
    <x v="2"/>
    <n v="146"/>
    <x v="1184"/>
    <n v="226"/>
    <n v="13"/>
    <n v="9"/>
    <n v="6.1643835616438297E-2"/>
    <x v="173"/>
    <d v="2024-11-26T00:00:00"/>
    <s v="Hyderabad"/>
    <x v="2"/>
    <x v="5"/>
    <s v="November"/>
    <x v="2"/>
    <n v="1.5454545454545401"/>
    <n v="2.88"/>
    <n v="17.36"/>
    <n v="25.07"/>
    <n v="22.32"/>
    <n v="30.67"/>
    <n v="1.22"/>
  </r>
  <r>
    <n v="2341"/>
    <s v="A3341"/>
    <x v="3"/>
    <n v="148"/>
    <x v="140"/>
    <n v="192"/>
    <n v="18"/>
    <n v="9"/>
    <n v="6.08108108108108E-2"/>
    <x v="132"/>
    <d v="2024-11-10T00:00:00"/>
    <s v="Hyderabad"/>
    <x v="1"/>
    <x v="0"/>
    <s v="November"/>
    <x v="4"/>
    <n v="1.2954729729729699"/>
    <n v="4.53"/>
    <n v="10.65"/>
    <n v="21.3"/>
    <n v="48.65"/>
    <n v="31.67"/>
    <n v="1.49"/>
  </r>
  <r>
    <n v="2342"/>
    <s v="A3342"/>
    <x v="0"/>
    <n v="101"/>
    <x v="1625"/>
    <n v="191"/>
    <n v="17"/>
    <n v="7"/>
    <n v="6.9306930693069299E-2"/>
    <x v="29"/>
    <d v="2024-11-20T00:00:00"/>
    <s v="Hyderabad"/>
    <x v="0"/>
    <x v="0"/>
    <s v="November"/>
    <x v="1"/>
    <n v="1.8953465346534599"/>
    <n v="2.1"/>
    <n v="11.26"/>
    <n v="27.35"/>
    <n v="18.579999999999998"/>
    <n v="32.43"/>
    <n v="1.19"/>
  </r>
  <r>
    <n v="2343"/>
    <s v="A3343"/>
    <x v="2"/>
    <n v="179"/>
    <x v="1386"/>
    <n v="223"/>
    <n v="29"/>
    <n v="9"/>
    <n v="5.0279329608938501E-2"/>
    <x v="188"/>
    <d v="2024-11-08T00:00:00"/>
    <s v="Hyderabad"/>
    <x v="1"/>
    <x v="3"/>
    <s v="November"/>
    <x v="3"/>
    <n v="1.2460335195530701"/>
    <n v="3.48"/>
    <n v="7.69"/>
    <n v="24.78"/>
    <n v="-8.5399999999999991"/>
    <n v="22.67"/>
    <n v="0.91"/>
  </r>
  <r>
    <n v="2344"/>
    <s v="A3344"/>
    <x v="2"/>
    <n v="151"/>
    <x v="1626"/>
    <n v="184"/>
    <n v="21"/>
    <n v="10"/>
    <n v="6.6225165562913899E-2"/>
    <x v="109"/>
    <d v="2024-11-11T00:00:00"/>
    <s v="Hyderabad"/>
    <x v="0"/>
    <x v="1"/>
    <s v="November"/>
    <x v="6"/>
    <n v="1.2172847682119201"/>
    <n v="3.68"/>
    <n v="8.75"/>
    <n v="18.38"/>
    <n v="107.82"/>
    <n v="38.200000000000003"/>
    <n v="2.08"/>
  </r>
  <r>
    <n v="2345"/>
    <s v="A3345"/>
    <x v="2"/>
    <n v="195"/>
    <x v="1627"/>
    <n v="185"/>
    <n v="19"/>
    <n v="10"/>
    <n v="5.1282051282051197E-2"/>
    <x v="183"/>
    <d v="2024-11-26T00:00:00"/>
    <s v="Hyderabad"/>
    <x v="2"/>
    <x v="1"/>
    <s v="November"/>
    <x v="2"/>
    <n v="0.94912820512820495"/>
    <n v="6.05"/>
    <n v="9.74"/>
    <n v="18.510000000000002"/>
    <n v="110.18"/>
    <n v="38.9"/>
    <n v="2.1"/>
  </r>
  <r>
    <n v="2346"/>
    <s v="A3346"/>
    <x v="1"/>
    <n v="169"/>
    <x v="808"/>
    <n v="231"/>
    <n v="15"/>
    <n v="8"/>
    <n v="4.7337278106508798E-2"/>
    <x v="175"/>
    <d v="2024-11-04T00:00:00"/>
    <s v="Hyderabad"/>
    <x v="1"/>
    <x v="3"/>
    <s v="November"/>
    <x v="6"/>
    <n v="1.36408284023668"/>
    <n v="3.49"/>
    <n v="15.37"/>
    <n v="28.82"/>
    <n v="-2.4"/>
    <n v="28.12"/>
    <n v="0.98"/>
  </r>
  <r>
    <n v="2347"/>
    <s v="A3347"/>
    <x v="3"/>
    <n v="161"/>
    <x v="1058"/>
    <n v="230"/>
    <n v="17"/>
    <n v="3"/>
    <n v="1.8633540372670801E-2"/>
    <x v="179"/>
    <d v="2024-11-01T00:00:00"/>
    <s v="Hyderabad"/>
    <x v="1"/>
    <x v="3"/>
    <s v="November"/>
    <x v="3"/>
    <n v="1.4267701863354001"/>
    <n v="5.09"/>
    <n v="13.51"/>
    <n v="76.569999999999993"/>
    <n v="61.51"/>
    <n v="123.67"/>
    <n v="1.62"/>
  </r>
  <r>
    <n v="2348"/>
    <s v="A3348"/>
    <x v="1"/>
    <n v="156"/>
    <x v="486"/>
    <n v="214"/>
    <n v="30"/>
    <n v="9"/>
    <n v="5.7692307692307598E-2"/>
    <x v="125"/>
    <d v="2024-11-27T00:00:00"/>
    <s v="Hyderabad"/>
    <x v="1"/>
    <x v="2"/>
    <s v="November"/>
    <x v="1"/>
    <n v="1.3738461538461499"/>
    <n v="3.06"/>
    <n v="7.14"/>
    <n v="23.81"/>
    <n v="37.64"/>
    <n v="32.78"/>
    <n v="1.38"/>
  </r>
  <r>
    <n v="2349"/>
    <s v="A3349"/>
    <x v="1"/>
    <n v="148"/>
    <x v="1567"/>
    <n v="229"/>
    <n v="20"/>
    <n v="10"/>
    <n v="6.7567567567567502E-2"/>
    <x v="61"/>
    <d v="2024-11-10T00:00:00"/>
    <s v="Hyderabad"/>
    <x v="2"/>
    <x v="2"/>
    <s v="November"/>
    <x v="4"/>
    <n v="1.5454545454545401"/>
    <n v="3.74"/>
    <n v="11.44"/>
    <n v="22.87"/>
    <n v="14.98"/>
    <n v="26.3"/>
    <n v="1.1499999999999999"/>
  </r>
  <r>
    <n v="2350"/>
    <s v="A3350"/>
    <x v="2"/>
    <n v="126"/>
    <x v="1224"/>
    <n v="182"/>
    <n v="27"/>
    <n v="5"/>
    <n v="3.9682539682539597E-2"/>
    <x v="70"/>
    <d v="2024-11-04T00:00:00"/>
    <s v="Hyderabad"/>
    <x v="2"/>
    <x v="2"/>
    <s v="November"/>
    <x v="6"/>
    <n v="1.44730158730158"/>
    <n v="2.56"/>
    <n v="6.75"/>
    <n v="36.47"/>
    <n v="116.06"/>
    <n v="78.8"/>
    <n v="2.16"/>
  </r>
  <r>
    <n v="2351"/>
    <s v="A3351"/>
    <x v="0"/>
    <n v="189"/>
    <x v="1628"/>
    <n v="192"/>
    <n v="22"/>
    <n v="9"/>
    <n v="4.7619047619047603E-2"/>
    <x v="0"/>
    <d v="2024-11-25T00:00:00"/>
    <s v="Hyderabad"/>
    <x v="0"/>
    <x v="1"/>
    <s v="November"/>
    <x v="6"/>
    <n v="1.0144973544973499"/>
    <n v="5.27"/>
    <n v="8.7200000000000006"/>
    <n v="21.3"/>
    <n v="101.31"/>
    <n v="42.89"/>
    <n v="2.0099999999999998"/>
  </r>
  <r>
    <n v="2352"/>
    <s v="A3352"/>
    <x v="3"/>
    <n v="119"/>
    <x v="1629"/>
    <n v="223"/>
    <n v="16"/>
    <n v="3"/>
    <n v="2.5210084033613401E-2"/>
    <x v="112"/>
    <d v="2024-11-14T00:00:00"/>
    <s v="Hyderabad"/>
    <x v="1"/>
    <x v="3"/>
    <s v="November"/>
    <x v="5"/>
    <n v="1.8768907563025199"/>
    <n v="2.42"/>
    <n v="13.96"/>
    <n v="74.45"/>
    <n v="25.81"/>
    <n v="93.67"/>
    <n v="1.26"/>
  </r>
  <r>
    <n v="2354"/>
    <s v="A3354"/>
    <x v="2"/>
    <n v="127"/>
    <x v="1630"/>
    <n v="234"/>
    <n v="13"/>
    <n v="4"/>
    <n v="3.1496062992125901E-2"/>
    <x v="47"/>
    <d v="2024-11-12T00:00:00"/>
    <s v="Hyderabad"/>
    <x v="2"/>
    <x v="1"/>
    <s v="November"/>
    <x v="2"/>
    <n v="1.8423622047243999"/>
    <n v="2.21"/>
    <n v="18"/>
    <n v="58.5"/>
    <n v="52.15"/>
    <n v="89"/>
    <n v="1.52"/>
  </r>
  <r>
    <n v="2355"/>
    <s v="A3355"/>
    <x v="1"/>
    <n v="106"/>
    <x v="1050"/>
    <n v="181"/>
    <n v="17"/>
    <n v="10"/>
    <n v="9.4339622641509399E-2"/>
    <x v="137"/>
    <d v="2024-11-20T00:00:00"/>
    <s v="Hyderabad"/>
    <x v="2"/>
    <x v="5"/>
    <s v="November"/>
    <x v="1"/>
    <n v="1.7120754716981099"/>
    <n v="2.37"/>
    <n v="10.68"/>
    <n v="18.149999999999999"/>
    <n v="33.9"/>
    <n v="24.3"/>
    <n v="1.34"/>
  </r>
  <r>
    <n v="2356"/>
    <s v="A3356"/>
    <x v="2"/>
    <n v="119"/>
    <x v="1631"/>
    <n v="183"/>
    <n v="24"/>
    <n v="5"/>
    <n v="4.2016806722689003E-2"/>
    <x v="162"/>
    <d v="2024-11-06T00:00:00"/>
    <s v="Hyderabad"/>
    <x v="1"/>
    <x v="2"/>
    <s v="November"/>
    <x v="1"/>
    <n v="1.53781512605042"/>
    <n v="2.75"/>
    <n v="7.62"/>
    <n v="36.6"/>
    <n v="23.5"/>
    <n v="45.2"/>
    <n v="1.23"/>
  </r>
  <r>
    <n v="2357"/>
    <s v="A3357"/>
    <x v="2"/>
    <n v="81"/>
    <x v="1632"/>
    <n v="180"/>
    <n v="18"/>
    <n v="3"/>
    <n v="3.7037037037037E-2"/>
    <x v="80"/>
    <d v="2024-11-20T00:00:00"/>
    <s v="Hyderabad"/>
    <x v="1"/>
    <x v="2"/>
    <s v="November"/>
    <x v="1"/>
    <n v="2.2223456790123399"/>
    <n v="1.95"/>
    <n v="10"/>
    <n v="60"/>
    <n v="86.66"/>
    <n v="112"/>
    <n v="1.87"/>
  </r>
  <r>
    <n v="2358"/>
    <s v="A3358"/>
    <x v="0"/>
    <n v="152"/>
    <x v="1633"/>
    <n v="209"/>
    <n v="19"/>
    <n v="10"/>
    <n v="6.5789473684210495E-2"/>
    <x v="186"/>
    <d v="2024-11-24T00:00:00"/>
    <s v="Hyderabad"/>
    <x v="1"/>
    <x v="4"/>
    <s v="November"/>
    <x v="4"/>
    <n v="1.3739473684210499"/>
    <n v="3.04"/>
    <n v="10.99"/>
    <n v="20.88"/>
    <n v="58.97"/>
    <n v="33.200000000000003"/>
    <n v="1.59"/>
  </r>
  <r>
    <n v="2359"/>
    <s v="A3359"/>
    <x v="0"/>
    <n v="153"/>
    <x v="1569"/>
    <n v="220"/>
    <n v="16"/>
    <n v="4"/>
    <n v="2.61437908496732E-2"/>
    <x v="113"/>
    <d v="2024-11-11T00:00:00"/>
    <s v="Hyderabad"/>
    <x v="2"/>
    <x v="1"/>
    <s v="November"/>
    <x v="6"/>
    <n v="1.43745098039215"/>
    <n v="2.84"/>
    <n v="13.75"/>
    <n v="54.98"/>
    <n v="48.68"/>
    <n v="81.75"/>
    <n v="1.49"/>
  </r>
  <r>
    <n v="2360"/>
    <s v="A3360"/>
    <x v="3"/>
    <n v="120"/>
    <x v="1353"/>
    <n v="244"/>
    <n v="20"/>
    <n v="9"/>
    <n v="7.4999999999999997E-2"/>
    <x v="115"/>
    <d v="2024-11-12T00:00:00"/>
    <s v="Hyderabad"/>
    <x v="0"/>
    <x v="1"/>
    <s v="November"/>
    <x v="2"/>
    <n v="2.0344166666666599"/>
    <n v="2.84"/>
    <n v="12.21"/>
    <n v="27.13"/>
    <n v="15.51"/>
    <n v="31.33"/>
    <n v="1.1599999999999999"/>
  </r>
  <r>
    <n v="2361"/>
    <s v="A3361"/>
    <x v="1"/>
    <n v="167"/>
    <x v="58"/>
    <n v="228"/>
    <n v="28"/>
    <n v="9"/>
    <n v="5.3892215568862201E-2"/>
    <x v="74"/>
    <d v="2024-11-08T00:00:00"/>
    <s v="Hyderabad"/>
    <x v="1"/>
    <x v="2"/>
    <s v="November"/>
    <x v="3"/>
    <n v="1.3671856287425099"/>
    <n v="3.25"/>
    <n v="8.15"/>
    <n v="25.37"/>
    <n v="-5.4"/>
    <n v="24"/>
    <n v="0.95"/>
  </r>
  <r>
    <n v="2362"/>
    <s v="A3362"/>
    <x v="2"/>
    <n v="116"/>
    <x v="1634"/>
    <n v="187"/>
    <n v="17"/>
    <n v="5"/>
    <n v="4.3103448275862002E-2"/>
    <x v="51"/>
    <d v="2024-11-07T00:00:00"/>
    <s v="Hyderabad"/>
    <x v="0"/>
    <x v="5"/>
    <s v="November"/>
    <x v="5"/>
    <n v="1.6092241379310299"/>
    <n v="2.3199999999999998"/>
    <n v="10.98"/>
    <n v="37.33"/>
    <n v="46.25"/>
    <n v="54.6"/>
    <n v="1.46"/>
  </r>
  <r>
    <n v="2363"/>
    <s v="A3363"/>
    <x v="1"/>
    <n v="93"/>
    <x v="1635"/>
    <n v="216"/>
    <n v="22"/>
    <n v="7"/>
    <n v="7.5268817204300995E-2"/>
    <x v="18"/>
    <d v="2024-11-23T00:00:00"/>
    <s v="Hyderabad"/>
    <x v="1"/>
    <x v="4"/>
    <s v="November"/>
    <x v="0"/>
    <n v="2.3174193548386999"/>
    <n v="2.4500000000000002"/>
    <n v="9.8000000000000007"/>
    <n v="30.79"/>
    <n v="43.37"/>
    <n v="44.14"/>
    <n v="1.43"/>
  </r>
  <r>
    <n v="2364"/>
    <s v="A3364"/>
    <x v="0"/>
    <n v="159"/>
    <x v="1636"/>
    <n v="249"/>
    <n v="18"/>
    <n v="8"/>
    <n v="5.0314465408804999E-2"/>
    <x v="73"/>
    <d v="2024-11-09T00:00:00"/>
    <s v="Hyderabad"/>
    <x v="0"/>
    <x v="5"/>
    <s v="November"/>
    <x v="0"/>
    <n v="1.56893081761006"/>
    <n v="2.85"/>
    <n v="13.86"/>
    <n v="31.18"/>
    <n v="-3.79"/>
    <n v="30"/>
    <n v="0.96"/>
  </r>
  <r>
    <n v="2365"/>
    <s v="A3365"/>
    <x v="1"/>
    <n v="146"/>
    <x v="1612"/>
    <n v="225"/>
    <n v="12"/>
    <n v="7"/>
    <n v="4.7945205479451997E-2"/>
    <x v="133"/>
    <d v="2024-11-05T00:00:00"/>
    <s v="Hyderabad"/>
    <x v="1"/>
    <x v="5"/>
    <s v="November"/>
    <x v="2"/>
    <n v="1.5395205479452001"/>
    <n v="2.86"/>
    <n v="18.73"/>
    <n v="32.11"/>
    <n v="30.8"/>
    <n v="42"/>
    <n v="1.31"/>
  </r>
  <r>
    <n v="2366"/>
    <s v="A3366"/>
    <x v="2"/>
    <n v="136"/>
    <x v="1637"/>
    <n v="190"/>
    <n v="19"/>
    <n v="8"/>
    <n v="5.8823529411764698E-2"/>
    <x v="16"/>
    <d v="2024-11-30T00:00:00"/>
    <s v="Hyderabad"/>
    <x v="0"/>
    <x v="3"/>
    <s v="November"/>
    <x v="0"/>
    <n v="1.39926470588235"/>
    <n v="2.38"/>
    <n v="10.02"/>
    <n v="23.79"/>
    <n v="81.819999999999993"/>
    <n v="43.25"/>
    <n v="1.82"/>
  </r>
  <r>
    <n v="2367"/>
    <s v="A3367"/>
    <x v="0"/>
    <n v="159"/>
    <x v="1638"/>
    <n v="209"/>
    <n v="16"/>
    <n v="4"/>
    <n v="2.51572327044025E-2"/>
    <x v="209"/>
    <d v="2024-11-21T00:00:00"/>
    <s v="Hyderabad"/>
    <x v="1"/>
    <x v="4"/>
    <s v="November"/>
    <x v="5"/>
    <n v="1.31245283018867"/>
    <n v="3.16"/>
    <n v="13.04"/>
    <n v="52.17"/>
    <n v="73.95"/>
    <n v="90.75"/>
    <n v="1.74"/>
  </r>
  <r>
    <n v="2368"/>
    <s v="A3368"/>
    <x v="1"/>
    <n v="83"/>
    <x v="1420"/>
    <n v="221"/>
    <n v="11"/>
    <n v="4"/>
    <n v="4.8192771084337303E-2"/>
    <x v="85"/>
    <d v="2024-11-15T00:00:00"/>
    <s v="Hyderabad"/>
    <x v="1"/>
    <x v="3"/>
    <s v="November"/>
    <x v="3"/>
    <n v="2.66048192771084"/>
    <n v="2.2000000000000002"/>
    <n v="20.07"/>
    <n v="55.2"/>
    <n v="72.540000000000006"/>
    <n v="95.25"/>
    <n v="1.73"/>
  </r>
  <r>
    <n v="2369"/>
    <s v="A3369"/>
    <x v="0"/>
    <n v="136"/>
    <x v="1639"/>
    <n v="216"/>
    <n v="20"/>
    <n v="8"/>
    <n v="5.8823529411764698E-2"/>
    <x v="31"/>
    <d v="2024-11-21T00:00:00"/>
    <s v="Hyderabad"/>
    <x v="2"/>
    <x v="2"/>
    <s v="November"/>
    <x v="5"/>
    <n v="1.58720588235294"/>
    <n v="4.0999999999999996"/>
    <n v="10.79"/>
    <n v="26.98"/>
    <n v="61.68"/>
    <n v="43.62"/>
    <n v="1.62"/>
  </r>
  <r>
    <n v="2370"/>
    <s v="A3370"/>
    <x v="2"/>
    <n v="136"/>
    <x v="1640"/>
    <n v="214"/>
    <n v="16"/>
    <n v="6"/>
    <n v="4.4117647058823498E-2"/>
    <x v="31"/>
    <d v="2024-11-21T00:00:00"/>
    <s v="Hyderabad"/>
    <x v="2"/>
    <x v="4"/>
    <s v="November"/>
    <x v="5"/>
    <n v="1.5710294117646999"/>
    <n v="3.45"/>
    <n v="13.35"/>
    <n v="35.61"/>
    <n v="63.34"/>
    <n v="58.17"/>
    <n v="1.63"/>
  </r>
  <r>
    <n v="2371"/>
    <s v="A3371"/>
    <x v="3"/>
    <n v="166"/>
    <x v="285"/>
    <n v="222"/>
    <n v="10"/>
    <n v="3"/>
    <n v="1.8072289156626498E-2"/>
    <x v="119"/>
    <d v="2024-11-12T00:00:00"/>
    <s v="Hyderabad"/>
    <x v="0"/>
    <x v="0"/>
    <s v="November"/>
    <x v="2"/>
    <n v="1.3372891566264999"/>
    <n v="4.68"/>
    <n v="22.2"/>
    <n v="74"/>
    <n v="65.319999999999993"/>
    <n v="122.33"/>
    <n v="1.65"/>
  </r>
  <r>
    <n v="2372"/>
    <s v="A3372"/>
    <x v="1"/>
    <n v="192"/>
    <x v="1641"/>
    <n v="248"/>
    <n v="28"/>
    <n v="3"/>
    <n v="1.5625E-2"/>
    <x v="184"/>
    <d v="2024-11-19T00:00:00"/>
    <s v="Hyderabad"/>
    <x v="0"/>
    <x v="5"/>
    <s v="November"/>
    <x v="2"/>
    <n v="1.2893749999999999"/>
    <n v="3.28"/>
    <n v="8.84"/>
    <n v="82.52"/>
    <n v="27.24"/>
    <n v="105"/>
    <n v="1.27"/>
  </r>
  <r>
    <n v="2373"/>
    <s v="A3373"/>
    <x v="0"/>
    <n v="109"/>
    <x v="1642"/>
    <n v="223"/>
    <n v="21"/>
    <n v="6"/>
    <n v="5.5045871559633003E-2"/>
    <x v="65"/>
    <d v="2024-11-27T00:00:00"/>
    <s v="Hyderabad"/>
    <x v="2"/>
    <x v="1"/>
    <s v="November"/>
    <x v="1"/>
    <n v="2.0502752293577902"/>
    <n v="3.04"/>
    <n v="10.64"/>
    <n v="37.25"/>
    <n v="41.85"/>
    <n v="52.83"/>
    <n v="1.42"/>
  </r>
  <r>
    <n v="2374"/>
    <s v="A3374"/>
    <x v="2"/>
    <n v="108"/>
    <x v="1174"/>
    <n v="200"/>
    <n v="25"/>
    <n v="8"/>
    <n v="7.4074074074074001E-2"/>
    <x v="25"/>
    <d v="2024-11-02T00:00:00"/>
    <s v="Hyderabad"/>
    <x v="2"/>
    <x v="0"/>
    <s v="November"/>
    <x v="0"/>
    <n v="1.8504629629629601"/>
    <n v="2.69"/>
    <n v="7.99"/>
    <n v="24.98"/>
    <n v="69.13"/>
    <n v="42.25"/>
    <n v="1.69"/>
  </r>
  <r>
    <n v="2375"/>
    <s v="A3375"/>
    <x v="2"/>
    <n v="175"/>
    <x v="92"/>
    <n v="185"/>
    <n v="23"/>
    <n v="9"/>
    <n v="5.14285714285714E-2"/>
    <x v="137"/>
    <d v="2024-11-20T00:00:00"/>
    <s v="Hyderabad"/>
    <x v="0"/>
    <x v="2"/>
    <s v="November"/>
    <x v="1"/>
    <n v="1.0598857142857101"/>
    <n v="5.23"/>
    <n v="8.06"/>
    <n v="20.61"/>
    <n v="31.01"/>
    <n v="27"/>
    <n v="1.31"/>
  </r>
  <r>
    <n v="2376"/>
    <s v="A3376"/>
    <x v="0"/>
    <n v="80"/>
    <x v="1643"/>
    <n v="245"/>
    <n v="10"/>
    <n v="5"/>
    <n v="6.25E-2"/>
    <x v="23"/>
    <d v="2024-11-03T00:00:00"/>
    <s v="Hyderabad"/>
    <x v="1"/>
    <x v="1"/>
    <s v="November"/>
    <x v="4"/>
    <n v="3.0674999999999999"/>
    <n v="1.81"/>
    <n v="24.54"/>
    <n v="49.08"/>
    <n v="37.33"/>
    <n v="67.400000000000006"/>
    <n v="1.37"/>
  </r>
  <r>
    <n v="2377"/>
    <s v="A3377"/>
    <x v="3"/>
    <n v="192"/>
    <x v="450"/>
    <n v="234"/>
    <n v="30"/>
    <n v="5"/>
    <n v="2.6041666666666598E-2"/>
    <x v="186"/>
    <d v="2024-11-17T00:00:00"/>
    <s v="Hyderabad"/>
    <x v="2"/>
    <x v="1"/>
    <s v="November"/>
    <x v="4"/>
    <n v="1.2201562500000001"/>
    <n v="3.86"/>
    <n v="7.81"/>
    <n v="46.85"/>
    <n v="41.72"/>
    <n v="66.400000000000006"/>
    <n v="1.42"/>
  </r>
  <r>
    <n v="2378"/>
    <s v="A3378"/>
    <x v="0"/>
    <n v="85"/>
    <x v="1644"/>
    <n v="181"/>
    <n v="13"/>
    <n v="3"/>
    <n v="3.5294117647058802E-2"/>
    <x v="106"/>
    <d v="2024-11-11T00:00:00"/>
    <s v="Hyderabad"/>
    <x v="1"/>
    <x v="1"/>
    <s v="November"/>
    <x v="6"/>
    <n v="2.1316470588235199"/>
    <n v="1.67"/>
    <n v="13.94"/>
    <n v="60.4"/>
    <n v="18.11"/>
    <n v="71.33"/>
    <n v="1.18"/>
  </r>
  <r>
    <n v="2379"/>
    <s v="A3379"/>
    <x v="1"/>
    <n v="91"/>
    <x v="1538"/>
    <n v="217"/>
    <n v="20"/>
    <n v="8"/>
    <n v="8.7912087912087905E-2"/>
    <x v="86"/>
    <d v="2024-11-09T00:00:00"/>
    <s v="Hyderabad"/>
    <x v="1"/>
    <x v="1"/>
    <s v="November"/>
    <x v="0"/>
    <n v="2.38054945054945"/>
    <n v="2.1800000000000002"/>
    <n v="10.83"/>
    <n v="27.08"/>
    <n v="41.72"/>
    <n v="38.380000000000003"/>
    <n v="1.42"/>
  </r>
  <r>
    <n v="2380"/>
    <s v="A3380"/>
    <x v="0"/>
    <n v="94"/>
    <x v="1190"/>
    <n v="221"/>
    <n v="11"/>
    <n v="10"/>
    <n v="0.10638297872340401"/>
    <x v="194"/>
    <d v="2024-11-27T00:00:00"/>
    <s v="Hyderabad"/>
    <x v="1"/>
    <x v="3"/>
    <s v="November"/>
    <x v="1"/>
    <n v="2.34606382978723"/>
    <n v="1.74"/>
    <n v="20.05"/>
    <n v="22.05"/>
    <n v="54.63"/>
    <n v="34.1"/>
    <n v="1.55"/>
  </r>
  <r>
    <n v="2381"/>
    <s v="A3381"/>
    <x v="2"/>
    <n v="119"/>
    <x v="48"/>
    <n v="225"/>
    <n v="17"/>
    <n v="4"/>
    <n v="3.3613445378151197E-2"/>
    <x v="142"/>
    <d v="2024-11-14T00:00:00"/>
    <s v="Hyderabad"/>
    <x v="2"/>
    <x v="0"/>
    <s v="November"/>
    <x v="5"/>
    <n v="1.8880672268907499"/>
    <n v="2.56"/>
    <n v="13.22"/>
    <n v="56.17"/>
    <n v="61.12"/>
    <n v="90.5"/>
    <n v="1.61"/>
  </r>
  <r>
    <n v="2382"/>
    <s v="A3382"/>
    <x v="1"/>
    <n v="198"/>
    <x v="471"/>
    <n v="195"/>
    <n v="25"/>
    <n v="7"/>
    <n v="3.5353535353535297E-2"/>
    <x v="74"/>
    <d v="2024-11-12T00:00:00"/>
    <s v="Hyderabad"/>
    <x v="0"/>
    <x v="2"/>
    <s v="November"/>
    <x v="2"/>
    <n v="0.98611111111111105"/>
    <n v="5.04"/>
    <n v="7.81"/>
    <n v="27.89"/>
    <n v="10.63"/>
    <n v="30.86"/>
    <n v="1.1100000000000001"/>
  </r>
  <r>
    <n v="2383"/>
    <s v="A3383"/>
    <x v="2"/>
    <n v="87"/>
    <x v="21"/>
    <n v="233"/>
    <n v="13"/>
    <n v="3"/>
    <n v="3.4482758620689599E-2"/>
    <x v="201"/>
    <d v="2024-11-10T00:00:00"/>
    <s v="Hyderabad"/>
    <x v="0"/>
    <x v="4"/>
    <s v="November"/>
    <x v="4"/>
    <n v="2.6767816091954"/>
    <n v="2.09"/>
    <n v="17.91"/>
    <n v="77.63"/>
    <n v="-3.81"/>
    <n v="74.67"/>
    <n v="0.96"/>
  </r>
  <r>
    <n v="2384"/>
    <s v="A3384"/>
    <x v="2"/>
    <n v="101"/>
    <x v="1645"/>
    <n v="197"/>
    <n v="12"/>
    <n v="9"/>
    <n v="8.9108910891089105E-2"/>
    <x v="82"/>
    <d v="2024-11-02T00:00:00"/>
    <s v="Hyderabad"/>
    <x v="2"/>
    <x v="5"/>
    <s v="November"/>
    <x v="0"/>
    <n v="1.9464356435643499"/>
    <n v="3.07"/>
    <n v="16.38"/>
    <n v="21.84"/>
    <n v="7.33"/>
    <n v="23.44"/>
    <n v="1.07"/>
  </r>
  <r>
    <n v="2385"/>
    <s v="A3385"/>
    <x v="3"/>
    <n v="142"/>
    <x v="1366"/>
    <n v="231"/>
    <n v="20"/>
    <n v="5"/>
    <n v="3.5211267605633798E-2"/>
    <x v="13"/>
    <d v="2024-11-22T00:00:00"/>
    <s v="Hyderabad"/>
    <x v="1"/>
    <x v="1"/>
    <s v="November"/>
    <x v="3"/>
    <n v="1.6245774647887301"/>
    <n v="3.09"/>
    <n v="11.53"/>
    <n v="46.14"/>
    <n v="36.11"/>
    <n v="62.8"/>
    <n v="1.36"/>
  </r>
  <r>
    <n v="2386"/>
    <s v="A3386"/>
    <x v="1"/>
    <n v="111"/>
    <x v="1646"/>
    <n v="196"/>
    <n v="12"/>
    <n v="4"/>
    <n v="3.6036036036036001E-2"/>
    <x v="112"/>
    <d v="2024-11-14T00:00:00"/>
    <s v="Hyderabad"/>
    <x v="0"/>
    <x v="5"/>
    <s v="November"/>
    <x v="5"/>
    <n v="1.7652252252252201"/>
    <n v="1.95"/>
    <n v="16.329999999999998"/>
    <n v="48.98"/>
    <n v="43.41"/>
    <n v="70.25"/>
    <n v="1.43"/>
  </r>
  <r>
    <n v="2387"/>
    <s v="A3387"/>
    <x v="3"/>
    <n v="152"/>
    <x v="560"/>
    <n v="239"/>
    <n v="30"/>
    <n v="9"/>
    <n v="5.9210526315789401E-2"/>
    <x v="203"/>
    <d v="2024-11-15T00:00:00"/>
    <s v="Hyderabad"/>
    <x v="0"/>
    <x v="1"/>
    <s v="November"/>
    <x v="3"/>
    <n v="1.56980263157894"/>
    <n v="3.02"/>
    <n v="7.95"/>
    <n v="26.51"/>
    <n v="53.39"/>
    <n v="40.67"/>
    <n v="1.53"/>
  </r>
  <r>
    <n v="2388"/>
    <s v="A3388"/>
    <x v="2"/>
    <n v="89"/>
    <x v="772"/>
    <n v="218"/>
    <n v="22"/>
    <n v="6"/>
    <n v="6.7415730337078594E-2"/>
    <x v="5"/>
    <d v="2024-11-01T00:00:00"/>
    <s v="Hyderabad"/>
    <x v="1"/>
    <x v="0"/>
    <s v="November"/>
    <x v="3"/>
    <n v="2.4533707865168499"/>
    <n v="2.46"/>
    <n v="9.92"/>
    <n v="36.39"/>
    <n v="22.74"/>
    <n v="44.67"/>
    <n v="1.23"/>
  </r>
  <r>
    <n v="2389"/>
    <s v="A3389"/>
    <x v="1"/>
    <n v="115"/>
    <x v="1017"/>
    <n v="217"/>
    <n v="16"/>
    <n v="6"/>
    <n v="5.2173913043478203E-2"/>
    <x v="209"/>
    <d v="2024-11-05T00:00:00"/>
    <s v="Hyderabad"/>
    <x v="1"/>
    <x v="1"/>
    <s v="November"/>
    <x v="2"/>
    <n v="1.88408695652173"/>
    <n v="2.88"/>
    <n v="13.54"/>
    <n v="36.11"/>
    <n v="67.540000000000006"/>
    <n v="60.5"/>
    <n v="1.68"/>
  </r>
  <r>
    <n v="2390"/>
    <s v="A3390"/>
    <x v="2"/>
    <n v="131"/>
    <x v="897"/>
    <n v="223"/>
    <n v="30"/>
    <n v="7"/>
    <n v="5.3435114503816702E-2"/>
    <x v="113"/>
    <d v="2024-11-04T00:00:00"/>
    <s v="Hyderabad"/>
    <x v="1"/>
    <x v="5"/>
    <s v="November"/>
    <x v="6"/>
    <n v="1.7029007633587701"/>
    <n v="3.03"/>
    <n v="7.44"/>
    <n v="31.87"/>
    <n v="46.58"/>
    <n v="46.71"/>
    <n v="1.47"/>
  </r>
  <r>
    <n v="2391"/>
    <s v="A3391"/>
    <x v="0"/>
    <n v="153"/>
    <x v="1393"/>
    <n v="182"/>
    <n v="10"/>
    <n v="5"/>
    <n v="3.2679738562091498E-2"/>
    <x v="154"/>
    <d v="2024-11-28T00:00:00"/>
    <s v="Hyderabad"/>
    <x v="2"/>
    <x v="0"/>
    <s v="November"/>
    <x v="5"/>
    <n v="1.1902614379084899"/>
    <n v="3.8"/>
    <n v="18.21"/>
    <n v="36.42"/>
    <n v="49.36"/>
    <n v="54.4"/>
    <n v="1.49"/>
  </r>
  <r>
    <n v="2392"/>
    <s v="A3392"/>
    <x v="3"/>
    <n v="108"/>
    <x v="243"/>
    <n v="209"/>
    <n v="10"/>
    <n v="5"/>
    <n v="4.6296296296296197E-2"/>
    <x v="5"/>
    <d v="2024-11-29T00:00:00"/>
    <s v="Hyderabad"/>
    <x v="0"/>
    <x v="0"/>
    <s v="November"/>
    <x v="3"/>
    <n v="1.93425925925925"/>
    <n v="3.03"/>
    <n v="20.89"/>
    <n v="41.78"/>
    <n v="28.29"/>
    <n v="53.6"/>
    <n v="1.28"/>
  </r>
  <r>
    <n v="2393"/>
    <s v="A3393"/>
    <x v="2"/>
    <n v="172"/>
    <x v="1527"/>
    <n v="204"/>
    <n v="28"/>
    <n v="7"/>
    <n v="4.0697674418604599E-2"/>
    <x v="193"/>
    <d v="2024-11-21T00:00:00"/>
    <s v="Hyderabad"/>
    <x v="2"/>
    <x v="5"/>
    <s v="November"/>
    <x v="5"/>
    <n v="1.1863953488372001"/>
    <n v="3.01"/>
    <n v="7.29"/>
    <n v="29.15"/>
    <n v="40.64"/>
    <n v="41"/>
    <n v="1.41"/>
  </r>
  <r>
    <n v="2394"/>
    <s v="A3394"/>
    <x v="3"/>
    <n v="118"/>
    <x v="857"/>
    <n v="238"/>
    <n v="27"/>
    <n v="9"/>
    <n v="7.6271186440677902E-2"/>
    <x v="165"/>
    <d v="2024-11-27T00:00:00"/>
    <s v="Hyderabad"/>
    <x v="1"/>
    <x v="5"/>
    <s v="November"/>
    <x v="1"/>
    <n v="2.0159322033898301"/>
    <n v="2.14"/>
    <n v="8.81"/>
    <n v="26.43"/>
    <n v="20.23"/>
    <n v="31.78"/>
    <n v="1.2"/>
  </r>
  <r>
    <n v="2395"/>
    <s v="A3395"/>
    <x v="2"/>
    <n v="90"/>
    <x v="5"/>
    <n v="187"/>
    <n v="19"/>
    <n v="4"/>
    <n v="4.4444444444444398E-2"/>
    <x v="53"/>
    <d v="2024-11-15T00:00:00"/>
    <s v="Hyderabad"/>
    <x v="2"/>
    <x v="0"/>
    <s v="November"/>
    <x v="3"/>
    <n v="2.0768888888888801"/>
    <n v="2.38"/>
    <n v="9.84"/>
    <n v="46.73"/>
    <n v="15.02"/>
    <n v="53.75"/>
    <n v="1.1499999999999999"/>
  </r>
  <r>
    <n v="2396"/>
    <s v="A3396"/>
    <x v="2"/>
    <n v="97"/>
    <x v="565"/>
    <n v="236"/>
    <n v="20"/>
    <n v="7"/>
    <n v="7.2164948453608199E-2"/>
    <x v="113"/>
    <d v="2024-11-04T00:00:00"/>
    <s v="Hyderabad"/>
    <x v="1"/>
    <x v="1"/>
    <s v="November"/>
    <x v="6"/>
    <n v="2.4365979381443199"/>
    <n v="2.88"/>
    <n v="11.82"/>
    <n v="33.76"/>
    <n v="38.35"/>
    <n v="46.71"/>
    <n v="1.38"/>
  </r>
  <r>
    <n v="2397"/>
    <s v="A3397"/>
    <x v="1"/>
    <n v="149"/>
    <x v="1647"/>
    <n v="213"/>
    <n v="13"/>
    <n v="7"/>
    <n v="4.6979865771811999E-2"/>
    <x v="74"/>
    <d v="2024-11-06T00:00:00"/>
    <s v="Hyderabad"/>
    <x v="1"/>
    <x v="5"/>
    <s v="November"/>
    <x v="1"/>
    <n v="1.4302684563758301"/>
    <n v="3.91"/>
    <n v="16.39"/>
    <n v="30.44"/>
    <n v="1.36"/>
    <n v="30.86"/>
    <n v="1.01"/>
  </r>
  <r>
    <n v="2398"/>
    <s v="A3398"/>
    <x v="2"/>
    <n v="137"/>
    <x v="8"/>
    <n v="183"/>
    <n v="10"/>
    <n v="7"/>
    <n v="5.1094890510948898E-2"/>
    <x v="163"/>
    <d v="2024-11-29T00:00:00"/>
    <s v="Hyderabad"/>
    <x v="0"/>
    <x v="4"/>
    <s v="November"/>
    <x v="3"/>
    <n v="1.33262773722627"/>
    <n v="2.52"/>
    <n v="18.260000000000002"/>
    <n v="26.08"/>
    <n v="107.04"/>
    <n v="54"/>
    <n v="2.0699999999999998"/>
  </r>
  <r>
    <n v="2399"/>
    <s v="A3399"/>
    <x v="2"/>
    <n v="172"/>
    <x v="360"/>
    <n v="183"/>
    <n v="20"/>
    <n v="8"/>
    <n v="4.6511627906976702E-2"/>
    <x v="170"/>
    <d v="2024-11-28T00:00:00"/>
    <s v="Hyderabad"/>
    <x v="0"/>
    <x v="1"/>
    <s v="November"/>
    <x v="5"/>
    <n v="1.0642441860465099"/>
    <n v="4.22"/>
    <n v="9.15"/>
    <n v="22.88"/>
    <n v="121.8"/>
    <n v="50.75"/>
    <n v="2.2200000000000002"/>
  </r>
  <r>
    <n v="2400"/>
    <s v="A3400"/>
    <x v="0"/>
    <n v="116"/>
    <x v="1648"/>
    <n v="180"/>
    <n v="18"/>
    <n v="8"/>
    <n v="6.8965517241379296E-2"/>
    <x v="107"/>
    <d v="2024-11-17T00:00:00"/>
    <s v="Hyderabad"/>
    <x v="0"/>
    <x v="4"/>
    <s v="November"/>
    <x v="4"/>
    <n v="1.5521551724137901"/>
    <n v="2.73"/>
    <n v="10"/>
    <n v="22.51"/>
    <n v="77.73"/>
    <n v="40"/>
    <n v="1.78"/>
  </r>
  <r>
    <n v="2401"/>
    <s v="A3401"/>
    <x v="3"/>
    <n v="187"/>
    <x v="1649"/>
    <n v="186"/>
    <n v="30"/>
    <n v="9"/>
    <n v="4.8128342245989303E-2"/>
    <x v="95"/>
    <d v="2024-11-03T00:00:00"/>
    <s v="Hyderabad"/>
    <x v="0"/>
    <x v="1"/>
    <s v="November"/>
    <x v="4"/>
    <n v="0.99684491978609602"/>
    <n v="3.9"/>
    <n v="6.21"/>
    <n v="20.71"/>
    <n v="22.85"/>
    <n v="25.44"/>
    <n v="1.23"/>
  </r>
  <r>
    <n v="2402"/>
    <s v="A3402"/>
    <x v="0"/>
    <n v="126"/>
    <x v="840"/>
    <n v="193"/>
    <n v="19"/>
    <n v="6"/>
    <n v="4.7619047619047603E-2"/>
    <x v="51"/>
    <d v="2024-11-19T00:00:00"/>
    <s v="Hyderabad"/>
    <x v="2"/>
    <x v="1"/>
    <s v="November"/>
    <x v="2"/>
    <n v="1.53563492063492"/>
    <n v="3.04"/>
    <n v="10.18"/>
    <n v="32.25"/>
    <n v="41.09"/>
    <n v="45.5"/>
    <n v="1.41"/>
  </r>
  <r>
    <n v="2403"/>
    <s v="A3403"/>
    <x v="0"/>
    <n v="123"/>
    <x v="460"/>
    <n v="202"/>
    <n v="12"/>
    <n v="6"/>
    <n v="4.8780487804878002E-2"/>
    <x v="120"/>
    <d v="2024-11-10T00:00:00"/>
    <s v="Hyderabad"/>
    <x v="0"/>
    <x v="2"/>
    <s v="November"/>
    <x v="4"/>
    <n v="1.63983739837398"/>
    <n v="2.1"/>
    <n v="16.809999999999999"/>
    <n v="33.619999999999997"/>
    <n v="65.59"/>
    <n v="55.67"/>
    <n v="1.66"/>
  </r>
  <r>
    <n v="2404"/>
    <s v="A3404"/>
    <x v="1"/>
    <n v="132"/>
    <x v="1641"/>
    <n v="250"/>
    <n v="19"/>
    <n v="6"/>
    <n v="4.54545454545454E-2"/>
    <x v="158"/>
    <d v="2024-11-03T00:00:00"/>
    <s v="Hyderabad"/>
    <x v="1"/>
    <x v="5"/>
    <s v="November"/>
    <x v="4"/>
    <n v="1.89196969696969"/>
    <n v="2.2599999999999998"/>
    <n v="13.14"/>
    <n v="41.62"/>
    <n v="-12.71"/>
    <n v="36.33"/>
    <n v="0.87"/>
  </r>
  <r>
    <n v="2405"/>
    <s v="A3405"/>
    <x v="1"/>
    <n v="118"/>
    <x v="1349"/>
    <n v="192"/>
    <n v="10"/>
    <n v="6"/>
    <n v="5.0847457627118599E-2"/>
    <x v="171"/>
    <d v="2024-11-13T00:00:00"/>
    <s v="Hyderabad"/>
    <x v="1"/>
    <x v="0"/>
    <s v="November"/>
    <x v="1"/>
    <n v="1.62694915254237"/>
    <n v="3.5"/>
    <n v="19.2"/>
    <n v="32"/>
    <n v="55.22"/>
    <n v="49.67"/>
    <n v="1.55"/>
  </r>
  <r>
    <n v="2406"/>
    <s v="A3406"/>
    <x v="3"/>
    <n v="92"/>
    <x v="1650"/>
    <n v="189"/>
    <n v="23"/>
    <n v="9"/>
    <n v="9.7826086956521702E-2"/>
    <x v="137"/>
    <d v="2024-11-18T00:00:00"/>
    <s v="Hyderabad"/>
    <x v="0"/>
    <x v="4"/>
    <s v="November"/>
    <x v="6"/>
    <n v="2.0564130434782601"/>
    <n v="1.9"/>
    <n v="8.23"/>
    <n v="21.02"/>
    <n v="28.44"/>
    <n v="27"/>
    <n v="1.28"/>
  </r>
  <r>
    <n v="2407"/>
    <s v="A3407"/>
    <x v="1"/>
    <n v="100"/>
    <x v="479"/>
    <n v="203"/>
    <n v="30"/>
    <n v="7"/>
    <n v="7.0000000000000007E-2"/>
    <x v="11"/>
    <d v="2024-11-18T00:00:00"/>
    <s v="Hyderabad"/>
    <x v="0"/>
    <x v="3"/>
    <s v="November"/>
    <x v="6"/>
    <n v="2.0295999999999998"/>
    <n v="1.73"/>
    <n v="6.77"/>
    <n v="28.99"/>
    <n v="13.82"/>
    <n v="33"/>
    <n v="1.1399999999999999"/>
  </r>
  <r>
    <n v="2408"/>
    <s v="A3408"/>
    <x v="2"/>
    <n v="100"/>
    <x v="397"/>
    <n v="206"/>
    <n v="13"/>
    <n v="6"/>
    <n v="0.06"/>
    <x v="202"/>
    <d v="2024-11-27T00:00:00"/>
    <s v="Hyderabad"/>
    <x v="2"/>
    <x v="5"/>
    <s v="November"/>
    <x v="1"/>
    <n v="2.0598999999999998"/>
    <n v="1.84"/>
    <n v="15.85"/>
    <n v="34.33"/>
    <n v="59.23"/>
    <n v="54.67"/>
    <n v="1.59"/>
  </r>
  <r>
    <n v="2409"/>
    <s v="A3409"/>
    <x v="2"/>
    <n v="89"/>
    <x v="1651"/>
    <n v="208"/>
    <n v="10"/>
    <n v="7"/>
    <n v="7.8651685393258397E-2"/>
    <x v="24"/>
    <d v="2024-11-02T00:00:00"/>
    <s v="Hyderabad"/>
    <x v="0"/>
    <x v="1"/>
    <s v="November"/>
    <x v="0"/>
    <n v="2.3329213483146001"/>
    <n v="2.27"/>
    <n v="20.76"/>
    <n v="29.66"/>
    <n v="43.04"/>
    <n v="42.43"/>
    <n v="1.43"/>
  </r>
  <r>
    <n v="2410"/>
    <s v="A3410"/>
    <x v="0"/>
    <n v="147"/>
    <x v="587"/>
    <n v="187"/>
    <n v="20"/>
    <n v="5"/>
    <n v="3.4013605442176797E-2"/>
    <x v="50"/>
    <d v="2024-11-15T00:00:00"/>
    <s v="Hyderabad"/>
    <x v="0"/>
    <x v="0"/>
    <s v="November"/>
    <x v="3"/>
    <n v="1.27027210884353"/>
    <n v="3.47"/>
    <n v="9.34"/>
    <n v="37.35"/>
    <n v="38.700000000000003"/>
    <n v="51.8"/>
    <n v="1.39"/>
  </r>
  <r>
    <n v="2411"/>
    <s v="A3411"/>
    <x v="3"/>
    <n v="153"/>
    <x v="869"/>
    <n v="240"/>
    <n v="20"/>
    <n v="8"/>
    <n v="5.22875816993464E-2"/>
    <x v="5"/>
    <d v="2024-11-28T00:00:00"/>
    <s v="Hyderabad"/>
    <x v="2"/>
    <x v="2"/>
    <s v="November"/>
    <x v="5"/>
    <n v="1.57084967320261"/>
    <n v="4.74"/>
    <n v="12.02"/>
    <n v="30.04"/>
    <n v="11.51"/>
    <n v="33.5"/>
    <n v="1.1200000000000001"/>
  </r>
  <r>
    <n v="2412"/>
    <s v="A3412"/>
    <x v="2"/>
    <n v="164"/>
    <x v="1652"/>
    <n v="203"/>
    <n v="19"/>
    <n v="10"/>
    <n v="6.0975609756097497E-2"/>
    <x v="189"/>
    <d v="2024-11-29T00:00:00"/>
    <s v="Hyderabad"/>
    <x v="0"/>
    <x v="2"/>
    <s v="November"/>
    <x v="3"/>
    <n v="1.23512195121951"/>
    <n v="4.0999999999999996"/>
    <n v="10.66"/>
    <n v="20.260000000000002"/>
    <n v="89.57"/>
    <n v="38.4"/>
    <n v="1.9"/>
  </r>
  <r>
    <n v="2413"/>
    <s v="A3413"/>
    <x v="3"/>
    <n v="124"/>
    <x v="780"/>
    <n v="218"/>
    <n v="11"/>
    <n v="10"/>
    <n v="8.0645161290322495E-2"/>
    <x v="156"/>
    <d v="2024-11-06T00:00:00"/>
    <s v="Hyderabad"/>
    <x v="1"/>
    <x v="4"/>
    <s v="November"/>
    <x v="1"/>
    <n v="1.7590322580645099"/>
    <n v="2.08"/>
    <n v="19.829999999999998"/>
    <n v="21.81"/>
    <n v="-4.6399999999999997"/>
    <n v="20.8"/>
    <n v="0.95"/>
  </r>
  <r>
    <n v="2414"/>
    <s v="A3414"/>
    <x v="1"/>
    <n v="189"/>
    <x v="1653"/>
    <n v="232"/>
    <n v="28"/>
    <n v="5"/>
    <n v="2.6455026455026402E-2"/>
    <x v="35"/>
    <d v="2024-11-03T00:00:00"/>
    <s v="Hyderabad"/>
    <x v="2"/>
    <x v="4"/>
    <s v="November"/>
    <x v="4"/>
    <n v="1.2260846560846499"/>
    <n v="3.29"/>
    <n v="8.2799999999999994"/>
    <n v="46.35"/>
    <n v="15.22"/>
    <n v="53.4"/>
    <n v="1.1499999999999999"/>
  </r>
  <r>
    <n v="2415"/>
    <s v="A3415"/>
    <x v="3"/>
    <n v="142"/>
    <x v="1654"/>
    <n v="247"/>
    <n v="17"/>
    <n v="4"/>
    <n v="2.8169014084507001E-2"/>
    <x v="199"/>
    <d v="2024-11-01T00:00:00"/>
    <s v="Hyderabad"/>
    <x v="0"/>
    <x v="4"/>
    <s v="November"/>
    <x v="3"/>
    <n v="1.74169014084507"/>
    <n v="2.65"/>
    <n v="14.55"/>
    <n v="61.83"/>
    <n v="50.82"/>
    <n v="93.25"/>
    <n v="1.51"/>
  </r>
  <r>
    <n v="2416"/>
    <s v="A3416"/>
    <x v="1"/>
    <n v="127"/>
    <x v="1655"/>
    <n v="200"/>
    <n v="17"/>
    <n v="5"/>
    <n v="3.9370078740157403E-2"/>
    <x v="206"/>
    <d v="2024-11-27T00:00:00"/>
    <s v="Hyderabad"/>
    <x v="2"/>
    <x v="1"/>
    <s v="November"/>
    <x v="1"/>
    <n v="1.5718897637795199"/>
    <n v="2.77"/>
    <n v="11.74"/>
    <n v="39.93"/>
    <n v="34.75"/>
    <n v="53.8"/>
    <n v="1.35"/>
  </r>
  <r>
    <n v="2417"/>
    <s v="A3417"/>
    <x v="1"/>
    <n v="174"/>
    <x v="1567"/>
    <n v="182"/>
    <n v="12"/>
    <n v="3"/>
    <n v="1.72413793103448E-2"/>
    <x v="192"/>
    <d v="2024-11-02T00:00:00"/>
    <s v="Hyderabad"/>
    <x v="0"/>
    <x v="3"/>
    <s v="November"/>
    <x v="0"/>
    <n v="1.04344827586206"/>
    <n v="4.4000000000000004"/>
    <n v="15.13"/>
    <n v="60.52"/>
    <n v="55.87"/>
    <n v="94.33"/>
    <n v="1.56"/>
  </r>
  <r>
    <n v="2418"/>
    <s v="A3418"/>
    <x v="1"/>
    <n v="183"/>
    <x v="375"/>
    <n v="207"/>
    <n v="10"/>
    <n v="7"/>
    <n v="3.8251366120218497E-2"/>
    <x v="21"/>
    <d v="2024-11-25T00:00:00"/>
    <s v="Hyderabad"/>
    <x v="2"/>
    <x v="4"/>
    <s v="November"/>
    <x v="6"/>
    <n v="1.1334972677595601"/>
    <n v="3.06"/>
    <n v="20.74"/>
    <n v="29.63"/>
    <n v="30.16"/>
    <n v="38.57"/>
    <n v="1.3"/>
  </r>
  <r>
    <n v="2419"/>
    <s v="A3419"/>
    <x v="1"/>
    <n v="190"/>
    <x v="1656"/>
    <n v="213"/>
    <n v="18"/>
    <n v="7"/>
    <n v="3.6842105263157801E-2"/>
    <x v="41"/>
    <d v="2024-11-13T00:00:00"/>
    <s v="Hyderabad"/>
    <x v="0"/>
    <x v="3"/>
    <s v="November"/>
    <x v="1"/>
    <n v="1.1216315789473601"/>
    <n v="5.5"/>
    <n v="11.84"/>
    <n v="30.44"/>
    <n v="65.64"/>
    <n v="50.43"/>
    <n v="1.66"/>
  </r>
  <r>
    <n v="2420"/>
    <s v="A3420"/>
    <x v="1"/>
    <n v="116"/>
    <x v="787"/>
    <n v="189"/>
    <n v="11"/>
    <n v="7"/>
    <n v="6.0344827586206899E-2"/>
    <x v="44"/>
    <d v="2024-11-14T00:00:00"/>
    <s v="Hyderabad"/>
    <x v="0"/>
    <x v="2"/>
    <s v="November"/>
    <x v="5"/>
    <n v="1.6285344827586199"/>
    <n v="2.02"/>
    <n v="17.170000000000002"/>
    <n v="26.99"/>
    <n v="47.69"/>
    <n v="39.86"/>
    <n v="1.48"/>
  </r>
  <r>
    <n v="2421"/>
    <s v="A3421"/>
    <x v="3"/>
    <n v="199"/>
    <x v="943"/>
    <n v="207"/>
    <n v="20"/>
    <n v="9"/>
    <n v="4.5226130653266298E-2"/>
    <x v="53"/>
    <d v="2024-11-24T00:00:00"/>
    <s v="Hyderabad"/>
    <x v="1"/>
    <x v="3"/>
    <s v="November"/>
    <x v="4"/>
    <n v="1.0397989949748701"/>
    <n v="4.54"/>
    <n v="10.35"/>
    <n v="22.99"/>
    <n v="3.9"/>
    <n v="23.89"/>
    <n v="1.04"/>
  </r>
  <r>
    <n v="2422"/>
    <s v="A3422"/>
    <x v="1"/>
    <n v="181"/>
    <x v="726"/>
    <n v="276"/>
    <n v="24"/>
    <n v="8"/>
    <n v="4.4198895027624301E-2"/>
    <x v="175"/>
    <d v="2024-11-25T00:00:00"/>
    <s v="Hyderabad"/>
    <x v="1"/>
    <x v="2"/>
    <s v="November"/>
    <x v="6"/>
    <n v="1.5243795620437901"/>
    <n v="4.41"/>
    <n v="11.5"/>
    <n v="34.49"/>
    <n v="-18.45"/>
    <n v="28.12"/>
    <n v="0.82"/>
  </r>
  <r>
    <n v="2423"/>
    <s v="A3423"/>
    <x v="3"/>
    <n v="197"/>
    <x v="1380"/>
    <n v="243"/>
    <n v="17"/>
    <n v="3"/>
    <n v="1.5228426395939E-2"/>
    <x v="202"/>
    <d v="2024-11-22T00:00:00"/>
    <s v="Hyderabad"/>
    <x v="2"/>
    <x v="1"/>
    <s v="November"/>
    <x v="3"/>
    <n v="1.2354314720812101"/>
    <n v="6.06"/>
    <n v="14.32"/>
    <n v="81.13"/>
    <n v="34.770000000000003"/>
    <n v="109.33"/>
    <n v="1.35"/>
  </r>
  <r>
    <n v="2424"/>
    <s v="A3424"/>
    <x v="0"/>
    <n v="136"/>
    <x v="428"/>
    <n v="205"/>
    <n v="10"/>
    <n v="4"/>
    <n v="2.94117647058823E-2"/>
    <x v="206"/>
    <d v="2024-11-22T00:00:00"/>
    <s v="Hyderabad"/>
    <x v="2"/>
    <x v="4"/>
    <s v="November"/>
    <x v="3"/>
    <n v="1.5073529411764699"/>
    <n v="3.03"/>
    <n v="20.5"/>
    <n v="51.25"/>
    <n v="31.22"/>
    <n v="67.25"/>
    <n v="1.31"/>
  </r>
  <r>
    <n v="2425"/>
    <s v="A3425"/>
    <x v="3"/>
    <n v="128"/>
    <x v="1657"/>
    <n v="236"/>
    <n v="16"/>
    <n v="6"/>
    <n v="4.6875E-2"/>
    <x v="106"/>
    <d v="2024-11-09T00:00:00"/>
    <s v="Hyderabad"/>
    <x v="0"/>
    <x v="4"/>
    <s v="November"/>
    <x v="0"/>
    <n v="1.84640625"/>
    <n v="4.0599999999999996"/>
    <n v="14.77"/>
    <n v="39.39"/>
    <n v="-9.4499999999999993"/>
    <n v="35.67"/>
    <n v="0.91"/>
  </r>
  <r>
    <n v="2426"/>
    <s v="A3426"/>
    <x v="1"/>
    <n v="163"/>
    <x v="510"/>
    <n v="204"/>
    <n v="26"/>
    <n v="3"/>
    <n v="1.84049079754601E-2"/>
    <x v="96"/>
    <d v="2024-11-16T00:00:00"/>
    <s v="Hyderabad"/>
    <x v="2"/>
    <x v="2"/>
    <s v="November"/>
    <x v="0"/>
    <n v="1.25368098159509"/>
    <n v="3.4"/>
    <n v="7.86"/>
    <n v="68.12"/>
    <n v="97.7"/>
    <n v="134.66999999999999"/>
    <n v="1.98"/>
  </r>
  <r>
    <n v="2427"/>
    <s v="A3427"/>
    <x v="3"/>
    <n v="199"/>
    <x v="1564"/>
    <n v="213"/>
    <n v="30"/>
    <n v="10"/>
    <n v="5.0251256281407003E-2"/>
    <x v="117"/>
    <d v="2024-11-26T00:00:00"/>
    <s v="Hyderabad"/>
    <x v="1"/>
    <x v="5"/>
    <s v="November"/>
    <x v="2"/>
    <n v="1.06798994974874"/>
    <n v="3.82"/>
    <n v="7.08"/>
    <n v="21.25"/>
    <n v="67.98"/>
    <n v="35.700000000000003"/>
    <n v="1.68"/>
  </r>
  <r>
    <n v="2428"/>
    <s v="A3428"/>
    <x v="1"/>
    <n v="169"/>
    <x v="1097"/>
    <n v="265"/>
    <n v="30"/>
    <n v="5"/>
    <n v="2.9585798816568001E-2"/>
    <x v="9"/>
    <d v="2024-11-25T00:00:00"/>
    <s v="Hyderabad"/>
    <x v="0"/>
    <x v="2"/>
    <s v="November"/>
    <x v="6"/>
    <n v="1.56753061615001"/>
    <n v="3.17"/>
    <n v="8.83"/>
    <n v="52.98"/>
    <n v="-20.73"/>
    <n v="42"/>
    <n v="0.79"/>
  </r>
  <r>
    <n v="2429"/>
    <s v="A3429"/>
    <x v="3"/>
    <n v="138"/>
    <x v="1133"/>
    <n v="247"/>
    <n v="13"/>
    <n v="3"/>
    <n v="2.1739130434782601E-2"/>
    <x v="113"/>
    <d v="2024-11-18T00:00:00"/>
    <s v="Hyderabad"/>
    <x v="1"/>
    <x v="1"/>
    <s v="November"/>
    <x v="6"/>
    <n v="1.7931159420289799"/>
    <n v="3.48"/>
    <n v="19.03"/>
    <n v="82.48"/>
    <n v="32.15"/>
    <n v="109"/>
    <n v="1.32"/>
  </r>
  <r>
    <n v="2430"/>
    <s v="A3430"/>
    <x v="1"/>
    <n v="180"/>
    <x v="940"/>
    <n v="231"/>
    <n v="25"/>
    <n v="4"/>
    <n v="2.2222222222222199E-2"/>
    <x v="22"/>
    <d v="2024-11-20T00:00:00"/>
    <s v="Hyderabad"/>
    <x v="2"/>
    <x v="4"/>
    <s v="November"/>
    <x v="1"/>
    <n v="1.28338888888888"/>
    <n v="3.03"/>
    <n v="9.24"/>
    <n v="57.75"/>
    <n v="28.13"/>
    <n v="74"/>
    <n v="1.28"/>
  </r>
  <r>
    <n v="2431"/>
    <s v="A3431"/>
    <x v="1"/>
    <n v="154"/>
    <x v="1588"/>
    <n v="247"/>
    <n v="11"/>
    <n v="8"/>
    <n v="5.1948051948051903E-2"/>
    <x v="32"/>
    <d v="2024-11-22T00:00:00"/>
    <s v="Hyderabad"/>
    <x v="2"/>
    <x v="0"/>
    <s v="November"/>
    <x v="3"/>
    <n v="1.6046103896103801"/>
    <n v="3.14"/>
    <n v="22.46"/>
    <n v="30.89"/>
    <n v="51.23"/>
    <n v="46.71"/>
    <n v="1.51"/>
  </r>
  <r>
    <n v="2432"/>
    <s v="A3432"/>
    <x v="1"/>
    <n v="105"/>
    <x v="1275"/>
    <n v="233"/>
    <n v="13"/>
    <n v="10"/>
    <n v="9.5238095238095205E-2"/>
    <x v="116"/>
    <d v="2024-11-09T00:00:00"/>
    <s v="Hyderabad"/>
    <x v="2"/>
    <x v="0"/>
    <s v="November"/>
    <x v="0"/>
    <n v="2.22085714285714"/>
    <n v="3.33"/>
    <n v="17.940000000000001"/>
    <n v="23.32"/>
    <n v="-0.51"/>
    <n v="23.2"/>
    <n v="0.99"/>
  </r>
  <r>
    <n v="2433"/>
    <s v="A3433"/>
    <x v="2"/>
    <n v="89"/>
    <x v="1658"/>
    <n v="209"/>
    <n v="29"/>
    <n v="9"/>
    <n v="0.101123595505617"/>
    <x v="158"/>
    <d v="2024-11-18T00:00:00"/>
    <s v="Hyderabad"/>
    <x v="0"/>
    <x v="4"/>
    <s v="November"/>
    <x v="6"/>
    <n v="2.3529213483146001"/>
    <n v="1.49"/>
    <n v="7.22"/>
    <n v="23.27"/>
    <n v="4.0999999999999996"/>
    <n v="24.22"/>
    <n v="1.04"/>
  </r>
  <r>
    <n v="2434"/>
    <s v="A3434"/>
    <x v="0"/>
    <n v="125"/>
    <x v="1116"/>
    <n v="191"/>
    <n v="29"/>
    <n v="7"/>
    <n v="5.6000000000000001E-2"/>
    <x v="17"/>
    <d v="2024-11-10T00:00:00"/>
    <s v="Hyderabad"/>
    <x v="2"/>
    <x v="1"/>
    <s v="November"/>
    <x v="4"/>
    <n v="1.5313599999999901"/>
    <n v="3.28"/>
    <n v="6.6"/>
    <n v="27.35"/>
    <n v="90.16"/>
    <n v="52"/>
    <n v="1.9"/>
  </r>
  <r>
    <n v="2435"/>
    <s v="A3435"/>
    <x v="1"/>
    <n v="175"/>
    <x v="1659"/>
    <n v="186"/>
    <n v="22"/>
    <n v="9"/>
    <n v="5.14285714285714E-2"/>
    <x v="55"/>
    <d v="2024-11-05T00:00:00"/>
    <s v="Hyderabad"/>
    <x v="1"/>
    <x v="5"/>
    <s v="November"/>
    <x v="2"/>
    <n v="1.06337142857142"/>
    <n v="4.4400000000000004"/>
    <n v="8.4600000000000009"/>
    <n v="20.68"/>
    <n v="33.81"/>
    <n v="27.67"/>
    <n v="1.34"/>
  </r>
  <r>
    <n v="2436"/>
    <s v="A3436"/>
    <x v="1"/>
    <n v="175"/>
    <x v="997"/>
    <n v="207"/>
    <n v="25"/>
    <n v="3"/>
    <n v="1.7142857142857099E-2"/>
    <x v="67"/>
    <d v="2024-11-04T00:00:00"/>
    <s v="Hyderabad"/>
    <x v="1"/>
    <x v="4"/>
    <s v="November"/>
    <x v="6"/>
    <n v="1.1851428571428499"/>
    <n v="3.17"/>
    <n v="8.3000000000000007"/>
    <n v="69.13"/>
    <n v="59.11"/>
    <n v="110"/>
    <n v="1.59"/>
  </r>
  <r>
    <n v="2437"/>
    <s v="A3437"/>
    <x v="0"/>
    <n v="183"/>
    <x v="1660"/>
    <n v="198"/>
    <n v="27"/>
    <n v="10"/>
    <n v="5.4644808743169397E-2"/>
    <x v="64"/>
    <d v="2024-11-22T00:00:00"/>
    <s v="Hyderabad"/>
    <x v="1"/>
    <x v="1"/>
    <s v="November"/>
    <x v="3"/>
    <n v="1.0826229508196701"/>
    <n v="3.03"/>
    <n v="7.34"/>
    <n v="19.809999999999999"/>
    <n v="135.79"/>
    <n v="46.71"/>
    <n v="2.36"/>
  </r>
  <r>
    <n v="2438"/>
    <s v="A3438"/>
    <x v="3"/>
    <n v="182"/>
    <x v="1661"/>
    <n v="206"/>
    <n v="26"/>
    <n v="4"/>
    <n v="2.19780219780219E-2"/>
    <x v="179"/>
    <d v="2024-11-18T00:00:00"/>
    <s v="Hyderabad"/>
    <x v="2"/>
    <x v="1"/>
    <s v="November"/>
    <x v="6"/>
    <n v="1.1335164835164799"/>
    <n v="3.33"/>
    <n v="7.93"/>
    <n v="51.58"/>
    <n v="79.84"/>
    <n v="92.75"/>
    <n v="1.8"/>
  </r>
  <r>
    <n v="2439"/>
    <s v="A3439"/>
    <x v="3"/>
    <n v="137"/>
    <x v="962"/>
    <n v="236"/>
    <n v="30"/>
    <n v="4"/>
    <n v="2.9197080291970798E-2"/>
    <x v="178"/>
    <d v="2024-11-28T00:00:00"/>
    <s v="Hyderabad"/>
    <x v="1"/>
    <x v="3"/>
    <s v="November"/>
    <x v="5"/>
    <n v="1.7223357664233501"/>
    <n v="3.03"/>
    <n v="7.87"/>
    <n v="58.99"/>
    <n v="66.55"/>
    <n v="98.25"/>
    <n v="1.67"/>
  </r>
  <r>
    <n v="2440"/>
    <s v="A3440"/>
    <x v="2"/>
    <n v="168"/>
    <x v="1588"/>
    <n v="220"/>
    <n v="23"/>
    <n v="6"/>
    <n v="3.5714285714285698E-2"/>
    <x v="109"/>
    <d v="2024-11-11T00:00:00"/>
    <s v="Hyderabad"/>
    <x v="0"/>
    <x v="0"/>
    <s v="November"/>
    <x v="6"/>
    <n v="1.3106547619047599"/>
    <n v="3.43"/>
    <n v="9.57"/>
    <n v="36.700000000000003"/>
    <n v="73.489999999999995"/>
    <n v="63.67"/>
    <n v="1.73"/>
  </r>
  <r>
    <n v="2441"/>
    <s v="A3441"/>
    <x v="0"/>
    <n v="150"/>
    <x v="1454"/>
    <n v="220"/>
    <n v="24"/>
    <n v="5"/>
    <n v="3.3333333333333298E-2"/>
    <x v="84"/>
    <d v="2024-11-01T00:00:00"/>
    <s v="Hyderabad"/>
    <x v="0"/>
    <x v="3"/>
    <s v="November"/>
    <x v="3"/>
    <n v="1.4683999999999999"/>
    <n v="2.97"/>
    <n v="9.18"/>
    <n v="44.05"/>
    <n v="6.04"/>
    <n v="46.71"/>
    <n v="1.06"/>
  </r>
  <r>
    <n v="2442"/>
    <s v="A3442"/>
    <x v="2"/>
    <n v="152"/>
    <x v="1662"/>
    <n v="209"/>
    <n v="18"/>
    <n v="6"/>
    <n v="3.94736842105263E-2"/>
    <x v="2"/>
    <d v="2024-11-04T00:00:00"/>
    <s v="Hyderabad"/>
    <x v="0"/>
    <x v="4"/>
    <s v="November"/>
    <x v="6"/>
    <n v="1.3775657894736799"/>
    <n v="4.4800000000000004"/>
    <n v="11.63"/>
    <n v="34.9"/>
    <n v="58.08"/>
    <n v="55.17"/>
    <n v="1.58"/>
  </r>
  <r>
    <n v="2443"/>
    <s v="A3443"/>
    <x v="0"/>
    <n v="113"/>
    <x v="1663"/>
    <n v="248"/>
    <n v="29"/>
    <n v="6"/>
    <n v="5.30973451327433E-2"/>
    <x v="197"/>
    <d v="2024-11-20T00:00:00"/>
    <s v="Hyderabad"/>
    <x v="1"/>
    <x v="0"/>
    <s v="November"/>
    <x v="1"/>
    <n v="2.1908849557522099"/>
    <n v="3.2"/>
    <n v="8.5399999999999991"/>
    <n v="41.26"/>
    <n v="5.0199999999999996"/>
    <n v="43.33"/>
    <n v="1.05"/>
  </r>
  <r>
    <n v="2444"/>
    <s v="A3444"/>
    <x v="1"/>
    <n v="93"/>
    <x v="1664"/>
    <n v="201"/>
    <n v="11"/>
    <n v="10"/>
    <n v="0.10752688172043"/>
    <x v="154"/>
    <d v="2024-11-14T00:00:00"/>
    <s v="Hyderabad"/>
    <x v="1"/>
    <x v="0"/>
    <s v="November"/>
    <x v="5"/>
    <n v="2.16612903225806"/>
    <n v="2.5299999999999998"/>
    <n v="18.309999999999999"/>
    <n v="20.14"/>
    <n v="35.020000000000003"/>
    <n v="27.2"/>
    <n v="1.35"/>
  </r>
  <r>
    <n v="2445"/>
    <s v="A3445"/>
    <x v="0"/>
    <n v="141"/>
    <x v="1665"/>
    <n v="190"/>
    <n v="23"/>
    <n v="5"/>
    <n v="3.54609929078014E-2"/>
    <x v="4"/>
    <d v="2024-11-01T00:00:00"/>
    <s v="Hyderabad"/>
    <x v="0"/>
    <x v="2"/>
    <s v="November"/>
    <x v="3"/>
    <n v="1.34695035460992"/>
    <n v="2.8"/>
    <n v="8.26"/>
    <n v="37.979999999999997"/>
    <n v="17.420000000000002"/>
    <n v="44.6"/>
    <n v="1.17"/>
  </r>
  <r>
    <n v="2446"/>
    <s v="A3446"/>
    <x v="3"/>
    <n v="191"/>
    <x v="1666"/>
    <n v="192"/>
    <n v="21"/>
    <n v="5"/>
    <n v="2.6178010471204102E-2"/>
    <x v="48"/>
    <d v="2024-11-03T00:00:00"/>
    <s v="Hyderabad"/>
    <x v="1"/>
    <x v="1"/>
    <s v="November"/>
    <x v="4"/>
    <n v="1.00780104712041"/>
    <n v="3.37"/>
    <n v="9.17"/>
    <n v="38.5"/>
    <n v="8.58"/>
    <n v="41.8"/>
    <n v="1.0900000000000001"/>
  </r>
  <r>
    <n v="2447"/>
    <s v="A3447"/>
    <x v="2"/>
    <n v="187"/>
    <x v="1667"/>
    <n v="234"/>
    <n v="18"/>
    <n v="9"/>
    <n v="4.8128342245989303E-2"/>
    <x v="202"/>
    <d v="2024-11-18T00:00:00"/>
    <s v="Hyderabad"/>
    <x v="2"/>
    <x v="4"/>
    <s v="November"/>
    <x v="6"/>
    <n v="1.2529946524064099"/>
    <n v="5.42"/>
    <n v="13.02"/>
    <n v="26.03"/>
    <n v="39.99"/>
    <n v="36.44"/>
    <n v="1.4"/>
  </r>
  <r>
    <n v="2448"/>
    <s v="A3448"/>
    <x v="1"/>
    <n v="118"/>
    <x v="417"/>
    <n v="228"/>
    <n v="28"/>
    <n v="9"/>
    <n v="7.6271186440677902E-2"/>
    <x v="148"/>
    <d v="2024-11-28T00:00:00"/>
    <s v="Hyderabad"/>
    <x v="1"/>
    <x v="0"/>
    <s v="November"/>
    <x v="5"/>
    <n v="1.93203389830508"/>
    <n v="2.46"/>
    <n v="8.14"/>
    <n v="25.33"/>
    <n v="-4.82"/>
    <n v="24.11"/>
    <n v="0.95"/>
  </r>
  <r>
    <n v="2449"/>
    <s v="A3449"/>
    <x v="3"/>
    <n v="184"/>
    <x v="1668"/>
    <n v="243"/>
    <n v="25"/>
    <n v="6"/>
    <n v="3.2608695652173898E-2"/>
    <x v="13"/>
    <d v="2024-11-03T00:00:00"/>
    <s v="Hyderabad"/>
    <x v="0"/>
    <x v="1"/>
    <s v="November"/>
    <x v="4"/>
    <n v="1.3185869565217301"/>
    <n v="3.08"/>
    <n v="9.6999999999999993"/>
    <n v="40.44"/>
    <n v="29.42"/>
    <n v="52.33"/>
    <n v="1.29"/>
  </r>
  <r>
    <n v="2450"/>
    <s v="A3450"/>
    <x v="1"/>
    <n v="167"/>
    <x v="1669"/>
    <n v="203"/>
    <n v="21"/>
    <n v="10"/>
    <n v="5.9880239520958001E-2"/>
    <x v="110"/>
    <d v="2024-11-10T00:00:00"/>
    <s v="Hyderabad"/>
    <x v="1"/>
    <x v="0"/>
    <s v="November"/>
    <x v="4"/>
    <n v="1.2152694610778401"/>
    <n v="3.31"/>
    <n v="9.66"/>
    <n v="20.29"/>
    <n v="82.31"/>
    <n v="37"/>
    <n v="1.82"/>
  </r>
  <r>
    <n v="2451"/>
    <s v="A3451"/>
    <x v="3"/>
    <n v="162"/>
    <x v="1149"/>
    <n v="221"/>
    <n v="13"/>
    <n v="7"/>
    <n v="4.3209876543209798E-2"/>
    <x v="41"/>
    <d v="2024-11-21T00:00:00"/>
    <s v="Hyderabad"/>
    <x v="0"/>
    <x v="1"/>
    <s v="November"/>
    <x v="5"/>
    <n v="1.3669135802469099"/>
    <n v="4.25"/>
    <n v="17.03"/>
    <n v="31.63"/>
    <n v="59.41"/>
    <n v="50.43"/>
    <n v="1.59"/>
  </r>
  <r>
    <n v="2452"/>
    <s v="A3452"/>
    <x v="2"/>
    <n v="125"/>
    <x v="1670"/>
    <n v="184"/>
    <n v="18"/>
    <n v="10"/>
    <n v="0.08"/>
    <x v="110"/>
    <d v="2024-11-14T00:00:00"/>
    <s v="Hyderabad"/>
    <x v="2"/>
    <x v="1"/>
    <s v="November"/>
    <x v="5"/>
    <n v="1.46936"/>
    <n v="2.33"/>
    <n v="10.199999999999999"/>
    <n v="18.37"/>
    <n v="101.45"/>
    <n v="37"/>
    <n v="2.0099999999999998"/>
  </r>
  <r>
    <n v="2453"/>
    <s v="A3453"/>
    <x v="0"/>
    <n v="102"/>
    <x v="1671"/>
    <n v="219"/>
    <n v="29"/>
    <n v="7"/>
    <n v="6.8627450980392093E-2"/>
    <x v="180"/>
    <d v="2024-11-29T00:00:00"/>
    <s v="Hyderabad"/>
    <x v="1"/>
    <x v="2"/>
    <s v="November"/>
    <x v="3"/>
    <n v="2.1485294117647"/>
    <n v="2.29"/>
    <n v="7.56"/>
    <n v="31.31"/>
    <n v="38.72"/>
    <n v="43.43"/>
    <n v="1.39"/>
  </r>
  <r>
    <n v="2454"/>
    <s v="A3454"/>
    <x v="2"/>
    <n v="141"/>
    <x v="848"/>
    <n v="191"/>
    <n v="24"/>
    <n v="6"/>
    <n v="4.2553191489361701E-2"/>
    <x v="114"/>
    <d v="2024-11-22T00:00:00"/>
    <s v="Hyderabad"/>
    <x v="0"/>
    <x v="3"/>
    <s v="November"/>
    <x v="3"/>
    <n v="1.35418439716312"/>
    <n v="3.32"/>
    <n v="7.96"/>
    <n v="31.82"/>
    <n v="46.79"/>
    <n v="46.71"/>
    <n v="1.47"/>
  </r>
  <r>
    <n v="2455"/>
    <s v="A3455"/>
    <x v="3"/>
    <n v="121"/>
    <x v="1326"/>
    <n v="242"/>
    <n v="29"/>
    <n v="3"/>
    <n v="2.4793388429752001E-2"/>
    <x v="90"/>
    <d v="2024-11-10T00:00:00"/>
    <s v="Hyderabad"/>
    <x v="1"/>
    <x v="0"/>
    <s v="November"/>
    <x v="4"/>
    <n v="2.0015702479338802"/>
    <n v="3.15"/>
    <n v="8.35"/>
    <n v="80.73"/>
    <n v="59.79"/>
    <n v="129"/>
    <n v="1.6"/>
  </r>
  <r>
    <n v="2456"/>
    <s v="A3456"/>
    <x v="3"/>
    <n v="142"/>
    <x v="693"/>
    <n v="187"/>
    <n v="17"/>
    <n v="3"/>
    <n v="2.1126760563380202E-2"/>
    <x v="98"/>
    <d v="2024-11-23T00:00:00"/>
    <s v="Hyderabad"/>
    <x v="2"/>
    <x v="3"/>
    <s v="November"/>
    <x v="0"/>
    <n v="1.3154225352112601"/>
    <n v="3.53"/>
    <n v="10.99"/>
    <n v="62.26"/>
    <n v="27.95"/>
    <n v="79.67"/>
    <n v="1.28"/>
  </r>
  <r>
    <n v="2457"/>
    <s v="A3457"/>
    <x v="3"/>
    <n v="150"/>
    <x v="1399"/>
    <n v="223"/>
    <n v="23"/>
    <n v="7"/>
    <n v="4.6666666666666599E-2"/>
    <x v="164"/>
    <d v="2024-11-13T00:00:00"/>
    <s v="Hyderabad"/>
    <x v="0"/>
    <x v="0"/>
    <s v="November"/>
    <x v="1"/>
    <n v="1.48966666666666"/>
    <n v="3.4"/>
    <n v="9.7200000000000006"/>
    <n v="31.92"/>
    <n v="44.1"/>
    <n v="46"/>
    <n v="1.44"/>
  </r>
  <r>
    <n v="2458"/>
    <s v="A3458"/>
    <x v="1"/>
    <n v="117"/>
    <x v="1494"/>
    <n v="239"/>
    <n v="21"/>
    <n v="3"/>
    <n v="2.5641025641025599E-2"/>
    <x v="54"/>
    <d v="2024-11-27T00:00:00"/>
    <s v="Hyderabad"/>
    <x v="2"/>
    <x v="1"/>
    <s v="November"/>
    <x v="1"/>
    <n v="2.0435897435897399"/>
    <n v="3.76"/>
    <n v="11.39"/>
    <n v="79.7"/>
    <n v="-41.39"/>
    <n v="46.71"/>
    <n v="0.59"/>
  </r>
  <r>
    <n v="2459"/>
    <s v="A3459"/>
    <x v="2"/>
    <n v="142"/>
    <x v="1672"/>
    <n v="180"/>
    <n v="11"/>
    <n v="9"/>
    <n v="6.3380281690140802E-2"/>
    <x v="96"/>
    <d v="2024-11-28T00:00:00"/>
    <s v="Hyderabad"/>
    <x v="1"/>
    <x v="3"/>
    <s v="November"/>
    <x v="5"/>
    <n v="1.2707746478873201"/>
    <n v="2.5299999999999998"/>
    <n v="16.399999999999999"/>
    <n v="20.05"/>
    <n v="123.88"/>
    <n v="44.89"/>
    <n v="2.2400000000000002"/>
  </r>
  <r>
    <n v="2460"/>
    <s v="A3460"/>
    <x v="2"/>
    <n v="103"/>
    <x v="1673"/>
    <n v="215"/>
    <n v="30"/>
    <n v="6"/>
    <n v="5.8252427184466E-2"/>
    <x v="193"/>
    <d v="2024-11-13T00:00:00"/>
    <s v="Hyderabad"/>
    <x v="2"/>
    <x v="2"/>
    <s v="November"/>
    <x v="1"/>
    <n v="2.08291262135922"/>
    <n v="2.14"/>
    <n v="7.15"/>
    <n v="35.76"/>
    <n v="33.770000000000003"/>
    <n v="47.83"/>
    <n v="1.34"/>
  </r>
  <r>
    <n v="2461"/>
    <s v="A3461"/>
    <x v="1"/>
    <n v="187"/>
    <x v="1674"/>
    <n v="186"/>
    <n v="23"/>
    <n v="5"/>
    <n v="2.6737967914438499E-2"/>
    <x v="80"/>
    <d v="2024-11-06T00:00:00"/>
    <s v="Hyderabad"/>
    <x v="0"/>
    <x v="1"/>
    <s v="November"/>
    <x v="1"/>
    <n v="0.99486631016042704"/>
    <n v="5.69"/>
    <n v="8.09"/>
    <n v="37.21"/>
    <n v="80.61"/>
    <n v="67.2"/>
    <n v="1.81"/>
  </r>
  <r>
    <n v="2462"/>
    <s v="A3462"/>
    <x v="0"/>
    <n v="172"/>
    <x v="66"/>
    <n v="209"/>
    <n v="17"/>
    <n v="10"/>
    <n v="5.8139534883720902E-2"/>
    <x v="64"/>
    <d v="2024-11-29T00:00:00"/>
    <s v="Hyderabad"/>
    <x v="0"/>
    <x v="2"/>
    <s v="November"/>
    <x v="3"/>
    <n v="1.21616279069767"/>
    <n v="3.87"/>
    <n v="12.3"/>
    <n v="20.92"/>
    <n v="123.32"/>
    <n v="46.71"/>
    <n v="2.23"/>
  </r>
  <r>
    <n v="2463"/>
    <s v="A3463"/>
    <x v="2"/>
    <n v="105"/>
    <x v="1407"/>
    <n v="186"/>
    <n v="17"/>
    <n v="6"/>
    <n v="5.7142857142857099E-2"/>
    <x v="66"/>
    <d v="2024-11-29T00:00:00"/>
    <s v="Hyderabad"/>
    <x v="1"/>
    <x v="2"/>
    <s v="November"/>
    <x v="3"/>
    <n v="1.77114285714285"/>
    <n v="3.5"/>
    <n v="10.94"/>
    <n v="31"/>
    <n v="118.85"/>
    <n v="67.83"/>
    <n v="2.19"/>
  </r>
  <r>
    <n v="2464"/>
    <s v="A3464"/>
    <x v="1"/>
    <n v="181"/>
    <x v="1675"/>
    <n v="246"/>
    <n v="22"/>
    <n v="10"/>
    <n v="5.5248618784530301E-2"/>
    <x v="51"/>
    <d v="2024-11-14T00:00:00"/>
    <s v="Hyderabad"/>
    <x v="1"/>
    <x v="0"/>
    <s v="November"/>
    <x v="5"/>
    <n v="1.3573480662983399"/>
    <n v="4.3600000000000003"/>
    <n v="11.17"/>
    <n v="24.57"/>
    <n v="11.12"/>
    <n v="27.3"/>
    <n v="1.1100000000000001"/>
  </r>
  <r>
    <n v="2465"/>
    <s v="A3465"/>
    <x v="3"/>
    <n v="172"/>
    <x v="878"/>
    <n v="241"/>
    <n v="14"/>
    <n v="9"/>
    <n v="5.2325581395348798E-2"/>
    <x v="131"/>
    <d v="2024-11-23T00:00:00"/>
    <s v="Hyderabad"/>
    <x v="2"/>
    <x v="0"/>
    <s v="November"/>
    <x v="0"/>
    <n v="1.3993604651162701"/>
    <n v="3.24"/>
    <n v="17.190000000000001"/>
    <n v="26.74"/>
    <n v="69.510000000000005"/>
    <n v="45.33"/>
    <n v="1.7"/>
  </r>
  <r>
    <n v="2466"/>
    <s v="A3466"/>
    <x v="1"/>
    <n v="98"/>
    <x v="1676"/>
    <n v="183"/>
    <n v="21"/>
    <n v="10"/>
    <n v="0.10204081632653"/>
    <x v="81"/>
    <d v="2024-11-25T00:00:00"/>
    <s v="Hyderabad"/>
    <x v="0"/>
    <x v="1"/>
    <s v="November"/>
    <x v="6"/>
    <n v="1.86724489795918"/>
    <n v="2.11"/>
    <n v="8.7100000000000009"/>
    <n v="18.3"/>
    <n v="113.67"/>
    <n v="39.1"/>
    <n v="2.14"/>
  </r>
  <r>
    <n v="2467"/>
    <s v="A3467"/>
    <x v="3"/>
    <n v="92"/>
    <x v="1512"/>
    <n v="236"/>
    <n v="17"/>
    <n v="6"/>
    <n v="6.5217391304347797E-2"/>
    <x v="147"/>
    <d v="2024-11-10T00:00:00"/>
    <s v="Hyderabad"/>
    <x v="2"/>
    <x v="3"/>
    <s v="November"/>
    <x v="4"/>
    <n v="2.56815217391304"/>
    <n v="2.85"/>
    <n v="13.9"/>
    <n v="39.380000000000003"/>
    <n v="27.4"/>
    <n v="50.17"/>
    <n v="1.27"/>
  </r>
  <r>
    <n v="2468"/>
    <s v="A3468"/>
    <x v="2"/>
    <n v="102"/>
    <x v="1677"/>
    <n v="235"/>
    <n v="20"/>
    <n v="4"/>
    <n v="3.9215686274509803E-2"/>
    <x v="10"/>
    <d v="2024-11-25T00:00:00"/>
    <s v="Hyderabad"/>
    <x v="2"/>
    <x v="3"/>
    <s v="November"/>
    <x v="6"/>
    <n v="2.3010784313725399"/>
    <n v="1.94"/>
    <n v="11.74"/>
    <n v="58.68"/>
    <n v="65.31"/>
    <n v="97"/>
    <n v="1.65"/>
  </r>
  <r>
    <n v="2469"/>
    <s v="A3469"/>
    <x v="2"/>
    <n v="143"/>
    <x v="636"/>
    <n v="247"/>
    <n v="26"/>
    <n v="9"/>
    <n v="6.2937062937062901E-2"/>
    <x v="162"/>
    <d v="2024-11-08T00:00:00"/>
    <s v="Hyderabad"/>
    <x v="1"/>
    <x v="0"/>
    <s v="November"/>
    <x v="3"/>
    <n v="1.7247552447552399"/>
    <n v="2.58"/>
    <n v="9.49"/>
    <n v="27.4"/>
    <n v="-8.3699999999999992"/>
    <n v="25.11"/>
    <n v="0.92"/>
  </r>
  <r>
    <n v="2470"/>
    <s v="A3470"/>
    <x v="3"/>
    <n v="111"/>
    <x v="1678"/>
    <n v="204"/>
    <n v="25"/>
    <n v="4"/>
    <n v="3.6036036036036001E-2"/>
    <x v="176"/>
    <d v="2024-11-07T00:00:00"/>
    <s v="Hyderabad"/>
    <x v="1"/>
    <x v="3"/>
    <s v="November"/>
    <x v="5"/>
    <n v="1.83396396396396"/>
    <n v="2.73"/>
    <n v="8.14"/>
    <n v="50.89"/>
    <n v="72.91"/>
    <n v="88"/>
    <n v="1.73"/>
  </r>
  <r>
    <n v="2471"/>
    <s v="A3471"/>
    <x v="3"/>
    <n v="116"/>
    <x v="494"/>
    <n v="199"/>
    <n v="27"/>
    <n v="3"/>
    <n v="2.5862068965517199E-2"/>
    <x v="65"/>
    <d v="2024-11-24T00:00:00"/>
    <s v="Hyderabad"/>
    <x v="1"/>
    <x v="3"/>
    <s v="November"/>
    <x v="4"/>
    <n v="1.71465517241379"/>
    <n v="2.4700000000000002"/>
    <n v="7.37"/>
    <n v="66.3"/>
    <n v="59.38"/>
    <n v="105.67"/>
    <n v="1.59"/>
  </r>
  <r>
    <n v="2472"/>
    <s v="A3472"/>
    <x v="2"/>
    <n v="148"/>
    <x v="1679"/>
    <n v="199"/>
    <n v="11"/>
    <n v="7"/>
    <n v="4.72972972972973E-2"/>
    <x v="121"/>
    <d v="2024-11-20T00:00:00"/>
    <s v="Hyderabad"/>
    <x v="0"/>
    <x v="2"/>
    <s v="November"/>
    <x v="1"/>
    <n v="1.3474999999999999"/>
    <n v="3.79"/>
    <n v="18.13"/>
    <n v="28.49"/>
    <n v="28.37"/>
    <n v="36.57"/>
    <n v="1.28"/>
  </r>
  <r>
    <n v="2473"/>
    <s v="A3473"/>
    <x v="3"/>
    <n v="90"/>
    <x v="1680"/>
    <n v="220"/>
    <n v="21"/>
    <n v="7"/>
    <n v="7.7777777777777696E-2"/>
    <x v="12"/>
    <d v="2024-11-30T00:00:00"/>
    <s v="Hyderabad"/>
    <x v="1"/>
    <x v="4"/>
    <s v="November"/>
    <x v="0"/>
    <n v="2.4404444444444402"/>
    <n v="1.75"/>
    <n v="10.46"/>
    <n v="31.38"/>
    <n v="82.12"/>
    <n v="57.14"/>
    <n v="1.82"/>
  </r>
  <r>
    <n v="2474"/>
    <s v="A3474"/>
    <x v="2"/>
    <n v="80"/>
    <x v="1681"/>
    <n v="209"/>
    <n v="20"/>
    <n v="7"/>
    <n v="8.7499999999999994E-2"/>
    <x v="208"/>
    <d v="2024-11-28T00:00:00"/>
    <s v="Hyderabad"/>
    <x v="2"/>
    <x v="4"/>
    <s v="November"/>
    <x v="5"/>
    <n v="2.6171250000000001"/>
    <n v="2.09"/>
    <n v="10.47"/>
    <n v="29.91"/>
    <n v="88.66"/>
    <n v="56.43"/>
    <n v="1.89"/>
  </r>
  <r>
    <n v="2475"/>
    <s v="A3475"/>
    <x v="0"/>
    <n v="188"/>
    <x v="1682"/>
    <n v="246"/>
    <n v="12"/>
    <n v="6"/>
    <n v="3.1914893617021198E-2"/>
    <x v="21"/>
    <d v="2024-11-24T00:00:00"/>
    <s v="Hyderabad"/>
    <x v="1"/>
    <x v="0"/>
    <s v="November"/>
    <x v="4"/>
    <n v="1.30632978723404"/>
    <n v="3.98"/>
    <n v="20.47"/>
    <n v="40.93"/>
    <n v="9.94"/>
    <n v="45"/>
    <n v="1.1000000000000001"/>
  </r>
  <r>
    <n v="2476"/>
    <s v="A3476"/>
    <x v="1"/>
    <n v="114"/>
    <x v="477"/>
    <n v="174"/>
    <n v="18"/>
    <n v="3"/>
    <n v="2.6315789473684199E-2"/>
    <x v="152"/>
    <d v="2024-11-18T00:00:00"/>
    <s v="Hyderabad"/>
    <x v="1"/>
    <x v="2"/>
    <s v="November"/>
    <x v="6"/>
    <n v="1.5243795620437901"/>
    <n v="2.94"/>
    <n v="9.65"/>
    <n v="57.93"/>
    <n v="42.71"/>
    <n v="82.67"/>
    <n v="1.43"/>
  </r>
  <r>
    <n v="2477"/>
    <s v="A3477"/>
    <x v="0"/>
    <n v="112"/>
    <x v="581"/>
    <n v="186"/>
    <n v="27"/>
    <n v="7"/>
    <n v="6.25E-2"/>
    <x v="174"/>
    <d v="2024-11-17T00:00:00"/>
    <s v="Hyderabad"/>
    <x v="2"/>
    <x v="5"/>
    <s v="November"/>
    <x v="4"/>
    <n v="1.6571428571428499"/>
    <n v="3.08"/>
    <n v="6.87"/>
    <n v="26.51"/>
    <n v="67.03"/>
    <n v="44.29"/>
    <n v="1.67"/>
  </r>
  <r>
    <n v="2478"/>
    <s v="A3478"/>
    <x v="2"/>
    <n v="96"/>
    <x v="118"/>
    <n v="200"/>
    <n v="15"/>
    <n v="7"/>
    <n v="7.2916666666666602E-2"/>
    <x v="194"/>
    <d v="2024-11-15T00:00:00"/>
    <s v="Hyderabad"/>
    <x v="1"/>
    <x v="2"/>
    <s v="November"/>
    <x v="3"/>
    <n v="2.0813541666666602"/>
    <n v="2.4900000000000002"/>
    <n v="13.32"/>
    <n v="28.54"/>
    <n v="70.66"/>
    <n v="48.71"/>
    <n v="1.71"/>
  </r>
  <r>
    <n v="2479"/>
    <s v="A3479"/>
    <x v="3"/>
    <n v="112"/>
    <x v="1683"/>
    <n v="186"/>
    <n v="23"/>
    <n v="5"/>
    <n v="4.4642857142857102E-2"/>
    <x v="55"/>
    <d v="2024-11-23T00:00:00"/>
    <s v="Hyderabad"/>
    <x v="2"/>
    <x v="5"/>
    <s v="November"/>
    <x v="0"/>
    <n v="1.6626785714285699"/>
    <n v="3.03"/>
    <n v="8.1"/>
    <n v="37.24"/>
    <n v="33.71"/>
    <n v="49.8"/>
    <n v="1.34"/>
  </r>
  <r>
    <n v="2480"/>
    <s v="A3480"/>
    <x v="0"/>
    <n v="172"/>
    <x v="1684"/>
    <n v="216"/>
    <n v="15"/>
    <n v="7"/>
    <n v="4.0697674418604599E-2"/>
    <x v="21"/>
    <d v="2024-11-02T00:00:00"/>
    <s v="Hyderabad"/>
    <x v="1"/>
    <x v="0"/>
    <s v="November"/>
    <x v="0"/>
    <n v="1.25622093023255"/>
    <n v="2.89"/>
    <n v="14.4"/>
    <n v="30.87"/>
    <n v="24.96"/>
    <n v="38.57"/>
    <n v="1.25"/>
  </r>
  <r>
    <n v="2481"/>
    <s v="A3481"/>
    <x v="0"/>
    <n v="134"/>
    <x v="1685"/>
    <n v="189"/>
    <n v="22"/>
    <n v="10"/>
    <n v="7.4626865671641701E-2"/>
    <x v="206"/>
    <d v="2024-11-30T00:00:00"/>
    <s v="Hyderabad"/>
    <x v="0"/>
    <x v="2"/>
    <s v="November"/>
    <x v="0"/>
    <n v="1.4136567164179099"/>
    <n v="2.4300000000000002"/>
    <n v="8.61"/>
    <n v="18.940000000000001"/>
    <n v="42"/>
    <n v="26.9"/>
    <n v="1.42"/>
  </r>
  <r>
    <n v="2482"/>
    <s v="A3482"/>
    <x v="1"/>
    <n v="148"/>
    <x v="1686"/>
    <n v="233"/>
    <n v="14"/>
    <n v="5"/>
    <n v="3.3783783783783702E-2"/>
    <x v="116"/>
    <d v="2024-11-11T00:00:00"/>
    <s v="Hyderabad"/>
    <x v="1"/>
    <x v="2"/>
    <s v="November"/>
    <x v="6"/>
    <n v="1.57743243243243"/>
    <n v="3.81"/>
    <n v="16.68"/>
    <n v="46.69"/>
    <n v="-0.63"/>
    <n v="46.4"/>
    <n v="0.99"/>
  </r>
  <r>
    <n v="2483"/>
    <s v="A3483"/>
    <x v="0"/>
    <n v="191"/>
    <x v="1687"/>
    <n v="220"/>
    <n v="17"/>
    <n v="10"/>
    <n v="5.23560209424083E-2"/>
    <x v="82"/>
    <d v="2024-11-09T00:00:00"/>
    <s v="Hyderabad"/>
    <x v="1"/>
    <x v="5"/>
    <s v="November"/>
    <x v="0"/>
    <n v="1.15204188481675"/>
    <n v="3.56"/>
    <n v="12.94"/>
    <n v="22"/>
    <n v="-4.1100000000000003"/>
    <n v="21.1"/>
    <n v="0.96"/>
  </r>
  <r>
    <n v="2484"/>
    <s v="A3484"/>
    <x v="1"/>
    <n v="168"/>
    <x v="490"/>
    <n v="236"/>
    <n v="28"/>
    <n v="3"/>
    <n v="1.7857142857142801E-2"/>
    <x v="54"/>
    <d v="2024-11-16T00:00:00"/>
    <s v="Hyderabad"/>
    <x v="1"/>
    <x v="1"/>
    <s v="November"/>
    <x v="0"/>
    <n v="1.4026190476190401"/>
    <n v="3.12"/>
    <n v="8.42"/>
    <n v="78.55"/>
    <n v="-40.53"/>
    <n v="46.71"/>
    <n v="0.59"/>
  </r>
  <r>
    <n v="2485"/>
    <s v="A3485"/>
    <x v="1"/>
    <n v="84"/>
    <x v="1688"/>
    <n v="239"/>
    <n v="29"/>
    <n v="4"/>
    <n v="4.7619047619047603E-2"/>
    <x v="50"/>
    <d v="2024-11-14T00:00:00"/>
    <s v="Hyderabad"/>
    <x v="1"/>
    <x v="5"/>
    <s v="November"/>
    <x v="5"/>
    <n v="2.84499999999999"/>
    <n v="1.91"/>
    <n v="8.24"/>
    <n v="59.74"/>
    <n v="8.3800000000000008"/>
    <n v="64.75"/>
    <n v="1.08"/>
  </r>
  <r>
    <n v="2486"/>
    <s v="A3486"/>
    <x v="0"/>
    <n v="80"/>
    <x v="1689"/>
    <n v="214"/>
    <n v="17"/>
    <n v="6"/>
    <n v="7.4999999999999997E-2"/>
    <x v="7"/>
    <d v="2024-11-25T00:00:00"/>
    <s v="Hyderabad"/>
    <x v="1"/>
    <x v="0"/>
    <s v="November"/>
    <x v="6"/>
    <n v="2.6742499999999998"/>
    <n v="1.4"/>
    <n v="12.58"/>
    <n v="35.659999999999997"/>
    <n v="43.97"/>
    <n v="51.33"/>
    <n v="1.44"/>
  </r>
  <r>
    <n v="2487"/>
    <s v="A3487"/>
    <x v="2"/>
    <n v="136"/>
    <x v="320"/>
    <n v="212"/>
    <n v="16"/>
    <n v="9"/>
    <n v="6.6176470588235295E-2"/>
    <x v="198"/>
    <d v="2024-11-14T00:00:00"/>
    <s v="Hyderabad"/>
    <x v="0"/>
    <x v="5"/>
    <s v="November"/>
    <x v="5"/>
    <n v="1.5591911764705799"/>
    <n v="3.67"/>
    <n v="13.25"/>
    <n v="23.56"/>
    <n v="41.48"/>
    <n v="33.33"/>
    <n v="1.41"/>
  </r>
  <r>
    <n v="2488"/>
    <s v="A3488"/>
    <x v="2"/>
    <n v="99"/>
    <x v="1690"/>
    <n v="233"/>
    <n v="15"/>
    <n v="7"/>
    <n v="7.0707070707070704E-2"/>
    <x v="162"/>
    <d v="2024-11-10T00:00:00"/>
    <s v="Hyderabad"/>
    <x v="2"/>
    <x v="5"/>
    <s v="November"/>
    <x v="4"/>
    <n v="2.3570707070707"/>
    <n v="3.04"/>
    <n v="15.56"/>
    <n v="33.340000000000003"/>
    <n v="-3.15"/>
    <n v="32.29"/>
    <n v="0.97"/>
  </r>
  <r>
    <n v="2489"/>
    <s v="A3489"/>
    <x v="1"/>
    <n v="157"/>
    <x v="246"/>
    <n v="193"/>
    <n v="19"/>
    <n v="3"/>
    <n v="1.9108280254777E-2"/>
    <x v="9"/>
    <d v="2024-11-09T00:00:00"/>
    <s v="Hyderabad"/>
    <x v="2"/>
    <x v="5"/>
    <s v="November"/>
    <x v="0"/>
    <n v="1.22732484076433"/>
    <n v="3.9"/>
    <n v="10.14"/>
    <n v="64.23"/>
    <n v="8.98"/>
    <n v="70"/>
    <n v="1.0900000000000001"/>
  </r>
  <r>
    <n v="2490"/>
    <s v="A3490"/>
    <x v="0"/>
    <n v="95"/>
    <x v="1465"/>
    <n v="182"/>
    <n v="21"/>
    <n v="3"/>
    <n v="3.1578947368420998E-2"/>
    <x v="79"/>
    <d v="2024-11-22T00:00:00"/>
    <s v="Hyderabad"/>
    <x v="2"/>
    <x v="1"/>
    <s v="November"/>
    <x v="3"/>
    <n v="1.9209473684210501"/>
    <n v="3.02"/>
    <n v="8.69"/>
    <n v="60.83"/>
    <n v="67.13"/>
    <n v="101.67"/>
    <n v="1.67"/>
  </r>
  <r>
    <n v="2491"/>
    <s v="A3491"/>
    <x v="2"/>
    <n v="137"/>
    <x v="416"/>
    <n v="188"/>
    <n v="20"/>
    <n v="6"/>
    <n v="4.3795620437956199E-2"/>
    <x v="81"/>
    <d v="2024-11-11T00:00:00"/>
    <s v="Hyderabad"/>
    <x v="2"/>
    <x v="4"/>
    <s v="November"/>
    <x v="6"/>
    <n v="1.3707299270072899"/>
    <n v="2.61"/>
    <n v="9.39"/>
    <n v="31.3"/>
    <n v="108.21"/>
    <n v="65.17"/>
    <n v="2.08"/>
  </r>
  <r>
    <n v="2492"/>
    <s v="A3492"/>
    <x v="1"/>
    <n v="121"/>
    <x v="692"/>
    <n v="201"/>
    <n v="21"/>
    <n v="5"/>
    <n v="4.1322314049586702E-2"/>
    <x v="142"/>
    <d v="2024-11-13T00:00:00"/>
    <s v="Hyderabad"/>
    <x v="0"/>
    <x v="2"/>
    <s v="November"/>
    <x v="1"/>
    <n v="1.6609917355371899"/>
    <n v="2.3199999999999998"/>
    <n v="9.57"/>
    <n v="40.200000000000003"/>
    <n v="80.12"/>
    <n v="72.400000000000006"/>
    <n v="1.8"/>
  </r>
  <r>
    <n v="2493"/>
    <s v="A3493"/>
    <x v="2"/>
    <n v="169"/>
    <x v="80"/>
    <n v="233"/>
    <n v="27"/>
    <n v="8"/>
    <n v="4.7337278106508798E-2"/>
    <x v="131"/>
    <d v="2024-11-10T00:00:00"/>
    <s v="Hyderabad"/>
    <x v="1"/>
    <x v="0"/>
    <s v="November"/>
    <x v="4"/>
    <n v="1.3787573964497"/>
    <n v="3.11"/>
    <n v="8.6300000000000008"/>
    <n v="29.13"/>
    <n v="75.099999999999994"/>
    <n v="51"/>
    <n v="1.75"/>
  </r>
  <r>
    <n v="2494"/>
    <s v="A3494"/>
    <x v="1"/>
    <n v="83"/>
    <x v="401"/>
    <n v="188"/>
    <n v="24"/>
    <n v="6"/>
    <n v="7.2289156626505993E-2"/>
    <x v="13"/>
    <d v="2024-11-16T00:00:00"/>
    <s v="Hyderabad"/>
    <x v="1"/>
    <x v="5"/>
    <s v="November"/>
    <x v="0"/>
    <n v="2.2704819277108399"/>
    <n v="1.77"/>
    <n v="7.85"/>
    <n v="31.41"/>
    <n v="66.62"/>
    <n v="52.33"/>
    <n v="1.67"/>
  </r>
  <r>
    <n v="2495"/>
    <s v="A3495"/>
    <x v="0"/>
    <n v="175"/>
    <x v="1691"/>
    <n v="238"/>
    <n v="19"/>
    <n v="8"/>
    <n v="4.57142857142857E-2"/>
    <x v="183"/>
    <d v="2024-11-12T00:00:00"/>
    <s v="Hyderabad"/>
    <x v="1"/>
    <x v="4"/>
    <s v="November"/>
    <x v="2"/>
    <n v="1.3595428571428501"/>
    <n v="3.71"/>
    <n v="12.52"/>
    <n v="29.74"/>
    <n v="63.5"/>
    <n v="48.62"/>
    <n v="1.64"/>
  </r>
  <r>
    <n v="2496"/>
    <s v="A3496"/>
    <x v="3"/>
    <n v="123"/>
    <x v="1587"/>
    <n v="180"/>
    <n v="25"/>
    <n v="4"/>
    <n v="3.2520325203252001E-2"/>
    <x v="161"/>
    <d v="2024-11-21T00:00:00"/>
    <s v="Hyderabad"/>
    <x v="2"/>
    <x v="2"/>
    <s v="November"/>
    <x v="5"/>
    <n v="1.46430894308943"/>
    <n v="2.12"/>
    <n v="7.2"/>
    <n v="45.03"/>
    <n v="46.58"/>
    <n v="66"/>
    <n v="1.47"/>
  </r>
  <r>
    <n v="2497"/>
    <s v="A3497"/>
    <x v="1"/>
    <n v="135"/>
    <x v="913"/>
    <n v="212"/>
    <n v="17"/>
    <n v="7"/>
    <n v="5.1851851851851802E-2"/>
    <x v="16"/>
    <d v="2024-11-14T00:00:00"/>
    <s v="Hyderabad"/>
    <x v="0"/>
    <x v="4"/>
    <s v="November"/>
    <x v="5"/>
    <n v="1.56753061615001"/>
    <n v="2.93"/>
    <n v="12.45"/>
    <n v="30.23"/>
    <n v="63.5"/>
    <n v="49.43"/>
    <n v="1.64"/>
  </r>
  <r>
    <n v="2498"/>
    <s v="A3498"/>
    <x v="3"/>
    <n v="126"/>
    <x v="1692"/>
    <n v="229"/>
    <n v="30"/>
    <n v="3"/>
    <n v="2.3809523809523801E-2"/>
    <x v="29"/>
    <d v="2024-11-26T00:00:00"/>
    <s v="Hyderabad"/>
    <x v="1"/>
    <x v="4"/>
    <s v="November"/>
    <x v="2"/>
    <n v="1.8149206349206299"/>
    <n v="2.54"/>
    <n v="7.62"/>
    <n v="76.23"/>
    <n v="-0.73"/>
    <n v="75.67"/>
    <n v="0.99"/>
  </r>
  <r>
    <n v="2499"/>
    <s v="A3499"/>
    <x v="3"/>
    <n v="171"/>
    <x v="1031"/>
    <n v="182"/>
    <n v="18"/>
    <n v="3"/>
    <n v="1.7543859649122799E-2"/>
    <x v="57"/>
    <d v="2024-11-09T00:00:00"/>
    <s v="Hyderabad"/>
    <x v="1"/>
    <x v="5"/>
    <s v="November"/>
    <x v="0"/>
    <n v="1.0635672514619801"/>
    <n v="3.76"/>
    <n v="10.1"/>
    <n v="60.62"/>
    <n v="120.49"/>
    <n v="133.66999999999999"/>
    <n v="2.2000000000000002"/>
  </r>
  <r>
    <n v="2500"/>
    <s v="A3500"/>
    <x v="3"/>
    <n v="185"/>
    <x v="1693"/>
    <n v="249"/>
    <n v="30"/>
    <n v="5"/>
    <n v="2.7027027027027001E-2"/>
    <x v="157"/>
    <d v="2024-11-05T00:00:00"/>
    <s v="Hyderabad"/>
    <x v="1"/>
    <x v="0"/>
    <s v="November"/>
    <x v="2"/>
    <n v="1.3447027027027001"/>
    <n v="3.85"/>
    <n v="8.2899999999999991"/>
    <n v="49.75"/>
    <n v="48.33"/>
    <n v="73.8"/>
    <n v="1.48"/>
  </r>
  <r>
    <n v="2501"/>
    <s v="A3501"/>
    <x v="1"/>
    <n v="157"/>
    <x v="1694"/>
    <n v="228"/>
    <n v="20"/>
    <n v="3"/>
    <n v="1.9108280254777E-2"/>
    <x v="54"/>
    <d v="2024-11-20T00:00:00"/>
    <s v="Hyderabad"/>
    <x v="1"/>
    <x v="3"/>
    <s v="November"/>
    <x v="1"/>
    <n v="1.4505095541401201"/>
    <n v="4.96"/>
    <n v="11.39"/>
    <n v="75.91"/>
    <n v="-38.46"/>
    <n v="46.71"/>
    <n v="0.62"/>
  </r>
  <r>
    <n v="2502"/>
    <s v="A3502"/>
    <x v="0"/>
    <n v="123"/>
    <x v="1695"/>
    <n v="191"/>
    <n v="14"/>
    <n v="5"/>
    <n v="4.0650406504064998E-2"/>
    <x v="49"/>
    <d v="2024-11-17T00:00:00"/>
    <s v="Hyderabad"/>
    <x v="1"/>
    <x v="1"/>
    <s v="November"/>
    <x v="4"/>
    <n v="1.5500813008130001"/>
    <n v="3.68"/>
    <n v="13.62"/>
    <n v="38.130000000000003"/>
    <n v="67.31"/>
    <n v="63.8"/>
    <n v="1.67"/>
  </r>
  <r>
    <n v="2503"/>
    <s v="A3503"/>
    <x v="0"/>
    <n v="122"/>
    <x v="1124"/>
    <n v="212"/>
    <n v="14"/>
    <n v="4"/>
    <n v="3.2786885245901599E-2"/>
    <x v="77"/>
    <d v="2024-11-19T00:00:00"/>
    <s v="Hyderabad"/>
    <x v="2"/>
    <x v="2"/>
    <s v="November"/>
    <x v="2"/>
    <n v="1.73483606557377"/>
    <n v="2.13"/>
    <n v="15.12"/>
    <n v="52.91"/>
    <n v="79.069999999999993"/>
    <n v="94.75"/>
    <n v="1.79"/>
  </r>
  <r>
    <n v="2504"/>
    <s v="A3504"/>
    <x v="0"/>
    <n v="97"/>
    <x v="599"/>
    <n v="180"/>
    <n v="24"/>
    <n v="10"/>
    <n v="0.103092783505154"/>
    <x v="166"/>
    <d v="2024-11-16T00:00:00"/>
    <s v="Hyderabad"/>
    <x v="2"/>
    <x v="5"/>
    <s v="November"/>
    <x v="0"/>
    <n v="1.8599999999999901"/>
    <n v="2.58"/>
    <n v="7.52"/>
    <n v="18.04"/>
    <n v="14.18"/>
    <n v="20.6"/>
    <n v="1.1399999999999999"/>
  </r>
  <r>
    <n v="2505"/>
    <s v="A3505"/>
    <x v="1"/>
    <n v="88"/>
    <x v="1511"/>
    <n v="199"/>
    <n v="30"/>
    <n v="4"/>
    <n v="4.54545454545454E-2"/>
    <x v="76"/>
    <d v="2024-11-02T00:00:00"/>
    <s v="Hyderabad"/>
    <x v="1"/>
    <x v="4"/>
    <s v="November"/>
    <x v="0"/>
    <n v="2.2582954545454501"/>
    <n v="2.39"/>
    <n v="6.62"/>
    <n v="49.68"/>
    <n v="22.78"/>
    <n v="61"/>
    <n v="1.23"/>
  </r>
  <r>
    <n v="2506"/>
    <s v="A3506"/>
    <x v="0"/>
    <n v="81"/>
    <x v="1696"/>
    <n v="205"/>
    <n v="12"/>
    <n v="9"/>
    <n v="0.11111111111111099"/>
    <x v="142"/>
    <d v="2024-11-03T00:00:00"/>
    <s v="Hyderabad"/>
    <x v="2"/>
    <x v="2"/>
    <s v="November"/>
    <x v="4"/>
    <n v="2.5250617283950598"/>
    <n v="1.6"/>
    <n v="17.04"/>
    <n v="22.73"/>
    <n v="76.989999999999995"/>
    <n v="40.22"/>
    <n v="1.77"/>
  </r>
  <r>
    <n v="2507"/>
    <s v="A3507"/>
    <x v="0"/>
    <n v="96"/>
    <x v="424"/>
    <n v="189"/>
    <n v="28"/>
    <n v="6"/>
    <n v="6.25E-2"/>
    <x v="91"/>
    <d v="2024-11-18T00:00:00"/>
    <s v="Hyderabad"/>
    <x v="1"/>
    <x v="4"/>
    <s v="November"/>
    <x v="6"/>
    <n v="1.9665625"/>
    <n v="1.73"/>
    <n v="6.74"/>
    <n v="31.46"/>
    <n v="27.66"/>
    <n v="40.17"/>
    <n v="1.28"/>
  </r>
  <r>
    <n v="2508"/>
    <s v="A3508"/>
    <x v="2"/>
    <n v="163"/>
    <x v="1240"/>
    <n v="191"/>
    <n v="22"/>
    <n v="8"/>
    <n v="4.9079754601226898E-2"/>
    <x v="32"/>
    <d v="2024-11-25T00:00:00"/>
    <s v="Hyderabad"/>
    <x v="0"/>
    <x v="4"/>
    <s v="November"/>
    <x v="6"/>
    <n v="1.1703680981594999"/>
    <n v="3.39"/>
    <n v="8.67"/>
    <n v="23.85"/>
    <n v="95.9"/>
    <n v="46.71"/>
    <n v="1.96"/>
  </r>
  <r>
    <n v="2509"/>
    <s v="A3509"/>
    <x v="2"/>
    <n v="91"/>
    <x v="1697"/>
    <n v="211"/>
    <n v="16"/>
    <n v="10"/>
    <n v="0.109890109890109"/>
    <x v="14"/>
    <d v="2024-11-16T00:00:00"/>
    <s v="Hyderabad"/>
    <x v="2"/>
    <x v="3"/>
    <s v="November"/>
    <x v="0"/>
    <n v="2.3146153846153799"/>
    <n v="3.03"/>
    <n v="13.16"/>
    <n v="21.06"/>
    <n v="69.97"/>
    <n v="35.799999999999997"/>
    <n v="1.7"/>
  </r>
  <r>
    <n v="2510"/>
    <s v="A3510"/>
    <x v="0"/>
    <n v="142"/>
    <x v="1698"/>
    <n v="242"/>
    <n v="12"/>
    <n v="8"/>
    <n v="5.6338028169014003E-2"/>
    <x v="55"/>
    <d v="2024-11-21T00:00:00"/>
    <s v="Hyderabad"/>
    <x v="2"/>
    <x v="4"/>
    <s v="November"/>
    <x v="5"/>
    <n v="1.7064084507042201"/>
    <n v="4.24"/>
    <n v="20.190000000000001"/>
    <n v="30.29"/>
    <n v="2.76"/>
    <n v="31.12"/>
    <n v="1.03"/>
  </r>
  <r>
    <n v="2511"/>
    <s v="A3511"/>
    <x v="1"/>
    <n v="83"/>
    <x v="471"/>
    <n v="187"/>
    <n v="21"/>
    <n v="5"/>
    <n v="6.0240963855421603E-2"/>
    <x v="193"/>
    <d v="2024-11-06T00:00:00"/>
    <s v="Hyderabad"/>
    <x v="2"/>
    <x v="2"/>
    <s v="November"/>
    <x v="1"/>
    <n v="2.2485542168674599"/>
    <n v="2.11"/>
    <n v="8.89"/>
    <n v="37.33"/>
    <n v="53.78"/>
    <n v="57.4"/>
    <n v="1.54"/>
  </r>
  <r>
    <n v="2512"/>
    <s v="A3512"/>
    <x v="3"/>
    <n v="188"/>
    <x v="352"/>
    <n v="214"/>
    <n v="26"/>
    <n v="4"/>
    <n v="2.1276595744680799E-2"/>
    <x v="49"/>
    <d v="2024-11-14T00:00:00"/>
    <s v="Hyderabad"/>
    <x v="0"/>
    <x v="0"/>
    <s v="November"/>
    <x v="5"/>
    <n v="1.1391489361702101"/>
    <n v="6.13"/>
    <n v="8.24"/>
    <n v="53.54"/>
    <n v="48.95"/>
    <n v="79.75"/>
    <n v="1.49"/>
  </r>
  <r>
    <n v="2513"/>
    <s v="A3513"/>
    <x v="2"/>
    <n v="193"/>
    <x v="966"/>
    <n v="232"/>
    <n v="20"/>
    <n v="3"/>
    <n v="1.55440414507772E-2"/>
    <x v="150"/>
    <d v="2024-11-16T00:00:00"/>
    <s v="Hyderabad"/>
    <x v="1"/>
    <x v="4"/>
    <s v="November"/>
    <x v="0"/>
    <n v="1.20103626943005"/>
    <n v="4.8499999999999996"/>
    <n v="11.59"/>
    <n v="77.27"/>
    <n v="-0.78"/>
    <n v="76.67"/>
    <n v="0.99"/>
  </r>
  <r>
    <n v="2514"/>
    <s v="A3514"/>
    <x v="2"/>
    <n v="181"/>
    <x v="1236"/>
    <n v="206"/>
    <n v="27"/>
    <n v="7"/>
    <n v="3.86740331491712E-2"/>
    <x v="52"/>
    <d v="2024-11-03T00:00:00"/>
    <s v="Hyderabad"/>
    <x v="2"/>
    <x v="5"/>
    <s v="November"/>
    <x v="4"/>
    <n v="1.1392265193370099"/>
    <n v="4.96"/>
    <n v="7.64"/>
    <n v="29.46"/>
    <n v="67.31"/>
    <n v="49.29"/>
    <n v="1.67"/>
  </r>
  <r>
    <n v="2515"/>
    <s v="A3515"/>
    <x v="0"/>
    <n v="199"/>
    <x v="1699"/>
    <n v="228"/>
    <n v="26"/>
    <n v="8"/>
    <n v="4.0201005025125601E-2"/>
    <x v="48"/>
    <d v="2024-11-09T00:00:00"/>
    <s v="Hyderabad"/>
    <x v="2"/>
    <x v="0"/>
    <s v="November"/>
    <x v="0"/>
    <n v="1.1459798994974799"/>
    <n v="4.5199999999999996"/>
    <n v="8.77"/>
    <n v="28.51"/>
    <n v="-8.35"/>
    <n v="26.12"/>
    <n v="0.92"/>
  </r>
  <r>
    <n v="2516"/>
    <s v="A3516"/>
    <x v="2"/>
    <n v="167"/>
    <x v="171"/>
    <n v="232"/>
    <n v="19"/>
    <n v="9"/>
    <n v="5.3892215568862201E-2"/>
    <x v="80"/>
    <d v="2024-11-05T00:00:00"/>
    <s v="Hyderabad"/>
    <x v="1"/>
    <x v="3"/>
    <s v="November"/>
    <x v="2"/>
    <n v="1.3908982035928099"/>
    <n v="3.03"/>
    <n v="12.23"/>
    <n v="25.81"/>
    <n v="44.65"/>
    <n v="37.33"/>
    <n v="1.45"/>
  </r>
  <r>
    <n v="2517"/>
    <s v="A3517"/>
    <x v="1"/>
    <n v="189"/>
    <x v="1700"/>
    <n v="216"/>
    <n v="21"/>
    <n v="3"/>
    <n v="1.5873015873015799E-2"/>
    <x v="139"/>
    <d v="2024-11-17T00:00:00"/>
    <s v="Hyderabad"/>
    <x v="1"/>
    <x v="2"/>
    <s v="November"/>
    <x v="4"/>
    <n v="1.1421693121693099"/>
    <n v="3.81"/>
    <n v="10.28"/>
    <n v="71.959999999999994"/>
    <n v="17.2"/>
    <n v="84.33"/>
    <n v="1.17"/>
  </r>
  <r>
    <n v="2518"/>
    <s v="A3518"/>
    <x v="1"/>
    <n v="125"/>
    <x v="1623"/>
    <n v="193"/>
    <n v="16"/>
    <n v="8"/>
    <n v="6.4000000000000001E-2"/>
    <x v="127"/>
    <d v="2024-11-17T00:00:00"/>
    <s v="Hyderabad"/>
    <x v="0"/>
    <x v="1"/>
    <s v="November"/>
    <x v="4"/>
    <n v="1.5427200000000001"/>
    <n v="3.6"/>
    <n v="12.05"/>
    <n v="24.1"/>
    <n v="33.270000000000003"/>
    <n v="32.119999999999997"/>
    <n v="1.33"/>
  </r>
  <r>
    <n v="2519"/>
    <s v="A3519"/>
    <x v="1"/>
    <n v="166"/>
    <x v="242"/>
    <n v="204"/>
    <n v="28"/>
    <n v="5"/>
    <n v="3.0120481927710802E-2"/>
    <x v="164"/>
    <d v="2024-11-06T00:00:00"/>
    <s v="Hyderabad"/>
    <x v="0"/>
    <x v="0"/>
    <s v="November"/>
    <x v="1"/>
    <n v="1.23150602409638"/>
    <n v="4.05"/>
    <n v="7.3"/>
    <n v="40.89"/>
    <n v="57.51"/>
    <n v="64.400000000000006"/>
    <n v="1.58"/>
  </r>
  <r>
    <n v="2520"/>
    <s v="A3520"/>
    <x v="2"/>
    <n v="181"/>
    <x v="1701"/>
    <n v="209"/>
    <n v="14"/>
    <n v="4"/>
    <n v="2.2099447513812098E-2"/>
    <x v="186"/>
    <d v="2024-11-23T00:00:00"/>
    <s v="Hyderabad"/>
    <x v="1"/>
    <x v="1"/>
    <s v="November"/>
    <x v="0"/>
    <n v="1.1529834254143601"/>
    <n v="3.5"/>
    <n v="14.91"/>
    <n v="52.17"/>
    <n v="59.09"/>
    <n v="83"/>
    <n v="1.59"/>
  </r>
  <r>
    <n v="2521"/>
    <s v="A3521"/>
    <x v="1"/>
    <n v="148"/>
    <x v="1702"/>
    <n v="183"/>
    <n v="25"/>
    <n v="3"/>
    <n v="2.0270270270270199E-2"/>
    <x v="191"/>
    <d v="2024-11-23T00:00:00"/>
    <s v="Hyderabad"/>
    <x v="0"/>
    <x v="0"/>
    <s v="November"/>
    <x v="0"/>
    <n v="1.23824324324324"/>
    <n v="3.03"/>
    <n v="7.33"/>
    <n v="61.09"/>
    <n v="121"/>
    <n v="135"/>
    <n v="2.21"/>
  </r>
  <r>
    <n v="2522"/>
    <s v="A3522"/>
    <x v="3"/>
    <n v="127"/>
    <x v="1030"/>
    <n v="196"/>
    <n v="21"/>
    <n v="9"/>
    <n v="7.0866141732283394E-2"/>
    <x v="115"/>
    <d v="2024-11-22T00:00:00"/>
    <s v="Hyderabad"/>
    <x v="2"/>
    <x v="3"/>
    <s v="November"/>
    <x v="3"/>
    <n v="1.5454545454545401"/>
    <n v="3.45"/>
    <n v="9.35"/>
    <n v="21.81"/>
    <n v="43.68"/>
    <n v="31.33"/>
    <n v="1.44"/>
  </r>
  <r>
    <n v="2523"/>
    <s v="A3523"/>
    <x v="1"/>
    <n v="83"/>
    <x v="1155"/>
    <n v="215"/>
    <n v="29"/>
    <n v="6"/>
    <n v="7.2289156626505993E-2"/>
    <x v="37"/>
    <d v="2024-11-20T00:00:00"/>
    <s v="Hyderabad"/>
    <x v="2"/>
    <x v="3"/>
    <s v="November"/>
    <x v="1"/>
    <n v="2.5856626506024099"/>
    <n v="2.11"/>
    <n v="7.4"/>
    <n v="35.770000000000003"/>
    <n v="35.590000000000003"/>
    <n v="48.5"/>
    <n v="1.36"/>
  </r>
  <r>
    <n v="2524"/>
    <s v="A3524"/>
    <x v="3"/>
    <n v="80"/>
    <x v="1703"/>
    <n v="221"/>
    <n v="29"/>
    <n v="4"/>
    <n v="0.05"/>
    <x v="59"/>
    <d v="2024-11-14T00:00:00"/>
    <s v="Hyderabad"/>
    <x v="0"/>
    <x v="0"/>
    <s v="November"/>
    <x v="5"/>
    <n v="2.7638750000000001"/>
    <n v="2.4700000000000002"/>
    <n v="7.62"/>
    <n v="55.28"/>
    <n v="16.68"/>
    <n v="64.5"/>
    <n v="1.17"/>
  </r>
  <r>
    <n v="2525"/>
    <s v="A3525"/>
    <x v="0"/>
    <n v="105"/>
    <x v="1704"/>
    <n v="186"/>
    <n v="24"/>
    <n v="5"/>
    <n v="4.7619047619047603E-2"/>
    <x v="59"/>
    <d v="2024-11-02T00:00:00"/>
    <s v="Hyderabad"/>
    <x v="0"/>
    <x v="1"/>
    <s v="November"/>
    <x v="0"/>
    <n v="1.77057142857142"/>
    <n v="3.47"/>
    <n v="7.75"/>
    <n v="37.18"/>
    <n v="38.78"/>
    <n v="51.6"/>
    <n v="1.39"/>
  </r>
  <r>
    <n v="2526"/>
    <s v="A3526"/>
    <x v="3"/>
    <n v="155"/>
    <x v="1367"/>
    <n v="219"/>
    <n v="26"/>
    <n v="7"/>
    <n v="4.5161290322580601E-2"/>
    <x v="196"/>
    <d v="2024-11-02T00:00:00"/>
    <s v="Hyderabad"/>
    <x v="2"/>
    <x v="0"/>
    <s v="November"/>
    <x v="0"/>
    <n v="1.41483870967741"/>
    <n v="3.31"/>
    <n v="8.43"/>
    <n v="31.33"/>
    <n v="66.44"/>
    <n v="52.14"/>
    <n v="1.66"/>
  </r>
  <r>
    <n v="2527"/>
    <s v="A3527"/>
    <x v="2"/>
    <n v="185"/>
    <x v="1121"/>
    <n v="208"/>
    <n v="25"/>
    <n v="3"/>
    <n v="1.62162162162162E-2"/>
    <x v="135"/>
    <d v="2024-11-13T00:00:00"/>
    <s v="Hyderabad"/>
    <x v="1"/>
    <x v="3"/>
    <s v="November"/>
    <x v="1"/>
    <n v="1.12654054054054"/>
    <n v="3.03"/>
    <n v="8.34"/>
    <n v="69.47"/>
    <n v="-1.64"/>
    <n v="68.33"/>
    <n v="0.98"/>
  </r>
  <r>
    <n v="2528"/>
    <s v="A3528"/>
    <x v="0"/>
    <n v="132"/>
    <x v="1705"/>
    <n v="207"/>
    <n v="28"/>
    <n v="7"/>
    <n v="5.3030303030302997E-2"/>
    <x v="180"/>
    <d v="2024-11-26T00:00:00"/>
    <s v="Hyderabad"/>
    <x v="0"/>
    <x v="2"/>
    <s v="November"/>
    <x v="2"/>
    <n v="1.56753061615001"/>
    <n v="2.35"/>
    <n v="7.39"/>
    <n v="29.56"/>
    <n v="46.92"/>
    <n v="43.43"/>
    <n v="1.47"/>
  </r>
  <r>
    <n v="2529"/>
    <s v="A3529"/>
    <x v="1"/>
    <n v="198"/>
    <x v="1100"/>
    <n v="228"/>
    <n v="14"/>
    <n v="9"/>
    <n v="4.54545454545454E-2"/>
    <x v="202"/>
    <d v="2024-11-18T00:00:00"/>
    <s v="Hyderabad"/>
    <x v="1"/>
    <x v="0"/>
    <s v="November"/>
    <x v="6"/>
    <n v="1.14914141414141"/>
    <n v="3.45"/>
    <n v="16.25"/>
    <n v="25.28"/>
    <n v="44.16"/>
    <n v="36.44"/>
    <n v="1.44"/>
  </r>
  <r>
    <n v="2530"/>
    <s v="A3530"/>
    <x v="3"/>
    <n v="184"/>
    <x v="1706"/>
    <n v="189"/>
    <n v="22"/>
    <n v="7"/>
    <n v="3.8043478260869498E-2"/>
    <x v="183"/>
    <d v="2024-11-15T00:00:00"/>
    <s v="Hyderabad"/>
    <x v="2"/>
    <x v="3"/>
    <s v="November"/>
    <x v="3"/>
    <n v="1.0271739130434701"/>
    <n v="5.05"/>
    <n v="8.59"/>
    <n v="27"/>
    <n v="105.82"/>
    <n v="55.57"/>
    <n v="2.06"/>
  </r>
  <r>
    <n v="2531"/>
    <s v="A3531"/>
    <x v="1"/>
    <n v="190"/>
    <x v="1707"/>
    <n v="244"/>
    <n v="23"/>
    <n v="8"/>
    <n v="4.2105263157894701E-2"/>
    <x v="32"/>
    <d v="2024-11-23T00:00:00"/>
    <s v="Hyderabad"/>
    <x v="2"/>
    <x v="1"/>
    <s v="November"/>
    <x v="0"/>
    <n v="1.28210526315789"/>
    <n v="3.5"/>
    <n v="10.59"/>
    <n v="30.45"/>
    <n v="53.41"/>
    <n v="46.71"/>
    <n v="1.53"/>
  </r>
  <r>
    <n v="2532"/>
    <s v="A3532"/>
    <x v="0"/>
    <n v="127"/>
    <x v="522"/>
    <n v="221"/>
    <n v="24"/>
    <n v="5"/>
    <n v="3.9370078740157403E-2"/>
    <x v="156"/>
    <d v="2024-11-21T00:00:00"/>
    <s v="Hyderabad"/>
    <x v="1"/>
    <x v="1"/>
    <s v="November"/>
    <x v="5"/>
    <n v="1.7367716535433"/>
    <n v="2.94"/>
    <n v="9.19"/>
    <n v="44.11"/>
    <n v="-5.7"/>
    <n v="41.6"/>
    <n v="0.94"/>
  </r>
  <r>
    <n v="2533"/>
    <s v="A3533"/>
    <x v="1"/>
    <n v="130"/>
    <x v="250"/>
    <n v="222"/>
    <n v="27"/>
    <n v="6"/>
    <n v="4.6153846153846101E-2"/>
    <x v="180"/>
    <d v="2024-11-02T00:00:00"/>
    <s v="Hyderabad"/>
    <x v="2"/>
    <x v="2"/>
    <s v="November"/>
    <x v="0"/>
    <n v="1.70730769230769"/>
    <n v="2.4300000000000002"/>
    <n v="8.2200000000000006"/>
    <n v="36.99"/>
    <n v="36.97"/>
    <n v="50.67"/>
    <n v="1.37"/>
  </r>
  <r>
    <n v="2534"/>
    <s v="A3534"/>
    <x v="3"/>
    <n v="172"/>
    <x v="1708"/>
    <n v="191"/>
    <n v="25"/>
    <n v="10"/>
    <n v="5.8139534883720902E-2"/>
    <x v="105"/>
    <d v="2024-11-18T00:00:00"/>
    <s v="Hyderabad"/>
    <x v="1"/>
    <x v="5"/>
    <s v="November"/>
    <x v="6"/>
    <n v="1.11203488372093"/>
    <n v="4.76"/>
    <n v="7.65"/>
    <n v="19.13"/>
    <n v="32.799999999999997"/>
    <n v="25.4"/>
    <n v="1.33"/>
  </r>
  <r>
    <n v="2535"/>
    <s v="A3535"/>
    <x v="1"/>
    <n v="127"/>
    <x v="1593"/>
    <n v="227"/>
    <n v="27"/>
    <n v="3"/>
    <n v="2.3622047244094401E-2"/>
    <x v="88"/>
    <d v="2024-11-13T00:00:00"/>
    <s v="Hyderabad"/>
    <x v="0"/>
    <x v="1"/>
    <s v="November"/>
    <x v="1"/>
    <n v="1.7857480314960601"/>
    <n v="3.03"/>
    <n v="8.4"/>
    <n v="75.599999999999994"/>
    <n v="0.53"/>
    <n v="76"/>
    <n v="1.01"/>
  </r>
  <r>
    <n v="2536"/>
    <s v="A3536"/>
    <x v="0"/>
    <n v="144"/>
    <x v="1709"/>
    <n v="224"/>
    <n v="21"/>
    <n v="6"/>
    <n v="4.1666666666666602E-2"/>
    <x v="66"/>
    <d v="2024-11-10T00:00:00"/>
    <s v="Hyderabad"/>
    <x v="0"/>
    <x v="4"/>
    <s v="November"/>
    <x v="4"/>
    <n v="1.55701388888888"/>
    <n v="2.41"/>
    <n v="10.68"/>
    <n v="37.369999999999997"/>
    <n v="81.53"/>
    <n v="67.83"/>
    <n v="1.82"/>
  </r>
  <r>
    <n v="2537"/>
    <s v="A3537"/>
    <x v="3"/>
    <n v="148"/>
    <x v="1265"/>
    <n v="217"/>
    <n v="20"/>
    <n v="6"/>
    <n v="4.0540540540540501E-2"/>
    <x v="75"/>
    <d v="2024-11-20T00:00:00"/>
    <s v="Hyderabad"/>
    <x v="1"/>
    <x v="4"/>
    <s v="November"/>
    <x v="1"/>
    <n v="1.4642567567567499"/>
    <n v="2.73"/>
    <n v="10.84"/>
    <n v="36.119999999999997"/>
    <n v="13.05"/>
    <n v="40.83"/>
    <n v="1.1299999999999999"/>
  </r>
  <r>
    <n v="2538"/>
    <s v="A3538"/>
    <x v="3"/>
    <n v="189"/>
    <x v="330"/>
    <n v="181"/>
    <n v="26"/>
    <n v="6"/>
    <n v="3.1746031746031703E-2"/>
    <x v="52"/>
    <d v="2024-11-18T00:00:00"/>
    <s v="Hyderabad"/>
    <x v="0"/>
    <x v="3"/>
    <s v="November"/>
    <x v="6"/>
    <n v="0.959523809523809"/>
    <n v="5.53"/>
    <n v="6.98"/>
    <n v="30.22"/>
    <n v="90.24"/>
    <n v="57.5"/>
    <n v="1.9"/>
  </r>
  <r>
    <n v="2539"/>
    <s v="A3539"/>
    <x v="0"/>
    <n v="143"/>
    <x v="1710"/>
    <n v="222"/>
    <n v="29"/>
    <n v="4"/>
    <n v="2.7972027972027899E-2"/>
    <x v="207"/>
    <d v="2024-11-07T00:00:00"/>
    <s v="Hyderabad"/>
    <x v="2"/>
    <x v="2"/>
    <s v="November"/>
    <x v="5"/>
    <n v="1.5554545454545401"/>
    <n v="3.04"/>
    <n v="7.67"/>
    <n v="55.61"/>
    <n v="79.38"/>
    <n v="99.75"/>
    <n v="1.79"/>
  </r>
  <r>
    <n v="2540"/>
    <s v="A3540"/>
    <x v="0"/>
    <n v="185"/>
    <x v="748"/>
    <n v="201"/>
    <n v="21"/>
    <n v="5"/>
    <n v="2.7027027027027001E-2"/>
    <x v="57"/>
    <d v="2024-11-06T00:00:00"/>
    <s v="Hyderabad"/>
    <x v="0"/>
    <x v="5"/>
    <s v="November"/>
    <x v="1"/>
    <n v="1.0881081081081001"/>
    <n v="3.73"/>
    <n v="9.59"/>
    <n v="40.26"/>
    <n v="99.21"/>
    <n v="80.2"/>
    <n v="1.99"/>
  </r>
  <r>
    <n v="2541"/>
    <s v="A3541"/>
    <x v="1"/>
    <n v="172"/>
    <x v="1711"/>
    <n v="204"/>
    <n v="26"/>
    <n v="8"/>
    <n v="4.6511627906976702E-2"/>
    <x v="55"/>
    <d v="2024-11-29T00:00:00"/>
    <s v="Hyderabad"/>
    <x v="2"/>
    <x v="1"/>
    <s v="November"/>
    <x v="3"/>
    <n v="1.1878488372092999"/>
    <n v="3.25"/>
    <n v="7.86"/>
    <n v="25.54"/>
    <n v="21.87"/>
    <n v="31.12"/>
    <n v="1.22"/>
  </r>
  <r>
    <n v="2542"/>
    <s v="A3542"/>
    <x v="1"/>
    <n v="121"/>
    <x v="262"/>
    <n v="239"/>
    <n v="29"/>
    <n v="3"/>
    <n v="2.4793388429752001E-2"/>
    <x v="19"/>
    <d v="2024-11-26T00:00:00"/>
    <s v="Hyderabad"/>
    <x v="0"/>
    <x v="2"/>
    <s v="November"/>
    <x v="2"/>
    <n v="1.97743801652892"/>
    <n v="3.38"/>
    <n v="8.25"/>
    <n v="79.760000000000005"/>
    <n v="47.95"/>
    <n v="118"/>
    <n v="1.48"/>
  </r>
  <r>
    <n v="2543"/>
    <s v="A3543"/>
    <x v="2"/>
    <n v="158"/>
    <x v="755"/>
    <n v="223"/>
    <n v="27"/>
    <n v="7"/>
    <n v="4.4303797468354403E-2"/>
    <x v="194"/>
    <d v="2024-11-22T00:00:00"/>
    <s v="Hyderabad"/>
    <x v="1"/>
    <x v="0"/>
    <s v="November"/>
    <x v="3"/>
    <n v="1.4106962025316401"/>
    <n v="4.2"/>
    <n v="8.26"/>
    <n v="31.84"/>
    <n v="52.99"/>
    <n v="48.71"/>
    <n v="1.53"/>
  </r>
  <r>
    <n v="2544"/>
    <s v="A3544"/>
    <x v="0"/>
    <n v="137"/>
    <x v="568"/>
    <n v="232"/>
    <n v="14"/>
    <n v="7"/>
    <n v="5.1094890510948898E-2"/>
    <x v="199"/>
    <d v="2024-11-29T00:00:00"/>
    <s v="Hyderabad"/>
    <x v="0"/>
    <x v="5"/>
    <s v="November"/>
    <x v="3"/>
    <n v="1.692700729927"/>
    <n v="3.2"/>
    <n v="16.559999999999999"/>
    <n v="33.130000000000003"/>
    <n v="60.85"/>
    <n v="53.29"/>
    <n v="1.61"/>
  </r>
  <r>
    <n v="2545"/>
    <s v="A3545"/>
    <x v="3"/>
    <n v="150"/>
    <x v="1712"/>
    <n v="239"/>
    <n v="26"/>
    <n v="4"/>
    <n v="2.6666666666666599E-2"/>
    <x v="43"/>
    <d v="2024-11-30T00:00:00"/>
    <s v="Hyderabad"/>
    <x v="2"/>
    <x v="5"/>
    <s v="November"/>
    <x v="0"/>
    <n v="1.59473333333333"/>
    <n v="2.66"/>
    <n v="9.1999999999999993"/>
    <n v="59.8"/>
    <n v="11.2"/>
    <n v="66.5"/>
    <n v="1.1100000000000001"/>
  </r>
  <r>
    <n v="2546"/>
    <s v="A3546"/>
    <x v="0"/>
    <n v="93"/>
    <x v="898"/>
    <n v="206"/>
    <n v="30"/>
    <n v="8"/>
    <n v="8.6021505376343996E-2"/>
    <x v="150"/>
    <d v="2024-11-08T00:00:00"/>
    <s v="Hyderabad"/>
    <x v="1"/>
    <x v="0"/>
    <s v="November"/>
    <x v="3"/>
    <n v="2.2161290322580598"/>
    <n v="2.2400000000000002"/>
    <n v="6.87"/>
    <n v="25.76"/>
    <n v="11.6"/>
    <n v="28.75"/>
    <n v="1.1200000000000001"/>
  </r>
  <r>
    <n v="2547"/>
    <s v="A3547"/>
    <x v="1"/>
    <n v="101"/>
    <x v="1668"/>
    <n v="186"/>
    <n v="10"/>
    <n v="5"/>
    <n v="4.95049504950495E-2"/>
    <x v="156"/>
    <d v="2024-11-06T00:00:00"/>
    <s v="Hyderabad"/>
    <x v="2"/>
    <x v="4"/>
    <s v="November"/>
    <x v="1"/>
    <n v="1.8401980198019801"/>
    <n v="1.69"/>
    <n v="18.59"/>
    <n v="37.17"/>
    <n v="11.91"/>
    <n v="41.6"/>
    <n v="1.1200000000000001"/>
  </r>
  <r>
    <n v="2548"/>
    <s v="A3548"/>
    <x v="0"/>
    <n v="178"/>
    <x v="1494"/>
    <n v="181"/>
    <n v="25"/>
    <n v="10"/>
    <n v="5.6179775280898799E-2"/>
    <x v="31"/>
    <d v="2024-11-12T00:00:00"/>
    <s v="Hyderabad"/>
    <x v="0"/>
    <x v="1"/>
    <s v="November"/>
    <x v="2"/>
    <n v="1.0151685393258401"/>
    <n v="5.73"/>
    <n v="7.23"/>
    <n v="18.07"/>
    <n v="93.14"/>
    <n v="34.9"/>
    <n v="1.93"/>
  </r>
  <r>
    <n v="2549"/>
    <s v="A3549"/>
    <x v="1"/>
    <n v="96"/>
    <x v="495"/>
    <n v="226"/>
    <n v="27"/>
    <n v="8"/>
    <n v="8.3333333333333301E-2"/>
    <x v="189"/>
    <d v="2024-11-30T00:00:00"/>
    <s v="Hyderabad"/>
    <x v="2"/>
    <x v="1"/>
    <s v="November"/>
    <x v="0"/>
    <n v="2.35177083333333"/>
    <n v="2.85"/>
    <n v="8.36"/>
    <n v="28.22"/>
    <n v="70.08"/>
    <n v="48"/>
    <n v="1.7"/>
  </r>
  <r>
    <n v="2550"/>
    <s v="A3550"/>
    <x v="1"/>
    <n v="170"/>
    <x v="407"/>
    <n v="205"/>
    <n v="20"/>
    <n v="4"/>
    <n v="2.3529411764705799E-2"/>
    <x v="147"/>
    <d v="2024-11-15T00:00:00"/>
    <s v="Hyderabad"/>
    <x v="0"/>
    <x v="1"/>
    <s v="November"/>
    <x v="3"/>
    <n v="1.20364705882352"/>
    <n v="3.16"/>
    <n v="10.23"/>
    <n v="51.16"/>
    <n v="47.1"/>
    <n v="75.25"/>
    <n v="1.47"/>
  </r>
  <r>
    <n v="2551"/>
    <s v="A3551"/>
    <x v="1"/>
    <n v="176"/>
    <x v="1713"/>
    <n v="221"/>
    <n v="13"/>
    <n v="3"/>
    <n v="1.7045454545454499E-2"/>
    <x v="160"/>
    <d v="2024-11-22T00:00:00"/>
    <s v="Hyderabad"/>
    <x v="1"/>
    <x v="3"/>
    <s v="November"/>
    <x v="3"/>
    <n v="1.2584090909090899"/>
    <n v="3.49"/>
    <n v="17.04"/>
    <n v="73.83"/>
    <n v="-1.1200000000000001"/>
    <n v="73"/>
    <n v="0.99"/>
  </r>
  <r>
    <n v="2552"/>
    <s v="A3552"/>
    <x v="3"/>
    <n v="178"/>
    <x v="1538"/>
    <n v="198"/>
    <n v="30"/>
    <n v="4"/>
    <n v="2.2471910112359501E-2"/>
    <x v="195"/>
    <d v="2024-11-12T00:00:00"/>
    <s v="Hyderabad"/>
    <x v="0"/>
    <x v="0"/>
    <s v="November"/>
    <x v="2"/>
    <n v="1.1151123595505601"/>
    <n v="4.26"/>
    <n v="6.62"/>
    <n v="49.62"/>
    <n v="76.33"/>
    <n v="87.5"/>
    <n v="1.76"/>
  </r>
  <r>
    <n v="2553"/>
    <s v="A3553"/>
    <x v="1"/>
    <n v="99"/>
    <x v="638"/>
    <n v="187"/>
    <n v="22"/>
    <n v="5"/>
    <n v="5.0505050505050497E-2"/>
    <x v="144"/>
    <d v="2024-11-29T00:00:00"/>
    <s v="Hyderabad"/>
    <x v="0"/>
    <x v="4"/>
    <s v="November"/>
    <x v="3"/>
    <n v="1.8937373737373699"/>
    <n v="1.75"/>
    <n v="8.52"/>
    <n v="37.5"/>
    <n v="51.48"/>
    <n v="56.8"/>
    <n v="1.51"/>
  </r>
  <r>
    <n v="2554"/>
    <s v="A3554"/>
    <x v="1"/>
    <n v="177"/>
    <x v="226"/>
    <n v="182"/>
    <n v="19"/>
    <n v="4"/>
    <n v="2.2598870056497099E-2"/>
    <x v="179"/>
    <d v="2024-11-22T00:00:00"/>
    <s v="Hyderabad"/>
    <x v="2"/>
    <x v="2"/>
    <s v="November"/>
    <x v="3"/>
    <n v="1.02802259887005"/>
    <n v="3.02"/>
    <n v="9.58"/>
    <n v="45.49"/>
    <n v="103.89"/>
    <n v="92.75"/>
    <n v="2.04"/>
  </r>
  <r>
    <n v="2555"/>
    <s v="A3555"/>
    <x v="3"/>
    <n v="164"/>
    <x v="475"/>
    <n v="224"/>
    <n v="18"/>
    <n v="10"/>
    <n v="6.0975609756097497E-2"/>
    <x v="97"/>
    <d v="2024-11-30T00:00:00"/>
    <s v="Hyderabad"/>
    <x v="1"/>
    <x v="3"/>
    <s v="November"/>
    <x v="0"/>
    <n v="1.36847560975609"/>
    <n v="3.47"/>
    <n v="12.47"/>
    <n v="22.44"/>
    <n v="3.82"/>
    <n v="23.3"/>
    <n v="1.04"/>
  </r>
  <r>
    <n v="2556"/>
    <s v="A3556"/>
    <x v="1"/>
    <n v="94"/>
    <x v="337"/>
    <n v="202"/>
    <n v="23"/>
    <n v="5"/>
    <n v="5.31914893617021E-2"/>
    <x v="16"/>
    <d v="2024-11-23T00:00:00"/>
    <s v="Hyderabad"/>
    <x v="2"/>
    <x v="4"/>
    <s v="November"/>
    <x v="0"/>
    <n v="2.1502127659574399"/>
    <n v="1.63"/>
    <n v="8.7899999999999991"/>
    <n v="40.42"/>
    <n v="71.19"/>
    <n v="69.2"/>
    <n v="1.71"/>
  </r>
  <r>
    <n v="2557"/>
    <s v="A3557"/>
    <x v="3"/>
    <n v="82"/>
    <x v="987"/>
    <n v="227"/>
    <n v="10"/>
    <n v="6"/>
    <n v="7.3170731707316999E-2"/>
    <x v="137"/>
    <d v="2024-11-20T00:00:00"/>
    <s v="Hyderabad"/>
    <x v="0"/>
    <x v="3"/>
    <s v="November"/>
    <x v="1"/>
    <n v="2.7641463414634102"/>
    <n v="1.72"/>
    <n v="22.67"/>
    <n v="37.78"/>
    <n v="7.21"/>
    <n v="40.5"/>
    <n v="1.07"/>
  </r>
  <r>
    <n v="2558"/>
    <s v="A3558"/>
    <x v="2"/>
    <n v="194"/>
    <x v="804"/>
    <n v="218"/>
    <n v="16"/>
    <n v="10"/>
    <n v="5.1546391752577303E-2"/>
    <x v="67"/>
    <d v="2024-11-29T00:00:00"/>
    <s v="Hyderabad"/>
    <x v="2"/>
    <x v="4"/>
    <s v="November"/>
    <x v="3"/>
    <n v="1.1219587628865899"/>
    <n v="4.62"/>
    <n v="13.6"/>
    <n v="21.77"/>
    <n v="51.61"/>
    <n v="33"/>
    <n v="1.52"/>
  </r>
  <r>
    <n v="2559"/>
    <s v="A3559"/>
    <x v="3"/>
    <n v="176"/>
    <x v="878"/>
    <n v="188"/>
    <n v="17"/>
    <n v="8"/>
    <n v="4.54545454545454E-2"/>
    <x v="176"/>
    <d v="2024-11-04T00:00:00"/>
    <s v="Hyderabad"/>
    <x v="1"/>
    <x v="5"/>
    <s v="November"/>
    <x v="6"/>
    <n v="1.06948863636363"/>
    <n v="3.31"/>
    <n v="11.07"/>
    <n v="23.53"/>
    <n v="87.01"/>
    <n v="44"/>
    <n v="1.87"/>
  </r>
  <r>
    <n v="2560"/>
    <s v="A3560"/>
    <x v="1"/>
    <n v="170"/>
    <x v="911"/>
    <n v="236"/>
    <n v="10"/>
    <n v="8"/>
    <n v="4.7058823529411702E-2"/>
    <x v="106"/>
    <d v="2024-11-15T00:00:00"/>
    <s v="Hyderabad"/>
    <x v="1"/>
    <x v="4"/>
    <s v="November"/>
    <x v="3"/>
    <n v="1.3864705882352899"/>
    <n v="5"/>
    <n v="23.57"/>
    <n v="29.46"/>
    <n v="-9.2100000000000009"/>
    <n v="26.75"/>
    <n v="0.91"/>
  </r>
  <r>
    <n v="2561"/>
    <s v="A3561"/>
    <x v="1"/>
    <n v="144"/>
    <x v="605"/>
    <n v="194"/>
    <n v="28"/>
    <n v="3"/>
    <n v="2.0833333333333301E-2"/>
    <x v="8"/>
    <d v="2024-11-16T00:00:00"/>
    <s v="Hyderabad"/>
    <x v="2"/>
    <x v="5"/>
    <s v="November"/>
    <x v="0"/>
    <n v="1.3447916666666599"/>
    <n v="4.0999999999999996"/>
    <n v="6.92"/>
    <n v="64.55"/>
    <n v="43.56"/>
    <n v="92.67"/>
    <n v="1.44"/>
  </r>
  <r>
    <n v="2562"/>
    <s v="A3562"/>
    <x v="3"/>
    <n v="127"/>
    <x v="785"/>
    <n v="236"/>
    <n v="25"/>
    <n v="10"/>
    <n v="7.8740157480314904E-2"/>
    <x v="74"/>
    <d v="2024-11-12T00:00:00"/>
    <s v="Hyderabad"/>
    <x v="0"/>
    <x v="1"/>
    <s v="November"/>
    <x v="2"/>
    <n v="1.85763779527559"/>
    <n v="2.62"/>
    <n v="9.44"/>
    <n v="23.59"/>
    <n v="-8.44"/>
    <n v="21.6"/>
    <n v="0.92"/>
  </r>
  <r>
    <n v="2563"/>
    <s v="A3563"/>
    <x v="0"/>
    <n v="108"/>
    <x v="1714"/>
    <n v="227"/>
    <n v="12"/>
    <n v="5"/>
    <n v="4.6296296296296197E-2"/>
    <x v="115"/>
    <d v="2024-11-27T00:00:00"/>
    <s v="Hyderabad"/>
    <x v="2"/>
    <x v="3"/>
    <s v="November"/>
    <x v="1"/>
    <n v="2.1050925925925901"/>
    <n v="2.06"/>
    <n v="18.95"/>
    <n v="45.47"/>
    <n v="24.04"/>
    <n v="56.4"/>
    <n v="1.24"/>
  </r>
  <r>
    <n v="2564"/>
    <s v="A3564"/>
    <x v="2"/>
    <n v="96"/>
    <x v="1715"/>
    <n v="202"/>
    <n v="16"/>
    <n v="8"/>
    <n v="8.3333333333333301E-2"/>
    <x v="112"/>
    <d v="2024-11-29T00:00:00"/>
    <s v="Hyderabad"/>
    <x v="1"/>
    <x v="0"/>
    <s v="November"/>
    <x v="3"/>
    <n v="2.1005208333333298"/>
    <n v="1.75"/>
    <n v="12.6"/>
    <n v="25.21"/>
    <n v="39.35"/>
    <n v="35.119999999999997"/>
    <n v="1.39"/>
  </r>
  <r>
    <n v="2565"/>
    <s v="A3565"/>
    <x v="0"/>
    <n v="103"/>
    <x v="1716"/>
    <n v="180"/>
    <n v="12"/>
    <n v="3"/>
    <n v="2.9126213592233E-2"/>
    <x v="73"/>
    <d v="2024-11-28T00:00:00"/>
    <s v="Hyderabad"/>
    <x v="1"/>
    <x v="0"/>
    <s v="November"/>
    <x v="5"/>
    <n v="1.7519417475728101"/>
    <n v="2.1"/>
    <n v="15.04"/>
    <n v="60.15"/>
    <n v="33"/>
    <n v="80"/>
    <n v="1.33"/>
  </r>
  <r>
    <n v="2566"/>
    <s v="A3566"/>
    <x v="2"/>
    <n v="160"/>
    <x v="1717"/>
    <n v="212"/>
    <n v="14"/>
    <n v="8"/>
    <n v="0.05"/>
    <x v="7"/>
    <d v="2024-11-04T00:00:00"/>
    <s v="Hyderabad"/>
    <x v="2"/>
    <x v="1"/>
    <s v="November"/>
    <x v="6"/>
    <n v="1.326125"/>
    <n v="2.68"/>
    <n v="15.16"/>
    <n v="26.52"/>
    <n v="45.16"/>
    <n v="38.5"/>
    <n v="1.45"/>
  </r>
  <r>
    <n v="2567"/>
    <s v="A3567"/>
    <x v="0"/>
    <n v="141"/>
    <x v="1013"/>
    <n v="247"/>
    <n v="13"/>
    <n v="4"/>
    <n v="2.8368794326241099E-2"/>
    <x v="176"/>
    <d v="2024-11-12T00:00:00"/>
    <s v="Hyderabad"/>
    <x v="2"/>
    <x v="0"/>
    <s v="November"/>
    <x v="2"/>
    <n v="1.7514893617021201"/>
    <n v="2.59"/>
    <n v="19"/>
    <n v="61.74"/>
    <n v="42.53"/>
    <n v="88"/>
    <n v="1.43"/>
  </r>
  <r>
    <n v="2568"/>
    <s v="A3568"/>
    <x v="2"/>
    <n v="121"/>
    <x v="604"/>
    <n v="217"/>
    <n v="27"/>
    <n v="4"/>
    <n v="3.3057851239669402E-2"/>
    <x v="109"/>
    <d v="2024-11-19T00:00:00"/>
    <s v="Hyderabad"/>
    <x v="0"/>
    <x v="1"/>
    <s v="November"/>
    <x v="2"/>
    <n v="1.7932231404958601"/>
    <n v="2.67"/>
    <n v="8.0399999999999991"/>
    <n v="54.24"/>
    <n v="76.05"/>
    <n v="95.5"/>
    <n v="1.76"/>
  </r>
  <r>
    <n v="2569"/>
    <s v="A3569"/>
    <x v="1"/>
    <n v="176"/>
    <x v="1718"/>
    <n v="245"/>
    <n v="28"/>
    <n v="9"/>
    <n v="5.1136363636363598E-2"/>
    <x v="21"/>
    <d v="2024-11-08T00:00:00"/>
    <s v="Hyderabad"/>
    <x v="1"/>
    <x v="0"/>
    <s v="November"/>
    <x v="3"/>
    <n v="1.3927840909090901"/>
    <n v="4.1100000000000003"/>
    <n v="8.75"/>
    <n v="27.24"/>
    <n v="10.15"/>
    <n v="30"/>
    <n v="1.1000000000000001"/>
  </r>
  <r>
    <n v="2570"/>
    <s v="A3570"/>
    <x v="3"/>
    <n v="125"/>
    <x v="1514"/>
    <n v="229"/>
    <n v="21"/>
    <n v="6"/>
    <n v="4.8000000000000001E-2"/>
    <x v="165"/>
    <d v="2024-11-29T00:00:00"/>
    <s v="Hyderabad"/>
    <x v="0"/>
    <x v="4"/>
    <s v="November"/>
    <x v="3"/>
    <n v="1.8291199999999901"/>
    <n v="2.48"/>
    <n v="10.89"/>
    <n v="38.11"/>
    <n v="25.09"/>
    <n v="47.67"/>
    <n v="1.25"/>
  </r>
  <r>
    <n v="2571"/>
    <s v="A3571"/>
    <x v="0"/>
    <n v="163"/>
    <x v="369"/>
    <n v="220"/>
    <n v="23"/>
    <n v="5"/>
    <n v="3.0674846625766802E-2"/>
    <x v="171"/>
    <d v="2024-11-08T00:00:00"/>
    <s v="Hyderabad"/>
    <x v="0"/>
    <x v="2"/>
    <s v="November"/>
    <x v="3"/>
    <n v="1.3511042944785201"/>
    <n v="3.03"/>
    <n v="9.58"/>
    <n v="44.05"/>
    <n v="35.31"/>
    <n v="59.6"/>
    <n v="1.35"/>
  </r>
  <r>
    <n v="2572"/>
    <s v="A3572"/>
    <x v="3"/>
    <n v="137"/>
    <x v="1719"/>
    <n v="230"/>
    <n v="20"/>
    <n v="7"/>
    <n v="5.1094890510948898E-2"/>
    <x v="112"/>
    <d v="2024-11-13T00:00:00"/>
    <s v="Hyderabad"/>
    <x v="0"/>
    <x v="1"/>
    <s v="November"/>
    <x v="1"/>
    <n v="1.6791240875912401"/>
    <n v="2.65"/>
    <n v="11.5"/>
    <n v="32.86"/>
    <n v="22.15"/>
    <n v="40.14"/>
    <n v="1.22"/>
  </r>
  <r>
    <n v="2573"/>
    <s v="A3573"/>
    <x v="3"/>
    <n v="174"/>
    <x v="172"/>
    <n v="191"/>
    <n v="24"/>
    <n v="10"/>
    <n v="5.7471264367816001E-2"/>
    <x v="155"/>
    <d v="2024-11-21T00:00:00"/>
    <s v="Hyderabad"/>
    <x v="2"/>
    <x v="2"/>
    <s v="November"/>
    <x v="5"/>
    <n v="1.0950574712643599"/>
    <n v="4.04"/>
    <n v="7.94"/>
    <n v="19.05"/>
    <n v="108.88"/>
    <n v="39.799999999999997"/>
    <n v="2.09"/>
  </r>
  <r>
    <n v="2574"/>
    <s v="A3574"/>
    <x v="0"/>
    <n v="177"/>
    <x v="1686"/>
    <n v="220"/>
    <n v="29"/>
    <n v="5"/>
    <n v="2.8248587570621399E-2"/>
    <x v="186"/>
    <d v="2024-11-05T00:00:00"/>
    <s v="Hyderabad"/>
    <x v="0"/>
    <x v="5"/>
    <s v="November"/>
    <x v="2"/>
    <n v="1.24152542372881"/>
    <n v="4.5599999999999996"/>
    <n v="7.58"/>
    <n v="43.95"/>
    <n v="51.08"/>
    <n v="66.400000000000006"/>
    <n v="1.51"/>
  </r>
  <r>
    <n v="2575"/>
    <s v="A3575"/>
    <x v="2"/>
    <n v="155"/>
    <x v="1135"/>
    <n v="232"/>
    <n v="30"/>
    <n v="3"/>
    <n v="1.9354838709677399E-2"/>
    <x v="135"/>
    <d v="2024-11-06T00:00:00"/>
    <s v="Hyderabad"/>
    <x v="1"/>
    <x v="1"/>
    <s v="November"/>
    <x v="1"/>
    <n v="1.4936774193548299"/>
    <n v="3.59"/>
    <n v="7.72"/>
    <n v="77.17"/>
    <n v="-11.45"/>
    <n v="68.33"/>
    <n v="0.89"/>
  </r>
  <r>
    <n v="2576"/>
    <s v="A3576"/>
    <x v="1"/>
    <n v="129"/>
    <x v="1720"/>
    <n v="185"/>
    <n v="23"/>
    <n v="9"/>
    <n v="6.9767441860465101E-2"/>
    <x v="129"/>
    <d v="2024-11-29T00:00:00"/>
    <s v="Hyderabad"/>
    <x v="1"/>
    <x v="4"/>
    <s v="November"/>
    <x v="3"/>
    <n v="1.4332558139534799"/>
    <n v="3.7"/>
    <n v="8.0399999999999991"/>
    <n v="20.54"/>
    <n v="83.89"/>
    <n v="37.78"/>
    <n v="1.84"/>
  </r>
  <r>
    <n v="2577"/>
    <s v="A3577"/>
    <x v="2"/>
    <n v="91"/>
    <x v="1721"/>
    <n v="222"/>
    <n v="29"/>
    <n v="10"/>
    <n v="0.109890109890109"/>
    <x v="130"/>
    <d v="2024-11-21T00:00:00"/>
    <s v="Hyderabad"/>
    <x v="1"/>
    <x v="0"/>
    <s v="November"/>
    <x v="5"/>
    <n v="2.44285714285714"/>
    <n v="1.86"/>
    <n v="7.67"/>
    <n v="22.23"/>
    <n v="31.35"/>
    <n v="29.2"/>
    <n v="1.31"/>
  </r>
  <r>
    <n v="2578"/>
    <s v="A3578"/>
    <x v="1"/>
    <n v="93"/>
    <x v="1722"/>
    <n v="239"/>
    <n v="12"/>
    <n v="10"/>
    <n v="0.10752688172043"/>
    <x v="57"/>
    <d v="2024-11-22T00:00:00"/>
    <s v="Hyderabad"/>
    <x v="1"/>
    <x v="1"/>
    <s v="November"/>
    <x v="3"/>
    <n v="2.5733333333333301"/>
    <n v="3.02"/>
    <n v="19.940000000000001"/>
    <n v="23.93"/>
    <n v="67.56"/>
    <n v="40.1"/>
    <n v="1.68"/>
  </r>
  <r>
    <n v="2579"/>
    <s v="A3579"/>
    <x v="1"/>
    <n v="126"/>
    <x v="1291"/>
    <n v="195"/>
    <n v="23"/>
    <n v="3"/>
    <n v="2.3809523809523801E-2"/>
    <x v="156"/>
    <d v="2024-11-26T00:00:00"/>
    <s v="Hyderabad"/>
    <x v="0"/>
    <x v="4"/>
    <s v="November"/>
    <x v="2"/>
    <n v="1.5504761904761899"/>
    <n v="2.76"/>
    <n v="8.49"/>
    <n v="65.12"/>
    <n v="6.47"/>
    <n v="69.33"/>
    <n v="1.06"/>
  </r>
  <r>
    <n v="2580"/>
    <s v="A3580"/>
    <x v="0"/>
    <n v="87"/>
    <x v="769"/>
    <n v="220"/>
    <n v="13"/>
    <n v="6"/>
    <n v="6.8965517241379296E-2"/>
    <x v="109"/>
    <d v="2024-11-28T00:00:00"/>
    <s v="Hyderabad"/>
    <x v="1"/>
    <x v="2"/>
    <s v="November"/>
    <x v="5"/>
    <n v="2.5344827586206802"/>
    <n v="2.68"/>
    <n v="16.96"/>
    <n v="36.75"/>
    <n v="73.239999999999995"/>
    <n v="63.67"/>
    <n v="1.73"/>
  </r>
  <r>
    <n v="2581"/>
    <s v="A3581"/>
    <x v="2"/>
    <n v="161"/>
    <x v="652"/>
    <n v="252"/>
    <n v="27"/>
    <n v="9"/>
    <n v="5.5900621118012403E-2"/>
    <x v="50"/>
    <d v="2024-11-23T00:00:00"/>
    <s v="Hyderabad"/>
    <x v="0"/>
    <x v="1"/>
    <s v="November"/>
    <x v="0"/>
    <n v="1.5638953117966501"/>
    <n v="3.04"/>
    <n v="9.33"/>
    <n v="27.98"/>
    <n v="2.86"/>
    <n v="28.78"/>
    <n v="1.03"/>
  </r>
  <r>
    <n v="2582"/>
    <s v="A3582"/>
    <x v="0"/>
    <n v="107"/>
    <x v="1600"/>
    <n v="183"/>
    <n v="19"/>
    <n v="5"/>
    <n v="4.67289719626168E-2"/>
    <x v="140"/>
    <d v="2024-11-29T00:00:00"/>
    <s v="Hyderabad"/>
    <x v="0"/>
    <x v="1"/>
    <s v="November"/>
    <x v="3"/>
    <n v="1.7126168224299001"/>
    <n v="2.98"/>
    <n v="9.64"/>
    <n v="36.65"/>
    <n v="75.17"/>
    <n v="64.2"/>
    <n v="1.75"/>
  </r>
  <r>
    <n v="2583"/>
    <s v="A3583"/>
    <x v="0"/>
    <n v="124"/>
    <x v="1723"/>
    <n v="225"/>
    <n v="21"/>
    <n v="7"/>
    <n v="5.6451612903225798E-2"/>
    <x v="59"/>
    <d v="2024-11-10T00:00:00"/>
    <s v="Hyderabad"/>
    <x v="0"/>
    <x v="2"/>
    <s v="November"/>
    <x v="4"/>
    <n v="1.8115322580645099"/>
    <n v="3.67"/>
    <n v="10.7"/>
    <n v="32.090000000000003"/>
    <n v="14.86"/>
    <n v="36.86"/>
    <n v="1.1499999999999999"/>
  </r>
  <r>
    <n v="2584"/>
    <s v="A3584"/>
    <x v="1"/>
    <n v="124"/>
    <x v="1724"/>
    <n v="190"/>
    <n v="14"/>
    <n v="9"/>
    <n v="7.25806451612903E-2"/>
    <x v="186"/>
    <d v="2024-11-27T00:00:00"/>
    <s v="Hyderabad"/>
    <x v="0"/>
    <x v="3"/>
    <s v="November"/>
    <x v="1"/>
    <n v="1.52919354838709"/>
    <n v="2.2000000000000002"/>
    <n v="13.54"/>
    <n v="21.07"/>
    <n v="75.09"/>
    <n v="36.89"/>
    <n v="1.75"/>
  </r>
  <r>
    <n v="2585"/>
    <s v="A3585"/>
    <x v="2"/>
    <n v="97"/>
    <x v="1725"/>
    <n v="226"/>
    <n v="15"/>
    <n v="7"/>
    <n v="7.2164948453608199E-2"/>
    <x v="0"/>
    <d v="2024-11-08T00:00:00"/>
    <s v="Hyderabad"/>
    <x v="2"/>
    <x v="4"/>
    <s v="November"/>
    <x v="3"/>
    <n v="2.33474226804123"/>
    <n v="1.64"/>
    <n v="15.1"/>
    <n v="32.35"/>
    <n v="70.44"/>
    <n v="55.14"/>
    <n v="1.7"/>
  </r>
  <r>
    <n v="2586"/>
    <s v="A3586"/>
    <x v="0"/>
    <n v="186"/>
    <x v="1434"/>
    <n v="238"/>
    <n v="11"/>
    <n v="5"/>
    <n v="2.68817204301075E-2"/>
    <x v="168"/>
    <d v="2024-11-05T00:00:00"/>
    <s v="Hyderabad"/>
    <x v="2"/>
    <x v="2"/>
    <s v="November"/>
    <x v="2"/>
    <n v="1.27870967741935"/>
    <n v="5.61"/>
    <n v="21.62"/>
    <n v="47.57"/>
    <n v="59.77"/>
    <n v="76"/>
    <n v="1.6"/>
  </r>
  <r>
    <n v="2587"/>
    <s v="A3587"/>
    <x v="3"/>
    <n v="165"/>
    <x v="1726"/>
    <n v="211"/>
    <n v="24"/>
    <n v="3"/>
    <n v="1.8181818181818101E-2"/>
    <x v="160"/>
    <d v="2024-11-20T00:00:00"/>
    <s v="Hyderabad"/>
    <x v="0"/>
    <x v="2"/>
    <s v="November"/>
    <x v="1"/>
    <n v="1.2807878787878699"/>
    <n v="3.14"/>
    <n v="8.81"/>
    <n v="70.44"/>
    <n v="3.63"/>
    <n v="73"/>
    <n v="1.04"/>
  </r>
  <r>
    <n v="2588"/>
    <s v="A3588"/>
    <x v="1"/>
    <n v="110"/>
    <x v="1549"/>
    <n v="205"/>
    <n v="13"/>
    <n v="7"/>
    <n v="6.3636363636363602E-2"/>
    <x v="148"/>
    <d v="2024-11-05T00:00:00"/>
    <s v="Hyderabad"/>
    <x v="2"/>
    <x v="1"/>
    <s v="November"/>
    <x v="2"/>
    <n v="1.86445454545454"/>
    <n v="3.56"/>
    <n v="15.78"/>
    <n v="29.3"/>
    <n v="5.81"/>
    <n v="31"/>
    <n v="1.06"/>
  </r>
  <r>
    <n v="2589"/>
    <s v="A3589"/>
    <x v="1"/>
    <n v="191"/>
    <x v="884"/>
    <n v="200"/>
    <n v="24"/>
    <n v="9"/>
    <n v="4.7120418848167499E-2"/>
    <x v="99"/>
    <d v="2024-11-05T00:00:00"/>
    <s v="Hyderabad"/>
    <x v="1"/>
    <x v="5"/>
    <s v="November"/>
    <x v="2"/>
    <n v="1.04916230366492"/>
    <n v="4.0199999999999996"/>
    <n v="8.35"/>
    <n v="22.27"/>
    <n v="73.16"/>
    <n v="38.56"/>
    <n v="1.73"/>
  </r>
  <r>
    <n v="2590"/>
    <s v="A3590"/>
    <x v="2"/>
    <n v="136"/>
    <x v="1453"/>
    <n v="201"/>
    <n v="20"/>
    <n v="7"/>
    <n v="5.1470588235294101E-2"/>
    <x v="110"/>
    <d v="2024-11-13T00:00:00"/>
    <s v="Hyderabad"/>
    <x v="2"/>
    <x v="3"/>
    <s v="November"/>
    <x v="1"/>
    <n v="1.4814705882352901"/>
    <n v="4.4800000000000004"/>
    <n v="10.07"/>
    <n v="28.78"/>
    <n v="83.64"/>
    <n v="52.86"/>
    <n v="1.84"/>
  </r>
  <r>
    <n v="2591"/>
    <s v="A3591"/>
    <x v="0"/>
    <n v="146"/>
    <x v="1727"/>
    <n v="190"/>
    <n v="18"/>
    <n v="3"/>
    <n v="2.0547945205479399E-2"/>
    <x v="162"/>
    <d v="2024-11-13T00:00:00"/>
    <s v="Hyderabad"/>
    <x v="1"/>
    <x v="3"/>
    <s v="November"/>
    <x v="1"/>
    <n v="1.3040410958904101"/>
    <n v="2.54"/>
    <n v="10.58"/>
    <n v="63.46"/>
    <n v="18.7"/>
    <n v="75.33"/>
    <n v="1.19"/>
  </r>
  <r>
    <n v="2592"/>
    <s v="A3592"/>
    <x v="3"/>
    <n v="152"/>
    <x v="1728"/>
    <n v="234"/>
    <n v="12"/>
    <n v="5"/>
    <n v="3.2894736842105199E-2"/>
    <x v="107"/>
    <d v="2024-11-10T00:00:00"/>
    <s v="Hyderabad"/>
    <x v="2"/>
    <x v="4"/>
    <s v="November"/>
    <x v="4"/>
    <n v="1.5422368421052599"/>
    <n v="3"/>
    <n v="19.54"/>
    <n v="46.88"/>
    <n v="36.51"/>
    <n v="64"/>
    <n v="1.37"/>
  </r>
  <r>
    <n v="2593"/>
    <s v="A3593"/>
    <x v="3"/>
    <n v="189"/>
    <x v="1559"/>
    <n v="203"/>
    <n v="28"/>
    <n v="5"/>
    <n v="2.6455026455026402E-2"/>
    <x v="8"/>
    <d v="2024-11-08T00:00:00"/>
    <s v="Hyderabad"/>
    <x v="1"/>
    <x v="1"/>
    <s v="November"/>
    <x v="3"/>
    <n v="1.0734920634920599"/>
    <n v="3.18"/>
    <n v="7.25"/>
    <n v="40.58"/>
    <n v="37.020000000000003"/>
    <n v="55.6"/>
    <n v="1.37"/>
  </r>
  <r>
    <n v="2594"/>
    <s v="A3594"/>
    <x v="1"/>
    <n v="99"/>
    <x v="1729"/>
    <n v="234"/>
    <n v="11"/>
    <n v="6"/>
    <n v="6.0606060606060601E-2"/>
    <x v="137"/>
    <d v="2024-11-05T00:00:00"/>
    <s v="Hyderabad"/>
    <x v="2"/>
    <x v="3"/>
    <s v="November"/>
    <x v="2"/>
    <n v="2.3588888888888802"/>
    <n v="2.23"/>
    <n v="21.23"/>
    <n v="38.92"/>
    <n v="4.0599999999999996"/>
    <n v="40.5"/>
    <n v="1.04"/>
  </r>
  <r>
    <n v="2595"/>
    <s v="A3595"/>
    <x v="0"/>
    <n v="88"/>
    <x v="1730"/>
    <n v="242"/>
    <n v="17"/>
    <n v="9"/>
    <n v="0.102272727272727"/>
    <x v="128"/>
    <d v="2024-11-29T00:00:00"/>
    <s v="Hyderabad"/>
    <x v="1"/>
    <x v="4"/>
    <s v="November"/>
    <x v="3"/>
    <n v="2.7507954545454498"/>
    <n v="1.65"/>
    <n v="14.24"/>
    <n v="26.9"/>
    <n v="19.39"/>
    <n v="32.11"/>
    <n v="1.19"/>
  </r>
  <r>
    <n v="2596"/>
    <s v="A3596"/>
    <x v="0"/>
    <n v="154"/>
    <x v="1731"/>
    <n v="248"/>
    <n v="14"/>
    <n v="6"/>
    <n v="3.8961038961038898E-2"/>
    <x v="155"/>
    <d v="2024-11-28T00:00:00"/>
    <s v="Hyderabad"/>
    <x v="2"/>
    <x v="2"/>
    <s v="November"/>
    <x v="5"/>
    <n v="1.61220779220779"/>
    <n v="4.8"/>
    <n v="17.73"/>
    <n v="41.38"/>
    <n v="60.3"/>
    <n v="66.33"/>
    <n v="1.6"/>
  </r>
  <r>
    <n v="2597"/>
    <s v="A3597"/>
    <x v="1"/>
    <n v="113"/>
    <x v="1116"/>
    <n v="233"/>
    <n v="18"/>
    <n v="4"/>
    <n v="3.5398230088495498E-2"/>
    <x v="177"/>
    <d v="2024-11-02T00:00:00"/>
    <s v="Hyderabad"/>
    <x v="0"/>
    <x v="3"/>
    <s v="November"/>
    <x v="0"/>
    <n v="2.0641592920353902"/>
    <n v="2.97"/>
    <n v="12.96"/>
    <n v="58.31"/>
    <n v="-5.25"/>
    <n v="55.25"/>
    <n v="0.95"/>
  </r>
  <r>
    <n v="2598"/>
    <s v="A3598"/>
    <x v="3"/>
    <n v="196"/>
    <x v="1732"/>
    <n v="220"/>
    <n v="16"/>
    <n v="7"/>
    <n v="3.5714285714285698E-2"/>
    <x v="63"/>
    <d v="2024-11-08T00:00:00"/>
    <s v="Hyderabad"/>
    <x v="2"/>
    <x v="3"/>
    <s v="November"/>
    <x v="3"/>
    <n v="1.12311224489795"/>
    <n v="3.35"/>
    <n v="13.76"/>
    <n v="31.45"/>
    <n v="44.46"/>
    <n v="45.43"/>
    <n v="1.44"/>
  </r>
  <r>
    <n v="2599"/>
    <s v="A3599"/>
    <x v="3"/>
    <n v="165"/>
    <x v="1733"/>
    <n v="259"/>
    <n v="12"/>
    <n v="5"/>
    <n v="3.03030303030303E-2"/>
    <x v="73"/>
    <d v="2024-11-22T00:00:00"/>
    <s v="Hyderabad"/>
    <x v="0"/>
    <x v="5"/>
    <s v="November"/>
    <x v="3"/>
    <n v="1.57092385372117"/>
    <n v="3.03"/>
    <n v="21.6"/>
    <n v="51.84"/>
    <n v="-7.41"/>
    <n v="48"/>
    <n v="0.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75AF8-9C9F-42AB-AD84-884D1F3CE96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22:R30" firstHeaderRow="0" firstDataRow="1" firstDataCol="1"/>
  <pivotFields count="23">
    <pivotField showAll="0"/>
    <pivotField showAll="0"/>
    <pivotField showAll="0"/>
    <pivotField showAll="0"/>
    <pivotField showAll="0"/>
    <pivotField numFmtId="165" showAll="0"/>
    <pivotField showAll="0"/>
    <pivotField dataField="1" showAll="0"/>
    <pivotField numFmtId="166" showAll="0"/>
    <pivotField dataField="1" numFmtId="165" showAll="0"/>
    <pivotField numFmtId="14" showAll="0"/>
    <pivotField showAll="0"/>
    <pivotField showAll="0"/>
    <pivotField showAll="0">
      <items count="7">
        <item h="1" x="5"/>
        <item h="1" x="1"/>
        <item h="1" x="2"/>
        <item x="3"/>
        <item h="1" x="0"/>
        <item h="1" x="4"/>
        <item t="default"/>
      </items>
    </pivotField>
    <pivotField showAll="0"/>
    <pivotField axis="axisRow" showAll="0">
      <items count="8">
        <item x="6"/>
        <item x="2"/>
        <item x="1"/>
        <item x="5"/>
        <item x="3"/>
        <item x="0"/>
        <item x="4"/>
        <item t="default"/>
      </items>
    </pivotField>
    <pivotField numFmtId="2" showAll="0"/>
    <pivotField showAll="0"/>
    <pivotField showAll="0"/>
    <pivotField showAll="0"/>
    <pivotField showAll="0"/>
    <pivotField showAll="0"/>
    <pivotField showAll="0"/>
  </pivotFields>
  <rowFields count="1">
    <field x="15"/>
  </rowFields>
  <rowItems count="8">
    <i>
      <x/>
    </i>
    <i>
      <x v="1"/>
    </i>
    <i>
      <x v="2"/>
    </i>
    <i>
      <x v="3"/>
    </i>
    <i>
      <x v="4"/>
    </i>
    <i>
      <x v="5"/>
    </i>
    <i>
      <x v="6"/>
    </i>
    <i t="grand">
      <x/>
    </i>
  </rowItems>
  <colFields count="1">
    <field x="-2"/>
  </colFields>
  <colItems count="2">
    <i>
      <x/>
    </i>
    <i i="1">
      <x v="1"/>
    </i>
  </colItems>
  <dataFields count="2">
    <dataField name="Sum of Conversions" fld="7" baseField="0" baseItem="0"/>
    <dataField name="Sum of Revenue" fld="9" baseField="0" baseItem="0" numFmtId="165"/>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7EF41-1FD3-4995-AFBC-85ECB3A49A20}" name="PivotTable8" cacheId="5" applyNumberFormats="0" applyBorderFormats="0" applyFontFormats="0" applyPatternFormats="0" applyAlignmentFormats="0" applyWidthHeightFormats="1" dataCaption="Values" grandTotalCaption="Всі кампанії" updatedVersion="8" minRefreshableVersion="3" useAutoFormatting="1" itemPrintTitles="1" createdVersion="8" indent="0" outline="1" outlineData="1" multipleFieldFilters="0" rowHeaderCaption="Campaign Name">
  <location ref="AG5:AM10" firstHeaderRow="0" firstDataRow="1" firstDataCol="1"/>
  <pivotFields count="23">
    <pivotField showAll="0"/>
    <pivotField showAll="0"/>
    <pivotField axis="axisRow" showAll="0">
      <items count="5">
        <item x="2"/>
        <item x="0"/>
        <item x="3"/>
        <item x="1"/>
        <item t="default"/>
      </items>
    </pivotField>
    <pivotField dataField="1" showAll="0"/>
    <pivotField dataField="1" showAll="0"/>
    <pivotField dataField="1" numFmtId="165" showAll="0"/>
    <pivotField dataField="1" showAll="0"/>
    <pivotField dataField="1" showAll="0"/>
    <pivotField numFmtId="166" showAll="0"/>
    <pivotField dataField="1" numFmtId="165" showAll="0"/>
    <pivotField numFmtId="14" showAll="0"/>
    <pivotField showAll="0"/>
    <pivotField showAll="0"/>
    <pivotField showAll="0">
      <items count="7">
        <item x="5"/>
        <item x="1"/>
        <item x="2"/>
        <item x="3"/>
        <item x="0"/>
        <item x="4"/>
        <item t="default"/>
      </items>
    </pivotField>
    <pivotField showAll="0"/>
    <pivotField showAll="0">
      <items count="8">
        <item h="1" x="6"/>
        <item h="1" x="2"/>
        <item h="1" x="1"/>
        <item h="1" x="5"/>
        <item h="1" x="3"/>
        <item h="1" x="0"/>
        <item x="4"/>
        <item t="default"/>
      </items>
    </pivotField>
    <pivotField numFmtId="2"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6">
    <i>
      <x/>
    </i>
    <i i="1">
      <x v="1"/>
    </i>
    <i i="2">
      <x v="2"/>
    </i>
    <i i="3">
      <x v="3"/>
    </i>
    <i i="4">
      <x v="4"/>
    </i>
    <i i="5">
      <x v="5"/>
    </i>
  </colItems>
  <dataFields count="6">
    <dataField name="Sum of Impressions" fld="4" baseField="0" baseItem="0"/>
    <dataField name="Sum of Clicks" fld="3" baseField="0" baseItem="0"/>
    <dataField name="Sum of Leads" fld="6" baseField="0" baseItem="0"/>
    <dataField name="Sum of Conversions" fld="7" baseField="0" baseItem="0"/>
    <dataField name="Sum of Cost" fld="5" baseField="0" baseItem="0" numFmtId="165"/>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C7D8B5-ED5D-4FEA-9956-45A47DED26E7}"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7:AF52" firstHeaderRow="0" firstDataRow="1" firstDataCol="1"/>
  <pivotFields count="23">
    <pivotField showAll="0"/>
    <pivotField showAll="0"/>
    <pivotField axis="axisRow" showAll="0">
      <items count="5">
        <item x="2"/>
        <item x="0"/>
        <item x="3"/>
        <item x="1"/>
        <item t="default"/>
      </items>
    </pivotField>
    <pivotField dataField="1" showAll="0"/>
    <pivotField dataField="1" showAll="0">
      <items count="1735">
        <item x="1363"/>
        <item x="1528"/>
        <item x="431"/>
        <item x="1310"/>
        <item x="278"/>
        <item x="1407"/>
        <item x="113"/>
        <item x="854"/>
        <item x="1697"/>
        <item x="1614"/>
        <item x="71"/>
        <item x="212"/>
        <item x="414"/>
        <item x="525"/>
        <item x="1348"/>
        <item x="391"/>
        <item x="891"/>
        <item x="753"/>
        <item x="816"/>
        <item x="832"/>
        <item x="484"/>
        <item x="831"/>
        <item x="59"/>
        <item x="1566"/>
        <item x="1401"/>
        <item x="1345"/>
        <item x="1704"/>
        <item x="539"/>
        <item x="1453"/>
        <item x="1222"/>
        <item x="659"/>
        <item x="269"/>
        <item x="1601"/>
        <item x="657"/>
        <item x="1036"/>
        <item x="933"/>
        <item x="1452"/>
        <item x="1389"/>
        <item x="773"/>
        <item x="1493"/>
        <item x="856"/>
        <item x="1313"/>
        <item x="874"/>
        <item x="331"/>
        <item x="1127"/>
        <item x="1003"/>
        <item x="352"/>
        <item x="191"/>
        <item x="900"/>
        <item x="1722"/>
        <item x="1067"/>
        <item x="1083"/>
        <item x="995"/>
        <item x="335"/>
        <item x="1549"/>
        <item x="1504"/>
        <item x="1189"/>
        <item x="339"/>
        <item x="444"/>
        <item x="1523"/>
        <item x="154"/>
        <item x="815"/>
        <item x="271"/>
        <item x="825"/>
        <item x="1170"/>
        <item x="1466"/>
        <item x="1494"/>
        <item x="526"/>
        <item x="427"/>
        <item x="18"/>
        <item x="308"/>
        <item x="464"/>
        <item x="1137"/>
        <item x="1324"/>
        <item x="1032"/>
        <item x="639"/>
        <item x="251"/>
        <item x="1525"/>
        <item x="669"/>
        <item x="919"/>
        <item x="1084"/>
        <item x="1238"/>
        <item x="478"/>
        <item x="774"/>
        <item x="744"/>
        <item x="383"/>
        <item x="1465"/>
        <item x="1275"/>
        <item x="872"/>
        <item x="1657"/>
        <item x="1611"/>
        <item x="1039"/>
        <item x="635"/>
        <item x="1058"/>
        <item x="1529"/>
        <item x="425"/>
        <item x="1207"/>
        <item x="1694"/>
        <item x="372"/>
        <item x="54"/>
        <item x="135"/>
        <item x="1497"/>
        <item x="927"/>
        <item x="1164"/>
        <item x="121"/>
        <item x="499"/>
        <item x="1360"/>
        <item x="3"/>
        <item x="1618"/>
        <item x="1225"/>
        <item x="802"/>
        <item x="724"/>
        <item x="1089"/>
        <item x="1210"/>
        <item x="1201"/>
        <item x="806"/>
        <item x="234"/>
        <item x="436"/>
        <item x="1373"/>
        <item x="179"/>
        <item x="1731"/>
        <item x="75"/>
        <item x="1153"/>
        <item x="368"/>
        <item x="1068"/>
        <item x="1505"/>
        <item x="974"/>
        <item x="1627"/>
        <item x="1391"/>
        <item x="869"/>
        <item x="1512"/>
        <item x="528"/>
        <item x="177"/>
        <item x="711"/>
        <item x="1165"/>
        <item x="1226"/>
        <item x="1507"/>
        <item x="1703"/>
        <item x="203"/>
        <item x="591"/>
        <item x="585"/>
        <item x="1286"/>
        <item x="769"/>
        <item x="1340"/>
        <item x="313"/>
        <item x="1380"/>
        <item x="1690"/>
        <item x="12"/>
        <item x="1325"/>
        <item x="1183"/>
        <item x="449"/>
        <item x="166"/>
        <item x="140"/>
        <item x="684"/>
        <item x="1352"/>
        <item x="823"/>
        <item x="527"/>
        <item x="1334"/>
        <item x="600"/>
        <item x="676"/>
        <item x="797"/>
        <item x="1645"/>
        <item x="1674"/>
        <item x="85"/>
        <item x="1142"/>
        <item x="1060"/>
        <item x="1173"/>
        <item x="1136"/>
        <item x="1545"/>
        <item x="1248"/>
        <item x="1438"/>
        <item x="1421"/>
        <item x="1308"/>
        <item x="448"/>
        <item x="1099"/>
        <item x="1434"/>
        <item x="52"/>
        <item x="710"/>
        <item x="1639"/>
        <item x="1301"/>
        <item x="728"/>
        <item x="492"/>
        <item x="701"/>
        <item x="117"/>
        <item x="467"/>
        <item x="412"/>
        <item x="222"/>
        <item x="609"/>
        <item x="841"/>
        <item x="677"/>
        <item x="150"/>
        <item x="947"/>
        <item x="176"/>
        <item x="1132"/>
        <item x="586"/>
        <item x="463"/>
        <item x="996"/>
        <item x="1695"/>
        <item x="221"/>
        <item x="92"/>
        <item x="606"/>
        <item x="759"/>
        <item x="1698"/>
        <item x="25"/>
        <item x="249"/>
        <item x="29"/>
        <item x="1018"/>
        <item x="9"/>
        <item x="1533"/>
        <item x="182"/>
        <item x="314"/>
        <item x="4"/>
        <item x="1024"/>
        <item x="495"/>
        <item x="764"/>
        <item x="695"/>
        <item x="565"/>
        <item x="1349"/>
        <item x="1346"/>
        <item x="213"/>
        <item x="851"/>
        <item x="502"/>
        <item x="1723"/>
        <item x="299"/>
        <item x="1530"/>
        <item x="1624"/>
        <item x="1662"/>
        <item x="496"/>
        <item x="361"/>
        <item x="338"/>
        <item x="282"/>
        <item x="505"/>
        <item x="911"/>
        <item x="1233"/>
        <item x="324"/>
        <item x="446"/>
        <item x="152"/>
        <item x="548"/>
        <item x="298"/>
        <item x="814"/>
        <item x="1447"/>
        <item x="330"/>
        <item x="201"/>
        <item x="561"/>
        <item x="253"/>
        <item x="114"/>
        <item x="1537"/>
        <item x="1319"/>
        <item x="798"/>
        <item x="1439"/>
        <item x="1356"/>
        <item x="578"/>
        <item x="1262"/>
        <item x="529"/>
        <item x="809"/>
        <item x="1040"/>
        <item x="651"/>
        <item x="577"/>
        <item x="1667"/>
        <item x="697"/>
        <item x="576"/>
        <item x="1656"/>
        <item x="1565"/>
        <item x="784"/>
        <item x="1122"/>
        <item x="707"/>
        <item x="1232"/>
        <item x="643"/>
        <item x="768"/>
        <item x="792"/>
        <item x="1623"/>
        <item x="795"/>
        <item x="1244"/>
        <item x="1306"/>
        <item x="579"/>
        <item x="211"/>
        <item x="1720"/>
        <item x="167"/>
        <item x="1104"/>
        <item x="553"/>
        <item x="280"/>
        <item x="1343"/>
        <item x="563"/>
        <item x="387"/>
        <item x="1143"/>
        <item x="860"/>
        <item x="112"/>
        <item x="1071"/>
        <item x="1428"/>
        <item x="605"/>
        <item x="1249"/>
        <item x="275"/>
        <item x="1395"/>
        <item x="1231"/>
        <item x="1457"/>
        <item x="1023"/>
        <item x="49"/>
        <item x="1088"/>
        <item x="411"/>
        <item x="1303"/>
        <item x="713"/>
        <item x="1663"/>
        <item x="1037"/>
        <item x="1571"/>
        <item x="1106"/>
        <item x="1159"/>
        <item x="158"/>
        <item x="285"/>
        <item x="668"/>
        <item x="1558"/>
        <item x="120"/>
        <item x="1158"/>
        <item x="173"/>
        <item x="1223"/>
        <item x="731"/>
        <item x="1026"/>
        <item x="1613"/>
        <item x="1333"/>
        <item x="243"/>
        <item x="646"/>
        <item x="1520"/>
        <item x="648"/>
        <item x="329"/>
        <item x="782"/>
        <item x="188"/>
        <item x="1015"/>
        <item x="883"/>
        <item x="1043"/>
        <item x="262"/>
        <item x="803"/>
        <item x="1642"/>
        <item x="1551"/>
        <item x="1344"/>
        <item x="82"/>
        <item x="1628"/>
        <item x="1600"/>
        <item x="1070"/>
        <item x="104"/>
        <item x="99"/>
        <item x="1318"/>
        <item x="305"/>
        <item x="326"/>
        <item x="169"/>
        <item x="1228"/>
        <item x="1027"/>
        <item x="1263"/>
        <item x="264"/>
        <item x="1708"/>
        <item x="11"/>
        <item x="63"/>
        <item x="776"/>
        <item x="690"/>
        <item x="155"/>
        <item x="772"/>
        <item x="982"/>
        <item x="139"/>
        <item x="1277"/>
        <item x="440"/>
        <item x="1309"/>
        <item x="655"/>
        <item x="1440"/>
        <item x="1369"/>
        <item x="189"/>
        <item x="581"/>
        <item x="1706"/>
        <item x="704"/>
        <item x="849"/>
        <item x="981"/>
        <item x="1033"/>
        <item x="1236"/>
        <item x="1197"/>
        <item x="1081"/>
        <item x="124"/>
        <item x="458"/>
        <item x="706"/>
        <item x="181"/>
        <item x="993"/>
        <item x="637"/>
        <item x="286"/>
        <item x="1597"/>
        <item x="1030"/>
        <item x="1664"/>
        <item x="1511"/>
        <item x="558"/>
        <item x="1055"/>
        <item x="842"/>
        <item x="96"/>
        <item x="617"/>
        <item x="908"/>
        <item x="272"/>
        <item x="811"/>
        <item x="998"/>
        <item x="1077"/>
        <item x="1683"/>
        <item x="183"/>
        <item x="564"/>
        <item x="320"/>
        <item x="1519"/>
        <item x="1229"/>
        <item x="1582"/>
        <item x="654"/>
        <item x="970"/>
        <item x="247"/>
        <item x="1268"/>
        <item x="24"/>
        <item x="810"/>
        <item x="1546"/>
        <item x="43"/>
        <item x="1215"/>
        <item x="1154"/>
        <item x="141"/>
        <item x="1387"/>
        <item x="1455"/>
        <item x="72"/>
        <item x="916"/>
        <item x="332"/>
        <item x="1208"/>
        <item x="723"/>
        <item x="73"/>
        <item x="1516"/>
        <item x="353"/>
        <item x="261"/>
        <item x="13"/>
        <item x="1489"/>
        <item x="1472"/>
        <item x="101"/>
        <item x="148"/>
        <item x="1005"/>
        <item x="1411"/>
        <item x="1021"/>
        <item x="599"/>
        <item x="126"/>
        <item x="297"/>
        <item x="892"/>
        <item x="1054"/>
        <item x="367"/>
        <item x="363"/>
        <item x="1410"/>
        <item x="64"/>
        <item x="999"/>
        <item x="755"/>
        <item x="1014"/>
        <item x="5"/>
        <item x="488"/>
        <item x="1035"/>
        <item x="1443"/>
        <item x="1420"/>
        <item x="781"/>
        <item x="598"/>
        <item x="1580"/>
        <item x="480"/>
        <item x="394"/>
        <item x="1364"/>
        <item x="109"/>
        <item x="1304"/>
        <item x="952"/>
        <item x="241"/>
        <item x="1635"/>
        <item x="393"/>
        <item x="1255"/>
        <item x="1206"/>
        <item x="1116"/>
        <item x="128"/>
        <item x="1647"/>
        <item x="1149"/>
        <item x="1610"/>
        <item x="653"/>
        <item x="382"/>
        <item x="227"/>
        <item x="392"/>
        <item x="1264"/>
        <item x="1266"/>
        <item x="1552"/>
        <item x="917"/>
        <item x="441"/>
        <item x="184"/>
        <item x="1681"/>
        <item x="508"/>
        <item x="300"/>
        <item x="1326"/>
        <item x="739"/>
        <item x="137"/>
        <item x="399"/>
        <item x="767"/>
        <item x="1594"/>
        <item x="1419"/>
        <item x="986"/>
        <item x="118"/>
        <item x="248"/>
        <item x="1209"/>
        <item x="1544"/>
        <item x="705"/>
        <item x="507"/>
        <item x="1355"/>
        <item x="1381"/>
        <item x="989"/>
        <item x="32"/>
        <item x="663"/>
        <item x="1086"/>
        <item x="1492"/>
        <item x="477"/>
        <item x="513"/>
        <item x="1686"/>
        <item x="404"/>
        <item x="116"/>
        <item x="1211"/>
        <item x="608"/>
        <item x="149"/>
        <item x="1379"/>
        <item x="1400"/>
        <item x="708"/>
        <item x="1679"/>
        <item x="922"/>
        <item x="1157"/>
        <item x="244"/>
        <item x="592"/>
        <item x="178"/>
        <item x="1651"/>
        <item x="219"/>
        <item x="327"/>
        <item x="1167"/>
        <item x="1270"/>
        <item x="1300"/>
        <item x="471"/>
        <item x="1398"/>
        <item x="1155"/>
        <item x="131"/>
        <item x="1508"/>
        <item x="1659"/>
        <item x="1640"/>
        <item x="346"/>
        <item x="51"/>
        <item x="949"/>
        <item x="1216"/>
        <item x="1590"/>
        <item x="963"/>
        <item x="95"/>
        <item x="923"/>
        <item x="323"/>
        <item x="632"/>
        <item x="1072"/>
        <item x="906"/>
        <item x="1567"/>
        <item x="855"/>
        <item x="582"/>
        <item x="1354"/>
        <item x="1133"/>
        <item x="930"/>
        <item x="821"/>
        <item x="763"/>
        <item x="1503"/>
        <item x="204"/>
        <item x="194"/>
        <item x="1298"/>
        <item x="364"/>
        <item x="716"/>
        <item x="281"/>
        <item x="966"/>
        <item x="1186"/>
        <item x="1470"/>
        <item x="1057"/>
        <item x="593"/>
        <item x="1272"/>
        <item x="745"/>
        <item x="775"/>
        <item x="1437"/>
        <item x="813"/>
        <item x="1652"/>
        <item x="1017"/>
        <item x="206"/>
        <item x="1288"/>
        <item x="1085"/>
        <item x="596"/>
        <item x="333"/>
        <item x="390"/>
        <item x="1487"/>
        <item x="955"/>
        <item x="1174"/>
        <item x="1609"/>
        <item x="301"/>
        <item x="693"/>
        <item x="644"/>
        <item x="246"/>
        <item x="1393"/>
        <item x="1491"/>
        <item x="1107"/>
        <item x="68"/>
        <item x="1109"/>
        <item x="871"/>
        <item x="379"/>
        <item x="1592"/>
        <item x="209"/>
        <item x="1385"/>
        <item x="1009"/>
        <item x="134"/>
        <item x="318"/>
        <item x="882"/>
        <item x="839"/>
        <item x="867"/>
        <item x="827"/>
        <item x="388"/>
        <item x="1496"/>
        <item x="254"/>
        <item x="1621"/>
        <item x="1608"/>
        <item x="899"/>
        <item x="1678"/>
        <item x="1076"/>
        <item x="1168"/>
        <item x="1534"/>
        <item x="828"/>
        <item x="915"/>
        <item x="735"/>
        <item x="360"/>
        <item x="198"/>
        <item x="694"/>
        <item x="1078"/>
        <item x="961"/>
        <item x="1482"/>
        <item x="1016"/>
        <item x="938"/>
        <item x="1242"/>
        <item x="242"/>
        <item x="850"/>
        <item x="726"/>
        <item x="1626"/>
        <item x="403"/>
        <item x="1247"/>
        <item x="199"/>
        <item x="319"/>
        <item x="1416"/>
        <item x="691"/>
        <item x="1237"/>
        <item x="1432"/>
        <item x="1515"/>
        <item x="421"/>
        <item x="1573"/>
        <item x="1218"/>
        <item x="106"/>
        <item x="1090"/>
        <item x="1187"/>
        <item x="1449"/>
        <item x="840"/>
        <item x="258"/>
        <item x="20"/>
        <item x="1632"/>
        <item x="729"/>
        <item x="1377"/>
        <item x="378"/>
        <item x="1615"/>
        <item x="1361"/>
        <item x="21"/>
        <item x="861"/>
        <item x="1675"/>
        <item x="898"/>
        <item x="571"/>
        <item x="164"/>
        <item x="736"/>
        <item x="1179"/>
        <item x="1267"/>
        <item x="260"/>
        <item x="1129"/>
        <item x="870"/>
        <item x="1193"/>
        <item x="1509"/>
        <item x="1538"/>
        <item x="835"/>
        <item x="1111"/>
        <item x="161"/>
        <item x="909"/>
        <item x="1468"/>
        <item x="971"/>
        <item x="1593"/>
        <item x="950"/>
        <item x="779"/>
        <item x="804"/>
        <item x="489"/>
        <item x="1599"/>
        <item x="207"/>
        <item x="349"/>
        <item x="942"/>
        <item x="1384"/>
        <item x="954"/>
        <item x="1532"/>
        <item x="907"/>
        <item x="790"/>
        <item x="55"/>
        <item x="805"/>
        <item x="76"/>
        <item x="1622"/>
        <item x="303"/>
        <item x="1353"/>
        <item x="476"/>
        <item x="587"/>
        <item x="1296"/>
        <item x="929"/>
        <item x="146"/>
        <item x="554"/>
        <item x="1396"/>
        <item x="265"/>
        <item x="340"/>
        <item x="572"/>
        <item x="1045"/>
        <item x="848"/>
        <item x="621"/>
        <item x="614"/>
        <item x="481"/>
        <item x="1648"/>
        <item x="1041"/>
        <item x="123"/>
        <item x="430"/>
        <item x="1498"/>
        <item x="138"/>
        <item x="1553"/>
        <item x="1243"/>
        <item x="1316"/>
        <item x="1483"/>
        <item x="1053"/>
        <item x="41"/>
        <item x="1151"/>
        <item x="1574"/>
        <item x="1446"/>
        <item x="661"/>
        <item x="686"/>
        <item x="1467"/>
        <item x="1718"/>
        <item x="991"/>
        <item x="568"/>
        <item x="217"/>
        <item x="543"/>
        <item x="647"/>
        <item x="341"/>
        <item x="1327"/>
        <item x="1241"/>
        <item x="374"/>
        <item x="1572"/>
        <item x="837"/>
        <item x="39"/>
        <item x="86"/>
        <item x="1598"/>
        <item x="172"/>
        <item x="423"/>
        <item x="14"/>
        <item x="1135"/>
        <item x="875"/>
        <item x="110"/>
        <item x="905"/>
        <item x="897"/>
        <item x="1631"/>
        <item x="145"/>
        <item x="522"/>
        <item x="1180"/>
        <item x="165"/>
        <item x="1575"/>
        <item x="549"/>
        <item x="1108"/>
        <item x="468"/>
        <item x="290"/>
        <item x="1294"/>
        <item x="1307"/>
        <item x="410"/>
        <item x="159"/>
        <item x="931"/>
        <item x="618"/>
        <item x="1341"/>
        <item x="1463"/>
        <item x="687"/>
        <item x="311"/>
        <item x="235"/>
        <item x="1156"/>
        <item x="1331"/>
        <item x="859"/>
        <item x="147"/>
        <item x="87"/>
        <item x="719"/>
        <item x="1080"/>
        <item x="667"/>
        <item x="466"/>
        <item x="1541"/>
        <item x="1586"/>
        <item x="762"/>
        <item x="1581"/>
        <item x="943"/>
        <item x="1688"/>
        <item x="741"/>
        <item x="1426"/>
        <item x="879"/>
        <item x="268"/>
        <item x="552"/>
        <item x="1699"/>
        <item x="685"/>
        <item x="712"/>
        <item x="1002"/>
        <item x="1141"/>
        <item x="498"/>
        <item x="771"/>
        <item x="1399"/>
        <item x="1245"/>
        <item x="1643"/>
        <item x="727"/>
        <item x="1397"/>
        <item x="42"/>
        <item x="817"/>
        <item x="153"/>
        <item x="302"/>
        <item x="722"/>
        <item x="1383"/>
        <item x="197"/>
        <item x="1414"/>
        <item x="550"/>
        <item x="17"/>
        <item x="538"/>
        <item x="985"/>
        <item x="640"/>
        <item x="1475"/>
        <item x="1451"/>
        <item x="66"/>
        <item x="1191"/>
        <item x="1550"/>
        <item x="1729"/>
        <item x="914"/>
        <item x="288"/>
        <item x="1671"/>
        <item x="1166"/>
        <item x="1560"/>
        <item x="566"/>
        <item x="1562"/>
        <item x="939"/>
        <item x="893"/>
        <item x="1010"/>
        <item x="1079"/>
        <item x="447"/>
        <item x="1323"/>
        <item x="263"/>
        <item x="1591"/>
        <item x="1617"/>
        <item x="1185"/>
        <item x="1050"/>
        <item x="941"/>
        <item x="818"/>
        <item x="1372"/>
        <item x="6"/>
        <item x="195"/>
        <item x="1606"/>
        <item x="524"/>
        <item x="866"/>
        <item x="964"/>
        <item x="1429"/>
        <item x="65"/>
        <item x="215"/>
        <item x="457"/>
        <item x="428"/>
        <item x="844"/>
        <item x="0"/>
        <item x="796"/>
        <item x="766"/>
        <item x="190"/>
        <item x="588"/>
        <item x="1227"/>
        <item x="1374"/>
        <item x="791"/>
        <item x="1052"/>
        <item x="1378"/>
        <item x="889"/>
        <item x="168"/>
        <item x="1299"/>
        <item x="143"/>
        <item x="267"/>
        <item x="962"/>
        <item x="888"/>
        <item x="420"/>
        <item x="1220"/>
        <item x="136"/>
        <item x="1382"/>
        <item x="604"/>
        <item x="750"/>
        <item x="1402"/>
        <item x="1093"/>
        <item x="756"/>
        <item x="2"/>
        <item x="1031"/>
        <item x="1063"/>
        <item x="220"/>
        <item x="1584"/>
        <item x="1291"/>
        <item x="1256"/>
        <item x="224"/>
        <item x="620"/>
        <item x="1314"/>
        <item x="903"/>
        <item x="794"/>
        <item x="1605"/>
        <item x="127"/>
        <item x="1474"/>
        <item x="1655"/>
        <item x="1366"/>
        <item x="1462"/>
        <item x="413"/>
        <item x="1485"/>
        <item x="1456"/>
        <item x="799"/>
        <item x="838"/>
        <item x="514"/>
        <item x="293"/>
        <item x="1011"/>
        <item x="913"/>
        <item x="228"/>
        <item x="384"/>
        <item x="1047"/>
        <item x="307"/>
        <item x="345"/>
        <item x="74"/>
        <item x="751"/>
        <item x="1284"/>
        <item x="493"/>
        <item x="1315"/>
        <item x="239"/>
        <item x="462"/>
        <item x="1602"/>
        <item x="783"/>
        <item x="405"/>
        <item x="934"/>
        <item x="334"/>
        <item x="1441"/>
        <item x="1405"/>
        <item x="1094"/>
        <item x="503"/>
        <item x="709"/>
        <item x="474"/>
        <item x="1103"/>
        <item x="48"/>
        <item x="1188"/>
        <item x="1676"/>
        <item x="1425"/>
        <item x="1322"/>
        <item x="754"/>
        <item x="843"/>
        <item x="439"/>
        <item x="1205"/>
        <item x="567"/>
        <item x="1212"/>
        <item x="122"/>
        <item x="946"/>
        <item x="482"/>
        <item x="1367"/>
        <item x="1557"/>
        <item x="960"/>
        <item x="714"/>
        <item x="1069"/>
        <item x="83"/>
        <item x="494"/>
        <item x="547"/>
        <item x="401"/>
        <item x="144"/>
        <item x="777"/>
        <item x="1022"/>
        <item x="1059"/>
        <item x="356"/>
        <item x="1710"/>
        <item x="111"/>
        <item x="607"/>
        <item x="925"/>
        <item x="1589"/>
        <item x="91"/>
        <item x="1273"/>
        <item x="730"/>
        <item x="1117"/>
        <item x="1691"/>
        <item x="132"/>
        <item x="475"/>
        <item x="1214"/>
        <item x="1682"/>
        <item x="535"/>
        <item x="520"/>
        <item x="890"/>
        <item x="834"/>
        <item x="569"/>
        <item x="175"/>
        <item x="208"/>
        <item x="519"/>
        <item x="650"/>
        <item x="884"/>
        <item x="1125"/>
        <item x="443"/>
        <item x="1161"/>
        <item x="105"/>
        <item x="491"/>
        <item x="1118"/>
        <item x="381"/>
        <item x="819"/>
        <item x="717"/>
        <item x="987"/>
        <item x="680"/>
        <item x="77"/>
        <item x="240"/>
        <item x="409"/>
        <item x="820"/>
        <item x="1246"/>
        <item x="1431"/>
        <item x="1417"/>
        <item x="259"/>
        <item x="1649"/>
        <item x="510"/>
        <item x="1554"/>
        <item x="56"/>
        <item x="1020"/>
        <item x="1019"/>
        <item x="1693"/>
        <item x="417"/>
        <item x="1049"/>
        <item x="156"/>
        <item x="81"/>
        <item x="459"/>
        <item x="1240"/>
        <item x="1625"/>
        <item x="662"/>
        <item x="1357"/>
        <item x="1418"/>
        <item x="1616"/>
        <item x="1673"/>
        <item x="102"/>
        <item x="214"/>
        <item x="1442"/>
        <item x="1448"/>
        <item x="1423"/>
        <item x="1390"/>
        <item x="918"/>
        <item x="30"/>
        <item x="611"/>
        <item x="142"/>
        <item x="1521"/>
        <item x="613"/>
        <item x="1230"/>
        <item x="344"/>
        <item x="808"/>
        <item x="515"/>
        <item x="1260"/>
        <item x="785"/>
        <item x="90"/>
        <item x="354"/>
        <item x="1650"/>
        <item x="649"/>
        <item x="945"/>
        <item x="826"/>
        <item x="628"/>
        <item x="551"/>
        <item x="1413"/>
        <item x="1403"/>
        <item x="45"/>
        <item x="589"/>
        <item x="1358"/>
        <item x="434"/>
        <item x="1480"/>
        <item x="1702"/>
        <item x="725"/>
        <item x="1139"/>
        <item x="1171"/>
        <item x="210"/>
        <item x="453"/>
        <item x="902"/>
        <item x="580"/>
        <item x="1073"/>
        <item x="1721"/>
        <item x="1202"/>
        <item x="830"/>
        <item x="626"/>
        <item x="1588"/>
        <item x="1320"/>
        <item x="1289"/>
        <item x="1464"/>
        <item x="601"/>
        <item x="1336"/>
        <item x="1716"/>
        <item x="1500"/>
        <item x="385"/>
        <item x="1224"/>
        <item x="1445"/>
        <item x="1042"/>
        <item x="1629"/>
        <item x="317"/>
        <item x="310"/>
        <item x="1422"/>
        <item x="1178"/>
        <item x="1577"/>
        <item x="456"/>
        <item x="1539"/>
        <item x="786"/>
        <item x="1056"/>
        <item x="718"/>
        <item x="69"/>
        <item x="1219"/>
        <item x="53"/>
        <item x="500"/>
        <item x="1282"/>
        <item x="1126"/>
        <item x="1700"/>
        <item x="517"/>
        <item x="748"/>
        <item x="1692"/>
        <item x="295"/>
        <item x="1388"/>
        <item x="625"/>
        <item x="679"/>
        <item x="1436"/>
        <item x="733"/>
        <item x="450"/>
        <item x="642"/>
        <item x="1172"/>
        <item x="1152"/>
        <item x="1074"/>
        <item x="398"/>
        <item x="1513"/>
        <item x="951"/>
        <item x="1579"/>
        <item x="70"/>
        <item x="752"/>
        <item x="1234"/>
        <item x="1328"/>
        <item x="257"/>
        <item x="1634"/>
        <item x="852"/>
        <item x="94"/>
        <item x="1633"/>
        <item x="1006"/>
        <item x="1476"/>
        <item x="160"/>
        <item x="62"/>
        <item x="252"/>
        <item x="389"/>
        <item x="328"/>
        <item x="1517"/>
        <item x="1638"/>
        <item x="512"/>
        <item x="256"/>
        <item x="1433"/>
        <item x="1665"/>
        <item x="1619"/>
        <item x="1713"/>
        <item x="343"/>
        <item x="560"/>
        <item x="1514"/>
        <item x="887"/>
        <item x="1490"/>
        <item x="1408"/>
        <item x="1144"/>
        <item x="1669"/>
        <item x="1561"/>
        <item x="622"/>
        <item x="865"/>
        <item x="666"/>
        <item x="1454"/>
        <item x="7"/>
        <item x="1728"/>
        <item x="237"/>
        <item x="469"/>
        <item x="953"/>
        <item x="31"/>
        <item x="990"/>
        <item x="193"/>
        <item x="1696"/>
        <item x="1293"/>
        <item x="1147"/>
        <item x="1048"/>
        <item x="699"/>
        <item x="1184"/>
        <item x="170"/>
        <item x="1198"/>
        <item x="979"/>
        <item x="1321"/>
        <item x="1644"/>
        <item x="1146"/>
        <item x="61"/>
        <item x="602"/>
        <item x="1488"/>
        <item x="623"/>
        <item x="956"/>
        <item x="486"/>
        <item x="347"/>
        <item x="225"/>
        <item x="1484"/>
        <item x="47"/>
        <item x="408"/>
        <item x="1612"/>
        <item x="1"/>
        <item x="1329"/>
        <item x="1548"/>
        <item x="1478"/>
        <item x="978"/>
        <item x="1543"/>
        <item x="129"/>
        <item x="200"/>
        <item x="304"/>
        <item x="972"/>
        <item x="1217"/>
        <item x="163"/>
        <item x="1038"/>
        <item x="1350"/>
        <item x="107"/>
        <item x="1563"/>
        <item x="231"/>
        <item x="37"/>
        <item x="1359"/>
        <item x="544"/>
        <item x="1337"/>
        <item x="1680"/>
        <item x="1570"/>
        <item x="1295"/>
        <item x="58"/>
        <item x="1302"/>
        <item x="969"/>
        <item x="761"/>
        <item x="465"/>
        <item x="1386"/>
        <item x="920"/>
        <item x="216"/>
        <item x="1524"/>
        <item x="1051"/>
        <item x="1330"/>
        <item x="1065"/>
        <item x="433"/>
        <item x="279"/>
        <item x="16"/>
        <item x="376"/>
        <item x="688"/>
        <item x="100"/>
        <item x="965"/>
        <item x="696"/>
        <item x="1719"/>
        <item x="747"/>
        <item x="1701"/>
        <item x="1535"/>
        <item x="703"/>
        <item x="1066"/>
        <item x="757"/>
        <item x="1578"/>
        <item x="1253"/>
        <item x="22"/>
        <item x="1269"/>
        <item x="743"/>
        <item x="283"/>
        <item x="530"/>
        <item x="395"/>
        <item x="670"/>
        <item x="847"/>
        <item x="230"/>
        <item x="386"/>
        <item x="1427"/>
        <item x="1095"/>
        <item x="1564"/>
        <item x="1162"/>
        <item x="322"/>
        <item x="511"/>
        <item x="1335"/>
        <item x="373"/>
        <item x="1176"/>
        <item x="984"/>
        <item x="692"/>
        <item x="664"/>
        <item x="60"/>
        <item x="627"/>
        <item x="877"/>
        <item x="992"/>
        <item x="1555"/>
        <item x="232"/>
        <item x="545"/>
        <item x="977"/>
        <item x="1285"/>
        <item x="416"/>
        <item x="1714"/>
        <item x="1677"/>
        <item x="557"/>
        <item x="1375"/>
        <item x="1140"/>
        <item x="1450"/>
        <item x="1469"/>
        <item x="1199"/>
        <item x="1001"/>
        <item x="896"/>
        <item x="1726"/>
        <item x="115"/>
        <item x="758"/>
        <item x="537"/>
        <item x="1130"/>
        <item x="1506"/>
        <item x="1138"/>
        <item x="660"/>
        <item x="1274"/>
        <item x="35"/>
        <item x="157"/>
        <item x="274"/>
        <item x="19"/>
        <item x="419"/>
        <item x="1311"/>
        <item x="846"/>
        <item x="1163"/>
        <item x="27"/>
        <item x="921"/>
        <item x="294"/>
        <item x="612"/>
        <item x="1258"/>
        <item x="645"/>
        <item x="932"/>
        <item x="1711"/>
        <item x="652"/>
        <item x="594"/>
        <item x="658"/>
        <item x="721"/>
        <item x="789"/>
        <item x="749"/>
        <item x="629"/>
        <item x="878"/>
        <item x="822"/>
        <item x="415"/>
        <item x="125"/>
        <item x="531"/>
        <item x="26"/>
        <item x="1097"/>
        <item x="881"/>
        <item x="396"/>
        <item x="689"/>
        <item x="1102"/>
        <item x="833"/>
        <item x="624"/>
        <item x="250"/>
        <item x="521"/>
        <item x="746"/>
        <item x="1730"/>
        <item x="610"/>
        <item x="270"/>
        <item x="555"/>
        <item x="681"/>
        <item x="78"/>
        <item x="406"/>
        <item x="1654"/>
        <item x="829"/>
        <item x="98"/>
        <item x="350"/>
        <item x="988"/>
        <item x="1687"/>
        <item x="1430"/>
        <item x="321"/>
        <item x="912"/>
        <item x="325"/>
        <item x="451"/>
        <item x="1008"/>
        <item x="1670"/>
        <item x="536"/>
        <item x="858"/>
        <item x="365"/>
        <item x="901"/>
        <item x="407"/>
        <item x="370"/>
        <item x="1501"/>
        <item x="490"/>
        <item x="1376"/>
        <item x="369"/>
        <item x="1569"/>
        <item x="1190"/>
        <item x="863"/>
        <item x="715"/>
        <item x="10"/>
        <item x="504"/>
        <item x="1338"/>
        <item x="864"/>
        <item x="1486"/>
        <item x="79"/>
        <item x="1279"/>
        <item x="485"/>
        <item x="1250"/>
        <item x="245"/>
        <item x="1271"/>
        <item x="853"/>
        <item x="702"/>
        <item x="1252"/>
        <item x="1424"/>
        <item x="187"/>
        <item x="1707"/>
        <item x="80"/>
        <item x="1265"/>
        <item x="1123"/>
        <item x="8"/>
        <item x="397"/>
        <item x="793"/>
        <item x="862"/>
        <item x="1213"/>
        <item x="1096"/>
        <item x="673"/>
        <item x="1568"/>
        <item x="1351"/>
        <item x="895"/>
        <item x="958"/>
        <item x="1013"/>
        <item x="1347"/>
        <item x="1733"/>
        <item x="516"/>
        <item x="1000"/>
        <item x="584"/>
        <item x="574"/>
        <item x="634"/>
        <item x="15"/>
        <item x="437"/>
        <item x="1332"/>
        <item x="1661"/>
        <item x="1540"/>
        <item x="28"/>
        <item x="1481"/>
        <item x="119"/>
        <item x="800"/>
        <item x="1715"/>
        <item x="196"/>
        <item x="402"/>
        <item x="937"/>
        <item x="1254"/>
        <item x="1034"/>
        <item x="1412"/>
        <item x="1596"/>
        <item x="1518"/>
        <item x="801"/>
        <item x="1119"/>
        <item x="1175"/>
        <item x="171"/>
        <item x="682"/>
        <item x="957"/>
        <item x="33"/>
        <item x="671"/>
        <item x="857"/>
        <item x="633"/>
        <item x="342"/>
        <item x="1685"/>
        <item x="997"/>
        <item x="1029"/>
        <item x="1251"/>
        <item x="487"/>
        <item x="720"/>
        <item x="583"/>
        <item x="1046"/>
        <item x="1278"/>
        <item x="1370"/>
        <item x="371"/>
        <item x="348"/>
        <item x="424"/>
        <item x="1283"/>
        <item x="894"/>
        <item x="636"/>
        <item x="678"/>
        <item x="40"/>
        <item x="1087"/>
        <item x="1526"/>
        <item x="980"/>
        <item x="445"/>
        <item x="641"/>
        <item x="461"/>
        <item x="765"/>
        <item x="1113"/>
        <item x="935"/>
        <item x="1098"/>
        <item x="1435"/>
        <item x="1259"/>
        <item x="1459"/>
        <item x="472"/>
        <item x="422"/>
        <item x="1120"/>
        <item x="1297"/>
        <item x="1200"/>
        <item x="351"/>
        <item x="1636"/>
        <item x="807"/>
        <item x="273"/>
        <item x="236"/>
        <item x="501"/>
        <item x="788"/>
        <item x="1595"/>
        <item x="1531"/>
        <item x="542"/>
        <item x="1473"/>
        <item x="740"/>
        <item x="34"/>
        <item x="926"/>
        <item x="312"/>
        <item x="1672"/>
        <item x="1471"/>
        <item x="174"/>
        <item x="1705"/>
        <item x="355"/>
        <item x="432"/>
        <item x="873"/>
        <item x="603"/>
        <item x="1603"/>
        <item x="672"/>
        <item x="1724"/>
        <item x="1712"/>
        <item x="1495"/>
        <item x="1061"/>
        <item x="1134"/>
        <item x="185"/>
        <item x="1112"/>
        <item x="812"/>
        <item x="570"/>
        <item x="218"/>
        <item x="738"/>
        <item x="1542"/>
        <item x="1415"/>
        <item x="983"/>
        <item x="1145"/>
        <item x="885"/>
        <item x="57"/>
        <item x="619"/>
        <item x="1479"/>
        <item x="509"/>
        <item x="1666"/>
        <item x="1499"/>
        <item x="292"/>
        <item x="638"/>
        <item x="296"/>
        <item x="438"/>
        <item x="1406"/>
        <item x="151"/>
        <item x="108"/>
        <item x="1460"/>
        <item x="1556"/>
        <item x="556"/>
        <item x="1290"/>
        <item x="192"/>
        <item x="976"/>
        <item x="778"/>
        <item x="1342"/>
        <item x="1620"/>
        <item x="255"/>
        <item x="1646"/>
        <item x="1204"/>
        <item x="1522"/>
        <item x="1689"/>
        <item x="473"/>
        <item x="1012"/>
        <item x="518"/>
        <item x="1261"/>
        <item x="1182"/>
        <item x="483"/>
        <item x="1527"/>
        <item x="1637"/>
        <item x="590"/>
        <item x="1124"/>
        <item x="454"/>
        <item x="1105"/>
        <item x="284"/>
        <item x="442"/>
        <item x="1239"/>
        <item x="546"/>
        <item x="1075"/>
        <item x="362"/>
        <item x="959"/>
        <item x="868"/>
        <item x="205"/>
        <item x="1100"/>
        <item x="533"/>
        <item x="1583"/>
        <item x="1653"/>
        <item x="1150"/>
        <item x="1630"/>
        <item x="1727"/>
        <item x="1576"/>
        <item x="787"/>
        <item x="936"/>
        <item x="886"/>
        <item x="67"/>
        <item x="1607"/>
        <item x="1203"/>
        <item x="700"/>
        <item x="1235"/>
        <item x="975"/>
        <item x="337"/>
        <item x="683"/>
        <item x="1181"/>
        <item x="1585"/>
        <item x="130"/>
        <item x="597"/>
        <item x="770"/>
        <item x="306"/>
        <item x="276"/>
        <item x="359"/>
        <item x="534"/>
        <item x="1510"/>
        <item x="479"/>
        <item x="289"/>
        <item x="44"/>
        <item x="1195"/>
        <item x="38"/>
        <item x="742"/>
        <item x="1547"/>
        <item x="1461"/>
        <item x="1131"/>
        <item x="23"/>
        <item x="1276"/>
        <item x="103"/>
        <item x="1110"/>
        <item x="1362"/>
        <item x="1064"/>
        <item x="675"/>
        <item x="1392"/>
        <item x="426"/>
        <item x="1587"/>
        <item x="836"/>
        <item x="84"/>
        <item x="1317"/>
        <item x="880"/>
        <item x="1409"/>
        <item x="1458"/>
        <item x="615"/>
        <item x="186"/>
        <item x="1091"/>
        <item x="1444"/>
        <item x="455"/>
        <item x="238"/>
        <item x="1044"/>
        <item x="1368"/>
        <item x="1082"/>
        <item x="316"/>
        <item x="924"/>
        <item x="1004"/>
        <item x="948"/>
        <item x="277"/>
        <item x="532"/>
        <item x="1007"/>
        <item x="460"/>
        <item x="1641"/>
        <item x="89"/>
        <item x="845"/>
        <item x="452"/>
        <item x="226"/>
        <item x="1732"/>
        <item x="630"/>
        <item x="46"/>
        <item x="1287"/>
        <item x="665"/>
        <item x="1128"/>
        <item x="559"/>
        <item x="435"/>
        <item x="1477"/>
        <item x="1257"/>
        <item x="824"/>
        <item x="656"/>
        <item x="1192"/>
        <item x="291"/>
        <item x="1114"/>
        <item x="336"/>
        <item x="357"/>
        <item x="573"/>
        <item x="1339"/>
        <item x="1312"/>
        <item x="1160"/>
        <item x="1148"/>
        <item x="229"/>
        <item x="737"/>
        <item x="366"/>
        <item x="309"/>
        <item x="541"/>
        <item x="1404"/>
        <item x="315"/>
        <item x="1221"/>
        <item x="133"/>
        <item x="1536"/>
        <item x="1502"/>
        <item x="732"/>
        <item x="1394"/>
        <item x="93"/>
        <item x="1280"/>
        <item x="967"/>
        <item x="904"/>
        <item x="1725"/>
        <item x="287"/>
        <item x="631"/>
        <item x="1365"/>
        <item x="418"/>
        <item x="1101"/>
        <item x="575"/>
        <item x="1025"/>
        <item x="595"/>
        <item x="1194"/>
        <item x="1196"/>
        <item x="1604"/>
        <item x="734"/>
        <item x="88"/>
        <item x="674"/>
        <item x="940"/>
        <item x="50"/>
        <item x="36"/>
        <item x="928"/>
        <item x="97"/>
        <item x="1559"/>
        <item x="876"/>
        <item x="377"/>
        <item x="944"/>
        <item x="780"/>
        <item x="616"/>
        <item x="1169"/>
        <item x="1115"/>
        <item x="1684"/>
        <item x="380"/>
        <item x="994"/>
        <item x="760"/>
        <item x="1371"/>
        <item x="1658"/>
        <item x="162"/>
        <item x="358"/>
        <item x="1709"/>
        <item x="429"/>
        <item x="968"/>
        <item x="375"/>
        <item x="180"/>
        <item x="266"/>
        <item x="1717"/>
        <item x="400"/>
        <item x="223"/>
        <item x="497"/>
        <item x="1281"/>
        <item x="233"/>
        <item x="562"/>
        <item x="1668"/>
        <item x="973"/>
        <item x="1062"/>
        <item x="1292"/>
        <item x="470"/>
        <item x="1177"/>
        <item x="1092"/>
        <item x="540"/>
        <item x="1660"/>
        <item x="1121"/>
        <item x="1305"/>
        <item x="698"/>
        <item x="523"/>
        <item x="1028"/>
        <item x="910"/>
        <item x="506"/>
        <item x="202"/>
        <item t="default"/>
      </items>
    </pivotField>
    <pivotField dataField="1" numFmtId="165" showAll="0"/>
    <pivotField showAll="0"/>
    <pivotField showAll="0"/>
    <pivotField numFmtId="166" showAll="0"/>
    <pivotField dataField="1" numFmtId="165" showAll="0"/>
    <pivotField numFmtId="14"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4">
    <i>
      <x/>
    </i>
    <i i="1">
      <x v="1"/>
    </i>
    <i i="2">
      <x v="2"/>
    </i>
    <i i="3">
      <x v="3"/>
    </i>
  </colItems>
  <dataFields count="4">
    <dataField name="Sum of Impressions" fld="4" baseField="0" baseItem="0"/>
    <dataField name="Sum of Clicks" fld="3" baseField="0" baseItem="0"/>
    <dataField name="Sum of Cost" fld="5" baseField="0" baseItem="0" numFmtId="165"/>
    <dataField name="Sum of Revenue" fld="9" baseField="2" baseItem="0" numFmtId="165"/>
  </dataFields>
  <formats count="1">
    <format dxfId="1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FF469-6C0E-47BE-BFD8-42A08B3F23B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B10" firstHeaderRow="1" firstDataRow="1" firstDataCol="1"/>
  <pivotFields count="23">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showAll="0"/>
    <pivotField numFmtId="166" showAll="0"/>
    <pivotField numFmtId="165" showAll="0"/>
    <pivotField numFmtId="14"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2"/>
  </rowFields>
  <rowItems count="5">
    <i>
      <x/>
    </i>
    <i>
      <x v="2"/>
    </i>
    <i>
      <x v="3"/>
    </i>
    <i>
      <x v="1"/>
    </i>
    <i t="grand">
      <x/>
    </i>
  </rowItems>
  <colItems count="1">
    <i/>
  </colItems>
  <dataFields count="1">
    <dataField name="Sum of Cost" fld="5" baseField="0" baseItem="0" numFmtId="165"/>
  </dataFields>
  <formats count="1">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4A2049-744D-49FB-B1F9-ED6CB9418DCC}"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21:Y29" firstHeaderRow="1" firstDataRow="1" firstDataCol="1"/>
  <pivotFields count="23">
    <pivotField showAll="0"/>
    <pivotField showAll="0"/>
    <pivotField showAll="0"/>
    <pivotField showAll="0"/>
    <pivotField showAll="0"/>
    <pivotField numFmtId="165" showAll="0"/>
    <pivotField showAll="0"/>
    <pivotField dataField="1" showAll="0"/>
    <pivotField numFmtId="166" showAll="0"/>
    <pivotField numFmtId="165" showAll="0">
      <items count="217">
        <item x="54"/>
        <item x="213"/>
        <item x="159"/>
        <item x="188"/>
        <item x="135"/>
        <item x="166"/>
        <item x="103"/>
        <item x="156"/>
        <item x="48"/>
        <item x="9"/>
        <item x="82"/>
        <item x="30"/>
        <item x="122"/>
        <item x="106"/>
        <item x="53"/>
        <item x="74"/>
        <item x="148"/>
        <item x="158"/>
        <item x="160"/>
        <item x="46"/>
        <item x="177"/>
        <item x="68"/>
        <item x="4"/>
        <item x="201"/>
        <item x="175"/>
        <item x="162"/>
        <item x="29"/>
        <item x="88"/>
        <item x="95"/>
        <item x="150"/>
        <item x="11"/>
        <item x="116"/>
        <item x="97"/>
        <item x="84"/>
        <item x="145"/>
        <item x="205"/>
        <item x="141"/>
        <item x="190"/>
        <item x="212"/>
        <item x="98"/>
        <item x="73"/>
        <item x="91"/>
        <item x="78"/>
        <item x="137"/>
        <item x="76"/>
        <item x="75"/>
        <item x="200"/>
        <item x="39"/>
        <item x="152"/>
        <item x="55"/>
        <item x="3"/>
        <item x="146"/>
        <item x="118"/>
        <item x="139"/>
        <item x="105"/>
        <item x="102"/>
        <item x="121"/>
        <item x="127"/>
        <item x="59"/>
        <item x="50"/>
        <item x="197"/>
        <item x="210"/>
        <item x="151"/>
        <item x="61"/>
        <item x="161"/>
        <item x="101"/>
        <item x="43"/>
        <item x="35"/>
        <item x="5"/>
        <item x="206"/>
        <item x="21"/>
        <item x="71"/>
        <item x="154"/>
        <item x="51"/>
        <item x="185"/>
        <item x="92"/>
        <item x="58"/>
        <item x="173"/>
        <item x="204"/>
        <item x="8"/>
        <item x="44"/>
        <item x="153"/>
        <item x="114"/>
        <item x="112"/>
        <item x="115"/>
        <item x="192"/>
        <item x="144"/>
        <item x="132"/>
        <item x="165"/>
        <item x="193"/>
        <item x="124"/>
        <item x="128"/>
        <item x="100"/>
        <item x="37"/>
        <item x="130"/>
        <item x="93"/>
        <item x="133"/>
        <item x="125"/>
        <item x="22"/>
        <item x="24"/>
        <item x="171"/>
        <item x="72"/>
        <item x="198"/>
        <item x="147"/>
        <item x="169"/>
        <item x="111"/>
        <item x="180"/>
        <item x="79"/>
        <item x="89"/>
        <item x="86"/>
        <item x="7"/>
        <item x="18"/>
        <item x="174"/>
        <item x="45"/>
        <item x="123"/>
        <item x="182"/>
        <item x="13"/>
        <item x="184"/>
        <item x="143"/>
        <item x="65"/>
        <item x="63"/>
        <item x="49"/>
        <item x="107"/>
        <item x="140"/>
        <item x="164"/>
        <item x="42"/>
        <item x="28"/>
        <item x="187"/>
        <item x="214"/>
        <item x="108"/>
        <item x="113"/>
        <item x="202"/>
        <item x="15"/>
        <item x="67"/>
        <item x="2"/>
        <item x="186"/>
        <item x="40"/>
        <item x="120"/>
        <item x="6"/>
        <item x="80"/>
        <item x="23"/>
        <item x="25"/>
        <item x="136"/>
        <item x="129"/>
        <item x="194"/>
        <item x="134"/>
        <item x="1"/>
        <item x="26"/>
        <item x="52"/>
        <item x="16"/>
        <item x="99"/>
        <item x="36"/>
        <item x="31"/>
        <item x="195"/>
        <item x="215"/>
        <item x="126"/>
        <item x="176"/>
        <item x="41"/>
        <item x="19"/>
        <item x="172"/>
        <item x="47"/>
        <item x="117"/>
        <item x="14"/>
        <item x="181"/>
        <item x="94"/>
        <item x="60"/>
        <item x="142"/>
        <item x="209"/>
        <item x="17"/>
        <item x="196"/>
        <item x="203"/>
        <item x="119"/>
        <item x="20"/>
        <item x="157"/>
        <item x="110"/>
        <item x="179"/>
        <item x="33"/>
        <item x="199"/>
        <item x="32"/>
        <item x="34"/>
        <item x="69"/>
        <item x="87"/>
        <item x="38"/>
        <item x="163"/>
        <item x="77"/>
        <item x="168"/>
        <item x="85"/>
        <item x="109"/>
        <item x="149"/>
        <item x="189"/>
        <item x="138"/>
        <item x="0"/>
        <item x="90"/>
        <item x="10"/>
        <item x="183"/>
        <item x="83"/>
        <item x="81"/>
        <item x="62"/>
        <item x="178"/>
        <item x="70"/>
        <item x="208"/>
        <item x="167"/>
        <item x="56"/>
        <item x="155"/>
        <item x="207"/>
        <item x="12"/>
        <item x="57"/>
        <item x="211"/>
        <item x="27"/>
        <item x="96"/>
        <item x="191"/>
        <item x="170"/>
        <item x="66"/>
        <item x="131"/>
        <item x="104"/>
        <item x="64"/>
        <item t="default"/>
      </items>
    </pivotField>
    <pivotField numFmtId="14" showAll="0"/>
    <pivotField showAll="0"/>
    <pivotField showAll="0">
      <items count="4">
        <item x="0"/>
        <item x="1"/>
        <item x="2"/>
        <item t="default"/>
      </items>
    </pivotField>
    <pivotField showAll="0">
      <items count="7">
        <item h="1" x="5"/>
        <item h="1" x="1"/>
        <item h="1" x="2"/>
        <item x="3"/>
        <item h="1" x="0"/>
        <item h="1" x="4"/>
        <item t="default"/>
      </items>
    </pivotField>
    <pivotField showAll="0"/>
    <pivotField axis="axisRow" showAll="0">
      <items count="8">
        <item x="6"/>
        <item x="2"/>
        <item x="1"/>
        <item x="5"/>
        <item x="3"/>
        <item x="0"/>
        <item x="4"/>
        <item t="default"/>
      </items>
    </pivotField>
    <pivotField numFmtId="2" showAll="0"/>
    <pivotField showAll="0"/>
    <pivotField showAll="0"/>
    <pivotField showAll="0"/>
    <pivotField showAll="0"/>
    <pivotField showAll="0"/>
    <pivotField showAll="0"/>
  </pivotFields>
  <rowFields count="1">
    <field x="15"/>
  </rowFields>
  <rowItems count="8">
    <i>
      <x/>
    </i>
    <i>
      <x v="1"/>
    </i>
    <i>
      <x v="2"/>
    </i>
    <i>
      <x v="3"/>
    </i>
    <i>
      <x v="4"/>
    </i>
    <i>
      <x v="5"/>
    </i>
    <i>
      <x v="6"/>
    </i>
    <i t="grand">
      <x/>
    </i>
  </rowItems>
  <colItems count="1">
    <i/>
  </colItems>
  <dataFields count="1">
    <dataField name="Sum of Conversions" fld="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92EF1-37D1-4327-8560-70B1D727D34D}" name="PivotTable13" cacheId="5" applyNumberFormats="0" applyBorderFormats="0" applyFontFormats="0" applyPatternFormats="0" applyAlignmentFormats="0" applyWidthHeightFormats="1" dataCaption="Values" grandTotalCaption="Всі кампанії" updatedVersion="8" minRefreshableVersion="3" useAutoFormatting="1" itemPrintTitles="1" createdVersion="8" indent="0" outline="1" outlineData="1" multipleFieldFilters="0">
  <location ref="AG12:AM17" firstHeaderRow="0" firstDataRow="1" firstDataCol="1"/>
  <pivotFields count="23">
    <pivotField showAll="0"/>
    <pivotField showAll="0"/>
    <pivotField axis="axisRow" showAll="0">
      <items count="5">
        <item x="2"/>
        <item x="0"/>
        <item x="3"/>
        <item x="1"/>
        <item t="default"/>
      </items>
    </pivotField>
    <pivotField dataField="1" showAll="0"/>
    <pivotField dataField="1" showAll="0"/>
    <pivotField dataField="1" numFmtId="165" showAll="0"/>
    <pivotField dataField="1" showAll="0"/>
    <pivotField dataField="1" showAll="0"/>
    <pivotField numFmtId="166" showAll="0"/>
    <pivotField dataField="1" numFmtId="165" showAll="0"/>
    <pivotField numFmtId="14"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6">
    <i>
      <x/>
    </i>
    <i i="1">
      <x v="1"/>
    </i>
    <i i="2">
      <x v="2"/>
    </i>
    <i i="3">
      <x v="3"/>
    </i>
    <i i="4">
      <x v="4"/>
    </i>
    <i i="5">
      <x v="5"/>
    </i>
  </colItems>
  <dataFields count="6">
    <dataField name="Sum of Impressions" fld="4" baseField="0" baseItem="0" numFmtId="1"/>
    <dataField name="Sum of Clicks" fld="3" baseField="0" baseItem="0" numFmtId="1"/>
    <dataField name="Sum of Leads" fld="6" baseField="0" baseItem="0" numFmtId="1"/>
    <dataField name="Sum of Conversions" fld="7" baseField="0" baseItem="0" numFmtId="1"/>
    <dataField name="Sum of Cost" fld="5" baseField="0" baseItem="0" numFmtId="168"/>
    <dataField name="Sum of Revenue" fld="9" baseField="0" baseItem="0" numFmtId="168"/>
  </dataFields>
  <formats count="5">
    <format dxfId="25">
      <pivotArea collapsedLevelsAreSubtotals="1" fieldPosition="0">
        <references count="1">
          <reference field="2" count="0"/>
        </references>
      </pivotArea>
    </format>
    <format dxfId="24">
      <pivotArea grandRow="1" outline="0" collapsedLevelsAreSubtotals="1" fieldPosition="0"/>
    </format>
    <format dxfId="23">
      <pivotArea outline="0" collapsedLevelsAreSubtotals="1" fieldPosition="0"/>
    </format>
    <format dxfId="22">
      <pivotArea outline="0" collapsedLevelsAreSubtotals="1" fieldPosition="0">
        <references count="1">
          <reference field="4294967294" count="4" selected="0">
            <x v="0"/>
            <x v="1"/>
            <x v="2"/>
            <x v="3"/>
          </reference>
        </references>
      </pivotArea>
    </format>
    <format dxfId="21">
      <pivotArea outline="0" collapsedLevelsAreSubtotals="1" fieldPosition="0">
        <references count="1">
          <reference field="4294967294" count="2" selected="0">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35A413-7BD4-4FB5-BE92-7C19BD63293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X5:Y10" firstHeaderRow="1" firstDataRow="1" firstDataCol="1"/>
  <pivotFields count="23">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numFmtId="166" showAll="0"/>
    <pivotField dataField="1" numFmtId="165" showAll="0"/>
    <pivotField numFmtId="14" showAll="0"/>
    <pivotField showAll="0"/>
    <pivotField showAll="0"/>
    <pivotField showAll="0"/>
    <pivotField showAll="0"/>
    <pivotField showAll="0">
      <items count="8">
        <item h="1" x="6"/>
        <item h="1" x="2"/>
        <item h="1" x="1"/>
        <item h="1" x="5"/>
        <item x="3"/>
        <item h="1" x="0"/>
        <item h="1" x="4"/>
        <item t="default"/>
      </items>
    </pivotField>
    <pivotField numFmtId="2" showAll="0"/>
    <pivotField showAll="0"/>
    <pivotField showAll="0"/>
    <pivotField showAll="0"/>
    <pivotField showAll="0"/>
    <pivotField showAll="0"/>
    <pivotField showAll="0"/>
  </pivotFields>
  <rowFields count="1">
    <field x="2"/>
  </rowFields>
  <rowItems count="5">
    <i>
      <x/>
    </i>
    <i>
      <x v="2"/>
    </i>
    <i>
      <x v="1"/>
    </i>
    <i>
      <x v="3"/>
    </i>
    <i t="grand">
      <x/>
    </i>
  </rowItems>
  <colItems count="1">
    <i/>
  </colItems>
  <dataFields count="1">
    <dataField name="Sum of Revenue" fld="9" baseField="0" baseItem="0" numFmtId="165"/>
  </dataFields>
  <formats count="2">
    <format dxfId="27">
      <pivotArea grandRow="1" outline="0" collapsedLevelsAreSubtotals="1" fieldPosition="0"/>
    </format>
    <format dxfId="26">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16B1B3-6791-430D-811E-06046B2D410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4:AF19" firstHeaderRow="0" firstDataRow="1" firstDataCol="1"/>
  <pivotFields count="23">
    <pivotField showAll="0"/>
    <pivotField showAll="0"/>
    <pivotField axis="axisRow" showAll="0">
      <items count="5">
        <item x="2"/>
        <item x="0"/>
        <item x="3"/>
        <item x="1"/>
        <item t="default"/>
      </items>
    </pivotField>
    <pivotField showAll="0"/>
    <pivotField showAll="0"/>
    <pivotField dataField="1" numFmtId="165" showAll="0"/>
    <pivotField showAll="0"/>
    <pivotField showAll="0"/>
    <pivotField numFmtId="166" showAll="0"/>
    <pivotField numFmtId="165" showAll="0"/>
    <pivotField numFmtId="14"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Average of ROAS" fld="22" subtotal="average" baseField="2" baseItem="0"/>
    <dataField name="Sum of Cost" fld="5" baseField="0" baseItem="0" numFmtId="165"/>
  </dataFields>
  <formats count="2">
    <format dxfId="29">
      <pivotArea grandRow="1" outline="0" collapsedLevelsAreSubtotals="1" fieldPosition="0"/>
    </format>
    <format dxfId="28">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7DD3AF-32A1-4A82-AC9A-4232CBEDB164}"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4:AB19" firstHeaderRow="1" firstDataRow="1" firstDataCol="1"/>
  <pivotFields count="23">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numFmtId="166" showAll="0"/>
    <pivotField numFmtId="165" showAll="0"/>
    <pivotField numFmtId="14" showAll="0"/>
    <pivotField showAll="0"/>
    <pivotField showAll="0"/>
    <pivotField showAll="0"/>
    <pivotField showAll="0"/>
    <pivotField showAll="0"/>
    <pivotField numFmtId="2" showAll="0"/>
    <pivotField showAll="0"/>
    <pivotField dataField="1" showAll="0"/>
    <pivotField showAll="0"/>
    <pivotField showAll="0"/>
    <pivotField showAll="0"/>
    <pivotField showAll="0"/>
  </pivotFields>
  <rowFields count="1">
    <field x="2"/>
  </rowFields>
  <rowItems count="5">
    <i>
      <x v="2"/>
    </i>
    <i>
      <x v="1"/>
    </i>
    <i>
      <x v="3"/>
    </i>
    <i>
      <x/>
    </i>
    <i t="grand">
      <x/>
    </i>
  </rowItems>
  <colItems count="1">
    <i/>
  </colItems>
  <dataFields count="1">
    <dataField name="Average of CPL" fld="18" subtotal="average" baseField="2" baseItem="1"/>
  </dataFields>
  <formats count="2">
    <format dxfId="31">
      <pivotArea collapsedLevelsAreSubtotals="1" fieldPosition="0">
        <references count="1">
          <reference field="2" count="0"/>
        </references>
      </pivotArea>
    </format>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7A321F-1680-4C26-8DA1-7E0074B4731C}"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I27:AK32" firstHeaderRow="0" firstDataRow="1" firstDataCol="1"/>
  <pivotFields count="23">
    <pivotField showAll="0"/>
    <pivotField showAll="0"/>
    <pivotField axis="axisRow" showAll="0">
      <items count="5">
        <item x="2"/>
        <item x="0"/>
        <item x="3"/>
        <item x="1"/>
        <item t="default"/>
      </items>
    </pivotField>
    <pivotField showAll="0"/>
    <pivotField showAll="0"/>
    <pivotField dataField="1" numFmtId="165" showAll="0"/>
    <pivotField showAll="0"/>
    <pivotField showAll="0"/>
    <pivotField numFmtId="166" showAll="0"/>
    <pivotField dataField="1" numFmtId="165" showAll="0"/>
    <pivotField numFmtId="14" showAll="0"/>
    <pivotField showAll="0"/>
    <pivotField showAll="0">
      <items count="4">
        <item x="0"/>
        <item x="1"/>
        <item x="2"/>
        <item t="default"/>
      </items>
    </pivotField>
    <pivotField showAll="0">
      <items count="7">
        <item x="5"/>
        <item x="1"/>
        <item x="2"/>
        <item x="3"/>
        <item x="0"/>
        <item x="4"/>
        <item t="default"/>
      </items>
    </pivotField>
    <pivotField showAll="0"/>
    <pivotField showAll="0">
      <items count="8">
        <item x="6"/>
        <item x="2"/>
        <item x="1"/>
        <item x="5"/>
        <item x="3"/>
        <item x="0"/>
        <item x="4"/>
        <item t="default"/>
      </items>
    </pivotField>
    <pivotField numFmtId="2"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Cost" fld="5" baseField="0" baseItem="0" numFmtId="165"/>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A36B67-E859-46D3-9519-0D76B032666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4:Y19" firstHeaderRow="1" firstDataRow="1" firstDataCol="1"/>
  <pivotFields count="23">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dataField="1" numFmtId="166" showAll="0"/>
    <pivotField numFmtId="165" showAll="0"/>
    <pivotField numFmtId="14" showAll="0"/>
    <pivotField showAll="0"/>
    <pivotField showAll="0"/>
    <pivotField showAll="0"/>
    <pivotField showAll="0"/>
    <pivotField showAll="0"/>
    <pivotField numFmtId="2" showAll="0"/>
    <pivotField showAll="0"/>
    <pivotField showAll="0"/>
    <pivotField showAll="0"/>
    <pivotField showAll="0"/>
    <pivotField showAll="0"/>
    <pivotField showAll="0"/>
  </pivotFields>
  <rowFields count="1">
    <field x="2"/>
  </rowFields>
  <rowItems count="5">
    <i>
      <x/>
    </i>
    <i>
      <x v="1"/>
    </i>
    <i>
      <x v="3"/>
    </i>
    <i>
      <x v="2"/>
    </i>
    <i t="grand">
      <x/>
    </i>
  </rowItems>
  <colItems count="1">
    <i/>
  </colItems>
  <dataFields count="1">
    <dataField name="Avg of Conversion Rate" fld="8" subtotal="average" baseField="2"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D50429-4416-4160-B29E-0F7FFEF102D4}"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21:AE25" firstHeaderRow="1" firstDataRow="1" firstDataCol="1"/>
  <pivotFields count="23">
    <pivotField showAll="0"/>
    <pivotField showAll="0"/>
    <pivotField showAll="0"/>
    <pivotField showAll="0"/>
    <pivotField showAll="0"/>
    <pivotField numFmtId="165" showAll="0"/>
    <pivotField showAll="0"/>
    <pivotField dataField="1" showAll="0"/>
    <pivotField numFmtId="166" showAll="0"/>
    <pivotField numFmtId="165" showAll="0"/>
    <pivotField numFmtId="14" showAll="0"/>
    <pivotField showAll="0"/>
    <pivotField axis="axisRow" showAll="0">
      <items count="4">
        <item x="0"/>
        <item x="1"/>
        <item x="2"/>
        <item t="default"/>
      </items>
    </pivotField>
    <pivotField showAll="0">
      <items count="7">
        <item x="5"/>
        <item x="1"/>
        <item x="2"/>
        <item x="3"/>
        <item x="0"/>
        <item x="4"/>
        <item t="default"/>
      </items>
    </pivotField>
    <pivotField showAll="0"/>
    <pivotField showAll="0">
      <items count="8">
        <item x="6"/>
        <item x="2"/>
        <item x="1"/>
        <item x="5"/>
        <item x="3"/>
        <item x="0"/>
        <item x="4"/>
        <item t="default"/>
      </items>
    </pivotField>
    <pivotField numFmtId="2"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Sum of Conversions" fld="7"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C838AC-70A4-4E04-BEBC-98D443C3B5A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5:AE10" firstHeaderRow="1" firstDataRow="1" firstDataCol="1"/>
  <pivotFields count="23">
    <pivotField showAll="0"/>
    <pivotField showAll="0"/>
    <pivotField axis="axisRow" showAll="0">
      <items count="5">
        <item x="2"/>
        <item x="0"/>
        <item x="3"/>
        <item x="1"/>
        <item t="default"/>
      </items>
    </pivotField>
    <pivotField showAll="0"/>
    <pivotField showAll="0"/>
    <pivotField numFmtId="165" showAll="0"/>
    <pivotField showAll="0"/>
    <pivotField showAll="0"/>
    <pivotField numFmtId="166" showAll="0"/>
    <pivotField numFmtId="165" showAll="0"/>
    <pivotField numFmtId="14" showAll="0"/>
    <pivotField showAll="0"/>
    <pivotField showAll="0"/>
    <pivotField showAll="0"/>
    <pivotField showAll="0"/>
    <pivotField showAll="0"/>
    <pivotField numFmtId="2"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erage of ROI" fld="20" subtotal="average" baseField="2" baseItem="2"/>
  </dataFields>
  <formats count="3">
    <format dxfId="34">
      <pivotArea collapsedLevelsAreSubtotals="1" fieldPosition="0">
        <references count="1">
          <reference field="2" count="0"/>
        </references>
      </pivotArea>
    </format>
    <format dxfId="33">
      <pivotArea grandRow="1"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3E8F64-E1FA-4530-A45E-FBA44EB2354A}"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21:AB28" firstHeaderRow="1" firstDataRow="1" firstDataCol="1"/>
  <pivotFields count="23">
    <pivotField showAll="0"/>
    <pivotField showAll="0"/>
    <pivotField showAll="0"/>
    <pivotField showAll="0"/>
    <pivotField showAll="0"/>
    <pivotField numFmtId="165" showAll="0"/>
    <pivotField showAll="0"/>
    <pivotField dataField="1" showAll="0"/>
    <pivotField numFmtId="166" showAll="0"/>
    <pivotField numFmtId="165" showAll="0"/>
    <pivotField numFmtId="14" showAll="0"/>
    <pivotField showAll="0"/>
    <pivotField showAll="0"/>
    <pivotField axis="axisRow" showAll="0">
      <items count="7">
        <item x="5"/>
        <item x="1"/>
        <item x="2"/>
        <item x="3"/>
        <item x="0"/>
        <item x="4"/>
        <item t="default"/>
      </items>
    </pivotField>
    <pivotField showAll="0"/>
    <pivotField showAll="0">
      <items count="8">
        <item x="6"/>
        <item x="2"/>
        <item x="1"/>
        <item x="5"/>
        <item x="3"/>
        <item x="0"/>
        <item x="4"/>
        <item t="default"/>
      </items>
    </pivotField>
    <pivotField numFmtId="2" showAll="0"/>
    <pivotField showAll="0"/>
    <pivotField showAll="0"/>
    <pivotField showAll="0"/>
    <pivotField showAll="0"/>
    <pivotField showAll="0"/>
    <pivotField showAll="0"/>
  </pivotFields>
  <rowFields count="1">
    <field x="13"/>
  </rowFields>
  <rowItems count="7">
    <i>
      <x/>
    </i>
    <i>
      <x v="1"/>
    </i>
    <i>
      <x v="2"/>
    </i>
    <i>
      <x v="3"/>
    </i>
    <i>
      <x v="4"/>
    </i>
    <i>
      <x v="5"/>
    </i>
    <i t="grand">
      <x/>
    </i>
  </rowItems>
  <colItems count="1">
    <i/>
  </colItems>
  <dataFields count="1">
    <dataField name="Sum of Conversions" fld="7" baseField="0"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2"/>
          </reference>
        </references>
      </pivotArea>
    </chartFormat>
    <chartFormat chart="4" format="12">
      <pivotArea type="data" outline="0" fieldPosition="0">
        <references count="2">
          <reference field="4294967294" count="1" selected="0">
            <x v="0"/>
          </reference>
          <reference field="13" count="1" selected="0">
            <x v="3"/>
          </reference>
        </references>
      </pivotArea>
    </chartFormat>
    <chartFormat chart="4" format="13">
      <pivotArea type="data" outline="0" fieldPosition="0">
        <references count="2">
          <reference field="4294967294" count="1" selected="0">
            <x v="0"/>
          </reference>
          <reference field="13" count="1" selected="0">
            <x v="4"/>
          </reference>
        </references>
      </pivotArea>
    </chartFormat>
    <chartFormat chart="4" format="14">
      <pivotArea type="data" outline="0" fieldPosition="0">
        <references count="2">
          <reference field="4294967294" count="1" selected="0">
            <x v="0"/>
          </reference>
          <reference field="13" count="1" selected="0">
            <x v="5"/>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0" format="6">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4DA17D-ECC4-4AEB-8DB0-88A8DF1233BE}" autoFormatId="16" applyNumberFormats="0" applyBorderFormats="0" applyFontFormats="0" applyPatternFormats="0" applyAlignmentFormats="0" applyWidthHeightFormats="0">
  <queryTableRefresh nextId="24">
    <queryTableFields count="23">
      <queryTableField id="1" name="Column1" tableColumnId="1"/>
      <queryTableField id="2" name="Ad_ID" tableColumnId="2"/>
      <queryTableField id="3" name="Campaign_Name" tableColumnId="3"/>
      <queryTableField id="4" name="Clicks" tableColumnId="4"/>
      <queryTableField id="5" name="Impressions" tableColumnId="5"/>
      <queryTableField id="6" name="Cost" tableColumnId="6"/>
      <queryTableField id="7" name="Leads" tableColumnId="7"/>
      <queryTableField id="8" name="Conversions" tableColumnId="8"/>
      <queryTableField id="9" name="Conversion Rate" tableColumnId="9"/>
      <queryTableField id="10" name="Revenue" tableColumnId="10"/>
      <queryTableField id="11" name="Date" tableColumnId="11"/>
      <queryTableField id="12" name="Location" tableColumnId="12"/>
      <queryTableField id="13" name="Device" tableColumnId="13"/>
      <queryTableField id="14" name="Keyword" tableColumnId="14"/>
      <queryTableField id="15" name="Month" tableColumnId="15"/>
      <queryTableField id="16" name="Weekday" tableColumnId="16"/>
      <queryTableField id="17" name="CPC" tableColumnId="17"/>
      <queryTableField id="18" name="CTR" tableColumnId="18"/>
      <queryTableField id="19" name="CPL" tableColumnId="19"/>
      <queryTableField id="20" name="CPA" tableColumnId="20"/>
      <queryTableField id="21" name="ROI" tableColumnId="21"/>
      <queryTableField id="22" name="AOV" tableColumnId="22"/>
      <queryTableField id="23" name="ROA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0D602ECE-E270-4E11-8F1E-46EE803481B0}" sourceName="Weekday">
  <pivotTables>
    <pivotTable tabId="1" name="PivotTable8"/>
  </pivotTables>
  <data>
    <tabular pivotCacheId="1295112355">
      <items count="7">
        <i x="6"/>
        <i x="2"/>
        <i x="1"/>
        <i x="5"/>
        <i x="3"/>
        <i x="0"/>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word" xr10:uid="{7576657A-9EE1-4D1E-BF96-22191D93FFA9}" sourceName="Keyword">
  <pivotTables>
    <pivotTable tabId="1" name="PivotTable8"/>
  </pivotTables>
  <data>
    <tabular pivotCacheId="1295112355">
      <items count="6">
        <i x="5" s="1"/>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350EBAE7-8844-4C3E-8C15-4B2BE043EF8E}" sourceName="Device">
  <pivotTables>
    <pivotTable tabId="1" name="PivotTable9"/>
  </pivotTables>
  <data>
    <tabular pivotCacheId="12951123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7043FCA3-9B51-44D6-BDB0-E5879CE1DB7E}" cache="Slicer_Weekday" caption="Weekday" rowHeight="247650"/>
  <slicer name="Keyword" xr10:uid="{FEEE243A-BA97-4295-B048-E352EF60040B}" cache="Slicer_Keyword" caption="Keyword" rowHeight="247650"/>
  <slicer name="Device" xr10:uid="{39D9EF3B-FD6B-44A2-8BE4-579A3504BD57}" cache="Slicer_Device" caption="Devic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F9489-7A58-453C-904A-DD5CBFE30F6C}" name="ads_dataset" displayName="ads_dataset" ref="A1:W2598" tableType="queryTable" totalsRowShown="0" headerRowDxfId="57">
  <autoFilter ref="A1:W2598" xr:uid="{00AF9489-7A58-453C-904A-DD5CBFE30F6C}"/>
  <tableColumns count="23">
    <tableColumn id="1" xr3:uid="{7E2FC274-9176-45E0-8210-DDBED26DF94B}" uniqueName="1" name="Column1" queryTableFieldId="1"/>
    <tableColumn id="2" xr3:uid="{9B19F348-55EA-41FD-9EFE-2761B57ADA85}" uniqueName="2" name="Ad_ID" queryTableFieldId="2" dataDxfId="56"/>
    <tableColumn id="3" xr3:uid="{CE6AA6CC-F11D-42A3-B283-C99AEFE5BB9B}" uniqueName="3" name="Campaign_Name" queryTableFieldId="3" dataDxfId="55"/>
    <tableColumn id="4" xr3:uid="{AD62D89E-4342-4551-B838-5F6C779B0F9D}" uniqueName="4" name="Clicks" queryTableFieldId="4" dataDxfId="54"/>
    <tableColumn id="5" xr3:uid="{F68C025F-7CA9-4F97-A6CD-389816C8FB90}" uniqueName="5" name="Impressions" queryTableFieldId="5" dataDxfId="53"/>
    <tableColumn id="6" xr3:uid="{9513E6F9-34D4-4E8F-BAB4-0D19F1BE8E85}" uniqueName="6" name="Cost" queryTableFieldId="6" dataDxfId="52"/>
    <tableColumn id="7" xr3:uid="{5DE64203-1460-4D35-9EB7-985957B5EC3C}" uniqueName="7" name="Leads" queryTableFieldId="7" dataDxfId="51"/>
    <tableColumn id="8" xr3:uid="{83107D52-DE59-417D-B6EF-315C131FA2A9}" uniqueName="8" name="Conversions" queryTableFieldId="8" dataDxfId="50"/>
    <tableColumn id="9" xr3:uid="{A360CA2E-0955-401C-A269-B9C8795686DD}" uniqueName="9" name="Conversion Rate" queryTableFieldId="9" dataDxfId="49"/>
    <tableColumn id="10" xr3:uid="{2D9DEA7F-18A5-40F5-8336-BC31590E62B5}" uniqueName="10" name="Revenue" queryTableFieldId="10" dataDxfId="48"/>
    <tableColumn id="11" xr3:uid="{82B7427B-FD3A-4C3D-9A9E-557E98B69523}" uniqueName="11" name="Date" queryTableFieldId="11" dataDxfId="47"/>
    <tableColumn id="12" xr3:uid="{3ECFAAFD-F223-47D4-9B3D-5BF7B53F1F32}" uniqueName="12" name="Location" queryTableFieldId="12" dataDxfId="46"/>
    <tableColumn id="13" xr3:uid="{CA3284D0-C3F2-4143-9709-6DA9395D30ED}" uniqueName="13" name="Device" queryTableFieldId="13" dataDxfId="45"/>
    <tableColumn id="14" xr3:uid="{96EBD6D2-E8FD-47D1-87E4-BCA862C427C8}" uniqueName="14" name="Keyword" queryTableFieldId="14" dataDxfId="44"/>
    <tableColumn id="15" xr3:uid="{BB78FDD6-A4C0-45E7-9047-E0B1BD95A612}" uniqueName="15" name="Month" queryTableFieldId="15" dataDxfId="43"/>
    <tableColumn id="16" xr3:uid="{D36AFE46-53AF-43F1-89D8-315027F32B76}" uniqueName="16" name="Weekday" queryTableFieldId="16" dataDxfId="42"/>
    <tableColumn id="17" xr3:uid="{C5AE2F61-8077-4270-AE64-A53D2ABC9025}" uniqueName="17" name="CPC" queryTableFieldId="17" dataDxfId="41"/>
    <tableColumn id="18" xr3:uid="{D2B4A3BD-D138-45D2-AD53-FFB93A0D950B}" uniqueName="18" name="CTR" queryTableFieldId="18" dataDxfId="40"/>
    <tableColumn id="19" xr3:uid="{F9E3B6A0-53AA-45CB-8ED7-3F9A4EF80920}" uniqueName="19" name="CPL" queryTableFieldId="19" dataDxfId="39"/>
    <tableColumn id="20" xr3:uid="{8E2A94B6-CEA5-444A-B1FE-0384FE9DF89C}" uniqueName="20" name="CPA" queryTableFieldId="20" dataDxfId="38"/>
    <tableColumn id="21" xr3:uid="{0DBB783F-8013-4BB5-81D8-ED183A743BEE}" uniqueName="21" name="ROI" queryTableFieldId="21" dataDxfId="37"/>
    <tableColumn id="22" xr3:uid="{28658C06-6F75-44C2-B7C6-8226D40734AA}" uniqueName="22" name="AOV" queryTableFieldId="22" dataDxfId="36"/>
    <tableColumn id="23" xr3:uid="{987E5D44-5B68-4D28-8373-F614016C1995}" uniqueName="23" name="ROAS" queryTableFieldId="23" dataDxfId="3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074CE1-E308-4DCA-A32C-D73DF4B0A826}" name="totals" displayName="totals" ref="AG19:AT25" totalsRowCount="1">
  <autoFilter ref="AG19:AT24" xr:uid="{CF074CE1-E308-4DCA-A32C-D73DF4B0A826}"/>
  <tableColumns count="14">
    <tableColumn id="1" xr3:uid="{3E95D31E-BCE7-4197-BAC9-698992958772}" name="Campaign Name"/>
    <tableColumn id="2" xr3:uid="{714F7974-F45D-4775-A5B4-2603F145D6E5}" name="Покази"/>
    <tableColumn id="3" xr3:uid="{EB147284-6992-4ACD-A915-B822A3D73225}" name="Кліки"/>
    <tableColumn id="4" xr3:uid="{2025BC90-660D-4C0B-8A2C-5123F3E1B10E}" name="Ліди"/>
    <tableColumn id="5" xr3:uid="{1FD6275A-A802-4A1F-A7AF-5855DB864BCF}" name="Конверсії"/>
    <tableColumn id="6" xr3:uid="{D8B731DE-0455-4F17-947F-FB0E76F7D65E}" name="Cost" dataDxfId="18" totalsRowDxfId="8"/>
    <tableColumn id="7" xr3:uid="{48051EF6-5155-460C-A5F4-E967B2B02DB3}" name="Revenue" dataDxfId="17" totalsRowDxfId="7"/>
    <tableColumn id="8" xr3:uid="{3DCD41FB-1773-4BE8-84D6-888F9080AE08}" name="CPC" dataDxfId="16" totalsRowDxfId="6">
      <calculatedColumnFormula>totals[[#This Row],[Cost]]/totals[[#This Row],[Кліки]]</calculatedColumnFormula>
    </tableColumn>
    <tableColumn id="9" xr3:uid="{2524DDB7-D45D-4A16-B8EB-66C8E6415A6F}" name="CTR" dataDxfId="15" totalsRowDxfId="5">
      <calculatedColumnFormula>totals[[#This Row],[Кліки]]/totals[[#This Row],[Покази]]*100</calculatedColumnFormula>
    </tableColumn>
    <tableColumn id="10" xr3:uid="{3E6B6ECE-4CA6-402B-A1DC-4DD20301FBCE}" name="CPL" dataDxfId="14" totalsRowDxfId="4">
      <calculatedColumnFormula>totals[[#This Row],[Cost]]/totals[[#This Row],[Ліди]]</calculatedColumnFormula>
    </tableColumn>
    <tableColumn id="11" xr3:uid="{7EF4DBA2-126C-470C-BB14-993B098C37B2}" name="ROI" totalsRowFunction="custom" dataDxfId="9" totalsRowDxfId="0" totalsRowCellStyle="Percent">
      <calculatedColumnFormula>((totals[[#This Row],[Revenue]]-totals[[#This Row],[Cost]])/totals[[#This Row],[Cost]])</calculatedColumnFormula>
      <totalsRowFormula>AQ24</totalsRowFormula>
    </tableColumn>
    <tableColumn id="12" xr3:uid="{B350AD0E-DD1B-42FC-982F-615315885E19}" name="ROAS" dataDxfId="13" totalsRowDxfId="3">
      <calculatedColumnFormula>totals[[#This Row],[Revenue]]/totals[[#This Row],[Cost]]</calculatedColumnFormula>
    </tableColumn>
    <tableColumn id="13" xr3:uid="{FB3E41A8-26B6-49F0-ACF2-41081BE5C595}" name="CPA" dataDxfId="11" totalsRowDxfId="2">
      <calculatedColumnFormula>totals[[#This Row],[Cost]]/totals[[#This Row],[Конверсії]]</calculatedColumnFormula>
    </tableColumn>
    <tableColumn id="14" xr3:uid="{9530ACDA-E2C4-497A-9920-B72635205049}" name="AOV" dataDxfId="10" totalsRowDxfId="1">
      <calculatedColumnFormula>totals[[#This Row],[Cost]]/totals[[#This Row],[Конверсії]]</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4FCE-BD9B-4B28-BB25-CC87BDD8ED34}">
  <dimension ref="A1:W2598"/>
  <sheetViews>
    <sheetView topLeftCell="C1" workbookViewId="0">
      <selection activeCell="O22" sqref="O22"/>
    </sheetView>
  </sheetViews>
  <sheetFormatPr defaultRowHeight="14.4" x14ac:dyDescent="0.3"/>
  <cols>
    <col min="1" max="1" width="10.6640625" bestFit="1" customWidth="1"/>
    <col min="2" max="2" width="8" bestFit="1" customWidth="1"/>
    <col min="3" max="3" width="30.88671875" bestFit="1" customWidth="1"/>
    <col min="4" max="4" width="7.6640625" customWidth="1"/>
    <col min="5" max="5" width="13.44140625" bestFit="1" customWidth="1"/>
    <col min="6" max="6" width="8.5546875" bestFit="1" customWidth="1"/>
    <col min="7" max="7" width="7.6640625" customWidth="1"/>
    <col min="8" max="8" width="10.44140625" customWidth="1"/>
    <col min="9" max="9" width="17.44140625" customWidth="1"/>
    <col min="10" max="10" width="10.44140625" customWidth="1"/>
    <col min="11" max="11" width="10.109375" bestFit="1" customWidth="1"/>
    <col min="12" max="12" width="10.33203125" bestFit="1" customWidth="1"/>
    <col min="14" max="14" width="18.77734375" bestFit="1" customWidth="1"/>
    <col min="15" max="15" width="9.33203125" bestFit="1" customWidth="1"/>
    <col min="16" max="16" width="10.88671875" bestFit="1" customWidth="1"/>
    <col min="17" max="17" width="9" bestFit="1" customWidth="1"/>
    <col min="18" max="18" width="7" customWidth="1"/>
    <col min="19" max="19" width="7.5546875" customWidth="1"/>
    <col min="20" max="20" width="6.6640625" bestFit="1" customWidth="1"/>
    <col min="21" max="21" width="6.5546875" bestFit="1" customWidth="1"/>
    <col min="22" max="22" width="6.77734375" bestFit="1" customWidth="1"/>
    <col min="23" max="23" width="7.88671875" bestFit="1" customWidth="1"/>
  </cols>
  <sheetData>
    <row r="1" spans="1:23"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pans="1:23" x14ac:dyDescent="0.3">
      <c r="A2">
        <v>0</v>
      </c>
      <c r="B2" t="s">
        <v>23</v>
      </c>
      <c r="C2" t="s">
        <v>24</v>
      </c>
      <c r="D2">
        <v>104</v>
      </c>
      <c r="E2">
        <v>4498</v>
      </c>
      <c r="F2" s="3">
        <v>232</v>
      </c>
      <c r="G2">
        <v>14</v>
      </c>
      <c r="H2">
        <v>7</v>
      </c>
      <c r="I2" s="5">
        <v>6.7307692307692304E-2</v>
      </c>
      <c r="J2" s="3">
        <v>386</v>
      </c>
      <c r="K2" s="1">
        <v>45612</v>
      </c>
      <c r="L2" t="s">
        <v>25</v>
      </c>
      <c r="M2" t="s">
        <v>26</v>
      </c>
      <c r="N2" t="s">
        <v>27</v>
      </c>
      <c r="O2" t="s">
        <v>28</v>
      </c>
      <c r="P2" t="s">
        <v>29</v>
      </c>
      <c r="Q2" s="6">
        <v>2.2296153846153799</v>
      </c>
      <c r="R2">
        <v>2.31</v>
      </c>
      <c r="S2">
        <v>16.559999999999999</v>
      </c>
      <c r="T2">
        <v>33.130000000000003</v>
      </c>
      <c r="U2">
        <v>66.47</v>
      </c>
      <c r="V2">
        <v>55.14</v>
      </c>
      <c r="W2">
        <v>1.66</v>
      </c>
    </row>
    <row r="3" spans="1:23" x14ac:dyDescent="0.3">
      <c r="A3">
        <v>1</v>
      </c>
      <c r="B3" t="s">
        <v>30</v>
      </c>
      <c r="C3" t="s">
        <v>24</v>
      </c>
      <c r="D3">
        <v>173</v>
      </c>
      <c r="E3">
        <v>5107</v>
      </c>
      <c r="F3" s="3">
        <v>217</v>
      </c>
      <c r="G3">
        <v>10</v>
      </c>
      <c r="H3">
        <v>8</v>
      </c>
      <c r="I3" s="5">
        <v>4.6242774566473903E-2</v>
      </c>
      <c r="J3" s="3">
        <v>343</v>
      </c>
      <c r="K3" s="1">
        <v>45616</v>
      </c>
      <c r="L3" t="s">
        <v>25</v>
      </c>
      <c r="M3" t="s">
        <v>31</v>
      </c>
      <c r="N3" t="s">
        <v>32</v>
      </c>
      <c r="O3" t="s">
        <v>28</v>
      </c>
      <c r="P3" t="s">
        <v>33</v>
      </c>
      <c r="Q3" s="6">
        <v>1.25341040462427</v>
      </c>
      <c r="R3">
        <v>3.39</v>
      </c>
      <c r="S3">
        <v>21.68</v>
      </c>
      <c r="T3">
        <v>27.1</v>
      </c>
      <c r="U3">
        <v>58.18</v>
      </c>
      <c r="V3">
        <v>42.88</v>
      </c>
      <c r="W3">
        <v>1.58</v>
      </c>
    </row>
    <row r="4" spans="1:23" x14ac:dyDescent="0.3">
      <c r="A4">
        <v>2</v>
      </c>
      <c r="B4" t="s">
        <v>34</v>
      </c>
      <c r="C4" t="s">
        <v>35</v>
      </c>
      <c r="D4">
        <v>90</v>
      </c>
      <c r="E4">
        <v>4544</v>
      </c>
      <c r="F4" s="3">
        <v>204</v>
      </c>
      <c r="G4">
        <v>26</v>
      </c>
      <c r="H4">
        <v>9</v>
      </c>
      <c r="I4" s="5">
        <v>0.1</v>
      </c>
      <c r="J4" s="3">
        <v>331</v>
      </c>
      <c r="K4" s="1">
        <v>45612</v>
      </c>
      <c r="L4" t="s">
        <v>25</v>
      </c>
      <c r="M4" t="s">
        <v>26</v>
      </c>
      <c r="N4" t="s">
        <v>36</v>
      </c>
      <c r="O4" t="s">
        <v>28</v>
      </c>
      <c r="P4" t="s">
        <v>29</v>
      </c>
      <c r="Q4" s="6">
        <v>2.2628888888888801</v>
      </c>
      <c r="R4">
        <v>1.98</v>
      </c>
      <c r="S4">
        <v>7.83</v>
      </c>
      <c r="T4">
        <v>22.63</v>
      </c>
      <c r="U4">
        <v>62.53</v>
      </c>
      <c r="V4">
        <v>36.78</v>
      </c>
      <c r="W4">
        <v>1.63</v>
      </c>
    </row>
    <row r="5" spans="1:23" x14ac:dyDescent="0.3">
      <c r="A5">
        <v>3</v>
      </c>
      <c r="B5" t="s">
        <v>37</v>
      </c>
      <c r="C5" t="s">
        <v>38</v>
      </c>
      <c r="D5">
        <v>142</v>
      </c>
      <c r="E5">
        <v>3185</v>
      </c>
      <c r="F5" s="3">
        <v>238</v>
      </c>
      <c r="G5">
        <v>17</v>
      </c>
      <c r="H5">
        <v>6</v>
      </c>
      <c r="I5" s="5">
        <v>4.22535211267605E-2</v>
      </c>
      <c r="J5" s="3">
        <v>250</v>
      </c>
      <c r="K5" s="1">
        <v>45622</v>
      </c>
      <c r="L5" t="s">
        <v>25</v>
      </c>
      <c r="M5" t="s">
        <v>39</v>
      </c>
      <c r="N5" t="s">
        <v>40</v>
      </c>
      <c r="O5" t="s">
        <v>28</v>
      </c>
      <c r="P5" t="s">
        <v>41</v>
      </c>
      <c r="Q5" s="6">
        <v>1.67366197183098</v>
      </c>
      <c r="R5">
        <v>4.46</v>
      </c>
      <c r="S5">
        <v>13.98</v>
      </c>
      <c r="T5">
        <v>39.61</v>
      </c>
      <c r="U5">
        <v>5.19</v>
      </c>
      <c r="V5">
        <v>41.67</v>
      </c>
      <c r="W5">
        <v>1.05</v>
      </c>
    </row>
    <row r="6" spans="1:23" x14ac:dyDescent="0.3">
      <c r="A6">
        <v>4</v>
      </c>
      <c r="B6" t="s">
        <v>42</v>
      </c>
      <c r="C6" t="s">
        <v>43</v>
      </c>
      <c r="D6">
        <v>156</v>
      </c>
      <c r="E6">
        <v>3361</v>
      </c>
      <c r="F6" s="3">
        <v>196</v>
      </c>
      <c r="G6">
        <v>30</v>
      </c>
      <c r="H6">
        <v>8</v>
      </c>
      <c r="I6" s="5">
        <v>5.1282051282051197E-2</v>
      </c>
      <c r="J6" s="3">
        <v>223</v>
      </c>
      <c r="K6" s="1">
        <v>45618</v>
      </c>
      <c r="L6" t="s">
        <v>25</v>
      </c>
      <c r="M6" t="s">
        <v>26</v>
      </c>
      <c r="N6" t="s">
        <v>44</v>
      </c>
      <c r="O6" t="s">
        <v>28</v>
      </c>
      <c r="P6" t="s">
        <v>45</v>
      </c>
      <c r="Q6" s="6">
        <v>1.2557692307692301</v>
      </c>
      <c r="R6">
        <v>4.6399999999999997</v>
      </c>
      <c r="S6">
        <v>6.53</v>
      </c>
      <c r="T6">
        <v>24.49</v>
      </c>
      <c r="U6">
        <v>13.83</v>
      </c>
      <c r="V6">
        <v>27.88</v>
      </c>
      <c r="W6">
        <v>1.1399999999999999</v>
      </c>
    </row>
    <row r="7" spans="1:23" x14ac:dyDescent="0.3">
      <c r="A7">
        <v>5</v>
      </c>
      <c r="B7" t="s">
        <v>46</v>
      </c>
      <c r="C7" t="s">
        <v>24</v>
      </c>
      <c r="D7">
        <v>195</v>
      </c>
      <c r="E7">
        <v>3776</v>
      </c>
      <c r="F7" s="3">
        <v>244</v>
      </c>
      <c r="G7">
        <v>10</v>
      </c>
      <c r="H7">
        <v>8</v>
      </c>
      <c r="I7" s="5">
        <v>4.1025641025640998E-2</v>
      </c>
      <c r="J7" s="3">
        <v>268</v>
      </c>
      <c r="K7" s="1">
        <v>45612</v>
      </c>
      <c r="L7" t="s">
        <v>25</v>
      </c>
      <c r="M7" t="s">
        <v>31</v>
      </c>
      <c r="N7" t="s">
        <v>40</v>
      </c>
      <c r="O7" t="s">
        <v>28</v>
      </c>
      <c r="P7" t="s">
        <v>29</v>
      </c>
      <c r="Q7" s="6">
        <v>1.2490769230769201</v>
      </c>
      <c r="R7">
        <v>5.16</v>
      </c>
      <c r="S7">
        <v>24.36</v>
      </c>
      <c r="T7">
        <v>30.45</v>
      </c>
      <c r="U7">
        <v>10.029999999999999</v>
      </c>
      <c r="V7">
        <v>33.5</v>
      </c>
      <c r="W7">
        <v>1.1000000000000001</v>
      </c>
    </row>
    <row r="8" spans="1:23" x14ac:dyDescent="0.3">
      <c r="A8">
        <v>6</v>
      </c>
      <c r="B8" t="s">
        <v>47</v>
      </c>
      <c r="C8" t="s">
        <v>43</v>
      </c>
      <c r="D8">
        <v>116</v>
      </c>
      <c r="E8">
        <v>4480</v>
      </c>
      <c r="F8" s="3">
        <v>238</v>
      </c>
      <c r="G8">
        <v>17</v>
      </c>
      <c r="H8">
        <v>5</v>
      </c>
      <c r="I8" s="5">
        <v>4.3103448275862002E-2</v>
      </c>
      <c r="J8" s="3">
        <v>335</v>
      </c>
      <c r="K8" s="1">
        <v>45602</v>
      </c>
      <c r="L8" t="s">
        <v>25</v>
      </c>
      <c r="M8" t="s">
        <v>39</v>
      </c>
      <c r="N8" t="s">
        <v>32</v>
      </c>
      <c r="O8" t="s">
        <v>28</v>
      </c>
      <c r="P8" t="s">
        <v>33</v>
      </c>
      <c r="Q8" s="6">
        <v>2.0499137931034399</v>
      </c>
      <c r="R8">
        <v>2.59</v>
      </c>
      <c r="S8">
        <v>13.99</v>
      </c>
      <c r="T8">
        <v>47.56</v>
      </c>
      <c r="U8">
        <v>40.880000000000003</v>
      </c>
      <c r="V8">
        <v>67</v>
      </c>
      <c r="W8">
        <v>1.41</v>
      </c>
    </row>
    <row r="9" spans="1:23" x14ac:dyDescent="0.3">
      <c r="A9">
        <v>7</v>
      </c>
      <c r="B9" t="s">
        <v>48</v>
      </c>
      <c r="C9" t="s">
        <v>43</v>
      </c>
      <c r="D9">
        <v>184</v>
      </c>
      <c r="E9">
        <v>5060</v>
      </c>
      <c r="F9" s="3">
        <v>230</v>
      </c>
      <c r="G9">
        <v>23</v>
      </c>
      <c r="H9">
        <v>3</v>
      </c>
      <c r="I9" s="5">
        <v>1.6304347826086901E-2</v>
      </c>
      <c r="J9" s="3">
        <v>308</v>
      </c>
      <c r="K9" s="1">
        <v>45620</v>
      </c>
      <c r="L9" t="s">
        <v>25</v>
      </c>
      <c r="M9" t="s">
        <v>39</v>
      </c>
      <c r="N9" t="s">
        <v>49</v>
      </c>
      <c r="O9" t="s">
        <v>28</v>
      </c>
      <c r="P9" t="s">
        <v>50</v>
      </c>
      <c r="Q9" s="6">
        <v>1.2478804347826</v>
      </c>
      <c r="R9">
        <v>3.64</v>
      </c>
      <c r="S9">
        <v>9.98</v>
      </c>
      <c r="T9">
        <v>76.540000000000006</v>
      </c>
      <c r="U9">
        <v>34.14</v>
      </c>
      <c r="V9">
        <v>102.67</v>
      </c>
      <c r="W9">
        <v>1.34</v>
      </c>
    </row>
    <row r="10" spans="1:23" x14ac:dyDescent="0.3">
      <c r="A10">
        <v>8</v>
      </c>
      <c r="B10" t="s">
        <v>51</v>
      </c>
      <c r="C10" t="s">
        <v>43</v>
      </c>
      <c r="D10">
        <v>113</v>
      </c>
      <c r="E10">
        <v>5434</v>
      </c>
      <c r="F10" s="3">
        <v>175</v>
      </c>
      <c r="G10">
        <v>27</v>
      </c>
      <c r="H10">
        <v>4</v>
      </c>
      <c r="I10" s="5">
        <v>3.5398230088495498E-2</v>
      </c>
      <c r="J10" s="3">
        <v>278</v>
      </c>
      <c r="K10" s="1">
        <v>45620</v>
      </c>
      <c r="L10" t="s">
        <v>25</v>
      </c>
      <c r="M10" t="s">
        <v>39</v>
      </c>
      <c r="N10" t="s">
        <v>40</v>
      </c>
      <c r="O10" t="s">
        <v>28</v>
      </c>
      <c r="P10" t="s">
        <v>50</v>
      </c>
      <c r="Q10" s="6">
        <v>1.5454545454545401</v>
      </c>
      <c r="R10">
        <v>2.08</v>
      </c>
      <c r="S10">
        <v>6.47</v>
      </c>
      <c r="T10">
        <v>43.66</v>
      </c>
      <c r="U10">
        <v>59.19</v>
      </c>
      <c r="V10">
        <v>69.5</v>
      </c>
      <c r="W10">
        <v>1.59</v>
      </c>
    </row>
    <row r="11" spans="1:23" x14ac:dyDescent="0.3">
      <c r="A11">
        <v>9</v>
      </c>
      <c r="B11" t="s">
        <v>52</v>
      </c>
      <c r="C11" t="s">
        <v>38</v>
      </c>
      <c r="D11">
        <v>166</v>
      </c>
      <c r="E11">
        <v>3355</v>
      </c>
      <c r="F11" s="3">
        <v>187</v>
      </c>
      <c r="G11">
        <v>24</v>
      </c>
      <c r="H11">
        <v>9</v>
      </c>
      <c r="I11" s="5">
        <v>5.4216867469879498E-2</v>
      </c>
      <c r="J11" s="3">
        <v>210</v>
      </c>
      <c r="K11" s="1">
        <v>45608</v>
      </c>
      <c r="L11" t="s">
        <v>25</v>
      </c>
      <c r="M11" t="s">
        <v>31</v>
      </c>
      <c r="N11" t="s">
        <v>44</v>
      </c>
      <c r="O11" t="s">
        <v>28</v>
      </c>
      <c r="P11" t="s">
        <v>41</v>
      </c>
      <c r="Q11" s="6">
        <v>1.12518072289156</v>
      </c>
      <c r="R11">
        <v>4.95</v>
      </c>
      <c r="S11">
        <v>7.78</v>
      </c>
      <c r="T11">
        <v>20.75</v>
      </c>
      <c r="U11">
        <v>12.43</v>
      </c>
      <c r="V11">
        <v>23.33</v>
      </c>
      <c r="W11">
        <v>1.1200000000000001</v>
      </c>
    </row>
    <row r="12" spans="1:23" x14ac:dyDescent="0.3">
      <c r="A12">
        <v>10</v>
      </c>
      <c r="B12" t="s">
        <v>53</v>
      </c>
      <c r="C12" t="s">
        <v>24</v>
      </c>
      <c r="D12">
        <v>101</v>
      </c>
      <c r="E12">
        <v>5399</v>
      </c>
      <c r="F12" s="3">
        <v>237</v>
      </c>
      <c r="G12">
        <v>20</v>
      </c>
      <c r="H12">
        <v>6</v>
      </c>
      <c r="I12" s="5">
        <v>5.9405940594059403E-2</v>
      </c>
      <c r="J12" s="3">
        <v>388</v>
      </c>
      <c r="K12" s="1">
        <v>45610</v>
      </c>
      <c r="L12" t="s">
        <v>25</v>
      </c>
      <c r="M12" t="s">
        <v>26</v>
      </c>
      <c r="N12" t="s">
        <v>27</v>
      </c>
      <c r="O12" t="s">
        <v>28</v>
      </c>
      <c r="P12" t="s">
        <v>54</v>
      </c>
      <c r="Q12" s="6">
        <v>2.3444554455445501</v>
      </c>
      <c r="R12">
        <v>1.87</v>
      </c>
      <c r="S12">
        <v>11.84</v>
      </c>
      <c r="T12">
        <v>39.46</v>
      </c>
      <c r="U12">
        <v>63.86</v>
      </c>
      <c r="V12">
        <v>64.67</v>
      </c>
      <c r="W12">
        <v>1.64</v>
      </c>
    </row>
    <row r="13" spans="1:23" x14ac:dyDescent="0.3">
      <c r="A13">
        <v>11</v>
      </c>
      <c r="B13" t="s">
        <v>55</v>
      </c>
      <c r="C13" t="s">
        <v>43</v>
      </c>
      <c r="D13">
        <v>101</v>
      </c>
      <c r="E13">
        <v>3613</v>
      </c>
      <c r="F13" s="3">
        <v>208</v>
      </c>
      <c r="G13">
        <v>24</v>
      </c>
      <c r="H13">
        <v>5</v>
      </c>
      <c r="I13" s="5">
        <v>4.95049504950495E-2</v>
      </c>
      <c r="J13" s="3">
        <v>231</v>
      </c>
      <c r="K13" s="1">
        <v>45618</v>
      </c>
      <c r="L13" t="s">
        <v>25</v>
      </c>
      <c r="M13" t="s">
        <v>26</v>
      </c>
      <c r="N13" t="s">
        <v>44</v>
      </c>
      <c r="O13" t="s">
        <v>28</v>
      </c>
      <c r="P13" t="s">
        <v>45</v>
      </c>
      <c r="Q13" s="6">
        <v>2.0605940594059402</v>
      </c>
      <c r="R13">
        <v>2.8</v>
      </c>
      <c r="S13">
        <v>8.67</v>
      </c>
      <c r="T13">
        <v>41.62</v>
      </c>
      <c r="U13">
        <v>10.99</v>
      </c>
      <c r="V13">
        <v>46.2</v>
      </c>
      <c r="W13">
        <v>1.1100000000000001</v>
      </c>
    </row>
    <row r="14" spans="1:23" x14ac:dyDescent="0.3">
      <c r="A14">
        <v>12</v>
      </c>
      <c r="B14" t="s">
        <v>56</v>
      </c>
      <c r="C14" t="s">
        <v>38</v>
      </c>
      <c r="D14">
        <v>125</v>
      </c>
      <c r="E14">
        <v>3259</v>
      </c>
      <c r="F14" s="3">
        <v>191</v>
      </c>
      <c r="G14">
        <v>18</v>
      </c>
      <c r="H14">
        <v>3</v>
      </c>
      <c r="I14" s="5">
        <v>2.4E-2</v>
      </c>
      <c r="J14" s="3">
        <v>400</v>
      </c>
      <c r="K14" s="1">
        <v>45623</v>
      </c>
      <c r="L14" t="s">
        <v>25</v>
      </c>
      <c r="M14" t="s">
        <v>26</v>
      </c>
      <c r="N14" t="s">
        <v>36</v>
      </c>
      <c r="O14" t="s">
        <v>28</v>
      </c>
      <c r="P14" t="s">
        <v>33</v>
      </c>
      <c r="Q14" s="6">
        <v>1.5304</v>
      </c>
      <c r="R14">
        <v>3.84</v>
      </c>
      <c r="S14">
        <v>10.63</v>
      </c>
      <c r="T14">
        <v>63.77</v>
      </c>
      <c r="U14">
        <v>109.1</v>
      </c>
      <c r="V14">
        <v>133.33000000000001</v>
      </c>
      <c r="W14">
        <v>2.09</v>
      </c>
    </row>
    <row r="15" spans="1:23" x14ac:dyDescent="0.3">
      <c r="A15">
        <v>13</v>
      </c>
      <c r="B15" t="s">
        <v>57</v>
      </c>
      <c r="C15" t="s">
        <v>43</v>
      </c>
      <c r="D15">
        <v>196</v>
      </c>
      <c r="E15">
        <v>3742</v>
      </c>
      <c r="F15" s="3">
        <v>207</v>
      </c>
      <c r="G15">
        <v>10</v>
      </c>
      <c r="H15">
        <v>7</v>
      </c>
      <c r="I15" s="5">
        <v>3.5714285714285698E-2</v>
      </c>
      <c r="J15" s="3">
        <v>331</v>
      </c>
      <c r="K15" s="1">
        <v>45608</v>
      </c>
      <c r="L15" t="s">
        <v>25</v>
      </c>
      <c r="M15" t="s">
        <v>31</v>
      </c>
      <c r="N15" t="s">
        <v>40</v>
      </c>
      <c r="O15" t="s">
        <v>28</v>
      </c>
      <c r="P15" t="s">
        <v>41</v>
      </c>
      <c r="Q15" s="6">
        <v>1.0584693877550999</v>
      </c>
      <c r="R15">
        <v>5.24</v>
      </c>
      <c r="S15">
        <v>20.75</v>
      </c>
      <c r="T15">
        <v>29.64</v>
      </c>
      <c r="U15">
        <v>59.55</v>
      </c>
      <c r="V15">
        <v>47.29</v>
      </c>
      <c r="W15">
        <v>1.6</v>
      </c>
    </row>
    <row r="16" spans="1:23" x14ac:dyDescent="0.3">
      <c r="A16">
        <v>14</v>
      </c>
      <c r="B16" t="s">
        <v>58</v>
      </c>
      <c r="C16" t="s">
        <v>38</v>
      </c>
      <c r="D16">
        <v>181</v>
      </c>
      <c r="E16">
        <v>4311</v>
      </c>
      <c r="F16" s="3">
        <v>185</v>
      </c>
      <c r="G16">
        <v>11</v>
      </c>
      <c r="H16">
        <v>9</v>
      </c>
      <c r="I16" s="5">
        <v>4.9723756906077297E-2</v>
      </c>
      <c r="J16" s="3">
        <v>314</v>
      </c>
      <c r="K16" s="1">
        <v>45600</v>
      </c>
      <c r="L16" t="s">
        <v>25</v>
      </c>
      <c r="M16" t="s">
        <v>26</v>
      </c>
      <c r="N16" t="s">
        <v>40</v>
      </c>
      <c r="O16" t="s">
        <v>28</v>
      </c>
      <c r="P16" t="s">
        <v>59</v>
      </c>
      <c r="Q16" s="6">
        <v>1.02259668508287</v>
      </c>
      <c r="R16">
        <v>4.2</v>
      </c>
      <c r="S16">
        <v>16.829999999999998</v>
      </c>
      <c r="T16">
        <v>20.57</v>
      </c>
      <c r="U16">
        <v>69.650000000000006</v>
      </c>
      <c r="V16">
        <v>34.89</v>
      </c>
      <c r="W16">
        <v>1.7</v>
      </c>
    </row>
    <row r="17" spans="1:23" x14ac:dyDescent="0.3">
      <c r="A17">
        <v>15</v>
      </c>
      <c r="B17" t="s">
        <v>60</v>
      </c>
      <c r="C17" t="s">
        <v>38</v>
      </c>
      <c r="D17">
        <v>102</v>
      </c>
      <c r="E17">
        <v>5461</v>
      </c>
      <c r="F17" s="3">
        <v>202</v>
      </c>
      <c r="G17">
        <v>22</v>
      </c>
      <c r="H17">
        <v>8</v>
      </c>
      <c r="I17" s="5">
        <v>7.8431372549019607E-2</v>
      </c>
      <c r="J17" s="3">
        <v>358</v>
      </c>
      <c r="K17" s="1">
        <v>45625</v>
      </c>
      <c r="L17" t="s">
        <v>25</v>
      </c>
      <c r="M17" t="s">
        <v>26</v>
      </c>
      <c r="N17" t="s">
        <v>32</v>
      </c>
      <c r="O17" t="s">
        <v>28</v>
      </c>
      <c r="P17" t="s">
        <v>45</v>
      </c>
      <c r="Q17" s="6">
        <v>1.9773529411764701</v>
      </c>
      <c r="R17">
        <v>1.87</v>
      </c>
      <c r="S17">
        <v>9.17</v>
      </c>
      <c r="T17">
        <v>25.21</v>
      </c>
      <c r="U17">
        <v>77.5</v>
      </c>
      <c r="V17">
        <v>44.75</v>
      </c>
      <c r="W17">
        <v>1.78</v>
      </c>
    </row>
    <row r="18" spans="1:23" x14ac:dyDescent="0.3">
      <c r="A18">
        <v>16</v>
      </c>
      <c r="B18" t="s">
        <v>61</v>
      </c>
      <c r="C18" t="s">
        <v>38</v>
      </c>
      <c r="D18">
        <v>193</v>
      </c>
      <c r="E18">
        <v>5159</v>
      </c>
      <c r="F18" s="3">
        <v>294</v>
      </c>
      <c r="G18">
        <v>15</v>
      </c>
      <c r="H18">
        <v>9</v>
      </c>
      <c r="I18" s="5">
        <v>4.6632124352331598E-2</v>
      </c>
      <c r="J18" s="3">
        <v>329</v>
      </c>
      <c r="K18" s="1">
        <v>45606</v>
      </c>
      <c r="L18" t="s">
        <v>25</v>
      </c>
      <c r="M18" t="s">
        <v>31</v>
      </c>
      <c r="N18" t="s">
        <v>27</v>
      </c>
      <c r="O18" t="s">
        <v>28</v>
      </c>
      <c r="P18" t="s">
        <v>50</v>
      </c>
      <c r="Q18" s="6">
        <v>1.5243795620437901</v>
      </c>
      <c r="R18">
        <v>3.74</v>
      </c>
      <c r="S18">
        <v>19.61</v>
      </c>
      <c r="T18">
        <v>32.69</v>
      </c>
      <c r="U18">
        <v>11.83</v>
      </c>
      <c r="V18">
        <v>36.56</v>
      </c>
      <c r="W18">
        <v>1.1200000000000001</v>
      </c>
    </row>
    <row r="19" spans="1:23" x14ac:dyDescent="0.3">
      <c r="A19">
        <v>17</v>
      </c>
      <c r="B19" t="s">
        <v>62</v>
      </c>
      <c r="C19" t="s">
        <v>35</v>
      </c>
      <c r="D19">
        <v>149</v>
      </c>
      <c r="E19">
        <v>4431</v>
      </c>
      <c r="F19" s="3">
        <v>207</v>
      </c>
      <c r="G19">
        <v>19</v>
      </c>
      <c r="H19">
        <v>9</v>
      </c>
      <c r="I19" s="5">
        <v>6.0402684563758302E-2</v>
      </c>
      <c r="J19" s="3">
        <v>346</v>
      </c>
      <c r="K19" s="1">
        <v>45608</v>
      </c>
      <c r="L19" t="s">
        <v>25</v>
      </c>
      <c r="M19" t="s">
        <v>31</v>
      </c>
      <c r="N19" t="s">
        <v>27</v>
      </c>
      <c r="O19" t="s">
        <v>28</v>
      </c>
      <c r="P19" t="s">
        <v>41</v>
      </c>
      <c r="Q19" s="6">
        <v>1.3919463087248301</v>
      </c>
      <c r="R19">
        <v>3.36</v>
      </c>
      <c r="S19">
        <v>10.92</v>
      </c>
      <c r="T19">
        <v>23.04</v>
      </c>
      <c r="U19">
        <v>66.83</v>
      </c>
      <c r="V19">
        <v>38.44</v>
      </c>
      <c r="W19">
        <v>1.67</v>
      </c>
    </row>
    <row r="20" spans="1:23" x14ac:dyDescent="0.3">
      <c r="A20">
        <v>18</v>
      </c>
      <c r="B20" t="s">
        <v>63</v>
      </c>
      <c r="C20" t="s">
        <v>43</v>
      </c>
      <c r="D20">
        <v>150</v>
      </c>
      <c r="E20">
        <v>3113</v>
      </c>
      <c r="F20" s="3">
        <v>217</v>
      </c>
      <c r="G20">
        <v>20</v>
      </c>
      <c r="H20">
        <v>5</v>
      </c>
      <c r="I20" s="5">
        <v>3.3333333333333298E-2</v>
      </c>
      <c r="J20" s="3">
        <v>364</v>
      </c>
      <c r="K20" s="1">
        <v>45603</v>
      </c>
      <c r="L20" t="s">
        <v>25</v>
      </c>
      <c r="M20" t="s">
        <v>31</v>
      </c>
      <c r="N20" t="s">
        <v>49</v>
      </c>
      <c r="O20" t="s">
        <v>28</v>
      </c>
      <c r="P20" t="s">
        <v>54</v>
      </c>
      <c r="Q20" s="6">
        <v>1.4494</v>
      </c>
      <c r="R20">
        <v>4.82</v>
      </c>
      <c r="S20">
        <v>10.87</v>
      </c>
      <c r="T20">
        <v>43.48</v>
      </c>
      <c r="U20">
        <v>67.430000000000007</v>
      </c>
      <c r="V20">
        <v>72.8</v>
      </c>
      <c r="W20">
        <v>1.67</v>
      </c>
    </row>
    <row r="21" spans="1:23" x14ac:dyDescent="0.3">
      <c r="A21">
        <v>19</v>
      </c>
      <c r="B21" t="s">
        <v>64</v>
      </c>
      <c r="C21" t="s">
        <v>38</v>
      </c>
      <c r="D21">
        <v>145</v>
      </c>
      <c r="E21">
        <v>5278</v>
      </c>
      <c r="F21" s="3">
        <v>227</v>
      </c>
      <c r="G21">
        <v>25</v>
      </c>
      <c r="H21">
        <v>6</v>
      </c>
      <c r="I21" s="5">
        <v>4.1379310344827502E-2</v>
      </c>
      <c r="J21" s="3">
        <v>309</v>
      </c>
      <c r="K21" s="1">
        <v>45601</v>
      </c>
      <c r="L21" t="s">
        <v>25</v>
      </c>
      <c r="M21" t="s">
        <v>26</v>
      </c>
      <c r="N21" t="s">
        <v>32</v>
      </c>
      <c r="O21" t="s">
        <v>28</v>
      </c>
      <c r="P21" t="s">
        <v>41</v>
      </c>
      <c r="Q21" s="6">
        <v>1.56753061615001</v>
      </c>
      <c r="R21">
        <v>2.75</v>
      </c>
      <c r="S21">
        <v>9.09</v>
      </c>
      <c r="T21">
        <v>37.880000000000003</v>
      </c>
      <c r="U21">
        <v>35.950000000000003</v>
      </c>
      <c r="V21">
        <v>51.5</v>
      </c>
      <c r="W21">
        <v>1.36</v>
      </c>
    </row>
    <row r="22" spans="1:23" x14ac:dyDescent="0.3">
      <c r="A22">
        <v>20</v>
      </c>
      <c r="B22" t="s">
        <v>65</v>
      </c>
      <c r="C22" t="s">
        <v>38</v>
      </c>
      <c r="D22">
        <v>184</v>
      </c>
      <c r="E22">
        <v>4143</v>
      </c>
      <c r="F22" s="3">
        <v>223</v>
      </c>
      <c r="G22">
        <v>10</v>
      </c>
      <c r="H22">
        <v>10</v>
      </c>
      <c r="I22" s="5">
        <v>5.4347826086956499E-2</v>
      </c>
      <c r="J22" s="3">
        <v>354</v>
      </c>
      <c r="K22" s="1">
        <v>45617</v>
      </c>
      <c r="L22" t="s">
        <v>25</v>
      </c>
      <c r="M22" t="s">
        <v>39</v>
      </c>
      <c r="N22" t="s">
        <v>27</v>
      </c>
      <c r="O22" t="s">
        <v>28</v>
      </c>
      <c r="P22" t="s">
        <v>54</v>
      </c>
      <c r="Q22" s="6">
        <v>1.2135869565217301</v>
      </c>
      <c r="R22">
        <v>4.4400000000000004</v>
      </c>
      <c r="S22">
        <v>22.33</v>
      </c>
      <c r="T22">
        <v>22.33</v>
      </c>
      <c r="U22">
        <v>58.53</v>
      </c>
      <c r="V22">
        <v>35.4</v>
      </c>
      <c r="W22">
        <v>1.59</v>
      </c>
    </row>
    <row r="23" spans="1:23" x14ac:dyDescent="0.3">
      <c r="A23">
        <v>21</v>
      </c>
      <c r="B23" t="s">
        <v>66</v>
      </c>
      <c r="C23" t="s">
        <v>43</v>
      </c>
      <c r="D23">
        <v>171</v>
      </c>
      <c r="E23">
        <v>4154</v>
      </c>
      <c r="F23" s="3">
        <v>184</v>
      </c>
      <c r="G23">
        <v>30</v>
      </c>
      <c r="H23">
        <v>7</v>
      </c>
      <c r="I23" s="5">
        <v>4.0935672514619798E-2</v>
      </c>
      <c r="J23" s="3">
        <v>368</v>
      </c>
      <c r="K23" s="1">
        <v>45604</v>
      </c>
      <c r="L23" t="s">
        <v>25</v>
      </c>
      <c r="M23" t="s">
        <v>39</v>
      </c>
      <c r="N23" t="s">
        <v>36</v>
      </c>
      <c r="O23" t="s">
        <v>28</v>
      </c>
      <c r="P23" t="s">
        <v>45</v>
      </c>
      <c r="Q23" s="6">
        <v>1.07736842105263</v>
      </c>
      <c r="R23">
        <v>4.12</v>
      </c>
      <c r="S23">
        <v>6.14</v>
      </c>
      <c r="T23">
        <v>26.32</v>
      </c>
      <c r="U23">
        <v>99.75</v>
      </c>
      <c r="V23">
        <v>52.57</v>
      </c>
      <c r="W23">
        <v>2</v>
      </c>
    </row>
    <row r="24" spans="1:23" x14ac:dyDescent="0.3">
      <c r="A24">
        <v>22</v>
      </c>
      <c r="B24" t="s">
        <v>67</v>
      </c>
      <c r="C24" t="s">
        <v>38</v>
      </c>
      <c r="D24">
        <v>122</v>
      </c>
      <c r="E24">
        <v>5187</v>
      </c>
      <c r="F24" s="3">
        <v>211</v>
      </c>
      <c r="G24">
        <v>27</v>
      </c>
      <c r="H24">
        <v>6</v>
      </c>
      <c r="I24" s="5">
        <v>4.9180327868852403E-2</v>
      </c>
      <c r="J24" s="3">
        <v>270</v>
      </c>
      <c r="K24" s="1">
        <v>45616</v>
      </c>
      <c r="L24" t="s">
        <v>25</v>
      </c>
      <c r="M24" t="s">
        <v>26</v>
      </c>
      <c r="N24" t="s">
        <v>44</v>
      </c>
      <c r="O24" t="s">
        <v>28</v>
      </c>
      <c r="P24" t="s">
        <v>33</v>
      </c>
      <c r="Q24" s="6">
        <v>1.7314754098360601</v>
      </c>
      <c r="R24">
        <v>2.35</v>
      </c>
      <c r="S24">
        <v>7.82</v>
      </c>
      <c r="T24">
        <v>35.21</v>
      </c>
      <c r="U24">
        <v>27.82</v>
      </c>
      <c r="V24">
        <v>45</v>
      </c>
      <c r="W24">
        <v>1.28</v>
      </c>
    </row>
    <row r="25" spans="1:23" x14ac:dyDescent="0.3">
      <c r="A25">
        <v>23</v>
      </c>
      <c r="B25" t="s">
        <v>68</v>
      </c>
      <c r="C25" t="s">
        <v>35</v>
      </c>
      <c r="D25">
        <v>188</v>
      </c>
      <c r="E25">
        <v>5798</v>
      </c>
      <c r="F25" s="3">
        <v>230</v>
      </c>
      <c r="G25">
        <v>28</v>
      </c>
      <c r="H25">
        <v>5</v>
      </c>
      <c r="I25" s="5">
        <v>2.6595744680851002E-2</v>
      </c>
      <c r="J25" s="3">
        <v>296</v>
      </c>
      <c r="K25" s="1">
        <v>45626</v>
      </c>
      <c r="L25" t="s">
        <v>25</v>
      </c>
      <c r="M25" t="s">
        <v>39</v>
      </c>
      <c r="N25" t="s">
        <v>32</v>
      </c>
      <c r="O25" t="s">
        <v>28</v>
      </c>
      <c r="P25" t="s">
        <v>29</v>
      </c>
      <c r="Q25" s="6">
        <v>1.22430851063829</v>
      </c>
      <c r="R25">
        <v>3.24</v>
      </c>
      <c r="S25">
        <v>8.2200000000000006</v>
      </c>
      <c r="T25">
        <v>46.03</v>
      </c>
      <c r="U25">
        <v>28.6</v>
      </c>
      <c r="V25">
        <v>59.2</v>
      </c>
      <c r="W25">
        <v>1.29</v>
      </c>
    </row>
    <row r="26" spans="1:23" x14ac:dyDescent="0.3">
      <c r="A26">
        <v>24</v>
      </c>
      <c r="B26" t="s">
        <v>69</v>
      </c>
      <c r="C26" t="s">
        <v>24</v>
      </c>
      <c r="D26">
        <v>87</v>
      </c>
      <c r="E26">
        <v>3718</v>
      </c>
      <c r="F26" s="3">
        <v>134</v>
      </c>
      <c r="G26">
        <v>12</v>
      </c>
      <c r="H26">
        <v>3</v>
      </c>
      <c r="I26" s="5">
        <v>3.4482758620689599E-2</v>
      </c>
      <c r="J26" s="3">
        <v>337</v>
      </c>
      <c r="K26" s="1">
        <v>45616</v>
      </c>
      <c r="L26" t="s">
        <v>25</v>
      </c>
      <c r="M26" t="s">
        <v>39</v>
      </c>
      <c r="N26" t="s">
        <v>27</v>
      </c>
      <c r="O26" t="s">
        <v>28</v>
      </c>
      <c r="P26" t="s">
        <v>33</v>
      </c>
      <c r="Q26" s="6">
        <v>1.5454545454545401</v>
      </c>
      <c r="R26">
        <v>2.34</v>
      </c>
      <c r="S26">
        <v>11.2</v>
      </c>
      <c r="T26">
        <v>44.82</v>
      </c>
      <c r="U26">
        <v>150.63999999999999</v>
      </c>
      <c r="V26">
        <v>112.33</v>
      </c>
      <c r="W26">
        <v>2.5099999999999998</v>
      </c>
    </row>
    <row r="27" spans="1:23" x14ac:dyDescent="0.3">
      <c r="A27">
        <v>25</v>
      </c>
      <c r="B27" t="s">
        <v>70</v>
      </c>
      <c r="C27" t="s">
        <v>24</v>
      </c>
      <c r="D27">
        <v>88</v>
      </c>
      <c r="E27">
        <v>3349</v>
      </c>
      <c r="F27" s="3">
        <v>182</v>
      </c>
      <c r="G27">
        <v>22</v>
      </c>
      <c r="H27">
        <v>8</v>
      </c>
      <c r="I27" s="5">
        <v>9.0909090909090898E-2</v>
      </c>
      <c r="J27" s="3">
        <v>297</v>
      </c>
      <c r="K27" s="1">
        <v>45616</v>
      </c>
      <c r="L27" t="s">
        <v>25</v>
      </c>
      <c r="M27" t="s">
        <v>39</v>
      </c>
      <c r="N27" t="s">
        <v>27</v>
      </c>
      <c r="O27" t="s">
        <v>28</v>
      </c>
      <c r="P27" t="s">
        <v>33</v>
      </c>
      <c r="Q27" s="6">
        <v>2.0672727272727198</v>
      </c>
      <c r="R27">
        <v>2.63</v>
      </c>
      <c r="S27">
        <v>8.27</v>
      </c>
      <c r="T27">
        <v>22.74</v>
      </c>
      <c r="U27">
        <v>63.26</v>
      </c>
      <c r="V27">
        <v>37.119999999999997</v>
      </c>
      <c r="W27">
        <v>1.63</v>
      </c>
    </row>
    <row r="28" spans="1:23" x14ac:dyDescent="0.3">
      <c r="A28">
        <v>26</v>
      </c>
      <c r="B28" t="s">
        <v>71</v>
      </c>
      <c r="C28" t="s">
        <v>35</v>
      </c>
      <c r="D28">
        <v>119</v>
      </c>
      <c r="E28">
        <v>5323</v>
      </c>
      <c r="F28" s="3">
        <v>206</v>
      </c>
      <c r="G28">
        <v>17</v>
      </c>
      <c r="H28">
        <v>10</v>
      </c>
      <c r="I28" s="5">
        <v>8.4033613445378103E-2</v>
      </c>
      <c r="J28" s="3">
        <v>338</v>
      </c>
      <c r="K28" s="1">
        <v>45598</v>
      </c>
      <c r="L28" t="s">
        <v>25</v>
      </c>
      <c r="M28" t="s">
        <v>26</v>
      </c>
      <c r="N28" t="s">
        <v>44</v>
      </c>
      <c r="O28" t="s">
        <v>28</v>
      </c>
      <c r="P28" t="s">
        <v>29</v>
      </c>
      <c r="Q28" s="6">
        <v>1.73042016806722</v>
      </c>
      <c r="R28">
        <v>2.2400000000000002</v>
      </c>
      <c r="S28">
        <v>12.11</v>
      </c>
      <c r="T28">
        <v>20.59</v>
      </c>
      <c r="U28">
        <v>64.14</v>
      </c>
      <c r="V28">
        <v>33.799999999999997</v>
      </c>
      <c r="W28">
        <v>1.64</v>
      </c>
    </row>
    <row r="29" spans="1:23" x14ac:dyDescent="0.3">
      <c r="A29">
        <v>27</v>
      </c>
      <c r="B29" t="s">
        <v>72</v>
      </c>
      <c r="C29" t="s">
        <v>43</v>
      </c>
      <c r="D29">
        <v>160</v>
      </c>
      <c r="E29">
        <v>5286</v>
      </c>
      <c r="F29" s="3">
        <v>235</v>
      </c>
      <c r="G29">
        <v>22</v>
      </c>
      <c r="H29">
        <v>10</v>
      </c>
      <c r="I29" s="5">
        <v>6.25E-2</v>
      </c>
      <c r="J29" s="3">
        <v>344</v>
      </c>
      <c r="K29" s="1">
        <v>45617</v>
      </c>
      <c r="L29" t="s">
        <v>25</v>
      </c>
      <c r="M29" t="s">
        <v>26</v>
      </c>
      <c r="N29" t="s">
        <v>40</v>
      </c>
      <c r="O29" t="s">
        <v>28</v>
      </c>
      <c r="P29" t="s">
        <v>54</v>
      </c>
      <c r="Q29" s="6">
        <v>1.4680624999999901</v>
      </c>
      <c r="R29">
        <v>3.03</v>
      </c>
      <c r="S29">
        <v>10.68</v>
      </c>
      <c r="T29">
        <v>23.49</v>
      </c>
      <c r="U29">
        <v>46.45</v>
      </c>
      <c r="V29">
        <v>34.4</v>
      </c>
      <c r="W29">
        <v>1.46</v>
      </c>
    </row>
    <row r="30" spans="1:23" x14ac:dyDescent="0.3">
      <c r="A30">
        <v>28</v>
      </c>
      <c r="B30" t="s">
        <v>73</v>
      </c>
      <c r="C30" t="s">
        <v>35</v>
      </c>
      <c r="D30">
        <v>128</v>
      </c>
      <c r="E30">
        <v>5469</v>
      </c>
      <c r="F30" s="3">
        <v>188</v>
      </c>
      <c r="G30">
        <v>16</v>
      </c>
      <c r="H30">
        <v>3</v>
      </c>
      <c r="I30" s="5">
        <v>2.34375E-2</v>
      </c>
      <c r="J30" s="3">
        <v>364</v>
      </c>
      <c r="K30" s="1">
        <v>45619</v>
      </c>
      <c r="L30" t="s">
        <v>25</v>
      </c>
      <c r="M30" t="s">
        <v>31</v>
      </c>
      <c r="N30" t="s">
        <v>27</v>
      </c>
      <c r="O30" t="s">
        <v>28</v>
      </c>
      <c r="P30" t="s">
        <v>29</v>
      </c>
      <c r="Q30" s="6">
        <v>1.4725781250000001</v>
      </c>
      <c r="R30">
        <v>2.34</v>
      </c>
      <c r="S30">
        <v>11.78</v>
      </c>
      <c r="T30">
        <v>62.83</v>
      </c>
      <c r="U30">
        <v>93.11</v>
      </c>
      <c r="V30">
        <v>121.33</v>
      </c>
      <c r="W30">
        <v>1.93</v>
      </c>
    </row>
    <row r="31" spans="1:23" x14ac:dyDescent="0.3">
      <c r="A31">
        <v>29</v>
      </c>
      <c r="B31" t="s">
        <v>74</v>
      </c>
      <c r="C31" t="s">
        <v>38</v>
      </c>
      <c r="D31">
        <v>86</v>
      </c>
      <c r="E31">
        <v>3351</v>
      </c>
      <c r="F31" s="3">
        <v>238</v>
      </c>
      <c r="G31">
        <v>21</v>
      </c>
      <c r="H31">
        <v>9</v>
      </c>
      <c r="I31" s="5">
        <v>0.104651162790697</v>
      </c>
      <c r="J31" s="3">
        <v>403</v>
      </c>
      <c r="K31" s="1">
        <v>45609</v>
      </c>
      <c r="L31" t="s">
        <v>25</v>
      </c>
      <c r="M31" t="s">
        <v>31</v>
      </c>
      <c r="N31" t="s">
        <v>49</v>
      </c>
      <c r="O31" t="s">
        <v>28</v>
      </c>
      <c r="P31" t="s">
        <v>33</v>
      </c>
      <c r="Q31" s="6">
        <v>2.76453488372093</v>
      </c>
      <c r="R31">
        <v>2.57</v>
      </c>
      <c r="S31">
        <v>11.32</v>
      </c>
      <c r="T31">
        <v>26.42</v>
      </c>
      <c r="U31">
        <v>69.510000000000005</v>
      </c>
      <c r="V31">
        <v>44.78</v>
      </c>
      <c r="W31">
        <v>1.7</v>
      </c>
    </row>
    <row r="32" spans="1:23" x14ac:dyDescent="0.3">
      <c r="A32">
        <v>30</v>
      </c>
      <c r="B32" t="s">
        <v>75</v>
      </c>
      <c r="C32" t="s">
        <v>43</v>
      </c>
      <c r="D32">
        <v>188</v>
      </c>
      <c r="E32">
        <v>4834</v>
      </c>
      <c r="F32" s="3">
        <v>214</v>
      </c>
      <c r="G32">
        <v>15</v>
      </c>
      <c r="H32">
        <v>4</v>
      </c>
      <c r="I32" s="5">
        <v>2.1276595744680799E-2</v>
      </c>
      <c r="J32" s="3">
        <v>324</v>
      </c>
      <c r="K32" s="1">
        <v>45604</v>
      </c>
      <c r="L32" t="s">
        <v>25</v>
      </c>
      <c r="M32" t="s">
        <v>39</v>
      </c>
      <c r="N32" t="s">
        <v>44</v>
      </c>
      <c r="O32" t="s">
        <v>28</v>
      </c>
      <c r="P32" t="s">
        <v>45</v>
      </c>
      <c r="Q32" s="6">
        <v>1.1360638297872301</v>
      </c>
      <c r="R32">
        <v>3.89</v>
      </c>
      <c r="S32">
        <v>14.24</v>
      </c>
      <c r="T32">
        <v>53.4</v>
      </c>
      <c r="U32">
        <v>51.7</v>
      </c>
      <c r="V32">
        <v>81</v>
      </c>
      <c r="W32">
        <v>1.52</v>
      </c>
    </row>
    <row r="33" spans="1:23" x14ac:dyDescent="0.3">
      <c r="A33">
        <v>31</v>
      </c>
      <c r="B33" t="s">
        <v>76</v>
      </c>
      <c r="C33" t="s">
        <v>24</v>
      </c>
      <c r="D33">
        <v>113</v>
      </c>
      <c r="E33">
        <v>5065</v>
      </c>
      <c r="F33" s="3">
        <v>212</v>
      </c>
      <c r="G33">
        <v>11</v>
      </c>
      <c r="H33">
        <v>5</v>
      </c>
      <c r="I33" s="5">
        <v>4.4247787610619399E-2</v>
      </c>
      <c r="J33" s="3">
        <v>227</v>
      </c>
      <c r="K33" s="1">
        <v>45618</v>
      </c>
      <c r="L33" t="s">
        <v>25</v>
      </c>
      <c r="M33" t="s">
        <v>26</v>
      </c>
      <c r="N33" t="s">
        <v>44</v>
      </c>
      <c r="O33" t="s">
        <v>28</v>
      </c>
      <c r="P33" t="s">
        <v>45</v>
      </c>
      <c r="Q33" s="6">
        <v>1.8793805309734499</v>
      </c>
      <c r="R33">
        <v>2.23</v>
      </c>
      <c r="S33">
        <v>19.309999999999999</v>
      </c>
      <c r="T33">
        <v>42.47</v>
      </c>
      <c r="U33">
        <v>6.89</v>
      </c>
      <c r="V33">
        <v>45.4</v>
      </c>
      <c r="W33">
        <v>1.07</v>
      </c>
    </row>
    <row r="34" spans="1:23" x14ac:dyDescent="0.3">
      <c r="A34">
        <v>32</v>
      </c>
      <c r="B34" t="s">
        <v>77</v>
      </c>
      <c r="C34" t="s">
        <v>38</v>
      </c>
      <c r="D34">
        <v>117</v>
      </c>
      <c r="E34">
        <v>3872</v>
      </c>
      <c r="F34" s="3">
        <v>244</v>
      </c>
      <c r="G34">
        <v>20</v>
      </c>
      <c r="H34">
        <v>4</v>
      </c>
      <c r="I34" s="5">
        <v>3.4188034188034101E-2</v>
      </c>
      <c r="J34" s="3">
        <v>212</v>
      </c>
      <c r="K34" s="1">
        <v>45608</v>
      </c>
      <c r="L34" t="s">
        <v>25</v>
      </c>
      <c r="M34" t="s">
        <v>39</v>
      </c>
      <c r="N34" t="s">
        <v>36</v>
      </c>
      <c r="O34" t="s">
        <v>28</v>
      </c>
      <c r="P34" t="s">
        <v>41</v>
      </c>
      <c r="Q34" s="6">
        <v>2.0887179487179401</v>
      </c>
      <c r="R34">
        <v>3.02</v>
      </c>
      <c r="S34">
        <v>12.22</v>
      </c>
      <c r="T34">
        <v>61.1</v>
      </c>
      <c r="U34">
        <v>-13.25</v>
      </c>
      <c r="V34">
        <v>53</v>
      </c>
      <c r="W34">
        <v>0.87</v>
      </c>
    </row>
    <row r="35" spans="1:23" x14ac:dyDescent="0.3">
      <c r="A35">
        <v>33</v>
      </c>
      <c r="B35" t="s">
        <v>78</v>
      </c>
      <c r="C35" t="s">
        <v>43</v>
      </c>
      <c r="D35">
        <v>176</v>
      </c>
      <c r="E35">
        <v>5509</v>
      </c>
      <c r="F35" s="3">
        <v>235</v>
      </c>
      <c r="G35">
        <v>19</v>
      </c>
      <c r="H35">
        <v>7</v>
      </c>
      <c r="I35" s="5">
        <v>3.9772727272727203E-2</v>
      </c>
      <c r="J35" s="3">
        <v>349</v>
      </c>
      <c r="K35" s="1">
        <v>45599</v>
      </c>
      <c r="L35" t="s">
        <v>25</v>
      </c>
      <c r="M35" t="s">
        <v>39</v>
      </c>
      <c r="N35" t="s">
        <v>32</v>
      </c>
      <c r="O35" t="s">
        <v>28</v>
      </c>
      <c r="P35" t="s">
        <v>50</v>
      </c>
      <c r="Q35" s="6">
        <v>1.33289772727272</v>
      </c>
      <c r="R35">
        <v>3.19</v>
      </c>
      <c r="S35">
        <v>12.35</v>
      </c>
      <c r="T35">
        <v>33.51</v>
      </c>
      <c r="U35">
        <v>48.77</v>
      </c>
      <c r="V35">
        <v>49.86</v>
      </c>
      <c r="W35">
        <v>1.49</v>
      </c>
    </row>
    <row r="36" spans="1:23" x14ac:dyDescent="0.3">
      <c r="A36">
        <v>34</v>
      </c>
      <c r="B36" t="s">
        <v>79</v>
      </c>
      <c r="C36" t="s">
        <v>38</v>
      </c>
      <c r="D36">
        <v>121</v>
      </c>
      <c r="E36">
        <v>5610</v>
      </c>
      <c r="F36" s="3">
        <v>215</v>
      </c>
      <c r="G36">
        <v>23</v>
      </c>
      <c r="H36">
        <v>8</v>
      </c>
      <c r="I36" s="5">
        <v>6.6115702479338803E-2</v>
      </c>
      <c r="J36" s="3">
        <v>373.71428571428498</v>
      </c>
      <c r="K36" s="1">
        <v>45621</v>
      </c>
      <c r="L36" t="s">
        <v>25</v>
      </c>
      <c r="M36" t="s">
        <v>31</v>
      </c>
      <c r="N36" t="s">
        <v>32</v>
      </c>
      <c r="O36" t="s">
        <v>28</v>
      </c>
      <c r="P36" t="s">
        <v>59</v>
      </c>
      <c r="Q36" s="6">
        <v>1.77652892561983</v>
      </c>
      <c r="R36">
        <v>2.16</v>
      </c>
      <c r="S36">
        <v>9.35</v>
      </c>
      <c r="T36">
        <v>26.87</v>
      </c>
      <c r="U36">
        <v>73.849999999999994</v>
      </c>
      <c r="V36">
        <v>46.71</v>
      </c>
      <c r="W36">
        <v>1.74</v>
      </c>
    </row>
    <row r="37" spans="1:23" x14ac:dyDescent="0.3">
      <c r="A37">
        <v>35</v>
      </c>
      <c r="B37" t="s">
        <v>80</v>
      </c>
      <c r="C37" t="s">
        <v>24</v>
      </c>
      <c r="D37">
        <v>104</v>
      </c>
      <c r="E37">
        <v>5275</v>
      </c>
      <c r="F37" s="3">
        <v>236</v>
      </c>
      <c r="G37">
        <v>16</v>
      </c>
      <c r="H37">
        <v>9</v>
      </c>
      <c r="I37" s="5">
        <v>8.6538461538461495E-2</v>
      </c>
      <c r="J37" s="3">
        <v>372</v>
      </c>
      <c r="K37" s="1">
        <v>45597</v>
      </c>
      <c r="L37" t="s">
        <v>25</v>
      </c>
      <c r="M37" t="s">
        <v>26</v>
      </c>
      <c r="N37" t="s">
        <v>40</v>
      </c>
      <c r="O37" t="s">
        <v>28</v>
      </c>
      <c r="P37" t="s">
        <v>45</v>
      </c>
      <c r="Q37" s="6">
        <v>2.2738461538461499</v>
      </c>
      <c r="R37">
        <v>1.97</v>
      </c>
      <c r="S37">
        <v>14.78</v>
      </c>
      <c r="T37">
        <v>26.28</v>
      </c>
      <c r="U37">
        <v>57.31</v>
      </c>
      <c r="V37">
        <v>41.33</v>
      </c>
      <c r="W37">
        <v>1.57</v>
      </c>
    </row>
    <row r="38" spans="1:23" x14ac:dyDescent="0.3">
      <c r="A38">
        <v>36</v>
      </c>
      <c r="B38" t="s">
        <v>81</v>
      </c>
      <c r="C38" t="s">
        <v>35</v>
      </c>
      <c r="D38">
        <v>146</v>
      </c>
      <c r="E38">
        <v>5939</v>
      </c>
      <c r="F38" s="3">
        <v>243</v>
      </c>
      <c r="G38">
        <v>11</v>
      </c>
      <c r="H38">
        <v>8</v>
      </c>
      <c r="I38" s="5">
        <v>5.4794520547945202E-2</v>
      </c>
      <c r="J38" s="3">
        <v>374</v>
      </c>
      <c r="K38" s="1">
        <v>45603</v>
      </c>
      <c r="L38" t="s">
        <v>25</v>
      </c>
      <c r="M38" t="s">
        <v>26</v>
      </c>
      <c r="N38" t="s">
        <v>40</v>
      </c>
      <c r="O38" t="s">
        <v>28</v>
      </c>
      <c r="P38" t="s">
        <v>54</v>
      </c>
      <c r="Q38" s="6">
        <v>1.6636986301369801</v>
      </c>
      <c r="R38">
        <v>2.46</v>
      </c>
      <c r="S38">
        <v>22.08</v>
      </c>
      <c r="T38">
        <v>30.36</v>
      </c>
      <c r="U38">
        <v>53.97</v>
      </c>
      <c r="V38">
        <v>46.75</v>
      </c>
      <c r="W38">
        <v>1.54</v>
      </c>
    </row>
    <row r="39" spans="1:23" x14ac:dyDescent="0.3">
      <c r="A39">
        <v>37</v>
      </c>
      <c r="B39" t="s">
        <v>82</v>
      </c>
      <c r="C39" t="s">
        <v>38</v>
      </c>
      <c r="D39">
        <v>123</v>
      </c>
      <c r="E39">
        <v>5131</v>
      </c>
      <c r="F39" s="3">
        <v>187</v>
      </c>
      <c r="G39">
        <v>19</v>
      </c>
      <c r="H39">
        <v>5</v>
      </c>
      <c r="I39" s="5">
        <v>4.0650406504064998E-2</v>
      </c>
      <c r="J39" s="3">
        <v>267</v>
      </c>
      <c r="K39" s="1">
        <v>45605</v>
      </c>
      <c r="L39" t="s">
        <v>25</v>
      </c>
      <c r="M39" t="s">
        <v>31</v>
      </c>
      <c r="N39" t="s">
        <v>27</v>
      </c>
      <c r="O39" t="s">
        <v>28</v>
      </c>
      <c r="P39" t="s">
        <v>29</v>
      </c>
      <c r="Q39" s="6">
        <v>1.5243795620437901</v>
      </c>
      <c r="R39">
        <v>2.4</v>
      </c>
      <c r="S39">
        <v>9.8699999999999992</v>
      </c>
      <c r="T39">
        <v>37.5</v>
      </c>
      <c r="U39">
        <v>42.4</v>
      </c>
      <c r="V39">
        <v>53.4</v>
      </c>
      <c r="W39">
        <v>1.42</v>
      </c>
    </row>
    <row r="40" spans="1:23" x14ac:dyDescent="0.3">
      <c r="A40">
        <v>38</v>
      </c>
      <c r="B40" t="s">
        <v>83</v>
      </c>
      <c r="C40" t="s">
        <v>38</v>
      </c>
      <c r="D40">
        <v>90</v>
      </c>
      <c r="E40">
        <v>5786</v>
      </c>
      <c r="F40" s="3">
        <v>198</v>
      </c>
      <c r="G40">
        <v>11</v>
      </c>
      <c r="H40">
        <v>6</v>
      </c>
      <c r="I40" s="5">
        <v>6.6666666666666596E-2</v>
      </c>
      <c r="J40" s="3">
        <v>348</v>
      </c>
      <c r="K40" s="1">
        <v>45612</v>
      </c>
      <c r="L40" t="s">
        <v>25</v>
      </c>
      <c r="M40" t="s">
        <v>31</v>
      </c>
      <c r="N40" t="s">
        <v>44</v>
      </c>
      <c r="O40" t="s">
        <v>28</v>
      </c>
      <c r="P40" t="s">
        <v>29</v>
      </c>
      <c r="Q40" s="6">
        <v>2.1949999999999998</v>
      </c>
      <c r="R40">
        <v>1.56</v>
      </c>
      <c r="S40">
        <v>17.96</v>
      </c>
      <c r="T40">
        <v>32.93</v>
      </c>
      <c r="U40">
        <v>76.16</v>
      </c>
      <c r="V40">
        <v>58</v>
      </c>
      <c r="W40">
        <v>1.76</v>
      </c>
    </row>
    <row r="41" spans="1:23" x14ac:dyDescent="0.3">
      <c r="A41">
        <v>39</v>
      </c>
      <c r="B41" t="s">
        <v>84</v>
      </c>
      <c r="C41" t="s">
        <v>38</v>
      </c>
      <c r="D41">
        <v>171</v>
      </c>
      <c r="E41">
        <v>4304</v>
      </c>
      <c r="F41" s="3">
        <v>193</v>
      </c>
      <c r="G41">
        <v>17</v>
      </c>
      <c r="H41">
        <v>10</v>
      </c>
      <c r="I41" s="5">
        <v>5.8479532163742597E-2</v>
      </c>
      <c r="J41" s="3">
        <v>291</v>
      </c>
      <c r="K41" s="1">
        <v>45622</v>
      </c>
      <c r="L41" t="s">
        <v>25</v>
      </c>
      <c r="M41" t="s">
        <v>31</v>
      </c>
      <c r="N41" t="s">
        <v>27</v>
      </c>
      <c r="O41" t="s">
        <v>28</v>
      </c>
      <c r="P41" t="s">
        <v>41</v>
      </c>
      <c r="Q41" s="6">
        <v>1.12637426900584</v>
      </c>
      <c r="R41">
        <v>3.97</v>
      </c>
      <c r="S41">
        <v>11.33</v>
      </c>
      <c r="T41">
        <v>19.260000000000002</v>
      </c>
      <c r="U41">
        <v>51.08</v>
      </c>
      <c r="V41">
        <v>29.1</v>
      </c>
      <c r="W41">
        <v>1.51</v>
      </c>
    </row>
    <row r="42" spans="1:23" x14ac:dyDescent="0.3">
      <c r="A42">
        <v>40</v>
      </c>
      <c r="B42" t="s">
        <v>85</v>
      </c>
      <c r="C42" t="s">
        <v>43</v>
      </c>
      <c r="D42">
        <v>94</v>
      </c>
      <c r="E42">
        <v>5549</v>
      </c>
      <c r="F42" s="3">
        <v>231</v>
      </c>
      <c r="G42">
        <v>25</v>
      </c>
      <c r="H42">
        <v>9</v>
      </c>
      <c r="I42" s="5">
        <v>9.5744680851063801E-2</v>
      </c>
      <c r="J42" s="3">
        <v>377</v>
      </c>
      <c r="K42" s="1">
        <v>45608</v>
      </c>
      <c r="L42" t="s">
        <v>25</v>
      </c>
      <c r="M42" t="s">
        <v>31</v>
      </c>
      <c r="N42" t="s">
        <v>40</v>
      </c>
      <c r="O42" t="s">
        <v>28</v>
      </c>
      <c r="P42" t="s">
        <v>41</v>
      </c>
      <c r="Q42" s="6">
        <v>2.4598936170212702</v>
      </c>
      <c r="R42">
        <v>1.69</v>
      </c>
      <c r="S42">
        <v>9.25</v>
      </c>
      <c r="T42">
        <v>25.69</v>
      </c>
      <c r="U42">
        <v>63.04</v>
      </c>
      <c r="V42">
        <v>41.89</v>
      </c>
      <c r="W42">
        <v>1.63</v>
      </c>
    </row>
    <row r="43" spans="1:23" x14ac:dyDescent="0.3">
      <c r="A43">
        <v>41</v>
      </c>
      <c r="B43" t="s">
        <v>86</v>
      </c>
      <c r="C43" t="s">
        <v>43</v>
      </c>
      <c r="D43">
        <v>112</v>
      </c>
      <c r="E43">
        <v>4271</v>
      </c>
      <c r="F43" s="3">
        <v>196</v>
      </c>
      <c r="G43">
        <v>27</v>
      </c>
      <c r="H43">
        <v>6</v>
      </c>
      <c r="I43" s="5">
        <v>5.3571428571428499E-2</v>
      </c>
      <c r="J43" s="3">
        <v>247</v>
      </c>
      <c r="K43" s="1">
        <v>45610</v>
      </c>
      <c r="L43" t="s">
        <v>25</v>
      </c>
      <c r="M43" t="s">
        <v>26</v>
      </c>
      <c r="N43" t="s">
        <v>36</v>
      </c>
      <c r="O43" t="s">
        <v>28</v>
      </c>
      <c r="P43" t="s">
        <v>54</v>
      </c>
      <c r="Q43" s="6">
        <v>1.7506249999999901</v>
      </c>
      <c r="R43">
        <v>2.62</v>
      </c>
      <c r="S43">
        <v>7.26</v>
      </c>
      <c r="T43">
        <v>32.68</v>
      </c>
      <c r="U43">
        <v>25.98</v>
      </c>
      <c r="V43">
        <v>41.17</v>
      </c>
      <c r="W43">
        <v>1.26</v>
      </c>
    </row>
    <row r="44" spans="1:23" x14ac:dyDescent="0.3">
      <c r="A44">
        <v>42</v>
      </c>
      <c r="B44" t="s">
        <v>87</v>
      </c>
      <c r="C44" t="s">
        <v>38</v>
      </c>
      <c r="D44">
        <v>113</v>
      </c>
      <c r="E44">
        <v>4418</v>
      </c>
      <c r="F44" s="3">
        <v>192</v>
      </c>
      <c r="G44">
        <v>27</v>
      </c>
      <c r="H44">
        <v>10</v>
      </c>
      <c r="I44" s="5">
        <v>8.8495575221238895E-2</v>
      </c>
      <c r="J44" s="3">
        <v>333</v>
      </c>
      <c r="K44" s="1">
        <v>45605</v>
      </c>
      <c r="L44" t="s">
        <v>25</v>
      </c>
      <c r="M44" t="s">
        <v>31</v>
      </c>
      <c r="N44" t="s">
        <v>32</v>
      </c>
      <c r="O44" t="s">
        <v>28</v>
      </c>
      <c r="P44" t="s">
        <v>29</v>
      </c>
      <c r="Q44" s="6">
        <v>1.69513274336283</v>
      </c>
      <c r="R44">
        <v>2.56</v>
      </c>
      <c r="S44">
        <v>7.09</v>
      </c>
      <c r="T44">
        <v>19.16</v>
      </c>
      <c r="U44">
        <v>73.84</v>
      </c>
      <c r="V44">
        <v>33.299999999999997</v>
      </c>
      <c r="W44">
        <v>1.74</v>
      </c>
    </row>
    <row r="45" spans="1:23" x14ac:dyDescent="0.3">
      <c r="A45">
        <v>43</v>
      </c>
      <c r="B45" t="s">
        <v>88</v>
      </c>
      <c r="C45" t="s">
        <v>35</v>
      </c>
      <c r="D45">
        <v>145</v>
      </c>
      <c r="E45">
        <v>3721</v>
      </c>
      <c r="F45" s="3">
        <v>181</v>
      </c>
      <c r="G45">
        <v>21</v>
      </c>
      <c r="H45">
        <v>7</v>
      </c>
      <c r="I45" s="5">
        <v>4.8275862068965503E-2</v>
      </c>
      <c r="J45" s="3">
        <v>400</v>
      </c>
      <c r="K45" s="1">
        <v>45625</v>
      </c>
      <c r="L45" t="s">
        <v>25</v>
      </c>
      <c r="M45" t="s">
        <v>26</v>
      </c>
      <c r="N45" t="s">
        <v>36</v>
      </c>
      <c r="O45" t="s">
        <v>28</v>
      </c>
      <c r="P45" t="s">
        <v>45</v>
      </c>
      <c r="Q45" s="6">
        <v>1.2479310344827499</v>
      </c>
      <c r="R45">
        <v>3.9</v>
      </c>
      <c r="S45">
        <v>8.6199999999999992</v>
      </c>
      <c r="T45">
        <v>25.85</v>
      </c>
      <c r="U45">
        <v>121.06</v>
      </c>
      <c r="V45">
        <v>57.14</v>
      </c>
      <c r="W45">
        <v>2.21</v>
      </c>
    </row>
    <row r="46" spans="1:23" x14ac:dyDescent="0.3">
      <c r="A46">
        <v>44</v>
      </c>
      <c r="B46" t="s">
        <v>89</v>
      </c>
      <c r="C46" t="s">
        <v>24</v>
      </c>
      <c r="D46">
        <v>197</v>
      </c>
      <c r="E46">
        <v>5783</v>
      </c>
      <c r="F46" s="3">
        <v>204</v>
      </c>
      <c r="G46">
        <v>23</v>
      </c>
      <c r="H46">
        <v>6</v>
      </c>
      <c r="I46" s="5">
        <v>3.0456852791878101E-2</v>
      </c>
      <c r="J46" s="3">
        <v>353</v>
      </c>
      <c r="K46" s="1">
        <v>45597</v>
      </c>
      <c r="L46" t="s">
        <v>25</v>
      </c>
      <c r="M46" t="s">
        <v>39</v>
      </c>
      <c r="N46" t="s">
        <v>40</v>
      </c>
      <c r="O46" t="s">
        <v>28</v>
      </c>
      <c r="P46" t="s">
        <v>45</v>
      </c>
      <c r="Q46" s="6">
        <v>1.03786802030456</v>
      </c>
      <c r="R46">
        <v>3.41</v>
      </c>
      <c r="S46">
        <v>8.89</v>
      </c>
      <c r="T46">
        <v>34.08</v>
      </c>
      <c r="U46">
        <v>72.650000000000006</v>
      </c>
      <c r="V46">
        <v>58.83</v>
      </c>
      <c r="W46">
        <v>1.73</v>
      </c>
    </row>
    <row r="47" spans="1:23" x14ac:dyDescent="0.3">
      <c r="A47">
        <v>45</v>
      </c>
      <c r="B47" t="s">
        <v>90</v>
      </c>
      <c r="C47" t="s">
        <v>24</v>
      </c>
      <c r="D47">
        <v>109</v>
      </c>
      <c r="E47">
        <v>4866</v>
      </c>
      <c r="F47" s="3">
        <v>237</v>
      </c>
      <c r="G47">
        <v>27</v>
      </c>
      <c r="H47">
        <v>5</v>
      </c>
      <c r="I47" s="5">
        <v>4.5871559633027498E-2</v>
      </c>
      <c r="J47" s="3">
        <v>323</v>
      </c>
      <c r="K47" s="1">
        <v>45611</v>
      </c>
      <c r="L47" t="s">
        <v>25</v>
      </c>
      <c r="M47" t="s">
        <v>31</v>
      </c>
      <c r="N47" t="s">
        <v>44</v>
      </c>
      <c r="O47" t="s">
        <v>28</v>
      </c>
      <c r="P47" t="s">
        <v>45</v>
      </c>
      <c r="Q47" s="6">
        <v>2.1722935779816499</v>
      </c>
      <c r="R47">
        <v>2.2400000000000002</v>
      </c>
      <c r="S47">
        <v>8.77</v>
      </c>
      <c r="T47">
        <v>47.36</v>
      </c>
      <c r="U47">
        <v>36.409999999999997</v>
      </c>
      <c r="V47">
        <v>64.599999999999994</v>
      </c>
      <c r="W47">
        <v>1.36</v>
      </c>
    </row>
    <row r="48" spans="1:23" x14ac:dyDescent="0.3">
      <c r="A48">
        <v>46</v>
      </c>
      <c r="B48" t="s">
        <v>91</v>
      </c>
      <c r="C48" t="s">
        <v>35</v>
      </c>
      <c r="D48">
        <v>188</v>
      </c>
      <c r="E48">
        <v>5857</v>
      </c>
      <c r="F48" s="3">
        <v>223</v>
      </c>
      <c r="G48">
        <v>20</v>
      </c>
      <c r="H48">
        <v>4</v>
      </c>
      <c r="I48" s="5">
        <v>2.1276595744680799E-2</v>
      </c>
      <c r="J48" s="3">
        <v>266</v>
      </c>
      <c r="K48" s="1">
        <v>45607</v>
      </c>
      <c r="L48" t="s">
        <v>25</v>
      </c>
      <c r="M48" t="s">
        <v>26</v>
      </c>
      <c r="N48" t="s">
        <v>40</v>
      </c>
      <c r="O48" t="s">
        <v>28</v>
      </c>
      <c r="P48" t="s">
        <v>59</v>
      </c>
      <c r="Q48" s="6">
        <v>1.1860638297872299</v>
      </c>
      <c r="R48">
        <v>3.21</v>
      </c>
      <c r="S48">
        <v>11.15</v>
      </c>
      <c r="T48">
        <v>55.74</v>
      </c>
      <c r="U48">
        <v>19.29</v>
      </c>
      <c r="V48">
        <v>66.5</v>
      </c>
      <c r="W48">
        <v>1.19</v>
      </c>
    </row>
    <row r="49" spans="1:23" x14ac:dyDescent="0.3">
      <c r="A49">
        <v>47</v>
      </c>
      <c r="B49" t="s">
        <v>92</v>
      </c>
      <c r="C49" t="s">
        <v>43</v>
      </c>
      <c r="D49">
        <v>142</v>
      </c>
      <c r="E49">
        <v>5103</v>
      </c>
      <c r="F49" s="3">
        <v>234</v>
      </c>
      <c r="G49">
        <v>24</v>
      </c>
      <c r="H49">
        <v>3</v>
      </c>
      <c r="I49" s="5">
        <v>2.1126760563380202E-2</v>
      </c>
      <c r="J49" s="3">
        <v>374</v>
      </c>
      <c r="K49" s="1">
        <v>45604</v>
      </c>
      <c r="L49" t="s">
        <v>25</v>
      </c>
      <c r="M49" t="s">
        <v>31</v>
      </c>
      <c r="N49" t="s">
        <v>49</v>
      </c>
      <c r="O49" t="s">
        <v>28</v>
      </c>
      <c r="P49" t="s">
        <v>45</v>
      </c>
      <c r="Q49" s="6">
        <v>1.6485915492957699</v>
      </c>
      <c r="R49">
        <v>2.78</v>
      </c>
      <c r="S49">
        <v>9.75</v>
      </c>
      <c r="T49">
        <v>78.03</v>
      </c>
      <c r="U49">
        <v>59.76</v>
      </c>
      <c r="V49">
        <v>124.67</v>
      </c>
      <c r="W49">
        <v>1.6</v>
      </c>
    </row>
    <row r="50" spans="1:23" x14ac:dyDescent="0.3">
      <c r="A50">
        <v>48</v>
      </c>
      <c r="B50" t="s">
        <v>93</v>
      </c>
      <c r="C50" t="s">
        <v>38</v>
      </c>
      <c r="D50">
        <v>168</v>
      </c>
      <c r="E50">
        <v>4653</v>
      </c>
      <c r="F50" s="3">
        <v>241</v>
      </c>
      <c r="G50">
        <v>27</v>
      </c>
      <c r="H50">
        <v>9</v>
      </c>
      <c r="I50" s="5">
        <v>5.3571428571428499E-2</v>
      </c>
      <c r="J50" s="3">
        <v>279</v>
      </c>
      <c r="K50" s="1">
        <v>45620</v>
      </c>
      <c r="L50" t="s">
        <v>25</v>
      </c>
      <c r="M50" t="s">
        <v>31</v>
      </c>
      <c r="N50" t="s">
        <v>44</v>
      </c>
      <c r="O50" t="s">
        <v>28</v>
      </c>
      <c r="P50" t="s">
        <v>50</v>
      </c>
      <c r="Q50" s="6">
        <v>1.4335714285714201</v>
      </c>
      <c r="R50">
        <v>3.61</v>
      </c>
      <c r="S50">
        <v>8.92</v>
      </c>
      <c r="T50">
        <v>26.76</v>
      </c>
      <c r="U50">
        <v>15.84</v>
      </c>
      <c r="V50">
        <v>31</v>
      </c>
      <c r="W50">
        <v>1.1599999999999999</v>
      </c>
    </row>
    <row r="51" spans="1:23" x14ac:dyDescent="0.3">
      <c r="A51">
        <v>49</v>
      </c>
      <c r="B51" t="s">
        <v>94</v>
      </c>
      <c r="C51" t="s">
        <v>38</v>
      </c>
      <c r="D51">
        <v>110</v>
      </c>
      <c r="E51">
        <v>3524</v>
      </c>
      <c r="F51" s="3">
        <v>249</v>
      </c>
      <c r="G51">
        <v>19</v>
      </c>
      <c r="H51">
        <v>10</v>
      </c>
      <c r="I51" s="5">
        <v>9.0909090909090898E-2</v>
      </c>
      <c r="J51" s="3">
        <v>311</v>
      </c>
      <c r="K51" s="1">
        <v>45617</v>
      </c>
      <c r="L51" t="s">
        <v>25</v>
      </c>
      <c r="M51" t="s">
        <v>31</v>
      </c>
      <c r="N51" t="s">
        <v>27</v>
      </c>
      <c r="O51" t="s">
        <v>28</v>
      </c>
      <c r="P51" t="s">
        <v>54</v>
      </c>
      <c r="Q51" s="6">
        <v>2.2623636363636299</v>
      </c>
      <c r="R51">
        <v>3.12</v>
      </c>
      <c r="S51">
        <v>13.1</v>
      </c>
      <c r="T51">
        <v>24.89</v>
      </c>
      <c r="U51">
        <v>24.97</v>
      </c>
      <c r="V51">
        <v>31.1</v>
      </c>
      <c r="W51">
        <v>1.25</v>
      </c>
    </row>
    <row r="52" spans="1:23" x14ac:dyDescent="0.3">
      <c r="A52">
        <v>50</v>
      </c>
      <c r="B52" t="s">
        <v>95</v>
      </c>
      <c r="C52" t="s">
        <v>38</v>
      </c>
      <c r="D52">
        <v>192</v>
      </c>
      <c r="E52">
        <v>5938</v>
      </c>
      <c r="F52" s="3">
        <v>183</v>
      </c>
      <c r="G52">
        <v>26</v>
      </c>
      <c r="H52">
        <v>5</v>
      </c>
      <c r="I52" s="5">
        <v>2.6041666666666598E-2</v>
      </c>
      <c r="J52" s="3">
        <v>220</v>
      </c>
      <c r="K52" s="1">
        <v>45608</v>
      </c>
      <c r="L52" t="s">
        <v>25</v>
      </c>
      <c r="M52" t="s">
        <v>31</v>
      </c>
      <c r="N52" t="s">
        <v>49</v>
      </c>
      <c r="O52" t="s">
        <v>28</v>
      </c>
      <c r="P52" t="s">
        <v>41</v>
      </c>
      <c r="Q52" s="6">
        <v>0.95229166666666598</v>
      </c>
      <c r="R52">
        <v>3.23</v>
      </c>
      <c r="S52">
        <v>7.03</v>
      </c>
      <c r="T52">
        <v>36.57</v>
      </c>
      <c r="U52">
        <v>20.32</v>
      </c>
      <c r="V52">
        <v>44</v>
      </c>
      <c r="W52">
        <v>1.2</v>
      </c>
    </row>
    <row r="53" spans="1:23" x14ac:dyDescent="0.3">
      <c r="A53">
        <v>51</v>
      </c>
      <c r="B53" t="s">
        <v>96</v>
      </c>
      <c r="C53" t="s">
        <v>43</v>
      </c>
      <c r="D53">
        <v>101</v>
      </c>
      <c r="E53">
        <v>3942</v>
      </c>
      <c r="F53" s="3">
        <v>207</v>
      </c>
      <c r="G53">
        <v>16</v>
      </c>
      <c r="H53">
        <v>5</v>
      </c>
      <c r="I53" s="5">
        <v>4.95049504950495E-2</v>
      </c>
      <c r="J53" s="3">
        <v>356</v>
      </c>
      <c r="K53" s="1">
        <v>45620</v>
      </c>
      <c r="L53" t="s">
        <v>25</v>
      </c>
      <c r="M53" t="s">
        <v>39</v>
      </c>
      <c r="N53" t="s">
        <v>49</v>
      </c>
      <c r="O53" t="s">
        <v>28</v>
      </c>
      <c r="P53" t="s">
        <v>50</v>
      </c>
      <c r="Q53" s="6">
        <v>2.04574257425742</v>
      </c>
      <c r="R53">
        <v>2.56</v>
      </c>
      <c r="S53">
        <v>12.91</v>
      </c>
      <c r="T53">
        <v>41.32</v>
      </c>
      <c r="U53">
        <v>72.3</v>
      </c>
      <c r="V53">
        <v>71.2</v>
      </c>
      <c r="W53">
        <v>1.72</v>
      </c>
    </row>
    <row r="54" spans="1:23" x14ac:dyDescent="0.3">
      <c r="A54">
        <v>52</v>
      </c>
      <c r="B54" t="s">
        <v>97</v>
      </c>
      <c r="C54" t="s">
        <v>43</v>
      </c>
      <c r="D54">
        <v>157</v>
      </c>
      <c r="E54">
        <v>3315</v>
      </c>
      <c r="F54" s="3">
        <v>190</v>
      </c>
      <c r="G54">
        <v>15</v>
      </c>
      <c r="H54">
        <v>10</v>
      </c>
      <c r="I54" s="5">
        <v>6.3694267515923497E-2</v>
      </c>
      <c r="J54" s="3">
        <v>209</v>
      </c>
      <c r="K54" s="1">
        <v>45621</v>
      </c>
      <c r="L54" t="s">
        <v>25</v>
      </c>
      <c r="M54" t="s">
        <v>31</v>
      </c>
      <c r="N54" t="s">
        <v>44</v>
      </c>
      <c r="O54" t="s">
        <v>28</v>
      </c>
      <c r="P54" t="s">
        <v>59</v>
      </c>
      <c r="Q54" s="6">
        <v>1.2073885350318401</v>
      </c>
      <c r="R54">
        <v>4.74</v>
      </c>
      <c r="S54">
        <v>12.64</v>
      </c>
      <c r="T54">
        <v>18.96</v>
      </c>
      <c r="U54">
        <v>10.26</v>
      </c>
      <c r="V54">
        <v>20.9</v>
      </c>
      <c r="W54">
        <v>1.1000000000000001</v>
      </c>
    </row>
    <row r="55" spans="1:23" x14ac:dyDescent="0.3">
      <c r="A55">
        <v>53</v>
      </c>
      <c r="B55" t="s">
        <v>98</v>
      </c>
      <c r="C55" t="s">
        <v>35</v>
      </c>
      <c r="D55">
        <v>113</v>
      </c>
      <c r="E55">
        <v>4945</v>
      </c>
      <c r="F55" s="3">
        <v>188</v>
      </c>
      <c r="G55">
        <v>15</v>
      </c>
      <c r="H55">
        <v>10</v>
      </c>
      <c r="I55" s="5">
        <v>8.8495575221238895E-2</v>
      </c>
      <c r="J55" s="3">
        <v>319</v>
      </c>
      <c r="K55" s="1">
        <v>45622</v>
      </c>
      <c r="L55" t="s">
        <v>25</v>
      </c>
      <c r="M55" t="s">
        <v>39</v>
      </c>
      <c r="N55" t="s">
        <v>27</v>
      </c>
      <c r="O55" t="s">
        <v>28</v>
      </c>
      <c r="P55" t="s">
        <v>41</v>
      </c>
      <c r="Q55" s="6">
        <v>1.6607079646017699</v>
      </c>
      <c r="R55">
        <v>2.29</v>
      </c>
      <c r="S55">
        <v>12.51</v>
      </c>
      <c r="T55">
        <v>18.77</v>
      </c>
      <c r="U55">
        <v>69.989999999999995</v>
      </c>
      <c r="V55">
        <v>31.9</v>
      </c>
      <c r="W55">
        <v>1.7</v>
      </c>
    </row>
    <row r="56" spans="1:23" x14ac:dyDescent="0.3">
      <c r="A56">
        <v>54</v>
      </c>
      <c r="B56" t="s">
        <v>99</v>
      </c>
      <c r="C56" t="s">
        <v>38</v>
      </c>
      <c r="D56">
        <v>96</v>
      </c>
      <c r="E56">
        <v>3166</v>
      </c>
      <c r="F56" s="3">
        <v>196</v>
      </c>
      <c r="G56">
        <v>29</v>
      </c>
      <c r="H56">
        <v>7</v>
      </c>
      <c r="I56" s="5">
        <v>7.2916666666666602E-2</v>
      </c>
      <c r="J56" s="3">
        <v>388</v>
      </c>
      <c r="K56" s="1">
        <v>45622</v>
      </c>
      <c r="L56" t="s">
        <v>25</v>
      </c>
      <c r="M56" t="s">
        <v>26</v>
      </c>
      <c r="N56" t="s">
        <v>27</v>
      </c>
      <c r="O56" t="s">
        <v>28</v>
      </c>
      <c r="P56" t="s">
        <v>41</v>
      </c>
      <c r="Q56" s="6">
        <v>2.0432291666666602</v>
      </c>
      <c r="R56">
        <v>3.03</v>
      </c>
      <c r="S56">
        <v>6.76</v>
      </c>
      <c r="T56">
        <v>28.02</v>
      </c>
      <c r="U56">
        <v>97.81</v>
      </c>
      <c r="V56">
        <v>55.43</v>
      </c>
      <c r="W56">
        <v>1.98</v>
      </c>
    </row>
    <row r="57" spans="1:23" x14ac:dyDescent="0.3">
      <c r="A57">
        <v>55</v>
      </c>
      <c r="B57" t="s">
        <v>100</v>
      </c>
      <c r="C57" t="s">
        <v>38</v>
      </c>
      <c r="D57">
        <v>125</v>
      </c>
      <c r="E57">
        <v>4223</v>
      </c>
      <c r="F57" s="3">
        <v>184</v>
      </c>
      <c r="G57">
        <v>15</v>
      </c>
      <c r="H57">
        <v>6</v>
      </c>
      <c r="I57" s="5">
        <v>4.8000000000000001E-2</v>
      </c>
      <c r="J57" s="3">
        <v>259</v>
      </c>
      <c r="K57" s="1">
        <v>45601</v>
      </c>
      <c r="L57" t="s">
        <v>25</v>
      </c>
      <c r="M57" t="s">
        <v>26</v>
      </c>
      <c r="N57" t="s">
        <v>36</v>
      </c>
      <c r="O57" t="s">
        <v>28</v>
      </c>
      <c r="P57" t="s">
        <v>41</v>
      </c>
      <c r="Q57" s="6">
        <v>1.4694400000000001</v>
      </c>
      <c r="R57">
        <v>2.96</v>
      </c>
      <c r="S57">
        <v>12.25</v>
      </c>
      <c r="T57">
        <v>30.61</v>
      </c>
      <c r="U57">
        <v>41.01</v>
      </c>
      <c r="V57">
        <v>43.17</v>
      </c>
      <c r="W57">
        <v>1.41</v>
      </c>
    </row>
    <row r="58" spans="1:23" x14ac:dyDescent="0.3">
      <c r="A58">
        <v>56</v>
      </c>
      <c r="B58" t="s">
        <v>101</v>
      </c>
      <c r="C58" t="s">
        <v>38</v>
      </c>
      <c r="D58">
        <v>104</v>
      </c>
      <c r="E58">
        <v>4798</v>
      </c>
      <c r="F58" s="3">
        <v>210</v>
      </c>
      <c r="G58">
        <v>18</v>
      </c>
      <c r="H58">
        <v>3</v>
      </c>
      <c r="I58" s="5">
        <v>2.8846153846153799E-2</v>
      </c>
      <c r="J58" s="3">
        <v>273</v>
      </c>
      <c r="K58" s="1">
        <v>45617</v>
      </c>
      <c r="L58" t="s">
        <v>25</v>
      </c>
      <c r="M58" t="s">
        <v>26</v>
      </c>
      <c r="N58" t="s">
        <v>49</v>
      </c>
      <c r="O58" t="s">
        <v>28</v>
      </c>
      <c r="P58" t="s">
        <v>54</v>
      </c>
      <c r="Q58" s="6">
        <v>2.0201923076922998</v>
      </c>
      <c r="R58">
        <v>2.17</v>
      </c>
      <c r="S58">
        <v>11.67</v>
      </c>
      <c r="T58">
        <v>70.03</v>
      </c>
      <c r="U58">
        <v>29.94</v>
      </c>
      <c r="V58">
        <v>91</v>
      </c>
      <c r="W58">
        <v>1.3</v>
      </c>
    </row>
    <row r="59" spans="1:23" x14ac:dyDescent="0.3">
      <c r="A59">
        <v>57</v>
      </c>
      <c r="B59" t="s">
        <v>102</v>
      </c>
      <c r="C59" t="s">
        <v>35</v>
      </c>
      <c r="D59">
        <v>194</v>
      </c>
      <c r="E59">
        <v>5655</v>
      </c>
      <c r="F59" s="3">
        <v>209</v>
      </c>
      <c r="G59">
        <v>13</v>
      </c>
      <c r="H59">
        <v>6</v>
      </c>
      <c r="I59" s="5">
        <v>3.0927835051546299E-2</v>
      </c>
      <c r="J59" s="3">
        <v>345</v>
      </c>
      <c r="K59" s="1">
        <v>45612</v>
      </c>
      <c r="L59" t="s">
        <v>25</v>
      </c>
      <c r="M59" t="s">
        <v>31</v>
      </c>
      <c r="N59" t="s">
        <v>40</v>
      </c>
      <c r="O59" t="s">
        <v>28</v>
      </c>
      <c r="P59" t="s">
        <v>29</v>
      </c>
      <c r="Q59" s="6">
        <v>1.07515463917525</v>
      </c>
      <c r="R59">
        <v>3.43</v>
      </c>
      <c r="S59">
        <v>16.04</v>
      </c>
      <c r="T59">
        <v>34.76</v>
      </c>
      <c r="U59">
        <v>65.400000000000006</v>
      </c>
      <c r="V59">
        <v>57.5</v>
      </c>
      <c r="W59">
        <v>1.65</v>
      </c>
    </row>
    <row r="60" spans="1:23" x14ac:dyDescent="0.3">
      <c r="A60">
        <v>58</v>
      </c>
      <c r="B60" t="s">
        <v>103</v>
      </c>
      <c r="C60" t="s">
        <v>24</v>
      </c>
      <c r="D60">
        <v>144</v>
      </c>
      <c r="E60">
        <v>5140</v>
      </c>
      <c r="F60" s="3">
        <v>219</v>
      </c>
      <c r="G60">
        <v>19</v>
      </c>
      <c r="H60">
        <v>8</v>
      </c>
      <c r="I60" s="5">
        <v>5.5555555555555497E-2</v>
      </c>
      <c r="J60" s="3">
        <v>215</v>
      </c>
      <c r="K60" s="1">
        <v>45614</v>
      </c>
      <c r="L60" t="s">
        <v>25</v>
      </c>
      <c r="M60" t="s">
        <v>26</v>
      </c>
      <c r="N60" t="s">
        <v>36</v>
      </c>
      <c r="O60" t="s">
        <v>28</v>
      </c>
      <c r="P60" t="s">
        <v>59</v>
      </c>
      <c r="Q60" s="6">
        <v>1.52416666666666</v>
      </c>
      <c r="R60">
        <v>2.8</v>
      </c>
      <c r="S60">
        <v>11.55</v>
      </c>
      <c r="T60">
        <v>27.44</v>
      </c>
      <c r="U60">
        <v>-2.04</v>
      </c>
      <c r="V60">
        <v>26.88</v>
      </c>
      <c r="W60">
        <v>0.98</v>
      </c>
    </row>
    <row r="61" spans="1:23" x14ac:dyDescent="0.3">
      <c r="A61">
        <v>59</v>
      </c>
      <c r="B61" t="s">
        <v>104</v>
      </c>
      <c r="C61" t="s">
        <v>43</v>
      </c>
      <c r="D61">
        <v>179</v>
      </c>
      <c r="E61">
        <v>3025</v>
      </c>
      <c r="F61" s="3">
        <v>239</v>
      </c>
      <c r="G61">
        <v>17</v>
      </c>
      <c r="H61">
        <v>3</v>
      </c>
      <c r="I61" s="5">
        <v>1.67597765363128E-2</v>
      </c>
      <c r="J61" s="3">
        <v>140.142857142857</v>
      </c>
      <c r="K61" s="1">
        <v>45607</v>
      </c>
      <c r="L61" t="s">
        <v>25</v>
      </c>
      <c r="M61" t="s">
        <v>31</v>
      </c>
      <c r="N61" t="s">
        <v>36</v>
      </c>
      <c r="O61" t="s">
        <v>28</v>
      </c>
      <c r="P61" t="s">
        <v>59</v>
      </c>
      <c r="Q61" s="6">
        <v>1.3341340782122899</v>
      </c>
      <c r="R61">
        <v>5.92</v>
      </c>
      <c r="S61">
        <v>14.05</v>
      </c>
      <c r="T61">
        <v>79.599999999999994</v>
      </c>
      <c r="U61">
        <v>-41.32</v>
      </c>
      <c r="V61">
        <v>46.71</v>
      </c>
      <c r="W61">
        <v>0.59</v>
      </c>
    </row>
    <row r="62" spans="1:23" x14ac:dyDescent="0.3">
      <c r="A62">
        <v>60</v>
      </c>
      <c r="B62" t="s">
        <v>105</v>
      </c>
      <c r="C62" t="s">
        <v>43</v>
      </c>
      <c r="D62">
        <v>166</v>
      </c>
      <c r="E62">
        <v>5223</v>
      </c>
      <c r="F62" s="3">
        <v>190</v>
      </c>
      <c r="G62">
        <v>18</v>
      </c>
      <c r="H62">
        <v>7</v>
      </c>
      <c r="I62" s="5">
        <v>4.2168674698795101E-2</v>
      </c>
      <c r="J62" s="3">
        <v>249</v>
      </c>
      <c r="K62" s="1">
        <v>45612</v>
      </c>
      <c r="L62" t="s">
        <v>25</v>
      </c>
      <c r="M62" t="s">
        <v>39</v>
      </c>
      <c r="N62" t="s">
        <v>32</v>
      </c>
      <c r="O62" t="s">
        <v>28</v>
      </c>
      <c r="P62" t="s">
        <v>29</v>
      </c>
      <c r="Q62" s="6">
        <v>1.14313253012048</v>
      </c>
      <c r="R62">
        <v>3.18</v>
      </c>
      <c r="S62">
        <v>10.54</v>
      </c>
      <c r="T62">
        <v>27.11</v>
      </c>
      <c r="U62">
        <v>31.22</v>
      </c>
      <c r="V62">
        <v>35.57</v>
      </c>
      <c r="W62">
        <v>1.31</v>
      </c>
    </row>
    <row r="63" spans="1:23" x14ac:dyDescent="0.3">
      <c r="A63">
        <v>61</v>
      </c>
      <c r="B63" t="s">
        <v>106</v>
      </c>
      <c r="C63" t="s">
        <v>38</v>
      </c>
      <c r="D63">
        <v>166</v>
      </c>
      <c r="E63">
        <v>5089</v>
      </c>
      <c r="F63" s="3">
        <v>257</v>
      </c>
      <c r="G63">
        <v>26</v>
      </c>
      <c r="H63">
        <v>7</v>
      </c>
      <c r="I63" s="5">
        <v>4.2168674698795101E-2</v>
      </c>
      <c r="J63" s="3">
        <v>397</v>
      </c>
      <c r="K63" s="1">
        <v>45607</v>
      </c>
      <c r="L63" t="s">
        <v>25</v>
      </c>
      <c r="M63" t="s">
        <v>39</v>
      </c>
      <c r="N63" t="s">
        <v>49</v>
      </c>
      <c r="O63" t="s">
        <v>28</v>
      </c>
      <c r="P63" t="s">
        <v>59</v>
      </c>
      <c r="Q63" s="6">
        <v>1.5454545454545401</v>
      </c>
      <c r="R63">
        <v>3.26</v>
      </c>
      <c r="S63">
        <v>9.8699999999999992</v>
      </c>
      <c r="T63">
        <v>36.65</v>
      </c>
      <c r="U63">
        <v>54.75</v>
      </c>
      <c r="V63">
        <v>56.71</v>
      </c>
      <c r="W63">
        <v>1.55</v>
      </c>
    </row>
    <row r="64" spans="1:23" x14ac:dyDescent="0.3">
      <c r="A64">
        <v>62</v>
      </c>
      <c r="B64" t="s">
        <v>107</v>
      </c>
      <c r="C64" t="s">
        <v>35</v>
      </c>
      <c r="D64">
        <v>118</v>
      </c>
      <c r="E64">
        <v>5016</v>
      </c>
      <c r="F64" s="3">
        <v>204</v>
      </c>
      <c r="G64">
        <v>19</v>
      </c>
      <c r="H64">
        <v>9</v>
      </c>
      <c r="I64" s="5">
        <v>7.6271186440677902E-2</v>
      </c>
      <c r="J64" s="3">
        <v>374</v>
      </c>
      <c r="K64" s="1">
        <v>45604</v>
      </c>
      <c r="L64" t="s">
        <v>25</v>
      </c>
      <c r="M64" t="s">
        <v>26</v>
      </c>
      <c r="N64" t="s">
        <v>49</v>
      </c>
      <c r="O64" t="s">
        <v>28</v>
      </c>
      <c r="P64" t="s">
        <v>45</v>
      </c>
      <c r="Q64" s="6">
        <v>1.7314406779661</v>
      </c>
      <c r="R64">
        <v>2.35</v>
      </c>
      <c r="S64">
        <v>10.75</v>
      </c>
      <c r="T64">
        <v>22.7</v>
      </c>
      <c r="U64">
        <v>83.06</v>
      </c>
      <c r="V64">
        <v>41.56</v>
      </c>
      <c r="W64">
        <v>1.83</v>
      </c>
    </row>
    <row r="65" spans="1:23" x14ac:dyDescent="0.3">
      <c r="A65">
        <v>63</v>
      </c>
      <c r="B65" t="s">
        <v>108</v>
      </c>
      <c r="C65" t="s">
        <v>24</v>
      </c>
      <c r="D65">
        <v>185</v>
      </c>
      <c r="E65">
        <v>3617</v>
      </c>
      <c r="F65" s="3">
        <v>222</v>
      </c>
      <c r="G65">
        <v>24</v>
      </c>
      <c r="H65">
        <v>7</v>
      </c>
      <c r="I65" s="5">
        <v>3.7837837837837798E-2</v>
      </c>
      <c r="J65" s="3">
        <v>401</v>
      </c>
      <c r="K65" s="1">
        <v>45619</v>
      </c>
      <c r="L65" t="s">
        <v>25</v>
      </c>
      <c r="M65" t="s">
        <v>31</v>
      </c>
      <c r="N65" t="s">
        <v>32</v>
      </c>
      <c r="O65" t="s">
        <v>28</v>
      </c>
      <c r="P65" t="s">
        <v>29</v>
      </c>
      <c r="Q65" s="6">
        <v>1.20172972972972</v>
      </c>
      <c r="R65">
        <v>5.1100000000000003</v>
      </c>
      <c r="S65">
        <v>9.26</v>
      </c>
      <c r="T65">
        <v>31.76</v>
      </c>
      <c r="U65">
        <v>80.37</v>
      </c>
      <c r="V65">
        <v>57.29</v>
      </c>
      <c r="W65">
        <v>1.8</v>
      </c>
    </row>
    <row r="66" spans="1:23" x14ac:dyDescent="0.3">
      <c r="A66">
        <v>64</v>
      </c>
      <c r="B66" t="s">
        <v>109</v>
      </c>
      <c r="C66" t="s">
        <v>38</v>
      </c>
      <c r="D66">
        <v>116</v>
      </c>
      <c r="E66">
        <v>3764</v>
      </c>
      <c r="F66" s="3">
        <v>232</v>
      </c>
      <c r="G66">
        <v>28</v>
      </c>
      <c r="H66">
        <v>10</v>
      </c>
      <c r="I66" s="5">
        <v>8.6206896551724102E-2</v>
      </c>
      <c r="J66" s="3">
        <v>275</v>
      </c>
      <c r="K66" s="1">
        <v>45616</v>
      </c>
      <c r="L66" t="s">
        <v>25</v>
      </c>
      <c r="M66" t="s">
        <v>39</v>
      </c>
      <c r="N66" t="s">
        <v>32</v>
      </c>
      <c r="O66" t="s">
        <v>28</v>
      </c>
      <c r="P66" t="s">
        <v>33</v>
      </c>
      <c r="Q66" s="6">
        <v>2.00025862068965</v>
      </c>
      <c r="R66">
        <v>3.08</v>
      </c>
      <c r="S66">
        <v>8.2899999999999991</v>
      </c>
      <c r="T66">
        <v>23.2</v>
      </c>
      <c r="U66">
        <v>18.52</v>
      </c>
      <c r="V66">
        <v>27.5</v>
      </c>
      <c r="W66">
        <v>1.19</v>
      </c>
    </row>
    <row r="67" spans="1:23" x14ac:dyDescent="0.3">
      <c r="A67">
        <v>65</v>
      </c>
      <c r="B67" t="s">
        <v>110</v>
      </c>
      <c r="C67" t="s">
        <v>43</v>
      </c>
      <c r="D67">
        <v>99</v>
      </c>
      <c r="E67">
        <v>4489</v>
      </c>
      <c r="F67" s="3">
        <v>184</v>
      </c>
      <c r="G67">
        <v>15</v>
      </c>
      <c r="H67">
        <v>6</v>
      </c>
      <c r="I67" s="5">
        <v>6.0606060606060601E-2</v>
      </c>
      <c r="J67" s="3">
        <v>258</v>
      </c>
      <c r="K67" s="1">
        <v>45601</v>
      </c>
      <c r="L67" t="s">
        <v>25</v>
      </c>
      <c r="M67" t="s">
        <v>26</v>
      </c>
      <c r="N67" t="s">
        <v>44</v>
      </c>
      <c r="O67" t="s">
        <v>28</v>
      </c>
      <c r="P67" t="s">
        <v>41</v>
      </c>
      <c r="Q67" s="6">
        <v>1.8558585858585801</v>
      </c>
      <c r="R67">
        <v>2.21</v>
      </c>
      <c r="S67">
        <v>12.25</v>
      </c>
      <c r="T67">
        <v>30.62</v>
      </c>
      <c r="U67">
        <v>40.42</v>
      </c>
      <c r="V67">
        <v>43</v>
      </c>
      <c r="W67">
        <v>1.4</v>
      </c>
    </row>
    <row r="68" spans="1:23" x14ac:dyDescent="0.3">
      <c r="A68">
        <v>66</v>
      </c>
      <c r="B68" t="s">
        <v>111</v>
      </c>
      <c r="C68" t="s">
        <v>24</v>
      </c>
      <c r="D68">
        <v>172</v>
      </c>
      <c r="E68">
        <v>4441</v>
      </c>
      <c r="F68" s="3">
        <v>221</v>
      </c>
      <c r="G68">
        <v>14</v>
      </c>
      <c r="H68">
        <v>8</v>
      </c>
      <c r="I68" s="5">
        <v>4.6511627906976702E-2</v>
      </c>
      <c r="J68" s="3">
        <v>361</v>
      </c>
      <c r="K68" s="1">
        <v>45623</v>
      </c>
      <c r="L68" t="s">
        <v>25</v>
      </c>
      <c r="M68" t="s">
        <v>31</v>
      </c>
      <c r="N68" t="s">
        <v>49</v>
      </c>
      <c r="O68" t="s">
        <v>28</v>
      </c>
      <c r="P68" t="s">
        <v>33</v>
      </c>
      <c r="Q68" s="6">
        <v>1.2859302325581301</v>
      </c>
      <c r="R68">
        <v>3.87</v>
      </c>
      <c r="S68">
        <v>15.8</v>
      </c>
      <c r="T68">
        <v>27.65</v>
      </c>
      <c r="U68">
        <v>63.22</v>
      </c>
      <c r="V68">
        <v>45.12</v>
      </c>
      <c r="W68">
        <v>1.63</v>
      </c>
    </row>
    <row r="69" spans="1:23" x14ac:dyDescent="0.3">
      <c r="A69">
        <v>67</v>
      </c>
      <c r="B69" t="s">
        <v>112</v>
      </c>
      <c r="C69" t="s">
        <v>38</v>
      </c>
      <c r="D69">
        <v>138</v>
      </c>
      <c r="E69">
        <v>5751</v>
      </c>
      <c r="F69" s="3">
        <v>199</v>
      </c>
      <c r="G69">
        <v>26</v>
      </c>
      <c r="H69">
        <v>9</v>
      </c>
      <c r="I69" s="5">
        <v>6.5217391304347797E-2</v>
      </c>
      <c r="J69" s="3">
        <v>273</v>
      </c>
      <c r="K69" s="1">
        <v>45606</v>
      </c>
      <c r="L69" t="s">
        <v>25</v>
      </c>
      <c r="M69" t="s">
        <v>26</v>
      </c>
      <c r="N69" t="s">
        <v>36</v>
      </c>
      <c r="O69" t="s">
        <v>28</v>
      </c>
      <c r="P69" t="s">
        <v>50</v>
      </c>
      <c r="Q69" s="6">
        <v>1.4428260869565199</v>
      </c>
      <c r="R69">
        <v>2.4</v>
      </c>
      <c r="S69">
        <v>7.66</v>
      </c>
      <c r="T69">
        <v>22.12</v>
      </c>
      <c r="U69">
        <v>37.11</v>
      </c>
      <c r="V69">
        <v>30.33</v>
      </c>
      <c r="W69">
        <v>1.37</v>
      </c>
    </row>
    <row r="70" spans="1:23" x14ac:dyDescent="0.3">
      <c r="A70">
        <v>68</v>
      </c>
      <c r="B70" t="s">
        <v>113</v>
      </c>
      <c r="C70" t="s">
        <v>38</v>
      </c>
      <c r="D70">
        <v>84</v>
      </c>
      <c r="E70">
        <v>4036</v>
      </c>
      <c r="F70" s="3">
        <v>234</v>
      </c>
      <c r="G70">
        <v>23</v>
      </c>
      <c r="H70">
        <v>10</v>
      </c>
      <c r="I70" s="5">
        <v>0.119047619047619</v>
      </c>
      <c r="J70" s="3">
        <v>263</v>
      </c>
      <c r="K70" s="1">
        <v>45600</v>
      </c>
      <c r="L70" t="s">
        <v>25</v>
      </c>
      <c r="M70" t="s">
        <v>26</v>
      </c>
      <c r="N70" t="s">
        <v>27</v>
      </c>
      <c r="O70" t="s">
        <v>28</v>
      </c>
      <c r="P70" t="s">
        <v>59</v>
      </c>
      <c r="Q70" s="6">
        <v>2.78833333333333</v>
      </c>
      <c r="R70">
        <v>2.08</v>
      </c>
      <c r="S70">
        <v>10.18</v>
      </c>
      <c r="T70">
        <v>23.42</v>
      </c>
      <c r="U70">
        <v>12.29</v>
      </c>
      <c r="V70">
        <v>26.3</v>
      </c>
      <c r="W70">
        <v>1.1200000000000001</v>
      </c>
    </row>
    <row r="71" spans="1:23" x14ac:dyDescent="0.3">
      <c r="A71">
        <v>69</v>
      </c>
      <c r="B71" t="s">
        <v>114</v>
      </c>
      <c r="C71" t="s">
        <v>24</v>
      </c>
      <c r="D71">
        <v>124</v>
      </c>
      <c r="E71">
        <v>4942</v>
      </c>
      <c r="F71" s="3">
        <v>241</v>
      </c>
      <c r="G71">
        <v>18</v>
      </c>
      <c r="H71">
        <v>3</v>
      </c>
      <c r="I71" s="5">
        <v>2.4193548387096701E-2</v>
      </c>
      <c r="J71" s="3">
        <v>392</v>
      </c>
      <c r="K71" s="1">
        <v>45612</v>
      </c>
      <c r="L71" t="s">
        <v>25</v>
      </c>
      <c r="M71" t="s">
        <v>26</v>
      </c>
      <c r="N71" t="s">
        <v>27</v>
      </c>
      <c r="O71" t="s">
        <v>28</v>
      </c>
      <c r="P71" t="s">
        <v>29</v>
      </c>
      <c r="Q71" s="6">
        <v>1.94024193548387</v>
      </c>
      <c r="R71">
        <v>2.5099999999999998</v>
      </c>
      <c r="S71">
        <v>13.37</v>
      </c>
      <c r="T71">
        <v>80.2</v>
      </c>
      <c r="U71">
        <v>62.93</v>
      </c>
      <c r="V71">
        <v>130.66999999999999</v>
      </c>
      <c r="W71">
        <v>1.63</v>
      </c>
    </row>
    <row r="72" spans="1:23" x14ac:dyDescent="0.3">
      <c r="A72">
        <v>70</v>
      </c>
      <c r="B72" t="s">
        <v>115</v>
      </c>
      <c r="C72" t="s">
        <v>38</v>
      </c>
      <c r="D72">
        <v>122</v>
      </c>
      <c r="E72">
        <v>4989</v>
      </c>
      <c r="F72" s="3">
        <v>215</v>
      </c>
      <c r="G72">
        <v>12</v>
      </c>
      <c r="H72">
        <v>5</v>
      </c>
      <c r="I72" s="5">
        <v>4.0983606557376998E-2</v>
      </c>
      <c r="J72" s="3">
        <v>403</v>
      </c>
      <c r="K72" s="1">
        <v>45602</v>
      </c>
      <c r="L72" t="s">
        <v>25</v>
      </c>
      <c r="M72" t="s">
        <v>31</v>
      </c>
      <c r="N72" t="s">
        <v>36</v>
      </c>
      <c r="O72" t="s">
        <v>28</v>
      </c>
      <c r="P72" t="s">
        <v>33</v>
      </c>
      <c r="Q72" s="6">
        <v>1.7662295081967201</v>
      </c>
      <c r="R72">
        <v>2.4500000000000002</v>
      </c>
      <c r="S72">
        <v>17.96</v>
      </c>
      <c r="T72">
        <v>43.1</v>
      </c>
      <c r="U72">
        <v>87.02</v>
      </c>
      <c r="V72">
        <v>80.599999999999994</v>
      </c>
      <c r="W72">
        <v>1.87</v>
      </c>
    </row>
    <row r="73" spans="1:23" x14ac:dyDescent="0.3">
      <c r="A73">
        <v>71</v>
      </c>
      <c r="B73" t="s">
        <v>116</v>
      </c>
      <c r="C73" t="s">
        <v>43</v>
      </c>
      <c r="D73">
        <v>180</v>
      </c>
      <c r="E73">
        <v>3006</v>
      </c>
      <c r="F73" s="3">
        <v>228</v>
      </c>
      <c r="G73">
        <v>22</v>
      </c>
      <c r="H73">
        <v>7</v>
      </c>
      <c r="I73" s="5">
        <v>3.8888888888888799E-2</v>
      </c>
      <c r="J73" s="3">
        <v>318</v>
      </c>
      <c r="K73" s="1">
        <v>45600</v>
      </c>
      <c r="L73" t="s">
        <v>25</v>
      </c>
      <c r="M73" t="s">
        <v>39</v>
      </c>
      <c r="N73" t="s">
        <v>27</v>
      </c>
      <c r="O73" t="s">
        <v>28</v>
      </c>
      <c r="P73" t="s">
        <v>59</v>
      </c>
      <c r="Q73" s="6">
        <v>1.2674444444444399</v>
      </c>
      <c r="R73">
        <v>5.99</v>
      </c>
      <c r="S73">
        <v>10.37</v>
      </c>
      <c r="T73">
        <v>32.590000000000003</v>
      </c>
      <c r="U73">
        <v>39.39</v>
      </c>
      <c r="V73">
        <v>45.43</v>
      </c>
      <c r="W73">
        <v>1.39</v>
      </c>
    </row>
    <row r="74" spans="1:23" x14ac:dyDescent="0.3">
      <c r="A74">
        <v>72</v>
      </c>
      <c r="B74" t="s">
        <v>117</v>
      </c>
      <c r="C74" t="s">
        <v>24</v>
      </c>
      <c r="D74">
        <v>133</v>
      </c>
      <c r="E74">
        <v>3728</v>
      </c>
      <c r="F74" s="3">
        <v>199</v>
      </c>
      <c r="G74">
        <v>11</v>
      </c>
      <c r="H74">
        <v>10</v>
      </c>
      <c r="I74" s="5">
        <v>7.5187969924811998E-2</v>
      </c>
      <c r="J74" s="3">
        <v>467.142857142857</v>
      </c>
      <c r="K74" s="1">
        <v>45605</v>
      </c>
      <c r="L74" t="s">
        <v>25</v>
      </c>
      <c r="M74" t="s">
        <v>26</v>
      </c>
      <c r="N74" t="s">
        <v>36</v>
      </c>
      <c r="O74" t="s">
        <v>28</v>
      </c>
      <c r="P74" t="s">
        <v>29</v>
      </c>
      <c r="Q74" s="6">
        <v>1.4972180451127799</v>
      </c>
      <c r="R74">
        <v>3.57</v>
      </c>
      <c r="S74">
        <v>18.100000000000001</v>
      </c>
      <c r="T74">
        <v>19.91</v>
      </c>
      <c r="U74">
        <v>134.59</v>
      </c>
      <c r="V74">
        <v>46.71</v>
      </c>
      <c r="W74">
        <v>2.35</v>
      </c>
    </row>
    <row r="75" spans="1:23" x14ac:dyDescent="0.3">
      <c r="A75">
        <v>73</v>
      </c>
      <c r="B75" t="s">
        <v>118</v>
      </c>
      <c r="C75" t="s">
        <v>24</v>
      </c>
      <c r="D75">
        <v>164</v>
      </c>
      <c r="E75">
        <v>3734</v>
      </c>
      <c r="F75" s="3">
        <v>225</v>
      </c>
      <c r="G75">
        <v>27</v>
      </c>
      <c r="H75">
        <v>8</v>
      </c>
      <c r="I75" s="5">
        <v>4.8780487804878002E-2</v>
      </c>
      <c r="J75" s="3">
        <v>353</v>
      </c>
      <c r="K75" s="1">
        <v>45608</v>
      </c>
      <c r="L75" t="s">
        <v>25</v>
      </c>
      <c r="M75" t="s">
        <v>39</v>
      </c>
      <c r="N75" t="s">
        <v>27</v>
      </c>
      <c r="O75" t="s">
        <v>28</v>
      </c>
      <c r="P75" t="s">
        <v>41</v>
      </c>
      <c r="Q75" s="6">
        <v>1.37432926829268</v>
      </c>
      <c r="R75">
        <v>4.3899999999999997</v>
      </c>
      <c r="S75">
        <v>8.35</v>
      </c>
      <c r="T75">
        <v>28.17</v>
      </c>
      <c r="U75">
        <v>56.62</v>
      </c>
      <c r="V75">
        <v>44.12</v>
      </c>
      <c r="W75">
        <v>1.57</v>
      </c>
    </row>
    <row r="76" spans="1:23" x14ac:dyDescent="0.3">
      <c r="A76">
        <v>74</v>
      </c>
      <c r="B76" t="s">
        <v>119</v>
      </c>
      <c r="C76" t="s">
        <v>43</v>
      </c>
      <c r="D76">
        <v>150</v>
      </c>
      <c r="E76">
        <v>4621</v>
      </c>
      <c r="F76" s="3">
        <v>246</v>
      </c>
      <c r="G76">
        <v>15</v>
      </c>
      <c r="H76">
        <v>6</v>
      </c>
      <c r="I76" s="5">
        <v>0.04</v>
      </c>
      <c r="J76" s="3">
        <v>317</v>
      </c>
      <c r="K76" s="1">
        <v>45605</v>
      </c>
      <c r="L76" t="s">
        <v>25</v>
      </c>
      <c r="M76" t="s">
        <v>26</v>
      </c>
      <c r="N76" t="s">
        <v>36</v>
      </c>
      <c r="O76" t="s">
        <v>28</v>
      </c>
      <c r="P76" t="s">
        <v>29</v>
      </c>
      <c r="Q76" s="6">
        <v>1.6419999999999999</v>
      </c>
      <c r="R76">
        <v>3.25</v>
      </c>
      <c r="S76">
        <v>16.420000000000002</v>
      </c>
      <c r="T76">
        <v>41.05</v>
      </c>
      <c r="U76">
        <v>28.7</v>
      </c>
      <c r="V76">
        <v>52.83</v>
      </c>
      <c r="W76">
        <v>1.29</v>
      </c>
    </row>
    <row r="77" spans="1:23" x14ac:dyDescent="0.3">
      <c r="A77">
        <v>75</v>
      </c>
      <c r="B77" t="s">
        <v>120</v>
      </c>
      <c r="C77" t="s">
        <v>38</v>
      </c>
      <c r="D77">
        <v>97</v>
      </c>
      <c r="E77">
        <v>3212</v>
      </c>
      <c r="F77" s="3">
        <v>213</v>
      </c>
      <c r="G77">
        <v>27</v>
      </c>
      <c r="H77">
        <v>10</v>
      </c>
      <c r="I77" s="5">
        <v>0.103092783505154</v>
      </c>
      <c r="J77" s="3">
        <v>407</v>
      </c>
      <c r="K77" s="1">
        <v>45619</v>
      </c>
      <c r="L77" t="s">
        <v>25</v>
      </c>
      <c r="M77" t="s">
        <v>26</v>
      </c>
      <c r="N77" t="s">
        <v>49</v>
      </c>
      <c r="O77" t="s">
        <v>28</v>
      </c>
      <c r="P77" t="s">
        <v>29</v>
      </c>
      <c r="Q77" s="6">
        <v>2.1912371134020598</v>
      </c>
      <c r="R77">
        <v>3.02</v>
      </c>
      <c r="S77">
        <v>7.87</v>
      </c>
      <c r="T77">
        <v>21.26</v>
      </c>
      <c r="U77">
        <v>91.48</v>
      </c>
      <c r="V77">
        <v>40.700000000000003</v>
      </c>
      <c r="W77">
        <v>1.91</v>
      </c>
    </row>
    <row r="78" spans="1:23" x14ac:dyDescent="0.3">
      <c r="A78">
        <v>76</v>
      </c>
      <c r="B78" t="s">
        <v>121</v>
      </c>
      <c r="C78" t="s">
        <v>35</v>
      </c>
      <c r="D78">
        <v>128</v>
      </c>
      <c r="E78">
        <v>4225</v>
      </c>
      <c r="F78" s="3">
        <v>228</v>
      </c>
      <c r="G78">
        <v>30</v>
      </c>
      <c r="H78">
        <v>4</v>
      </c>
      <c r="I78" s="5">
        <v>3.125E-2</v>
      </c>
      <c r="J78" s="3">
        <v>330</v>
      </c>
      <c r="K78" s="1">
        <v>45604</v>
      </c>
      <c r="L78" t="s">
        <v>25</v>
      </c>
      <c r="M78" t="s">
        <v>31</v>
      </c>
      <c r="N78" t="s">
        <v>27</v>
      </c>
      <c r="O78" t="s">
        <v>28</v>
      </c>
      <c r="P78" t="s">
        <v>45</v>
      </c>
      <c r="Q78" s="6">
        <v>1.7831250000000001</v>
      </c>
      <c r="R78">
        <v>3.03</v>
      </c>
      <c r="S78">
        <v>7.61</v>
      </c>
      <c r="T78">
        <v>57.06</v>
      </c>
      <c r="U78">
        <v>44.58</v>
      </c>
      <c r="V78">
        <v>82.5</v>
      </c>
      <c r="W78">
        <v>1.45</v>
      </c>
    </row>
    <row r="79" spans="1:23" x14ac:dyDescent="0.3">
      <c r="A79">
        <v>77</v>
      </c>
      <c r="B79" t="s">
        <v>122</v>
      </c>
      <c r="C79" t="s">
        <v>43</v>
      </c>
      <c r="D79">
        <v>99</v>
      </c>
      <c r="E79">
        <v>4779</v>
      </c>
      <c r="F79" s="3">
        <v>234</v>
      </c>
      <c r="G79">
        <v>26</v>
      </c>
      <c r="H79">
        <v>10</v>
      </c>
      <c r="I79" s="5">
        <v>0.10101010101010099</v>
      </c>
      <c r="J79" s="3">
        <v>222</v>
      </c>
      <c r="K79" s="1">
        <v>45601</v>
      </c>
      <c r="L79" t="s">
        <v>25</v>
      </c>
      <c r="M79" t="s">
        <v>26</v>
      </c>
      <c r="N79" t="s">
        <v>44</v>
      </c>
      <c r="O79" t="s">
        <v>28</v>
      </c>
      <c r="P79" t="s">
        <v>41</v>
      </c>
      <c r="Q79" s="6">
        <v>2.3614141414141399</v>
      </c>
      <c r="R79">
        <v>2.0699999999999998</v>
      </c>
      <c r="S79">
        <v>8.99</v>
      </c>
      <c r="T79">
        <v>23.38</v>
      </c>
      <c r="U79">
        <v>-5.04</v>
      </c>
      <c r="V79">
        <v>22.2</v>
      </c>
      <c r="W79">
        <v>0.95</v>
      </c>
    </row>
    <row r="80" spans="1:23" x14ac:dyDescent="0.3">
      <c r="A80">
        <v>78</v>
      </c>
      <c r="B80" t="s">
        <v>123</v>
      </c>
      <c r="C80" t="s">
        <v>35</v>
      </c>
      <c r="D80">
        <v>86</v>
      </c>
      <c r="E80">
        <v>5352</v>
      </c>
      <c r="F80" s="3">
        <v>234</v>
      </c>
      <c r="G80">
        <v>11</v>
      </c>
      <c r="H80">
        <v>5</v>
      </c>
      <c r="I80" s="5">
        <v>5.8139534883720902E-2</v>
      </c>
      <c r="J80" s="3">
        <v>278</v>
      </c>
      <c r="K80" s="1">
        <v>45605</v>
      </c>
      <c r="L80" t="s">
        <v>25</v>
      </c>
      <c r="M80" t="s">
        <v>39</v>
      </c>
      <c r="N80" t="s">
        <v>44</v>
      </c>
      <c r="O80" t="s">
        <v>28</v>
      </c>
      <c r="P80" t="s">
        <v>29</v>
      </c>
      <c r="Q80" s="6">
        <v>2.72151162790697</v>
      </c>
      <c r="R80">
        <v>1.61</v>
      </c>
      <c r="S80">
        <v>21.28</v>
      </c>
      <c r="T80">
        <v>46.81</v>
      </c>
      <c r="U80">
        <v>18.78</v>
      </c>
      <c r="V80">
        <v>55.6</v>
      </c>
      <c r="W80">
        <v>1.19</v>
      </c>
    </row>
    <row r="81" spans="1:23" x14ac:dyDescent="0.3">
      <c r="A81">
        <v>79</v>
      </c>
      <c r="B81" t="s">
        <v>124</v>
      </c>
      <c r="C81" t="s">
        <v>38</v>
      </c>
      <c r="D81">
        <v>118</v>
      </c>
      <c r="E81">
        <v>5405</v>
      </c>
      <c r="F81" s="3">
        <v>187</v>
      </c>
      <c r="G81">
        <v>25</v>
      </c>
      <c r="H81">
        <v>7</v>
      </c>
      <c r="I81" s="5">
        <v>5.9322033898305003E-2</v>
      </c>
      <c r="J81" s="3">
        <v>375</v>
      </c>
      <c r="K81" s="1">
        <v>45601</v>
      </c>
      <c r="L81" t="s">
        <v>25</v>
      </c>
      <c r="M81" t="s">
        <v>39</v>
      </c>
      <c r="N81" t="s">
        <v>49</v>
      </c>
      <c r="O81" t="s">
        <v>28</v>
      </c>
      <c r="P81" t="s">
        <v>41</v>
      </c>
      <c r="Q81" s="6">
        <v>1.58711864406779</v>
      </c>
      <c r="R81">
        <v>2.1800000000000002</v>
      </c>
      <c r="S81">
        <v>7.49</v>
      </c>
      <c r="T81">
        <v>26.75</v>
      </c>
      <c r="U81">
        <v>100.23</v>
      </c>
      <c r="V81">
        <v>53.57</v>
      </c>
      <c r="W81">
        <v>2</v>
      </c>
    </row>
    <row r="82" spans="1:23" x14ac:dyDescent="0.3">
      <c r="A82">
        <v>80</v>
      </c>
      <c r="B82" t="s">
        <v>125</v>
      </c>
      <c r="C82" t="s">
        <v>38</v>
      </c>
      <c r="D82">
        <v>127</v>
      </c>
      <c r="E82">
        <v>5430</v>
      </c>
      <c r="F82" s="3">
        <v>199</v>
      </c>
      <c r="G82">
        <v>14</v>
      </c>
      <c r="H82">
        <v>6</v>
      </c>
      <c r="I82" s="5">
        <v>4.7244094488188899E-2</v>
      </c>
      <c r="J82" s="3">
        <v>394</v>
      </c>
      <c r="K82" s="1">
        <v>45621</v>
      </c>
      <c r="L82" t="s">
        <v>25</v>
      </c>
      <c r="M82" t="s">
        <v>31</v>
      </c>
      <c r="N82" t="s">
        <v>49</v>
      </c>
      <c r="O82" t="s">
        <v>28</v>
      </c>
      <c r="P82" t="s">
        <v>59</v>
      </c>
      <c r="Q82" s="6">
        <v>1.56795275590551</v>
      </c>
      <c r="R82">
        <v>2.34</v>
      </c>
      <c r="S82">
        <v>14.22</v>
      </c>
      <c r="T82">
        <v>33.19</v>
      </c>
      <c r="U82">
        <v>97.86</v>
      </c>
      <c r="V82">
        <v>65.67</v>
      </c>
      <c r="W82">
        <v>1.98</v>
      </c>
    </row>
    <row r="83" spans="1:23" x14ac:dyDescent="0.3">
      <c r="A83">
        <v>81</v>
      </c>
      <c r="B83" t="s">
        <v>126</v>
      </c>
      <c r="C83" t="s">
        <v>43</v>
      </c>
      <c r="D83">
        <v>83</v>
      </c>
      <c r="E83">
        <v>4808</v>
      </c>
      <c r="F83" s="3">
        <v>241</v>
      </c>
      <c r="G83">
        <v>20</v>
      </c>
      <c r="H83">
        <v>7</v>
      </c>
      <c r="I83" s="5">
        <v>8.43373493975903E-2</v>
      </c>
      <c r="J83" s="3">
        <v>212</v>
      </c>
      <c r="K83" s="1">
        <v>45626</v>
      </c>
      <c r="L83" t="s">
        <v>25</v>
      </c>
      <c r="M83" t="s">
        <v>31</v>
      </c>
      <c r="N83" t="s">
        <v>27</v>
      </c>
      <c r="O83" t="s">
        <v>28</v>
      </c>
      <c r="P83" t="s">
        <v>29</v>
      </c>
      <c r="Q83" s="6">
        <v>2.9078313253012</v>
      </c>
      <c r="R83">
        <v>1.73</v>
      </c>
      <c r="S83">
        <v>12.07</v>
      </c>
      <c r="T83">
        <v>34.479999999999997</v>
      </c>
      <c r="U83">
        <v>-12.16</v>
      </c>
      <c r="V83">
        <v>30.29</v>
      </c>
      <c r="W83">
        <v>0.88</v>
      </c>
    </row>
    <row r="84" spans="1:23" x14ac:dyDescent="0.3">
      <c r="A84">
        <v>82</v>
      </c>
      <c r="B84" t="s">
        <v>127</v>
      </c>
      <c r="C84" t="s">
        <v>38</v>
      </c>
      <c r="D84">
        <v>149</v>
      </c>
      <c r="E84">
        <v>3587</v>
      </c>
      <c r="F84" s="3">
        <v>218</v>
      </c>
      <c r="G84">
        <v>23</v>
      </c>
      <c r="H84">
        <v>8</v>
      </c>
      <c r="I84" s="5">
        <v>5.3691275167785199E-2</v>
      </c>
      <c r="J84" s="3">
        <v>373.71428571428498</v>
      </c>
      <c r="K84" s="1">
        <v>45613</v>
      </c>
      <c r="L84" t="s">
        <v>25</v>
      </c>
      <c r="M84" t="s">
        <v>31</v>
      </c>
      <c r="N84" t="s">
        <v>36</v>
      </c>
      <c r="O84" t="s">
        <v>28</v>
      </c>
      <c r="P84" t="s">
        <v>50</v>
      </c>
      <c r="Q84" s="6">
        <v>1.4599328859060401</v>
      </c>
      <c r="R84">
        <v>4.1500000000000004</v>
      </c>
      <c r="S84">
        <v>9.4600000000000009</v>
      </c>
      <c r="T84">
        <v>27.19</v>
      </c>
      <c r="U84">
        <v>71.8</v>
      </c>
      <c r="V84">
        <v>46.71</v>
      </c>
      <c r="W84">
        <v>1.72</v>
      </c>
    </row>
    <row r="85" spans="1:23" x14ac:dyDescent="0.3">
      <c r="A85">
        <v>83</v>
      </c>
      <c r="B85" t="s">
        <v>128</v>
      </c>
      <c r="C85" t="s">
        <v>24</v>
      </c>
      <c r="D85">
        <v>168</v>
      </c>
      <c r="E85">
        <v>4683</v>
      </c>
      <c r="F85" s="3">
        <v>215</v>
      </c>
      <c r="G85">
        <v>30</v>
      </c>
      <c r="H85">
        <v>8</v>
      </c>
      <c r="I85" s="5">
        <v>4.7619047619047603E-2</v>
      </c>
      <c r="J85" s="3">
        <v>271</v>
      </c>
      <c r="K85" s="1">
        <v>45624</v>
      </c>
      <c r="L85" t="s">
        <v>25</v>
      </c>
      <c r="M85" t="s">
        <v>31</v>
      </c>
      <c r="N85" t="s">
        <v>36</v>
      </c>
      <c r="O85" t="s">
        <v>28</v>
      </c>
      <c r="P85" t="s">
        <v>54</v>
      </c>
      <c r="Q85" s="6">
        <v>1.28142857142857</v>
      </c>
      <c r="R85">
        <v>3.59</v>
      </c>
      <c r="S85">
        <v>7.18</v>
      </c>
      <c r="T85">
        <v>26.91</v>
      </c>
      <c r="U85">
        <v>25.88</v>
      </c>
      <c r="V85">
        <v>33.880000000000003</v>
      </c>
      <c r="W85">
        <v>1.26</v>
      </c>
    </row>
    <row r="86" spans="1:23" x14ac:dyDescent="0.3">
      <c r="A86">
        <v>84</v>
      </c>
      <c r="B86" t="s">
        <v>129</v>
      </c>
      <c r="C86" t="s">
        <v>24</v>
      </c>
      <c r="D86">
        <v>112</v>
      </c>
      <c r="E86">
        <v>5814</v>
      </c>
      <c r="F86" s="3">
        <v>227</v>
      </c>
      <c r="G86">
        <v>11</v>
      </c>
      <c r="H86">
        <v>8</v>
      </c>
      <c r="I86" s="5">
        <v>7.1428571428571397E-2</v>
      </c>
      <c r="J86" s="3">
        <v>299</v>
      </c>
      <c r="K86" s="1">
        <v>45599</v>
      </c>
      <c r="L86" t="s">
        <v>25</v>
      </c>
      <c r="M86" t="s">
        <v>39</v>
      </c>
      <c r="N86" t="s">
        <v>49</v>
      </c>
      <c r="O86" t="s">
        <v>28</v>
      </c>
      <c r="P86" t="s">
        <v>50</v>
      </c>
      <c r="Q86" s="6">
        <v>2.0301785714285701</v>
      </c>
      <c r="R86">
        <v>1.93</v>
      </c>
      <c r="S86">
        <v>20.67</v>
      </c>
      <c r="T86">
        <v>28.42</v>
      </c>
      <c r="U86">
        <v>31.5</v>
      </c>
      <c r="V86">
        <v>37.380000000000003</v>
      </c>
      <c r="W86">
        <v>1.31</v>
      </c>
    </row>
    <row r="87" spans="1:23" x14ac:dyDescent="0.3">
      <c r="A87">
        <v>85</v>
      </c>
      <c r="B87" t="s">
        <v>130</v>
      </c>
      <c r="C87" t="s">
        <v>24</v>
      </c>
      <c r="D87">
        <v>123</v>
      </c>
      <c r="E87">
        <v>3292</v>
      </c>
      <c r="F87" s="3">
        <v>233</v>
      </c>
      <c r="G87">
        <v>28</v>
      </c>
      <c r="H87">
        <v>6</v>
      </c>
      <c r="I87" s="5">
        <v>4.8780487804878002E-2</v>
      </c>
      <c r="J87" s="3">
        <v>240</v>
      </c>
      <c r="K87" s="1">
        <v>45615</v>
      </c>
      <c r="L87" t="s">
        <v>25</v>
      </c>
      <c r="M87" t="s">
        <v>26</v>
      </c>
      <c r="N87" t="s">
        <v>40</v>
      </c>
      <c r="O87" t="s">
        <v>28</v>
      </c>
      <c r="P87" t="s">
        <v>41</v>
      </c>
      <c r="Q87" s="6">
        <v>1.89593495934959</v>
      </c>
      <c r="R87">
        <v>3.74</v>
      </c>
      <c r="S87">
        <v>8.33</v>
      </c>
      <c r="T87">
        <v>38.869999999999997</v>
      </c>
      <c r="U87">
        <v>2.92</v>
      </c>
      <c r="V87">
        <v>40</v>
      </c>
      <c r="W87">
        <v>1.03</v>
      </c>
    </row>
    <row r="88" spans="1:23" x14ac:dyDescent="0.3">
      <c r="A88">
        <v>86</v>
      </c>
      <c r="B88" t="s">
        <v>131</v>
      </c>
      <c r="C88" t="s">
        <v>35</v>
      </c>
      <c r="D88">
        <v>174</v>
      </c>
      <c r="E88">
        <v>4305</v>
      </c>
      <c r="F88" s="3">
        <v>206</v>
      </c>
      <c r="G88">
        <v>20</v>
      </c>
      <c r="H88">
        <v>3</v>
      </c>
      <c r="I88" s="5">
        <v>1.72413793103448E-2</v>
      </c>
      <c r="J88" s="3">
        <v>216</v>
      </c>
      <c r="K88" s="1">
        <v>45619</v>
      </c>
      <c r="L88" t="s">
        <v>25</v>
      </c>
      <c r="M88" t="s">
        <v>26</v>
      </c>
      <c r="N88" t="s">
        <v>27</v>
      </c>
      <c r="O88" t="s">
        <v>28</v>
      </c>
      <c r="P88" t="s">
        <v>29</v>
      </c>
      <c r="Q88" s="6">
        <v>1.1840229885057401</v>
      </c>
      <c r="R88">
        <v>4.04</v>
      </c>
      <c r="S88">
        <v>10.3</v>
      </c>
      <c r="T88">
        <v>68.67</v>
      </c>
      <c r="U88">
        <v>4.84</v>
      </c>
      <c r="V88">
        <v>72</v>
      </c>
      <c r="W88">
        <v>1.05</v>
      </c>
    </row>
    <row r="89" spans="1:23" x14ac:dyDescent="0.3">
      <c r="A89">
        <v>87</v>
      </c>
      <c r="B89" t="s">
        <v>132</v>
      </c>
      <c r="C89" t="s">
        <v>43</v>
      </c>
      <c r="D89">
        <v>143</v>
      </c>
      <c r="E89">
        <v>4368</v>
      </c>
      <c r="F89" s="3">
        <v>221</v>
      </c>
      <c r="G89">
        <v>27</v>
      </c>
      <c r="H89">
        <v>7</v>
      </c>
      <c r="I89" s="5">
        <v>4.8951048951048903E-2</v>
      </c>
      <c r="J89" s="3">
        <v>245</v>
      </c>
      <c r="K89" s="1">
        <v>45599</v>
      </c>
      <c r="L89" t="s">
        <v>25</v>
      </c>
      <c r="M89" t="s">
        <v>39</v>
      </c>
      <c r="N89" t="s">
        <v>49</v>
      </c>
      <c r="O89" t="s">
        <v>28</v>
      </c>
      <c r="P89" t="s">
        <v>50</v>
      </c>
      <c r="Q89" s="6">
        <v>1.5454545454545401</v>
      </c>
      <c r="R89">
        <v>3.27</v>
      </c>
      <c r="S89">
        <v>8.19</v>
      </c>
      <c r="T89">
        <v>31.57</v>
      </c>
      <c r="U89">
        <v>10.86</v>
      </c>
      <c r="V89">
        <v>35</v>
      </c>
      <c r="W89">
        <v>1.1100000000000001</v>
      </c>
    </row>
    <row r="90" spans="1:23" x14ac:dyDescent="0.3">
      <c r="A90">
        <v>88</v>
      </c>
      <c r="B90" t="s">
        <v>133</v>
      </c>
      <c r="C90" t="s">
        <v>38</v>
      </c>
      <c r="D90">
        <v>195</v>
      </c>
      <c r="E90">
        <v>5935</v>
      </c>
      <c r="F90" s="3">
        <v>210</v>
      </c>
      <c r="G90">
        <v>23</v>
      </c>
      <c r="H90">
        <v>9</v>
      </c>
      <c r="I90" s="5">
        <v>4.6153846153846101E-2</v>
      </c>
      <c r="J90" s="3">
        <v>401</v>
      </c>
      <c r="K90" s="1">
        <v>45603</v>
      </c>
      <c r="L90" t="s">
        <v>25</v>
      </c>
      <c r="M90" t="s">
        <v>39</v>
      </c>
      <c r="N90" t="s">
        <v>44</v>
      </c>
      <c r="O90" t="s">
        <v>28</v>
      </c>
      <c r="P90" t="s">
        <v>54</v>
      </c>
      <c r="Q90" s="6">
        <v>1.07528205128205</v>
      </c>
      <c r="R90">
        <v>3.29</v>
      </c>
      <c r="S90">
        <v>9.1199999999999992</v>
      </c>
      <c r="T90">
        <v>23.3</v>
      </c>
      <c r="U90">
        <v>91.24</v>
      </c>
      <c r="V90">
        <v>44.56</v>
      </c>
      <c r="W90">
        <v>1.91</v>
      </c>
    </row>
    <row r="91" spans="1:23" x14ac:dyDescent="0.3">
      <c r="A91">
        <v>89</v>
      </c>
      <c r="B91" t="s">
        <v>134</v>
      </c>
      <c r="C91" t="s">
        <v>24</v>
      </c>
      <c r="D91">
        <v>176</v>
      </c>
      <c r="E91">
        <v>5847</v>
      </c>
      <c r="F91" s="3">
        <v>241</v>
      </c>
      <c r="G91">
        <v>13</v>
      </c>
      <c r="H91">
        <v>6</v>
      </c>
      <c r="I91" s="5">
        <v>3.4090909090908998E-2</v>
      </c>
      <c r="J91" s="3">
        <v>244</v>
      </c>
      <c r="K91" s="1">
        <v>45598</v>
      </c>
      <c r="L91" t="s">
        <v>25</v>
      </c>
      <c r="M91" t="s">
        <v>26</v>
      </c>
      <c r="N91" t="s">
        <v>44</v>
      </c>
      <c r="O91" t="s">
        <v>28</v>
      </c>
      <c r="P91" t="s">
        <v>29</v>
      </c>
      <c r="Q91" s="6">
        <v>1.36954545454545</v>
      </c>
      <c r="R91">
        <v>3.01</v>
      </c>
      <c r="S91">
        <v>18.54</v>
      </c>
      <c r="T91">
        <v>40.17</v>
      </c>
      <c r="U91">
        <v>1.23</v>
      </c>
      <c r="V91">
        <v>40.67</v>
      </c>
      <c r="W91">
        <v>1.01</v>
      </c>
    </row>
    <row r="92" spans="1:23" x14ac:dyDescent="0.3">
      <c r="A92">
        <v>90</v>
      </c>
      <c r="B92" t="s">
        <v>135</v>
      </c>
      <c r="C92" t="s">
        <v>35</v>
      </c>
      <c r="D92">
        <v>141</v>
      </c>
      <c r="E92">
        <v>4851</v>
      </c>
      <c r="F92" s="3">
        <v>227</v>
      </c>
      <c r="G92">
        <v>28</v>
      </c>
      <c r="H92">
        <v>5</v>
      </c>
      <c r="I92" s="5">
        <v>3.54609929078014E-2</v>
      </c>
      <c r="J92" s="3">
        <v>372</v>
      </c>
      <c r="K92" s="1">
        <v>45611</v>
      </c>
      <c r="L92" t="s">
        <v>25</v>
      </c>
      <c r="M92" t="s">
        <v>26</v>
      </c>
      <c r="N92" t="s">
        <v>49</v>
      </c>
      <c r="O92" t="s">
        <v>28</v>
      </c>
      <c r="P92" t="s">
        <v>45</v>
      </c>
      <c r="Q92" s="6">
        <v>1.6126950354609899</v>
      </c>
      <c r="R92">
        <v>2.91</v>
      </c>
      <c r="S92">
        <v>8.1199999999999992</v>
      </c>
      <c r="T92">
        <v>45.48</v>
      </c>
      <c r="U92">
        <v>63.6</v>
      </c>
      <c r="V92">
        <v>74.400000000000006</v>
      </c>
      <c r="W92">
        <v>1.64</v>
      </c>
    </row>
    <row r="93" spans="1:23" x14ac:dyDescent="0.3">
      <c r="A93">
        <v>91</v>
      </c>
      <c r="B93" t="s">
        <v>136</v>
      </c>
      <c r="C93" t="s">
        <v>43</v>
      </c>
      <c r="D93">
        <v>108</v>
      </c>
      <c r="E93">
        <v>4710</v>
      </c>
      <c r="F93" s="3">
        <v>204</v>
      </c>
      <c r="G93">
        <v>19</v>
      </c>
      <c r="H93">
        <v>10</v>
      </c>
      <c r="I93" s="5">
        <v>9.2592592592592504E-2</v>
      </c>
      <c r="J93" s="3">
        <v>353</v>
      </c>
      <c r="K93" s="1">
        <v>45616</v>
      </c>
      <c r="L93" t="s">
        <v>25</v>
      </c>
      <c r="M93" t="s">
        <v>39</v>
      </c>
      <c r="N93" t="s">
        <v>36</v>
      </c>
      <c r="O93" t="s">
        <v>28</v>
      </c>
      <c r="P93" t="s">
        <v>33</v>
      </c>
      <c r="Q93" s="6">
        <v>1.89037037037037</v>
      </c>
      <c r="R93">
        <v>2.29</v>
      </c>
      <c r="S93">
        <v>10.75</v>
      </c>
      <c r="T93">
        <v>20.420000000000002</v>
      </c>
      <c r="U93">
        <v>72.900000000000006</v>
      </c>
      <c r="V93">
        <v>35.299999999999997</v>
      </c>
      <c r="W93">
        <v>1.73</v>
      </c>
    </row>
    <row r="94" spans="1:23" x14ac:dyDescent="0.3">
      <c r="A94">
        <v>92</v>
      </c>
      <c r="B94" t="s">
        <v>137</v>
      </c>
      <c r="C94" t="s">
        <v>35</v>
      </c>
      <c r="D94">
        <v>112</v>
      </c>
      <c r="E94">
        <v>3345</v>
      </c>
      <c r="F94" s="3">
        <v>173</v>
      </c>
      <c r="G94">
        <v>11</v>
      </c>
      <c r="H94">
        <v>6</v>
      </c>
      <c r="I94" s="5">
        <v>5.3571428571428499E-2</v>
      </c>
      <c r="J94" s="3">
        <v>379</v>
      </c>
      <c r="K94" s="1">
        <v>45619</v>
      </c>
      <c r="L94" t="s">
        <v>25</v>
      </c>
      <c r="M94" t="s">
        <v>39</v>
      </c>
      <c r="N94" t="s">
        <v>49</v>
      </c>
      <c r="O94" t="s">
        <v>28</v>
      </c>
      <c r="P94" t="s">
        <v>29</v>
      </c>
      <c r="Q94" s="6">
        <v>1.5454545454545401</v>
      </c>
      <c r="R94">
        <v>3.35</v>
      </c>
      <c r="S94">
        <v>15.74</v>
      </c>
      <c r="T94">
        <v>28.85</v>
      </c>
      <c r="U94">
        <v>118.96</v>
      </c>
      <c r="V94">
        <v>63.17</v>
      </c>
      <c r="W94">
        <v>2.19</v>
      </c>
    </row>
    <row r="95" spans="1:23" x14ac:dyDescent="0.3">
      <c r="A95">
        <v>93</v>
      </c>
      <c r="B95" t="s">
        <v>138</v>
      </c>
      <c r="C95" t="s">
        <v>24</v>
      </c>
      <c r="D95">
        <v>179</v>
      </c>
      <c r="E95">
        <v>5903</v>
      </c>
      <c r="F95" s="3">
        <v>184</v>
      </c>
      <c r="G95">
        <v>23</v>
      </c>
      <c r="H95">
        <v>9</v>
      </c>
      <c r="I95" s="5">
        <v>5.0279329608938501E-2</v>
      </c>
      <c r="J95" s="3">
        <v>242</v>
      </c>
      <c r="K95" s="1">
        <v>45616</v>
      </c>
      <c r="L95" t="s">
        <v>25</v>
      </c>
      <c r="M95" t="s">
        <v>39</v>
      </c>
      <c r="N95" t="s">
        <v>44</v>
      </c>
      <c r="O95" t="s">
        <v>28</v>
      </c>
      <c r="P95" t="s">
        <v>33</v>
      </c>
      <c r="Q95" s="6">
        <v>1.0302234636871499</v>
      </c>
      <c r="R95">
        <v>3.03</v>
      </c>
      <c r="S95">
        <v>8.02</v>
      </c>
      <c r="T95">
        <v>20.49</v>
      </c>
      <c r="U95">
        <v>31.23</v>
      </c>
      <c r="V95">
        <v>26.89</v>
      </c>
      <c r="W95">
        <v>1.31</v>
      </c>
    </row>
    <row r="96" spans="1:23" x14ac:dyDescent="0.3">
      <c r="A96">
        <v>94</v>
      </c>
      <c r="B96" t="s">
        <v>139</v>
      </c>
      <c r="C96" t="s">
        <v>38</v>
      </c>
      <c r="D96">
        <v>145</v>
      </c>
      <c r="E96">
        <v>5004</v>
      </c>
      <c r="F96" s="3">
        <v>216</v>
      </c>
      <c r="G96">
        <v>22</v>
      </c>
      <c r="H96">
        <v>5</v>
      </c>
      <c r="I96" s="5">
        <v>3.4482758620689599E-2</v>
      </c>
      <c r="J96" s="3">
        <v>305</v>
      </c>
      <c r="K96" s="1">
        <v>45597</v>
      </c>
      <c r="L96" t="s">
        <v>25</v>
      </c>
      <c r="M96" t="s">
        <v>39</v>
      </c>
      <c r="N96" t="s">
        <v>36</v>
      </c>
      <c r="O96" t="s">
        <v>28</v>
      </c>
      <c r="P96" t="s">
        <v>45</v>
      </c>
      <c r="Q96" s="6">
        <v>1.4927586206896499</v>
      </c>
      <c r="R96">
        <v>2.9</v>
      </c>
      <c r="S96">
        <v>9.84</v>
      </c>
      <c r="T96">
        <v>43.29</v>
      </c>
      <c r="U96">
        <v>40.909999999999997</v>
      </c>
      <c r="V96">
        <v>61</v>
      </c>
      <c r="W96">
        <v>1.41</v>
      </c>
    </row>
    <row r="97" spans="1:23" x14ac:dyDescent="0.3">
      <c r="A97">
        <v>95</v>
      </c>
      <c r="B97" t="s">
        <v>140</v>
      </c>
      <c r="C97" t="s">
        <v>35</v>
      </c>
      <c r="D97">
        <v>183</v>
      </c>
      <c r="E97">
        <v>3947</v>
      </c>
      <c r="F97" s="3">
        <v>197</v>
      </c>
      <c r="G97">
        <v>15</v>
      </c>
      <c r="H97">
        <v>8</v>
      </c>
      <c r="I97" s="5">
        <v>4.3715846994535498E-2</v>
      </c>
      <c r="J97" s="3">
        <v>336</v>
      </c>
      <c r="K97" s="1">
        <v>45610</v>
      </c>
      <c r="L97" t="s">
        <v>25</v>
      </c>
      <c r="M97" t="s">
        <v>26</v>
      </c>
      <c r="N97" t="s">
        <v>40</v>
      </c>
      <c r="O97" t="s">
        <v>28</v>
      </c>
      <c r="P97" t="s">
        <v>54</v>
      </c>
      <c r="Q97" s="6">
        <v>1.0781420765027301</v>
      </c>
      <c r="R97">
        <v>4.6399999999999997</v>
      </c>
      <c r="S97">
        <v>13.15</v>
      </c>
      <c r="T97">
        <v>24.66</v>
      </c>
      <c r="U97">
        <v>70.3</v>
      </c>
      <c r="V97">
        <v>42</v>
      </c>
      <c r="W97">
        <v>1.7</v>
      </c>
    </row>
    <row r="98" spans="1:23" x14ac:dyDescent="0.3">
      <c r="A98">
        <v>96</v>
      </c>
      <c r="B98" t="s">
        <v>141</v>
      </c>
      <c r="C98" t="s">
        <v>24</v>
      </c>
      <c r="D98">
        <v>113</v>
      </c>
      <c r="E98">
        <v>3690</v>
      </c>
      <c r="F98" s="3">
        <v>229</v>
      </c>
      <c r="G98">
        <v>20</v>
      </c>
      <c r="H98">
        <v>5</v>
      </c>
      <c r="I98" s="5">
        <v>4.4247787610619399E-2</v>
      </c>
      <c r="J98" s="3">
        <v>391</v>
      </c>
      <c r="K98" s="1">
        <v>45624</v>
      </c>
      <c r="L98" t="s">
        <v>25</v>
      </c>
      <c r="M98" t="s">
        <v>39</v>
      </c>
      <c r="N98" t="s">
        <v>27</v>
      </c>
      <c r="O98" t="s">
        <v>28</v>
      </c>
      <c r="P98" t="s">
        <v>54</v>
      </c>
      <c r="Q98" s="6">
        <v>2.0302654867256602</v>
      </c>
      <c r="R98">
        <v>3.06</v>
      </c>
      <c r="S98">
        <v>11.47</v>
      </c>
      <c r="T98">
        <v>45.88</v>
      </c>
      <c r="U98">
        <v>70.430000000000007</v>
      </c>
      <c r="V98">
        <v>78.2</v>
      </c>
      <c r="W98">
        <v>1.7</v>
      </c>
    </row>
    <row r="99" spans="1:23" x14ac:dyDescent="0.3">
      <c r="A99">
        <v>97</v>
      </c>
      <c r="B99" t="s">
        <v>142</v>
      </c>
      <c r="C99" t="s">
        <v>38</v>
      </c>
      <c r="D99">
        <v>101</v>
      </c>
      <c r="E99">
        <v>5943</v>
      </c>
      <c r="F99" s="3">
        <v>187</v>
      </c>
      <c r="G99">
        <v>27</v>
      </c>
      <c r="H99">
        <v>6</v>
      </c>
      <c r="I99" s="5">
        <v>5.9405940594059403E-2</v>
      </c>
      <c r="J99" s="3">
        <v>329</v>
      </c>
      <c r="K99" s="1">
        <v>45611</v>
      </c>
      <c r="L99" t="s">
        <v>25</v>
      </c>
      <c r="M99" t="s">
        <v>39</v>
      </c>
      <c r="N99" t="s">
        <v>36</v>
      </c>
      <c r="O99" t="s">
        <v>28</v>
      </c>
      <c r="P99" t="s">
        <v>45</v>
      </c>
      <c r="Q99" s="6">
        <v>1.8546534653465301</v>
      </c>
      <c r="R99">
        <v>1.7</v>
      </c>
      <c r="S99">
        <v>6.94</v>
      </c>
      <c r="T99">
        <v>31.22</v>
      </c>
      <c r="U99">
        <v>75.64</v>
      </c>
      <c r="V99">
        <v>54.83</v>
      </c>
      <c r="W99">
        <v>1.76</v>
      </c>
    </row>
    <row r="100" spans="1:23" x14ac:dyDescent="0.3">
      <c r="A100">
        <v>98</v>
      </c>
      <c r="B100" t="s">
        <v>143</v>
      </c>
      <c r="C100" t="s">
        <v>24</v>
      </c>
      <c r="D100">
        <v>189</v>
      </c>
      <c r="E100">
        <v>5357</v>
      </c>
      <c r="F100" s="3">
        <v>222</v>
      </c>
      <c r="G100">
        <v>24</v>
      </c>
      <c r="H100">
        <v>3</v>
      </c>
      <c r="I100" s="5">
        <v>1.5873015873015799E-2</v>
      </c>
      <c r="J100" s="3">
        <v>375</v>
      </c>
      <c r="K100" s="1">
        <v>45621</v>
      </c>
      <c r="L100" t="s">
        <v>25</v>
      </c>
      <c r="M100" t="s">
        <v>39</v>
      </c>
      <c r="N100" t="s">
        <v>32</v>
      </c>
      <c r="O100" t="s">
        <v>28</v>
      </c>
      <c r="P100" t="s">
        <v>59</v>
      </c>
      <c r="Q100" s="6">
        <v>1.1772486772486701</v>
      </c>
      <c r="R100">
        <v>3.53</v>
      </c>
      <c r="S100">
        <v>9.27</v>
      </c>
      <c r="T100">
        <v>74.17</v>
      </c>
      <c r="U100">
        <v>68.540000000000006</v>
      </c>
      <c r="V100">
        <v>125</v>
      </c>
      <c r="W100">
        <v>1.69</v>
      </c>
    </row>
    <row r="101" spans="1:23" x14ac:dyDescent="0.3">
      <c r="A101">
        <v>99</v>
      </c>
      <c r="B101" t="s">
        <v>144</v>
      </c>
      <c r="C101" t="s">
        <v>35</v>
      </c>
      <c r="D101">
        <v>154</v>
      </c>
      <c r="E101">
        <v>3596</v>
      </c>
      <c r="F101" s="3">
        <v>236</v>
      </c>
      <c r="G101">
        <v>30</v>
      </c>
      <c r="H101">
        <v>9</v>
      </c>
      <c r="I101" s="5">
        <v>5.8441558441558399E-2</v>
      </c>
      <c r="J101" s="3">
        <v>211</v>
      </c>
      <c r="K101" s="1">
        <v>45602</v>
      </c>
      <c r="L101" t="s">
        <v>25</v>
      </c>
      <c r="M101" t="s">
        <v>39</v>
      </c>
      <c r="N101" t="s">
        <v>44</v>
      </c>
      <c r="O101" t="s">
        <v>28</v>
      </c>
      <c r="P101" t="s">
        <v>33</v>
      </c>
      <c r="Q101" s="6">
        <v>1.53337662337662</v>
      </c>
      <c r="R101">
        <v>4.28</v>
      </c>
      <c r="S101">
        <v>7.87</v>
      </c>
      <c r="T101">
        <v>26.24</v>
      </c>
      <c r="U101">
        <v>-10.65</v>
      </c>
      <c r="V101">
        <v>23.44</v>
      </c>
      <c r="W101">
        <v>0.89</v>
      </c>
    </row>
    <row r="102" spans="1:23" x14ac:dyDescent="0.3">
      <c r="A102">
        <v>100</v>
      </c>
      <c r="B102" t="s">
        <v>145</v>
      </c>
      <c r="C102" t="s">
        <v>35</v>
      </c>
      <c r="D102">
        <v>179</v>
      </c>
      <c r="E102">
        <v>5162</v>
      </c>
      <c r="F102" s="3">
        <v>247</v>
      </c>
      <c r="G102">
        <v>16</v>
      </c>
      <c r="H102">
        <v>5</v>
      </c>
      <c r="I102" s="5">
        <v>2.7932960893854698E-2</v>
      </c>
      <c r="J102" s="3">
        <v>215</v>
      </c>
      <c r="K102" s="1">
        <v>45625</v>
      </c>
      <c r="L102" t="s">
        <v>25</v>
      </c>
      <c r="M102" t="s">
        <v>26</v>
      </c>
      <c r="N102" t="s">
        <v>44</v>
      </c>
      <c r="O102" t="s">
        <v>28</v>
      </c>
      <c r="P102" t="s">
        <v>45</v>
      </c>
      <c r="Q102" s="6">
        <v>1.3785474860335101</v>
      </c>
      <c r="R102">
        <v>3.47</v>
      </c>
      <c r="S102">
        <v>15.42</v>
      </c>
      <c r="T102">
        <v>49.35</v>
      </c>
      <c r="U102">
        <v>-12.87</v>
      </c>
      <c r="V102">
        <v>43</v>
      </c>
      <c r="W102">
        <v>0.87</v>
      </c>
    </row>
    <row r="103" spans="1:23" x14ac:dyDescent="0.3">
      <c r="A103">
        <v>101</v>
      </c>
      <c r="B103" t="s">
        <v>146</v>
      </c>
      <c r="C103" t="s">
        <v>43</v>
      </c>
      <c r="D103">
        <v>148</v>
      </c>
      <c r="E103">
        <v>3747</v>
      </c>
      <c r="F103" s="3">
        <v>244</v>
      </c>
      <c r="G103">
        <v>18</v>
      </c>
      <c r="H103">
        <v>8</v>
      </c>
      <c r="I103" s="5">
        <v>5.4054054054054002E-2</v>
      </c>
      <c r="J103" s="3">
        <v>223</v>
      </c>
      <c r="K103" s="1">
        <v>45613</v>
      </c>
      <c r="L103" t="s">
        <v>25</v>
      </c>
      <c r="M103" t="s">
        <v>39</v>
      </c>
      <c r="N103" t="s">
        <v>27</v>
      </c>
      <c r="O103" t="s">
        <v>28</v>
      </c>
      <c r="P103" t="s">
        <v>50</v>
      </c>
      <c r="Q103" s="6">
        <v>1.6514189189189099</v>
      </c>
      <c r="R103">
        <v>3.95</v>
      </c>
      <c r="S103">
        <v>13.58</v>
      </c>
      <c r="T103">
        <v>30.55</v>
      </c>
      <c r="U103">
        <v>-8.76</v>
      </c>
      <c r="V103">
        <v>27.88</v>
      </c>
      <c r="W103">
        <v>0.91</v>
      </c>
    </row>
    <row r="104" spans="1:23" x14ac:dyDescent="0.3">
      <c r="A104">
        <v>102</v>
      </c>
      <c r="B104" t="s">
        <v>147</v>
      </c>
      <c r="C104" t="s">
        <v>35</v>
      </c>
      <c r="D104">
        <v>177</v>
      </c>
      <c r="E104">
        <v>4822</v>
      </c>
      <c r="F104" s="3">
        <v>197</v>
      </c>
      <c r="G104">
        <v>26</v>
      </c>
      <c r="H104">
        <v>9</v>
      </c>
      <c r="I104" s="5">
        <v>5.0847457627118599E-2</v>
      </c>
      <c r="J104" s="3">
        <v>390</v>
      </c>
      <c r="K104" s="1">
        <v>45600</v>
      </c>
      <c r="L104" t="s">
        <v>25</v>
      </c>
      <c r="M104" t="s">
        <v>31</v>
      </c>
      <c r="N104" t="s">
        <v>44</v>
      </c>
      <c r="O104" t="s">
        <v>28</v>
      </c>
      <c r="P104" t="s">
        <v>59</v>
      </c>
      <c r="Q104" s="6">
        <v>1.1131638418079</v>
      </c>
      <c r="R104">
        <v>3.67</v>
      </c>
      <c r="S104">
        <v>7.58</v>
      </c>
      <c r="T104">
        <v>21.89</v>
      </c>
      <c r="U104">
        <v>97.94</v>
      </c>
      <c r="V104">
        <v>43.33</v>
      </c>
      <c r="W104">
        <v>1.98</v>
      </c>
    </row>
    <row r="105" spans="1:23" x14ac:dyDescent="0.3">
      <c r="A105">
        <v>103</v>
      </c>
      <c r="B105" t="s">
        <v>148</v>
      </c>
      <c r="C105" t="s">
        <v>38</v>
      </c>
      <c r="D105">
        <v>119</v>
      </c>
      <c r="E105">
        <v>5800</v>
      </c>
      <c r="F105" s="3">
        <v>221</v>
      </c>
      <c r="G105">
        <v>11</v>
      </c>
      <c r="H105">
        <v>8</v>
      </c>
      <c r="I105" s="5">
        <v>6.7226890756302504E-2</v>
      </c>
      <c r="J105" s="3">
        <v>373.71428571428498</v>
      </c>
      <c r="K105" s="1">
        <v>45625</v>
      </c>
      <c r="L105" t="s">
        <v>25</v>
      </c>
      <c r="M105" t="s">
        <v>26</v>
      </c>
      <c r="N105" t="s">
        <v>49</v>
      </c>
      <c r="O105" t="s">
        <v>28</v>
      </c>
      <c r="P105" t="s">
        <v>45</v>
      </c>
      <c r="Q105" s="6">
        <v>1.8601680672268901</v>
      </c>
      <c r="R105">
        <v>2.0499999999999998</v>
      </c>
      <c r="S105">
        <v>20.12</v>
      </c>
      <c r="T105">
        <v>27.67</v>
      </c>
      <c r="U105">
        <v>68.83</v>
      </c>
      <c r="V105">
        <v>46.71</v>
      </c>
      <c r="W105">
        <v>1.69</v>
      </c>
    </row>
    <row r="106" spans="1:23" x14ac:dyDescent="0.3">
      <c r="A106">
        <v>104</v>
      </c>
      <c r="B106" t="s">
        <v>149</v>
      </c>
      <c r="C106" t="s">
        <v>38</v>
      </c>
      <c r="D106">
        <v>89</v>
      </c>
      <c r="E106">
        <v>3594</v>
      </c>
      <c r="F106" s="3">
        <v>138</v>
      </c>
      <c r="G106">
        <v>14</v>
      </c>
      <c r="H106">
        <v>6</v>
      </c>
      <c r="I106" s="5">
        <v>6.7415730337078594E-2</v>
      </c>
      <c r="J106" s="3">
        <v>209</v>
      </c>
      <c r="K106" s="1">
        <v>45611</v>
      </c>
      <c r="L106" t="s">
        <v>25</v>
      </c>
      <c r="M106" t="s">
        <v>39</v>
      </c>
      <c r="N106" t="s">
        <v>32</v>
      </c>
      <c r="O106" t="s">
        <v>28</v>
      </c>
      <c r="P106" t="s">
        <v>45</v>
      </c>
      <c r="Q106" s="6">
        <v>1.5454545454545401</v>
      </c>
      <c r="R106">
        <v>2.48</v>
      </c>
      <c r="S106">
        <v>9.82</v>
      </c>
      <c r="T106">
        <v>22.92</v>
      </c>
      <c r="U106">
        <v>51.95</v>
      </c>
      <c r="V106">
        <v>34.83</v>
      </c>
      <c r="W106">
        <v>1.52</v>
      </c>
    </row>
    <row r="107" spans="1:23" x14ac:dyDescent="0.3">
      <c r="A107">
        <v>105</v>
      </c>
      <c r="B107" t="s">
        <v>150</v>
      </c>
      <c r="C107" t="s">
        <v>38</v>
      </c>
      <c r="D107">
        <v>146</v>
      </c>
      <c r="E107">
        <v>4765</v>
      </c>
      <c r="F107" s="3">
        <v>230</v>
      </c>
      <c r="G107">
        <v>23</v>
      </c>
      <c r="H107">
        <v>5</v>
      </c>
      <c r="I107" s="5">
        <v>3.4246575342465703E-2</v>
      </c>
      <c r="J107" s="3">
        <v>397</v>
      </c>
      <c r="K107" s="1">
        <v>45624</v>
      </c>
      <c r="L107" t="s">
        <v>25</v>
      </c>
      <c r="M107" t="s">
        <v>39</v>
      </c>
      <c r="N107" t="s">
        <v>49</v>
      </c>
      <c r="O107" t="s">
        <v>28</v>
      </c>
      <c r="P107" t="s">
        <v>54</v>
      </c>
      <c r="Q107" s="6">
        <v>1.5768493150684899</v>
      </c>
      <c r="R107">
        <v>3.06</v>
      </c>
      <c r="S107">
        <v>10.01</v>
      </c>
      <c r="T107">
        <v>46.04</v>
      </c>
      <c r="U107">
        <v>72.44</v>
      </c>
      <c r="V107">
        <v>79.400000000000006</v>
      </c>
      <c r="W107">
        <v>1.72</v>
      </c>
    </row>
    <row r="108" spans="1:23" x14ac:dyDescent="0.3">
      <c r="A108">
        <v>106</v>
      </c>
      <c r="B108" t="s">
        <v>151</v>
      </c>
      <c r="C108" t="s">
        <v>43</v>
      </c>
      <c r="D108">
        <v>109</v>
      </c>
      <c r="E108">
        <v>4128</v>
      </c>
      <c r="F108" s="3">
        <v>184</v>
      </c>
      <c r="G108">
        <v>12</v>
      </c>
      <c r="H108">
        <v>5</v>
      </c>
      <c r="I108" s="5">
        <v>4.5871559633027498E-2</v>
      </c>
      <c r="J108" s="3">
        <v>233.57142857142799</v>
      </c>
      <c r="K108" s="1">
        <v>45626</v>
      </c>
      <c r="L108" t="s">
        <v>25</v>
      </c>
      <c r="M108" t="s">
        <v>26</v>
      </c>
      <c r="N108" t="s">
        <v>36</v>
      </c>
      <c r="O108" t="s">
        <v>28</v>
      </c>
      <c r="P108" t="s">
        <v>29</v>
      </c>
      <c r="Q108" s="6">
        <v>1.6848623853211</v>
      </c>
      <c r="R108">
        <v>2.64</v>
      </c>
      <c r="S108">
        <v>15.3</v>
      </c>
      <c r="T108">
        <v>36.729999999999997</v>
      </c>
      <c r="U108">
        <v>27.18</v>
      </c>
      <c r="V108">
        <v>46.71</v>
      </c>
      <c r="W108">
        <v>1.27</v>
      </c>
    </row>
    <row r="109" spans="1:23" x14ac:dyDescent="0.3">
      <c r="A109">
        <v>107</v>
      </c>
      <c r="B109" t="s">
        <v>152</v>
      </c>
      <c r="C109" t="s">
        <v>35</v>
      </c>
      <c r="D109">
        <v>159</v>
      </c>
      <c r="E109">
        <v>5127</v>
      </c>
      <c r="F109" s="3">
        <v>197</v>
      </c>
      <c r="G109">
        <v>21</v>
      </c>
      <c r="H109">
        <v>4</v>
      </c>
      <c r="I109" s="5">
        <v>2.51572327044025E-2</v>
      </c>
      <c r="J109" s="3">
        <v>381</v>
      </c>
      <c r="K109" s="1">
        <v>45599</v>
      </c>
      <c r="L109" t="s">
        <v>25</v>
      </c>
      <c r="M109" t="s">
        <v>39</v>
      </c>
      <c r="N109" t="s">
        <v>27</v>
      </c>
      <c r="O109" t="s">
        <v>28</v>
      </c>
      <c r="P109" t="s">
        <v>50</v>
      </c>
      <c r="Q109" s="6">
        <v>1.24</v>
      </c>
      <c r="R109">
        <v>3.1</v>
      </c>
      <c r="S109">
        <v>9.39</v>
      </c>
      <c r="T109">
        <v>49.29</v>
      </c>
      <c r="U109">
        <v>93.24</v>
      </c>
      <c r="V109">
        <v>95.25</v>
      </c>
      <c r="W109">
        <v>1.93</v>
      </c>
    </row>
    <row r="110" spans="1:23" x14ac:dyDescent="0.3">
      <c r="A110">
        <v>108</v>
      </c>
      <c r="B110" t="s">
        <v>153</v>
      </c>
      <c r="C110" t="s">
        <v>35</v>
      </c>
      <c r="D110">
        <v>144</v>
      </c>
      <c r="E110">
        <v>5674</v>
      </c>
      <c r="F110" s="3">
        <v>235</v>
      </c>
      <c r="G110">
        <v>12</v>
      </c>
      <c r="H110">
        <v>3</v>
      </c>
      <c r="I110" s="5">
        <v>2.0833333333333301E-2</v>
      </c>
      <c r="J110" s="3">
        <v>307</v>
      </c>
      <c r="K110" s="1">
        <v>45618</v>
      </c>
      <c r="L110" t="s">
        <v>25</v>
      </c>
      <c r="M110" t="s">
        <v>26</v>
      </c>
      <c r="N110" t="s">
        <v>49</v>
      </c>
      <c r="O110" t="s">
        <v>28</v>
      </c>
      <c r="P110" t="s">
        <v>45</v>
      </c>
      <c r="Q110" s="6">
        <v>1.6344444444444399</v>
      </c>
      <c r="R110">
        <v>2.54</v>
      </c>
      <c r="S110">
        <v>19.61</v>
      </c>
      <c r="T110">
        <v>78.45</v>
      </c>
      <c r="U110">
        <v>30.44</v>
      </c>
      <c r="V110">
        <v>102.33</v>
      </c>
      <c r="W110">
        <v>1.3</v>
      </c>
    </row>
    <row r="111" spans="1:23" x14ac:dyDescent="0.3">
      <c r="A111">
        <v>109</v>
      </c>
      <c r="B111" t="s">
        <v>154</v>
      </c>
      <c r="C111" t="s">
        <v>35</v>
      </c>
      <c r="D111">
        <v>122</v>
      </c>
      <c r="E111">
        <v>3793</v>
      </c>
      <c r="F111" s="3">
        <v>237</v>
      </c>
      <c r="G111">
        <v>19</v>
      </c>
      <c r="H111">
        <v>8</v>
      </c>
      <c r="I111" s="5">
        <v>6.5573770491803199E-2</v>
      </c>
      <c r="J111" s="3">
        <v>376</v>
      </c>
      <c r="K111" s="1">
        <v>45616</v>
      </c>
      <c r="L111" t="s">
        <v>25</v>
      </c>
      <c r="M111" t="s">
        <v>39</v>
      </c>
      <c r="N111" t="s">
        <v>44</v>
      </c>
      <c r="O111" t="s">
        <v>28</v>
      </c>
      <c r="P111" t="s">
        <v>33</v>
      </c>
      <c r="Q111" s="6">
        <v>1.94442622950819</v>
      </c>
      <c r="R111">
        <v>3.22</v>
      </c>
      <c r="S111">
        <v>12.49</v>
      </c>
      <c r="T111">
        <v>29.65</v>
      </c>
      <c r="U111">
        <v>58.5</v>
      </c>
      <c r="V111">
        <v>47</v>
      </c>
      <c r="W111">
        <v>1.59</v>
      </c>
    </row>
    <row r="112" spans="1:23" x14ac:dyDescent="0.3">
      <c r="A112">
        <v>110</v>
      </c>
      <c r="B112" t="s">
        <v>155</v>
      </c>
      <c r="C112" t="s">
        <v>43</v>
      </c>
      <c r="D112">
        <v>112</v>
      </c>
      <c r="E112">
        <v>4315</v>
      </c>
      <c r="F112" s="3">
        <v>235</v>
      </c>
      <c r="G112">
        <v>28</v>
      </c>
      <c r="H112">
        <v>9</v>
      </c>
      <c r="I112" s="5">
        <v>8.0357142857142794E-2</v>
      </c>
      <c r="J112" s="3">
        <v>228</v>
      </c>
      <c r="K112" s="1">
        <v>45604</v>
      </c>
      <c r="L112" t="s">
        <v>25</v>
      </c>
      <c r="M112" t="s">
        <v>31</v>
      </c>
      <c r="N112" t="s">
        <v>32</v>
      </c>
      <c r="O112" t="s">
        <v>28</v>
      </c>
      <c r="P112" t="s">
        <v>45</v>
      </c>
      <c r="Q112" s="6">
        <v>2.1011607142857098</v>
      </c>
      <c r="R112">
        <v>2.6</v>
      </c>
      <c r="S112">
        <v>8.4</v>
      </c>
      <c r="T112">
        <v>26.15</v>
      </c>
      <c r="U112">
        <v>-3.11</v>
      </c>
      <c r="V112">
        <v>25.33</v>
      </c>
      <c r="W112">
        <v>0.97</v>
      </c>
    </row>
    <row r="113" spans="1:23" x14ac:dyDescent="0.3">
      <c r="A113">
        <v>111</v>
      </c>
      <c r="B113" t="s">
        <v>156</v>
      </c>
      <c r="C113" t="s">
        <v>24</v>
      </c>
      <c r="D113">
        <v>174</v>
      </c>
      <c r="E113">
        <v>4704</v>
      </c>
      <c r="F113" s="3">
        <v>192</v>
      </c>
      <c r="G113">
        <v>21</v>
      </c>
      <c r="H113">
        <v>10</v>
      </c>
      <c r="I113" s="5">
        <v>5.7471264367816001E-2</v>
      </c>
      <c r="J113" s="3">
        <v>306</v>
      </c>
      <c r="K113" s="1">
        <v>45620</v>
      </c>
      <c r="L113" t="s">
        <v>25</v>
      </c>
      <c r="M113" t="s">
        <v>31</v>
      </c>
      <c r="N113" t="s">
        <v>27</v>
      </c>
      <c r="O113" t="s">
        <v>28</v>
      </c>
      <c r="P113" t="s">
        <v>50</v>
      </c>
      <c r="Q113" s="6">
        <v>1.10528735632183</v>
      </c>
      <c r="R113">
        <v>3.7</v>
      </c>
      <c r="S113">
        <v>9.16</v>
      </c>
      <c r="T113">
        <v>19.23</v>
      </c>
      <c r="U113">
        <v>59.11</v>
      </c>
      <c r="V113">
        <v>30.6</v>
      </c>
      <c r="W113">
        <v>1.59</v>
      </c>
    </row>
    <row r="114" spans="1:23" x14ac:dyDescent="0.3">
      <c r="A114">
        <v>112</v>
      </c>
      <c r="B114" t="s">
        <v>157</v>
      </c>
      <c r="C114" t="s">
        <v>43</v>
      </c>
      <c r="D114">
        <v>168</v>
      </c>
      <c r="E114">
        <v>3349</v>
      </c>
      <c r="F114" s="3">
        <v>236</v>
      </c>
      <c r="G114">
        <v>23</v>
      </c>
      <c r="H114">
        <v>9</v>
      </c>
      <c r="I114" s="5">
        <v>5.3571428571428499E-2</v>
      </c>
      <c r="J114" s="3">
        <v>387</v>
      </c>
      <c r="K114" s="1">
        <v>45605</v>
      </c>
      <c r="L114" t="s">
        <v>25</v>
      </c>
      <c r="M114" t="s">
        <v>31</v>
      </c>
      <c r="N114" t="s">
        <v>44</v>
      </c>
      <c r="O114" t="s">
        <v>28</v>
      </c>
      <c r="P114" t="s">
        <v>29</v>
      </c>
      <c r="Q114" s="6">
        <v>1.4023809523809501</v>
      </c>
      <c r="R114">
        <v>5.0199999999999996</v>
      </c>
      <c r="S114">
        <v>10.24</v>
      </c>
      <c r="T114">
        <v>26.18</v>
      </c>
      <c r="U114">
        <v>64.260000000000005</v>
      </c>
      <c r="V114">
        <v>43</v>
      </c>
      <c r="W114">
        <v>1.64</v>
      </c>
    </row>
    <row r="115" spans="1:23" x14ac:dyDescent="0.3">
      <c r="A115">
        <v>113</v>
      </c>
      <c r="B115" t="s">
        <v>158</v>
      </c>
      <c r="C115" t="s">
        <v>24</v>
      </c>
      <c r="D115">
        <v>173</v>
      </c>
      <c r="E115">
        <v>3501</v>
      </c>
      <c r="F115" s="3">
        <v>224</v>
      </c>
      <c r="G115">
        <v>28</v>
      </c>
      <c r="H115">
        <v>10</v>
      </c>
      <c r="I115" s="5">
        <v>5.7803468208092401E-2</v>
      </c>
      <c r="J115" s="3">
        <v>241</v>
      </c>
      <c r="K115" s="1">
        <v>45621</v>
      </c>
      <c r="L115" t="s">
        <v>25</v>
      </c>
      <c r="M115" t="s">
        <v>31</v>
      </c>
      <c r="N115" t="s">
        <v>32</v>
      </c>
      <c r="O115" t="s">
        <v>28</v>
      </c>
      <c r="P115" t="s">
        <v>59</v>
      </c>
      <c r="Q115" s="6">
        <v>1.2942196531791901</v>
      </c>
      <c r="R115">
        <v>4.9400000000000004</v>
      </c>
      <c r="S115">
        <v>8</v>
      </c>
      <c r="T115">
        <v>22.39</v>
      </c>
      <c r="U115">
        <v>7.64</v>
      </c>
      <c r="V115">
        <v>24.1</v>
      </c>
      <c r="W115">
        <v>1.08</v>
      </c>
    </row>
    <row r="116" spans="1:23" x14ac:dyDescent="0.3">
      <c r="A116">
        <v>114</v>
      </c>
      <c r="B116" t="s">
        <v>159</v>
      </c>
      <c r="C116" t="s">
        <v>43</v>
      </c>
      <c r="D116">
        <v>91</v>
      </c>
      <c r="E116">
        <v>3001</v>
      </c>
      <c r="F116" s="3">
        <v>204</v>
      </c>
      <c r="G116">
        <v>13</v>
      </c>
      <c r="H116">
        <v>9</v>
      </c>
      <c r="I116" s="5">
        <v>9.8901098901098897E-2</v>
      </c>
      <c r="J116" s="3">
        <v>375</v>
      </c>
      <c r="K116" s="1">
        <v>45616</v>
      </c>
      <c r="L116" t="s">
        <v>25</v>
      </c>
      <c r="M116" t="s">
        <v>26</v>
      </c>
      <c r="N116" t="s">
        <v>32</v>
      </c>
      <c r="O116" t="s">
        <v>28</v>
      </c>
      <c r="P116" t="s">
        <v>33</v>
      </c>
      <c r="Q116" s="6">
        <v>2.23648351648351</v>
      </c>
      <c r="R116">
        <v>3.03</v>
      </c>
      <c r="S116">
        <v>15.66</v>
      </c>
      <c r="T116">
        <v>22.61</v>
      </c>
      <c r="U116">
        <v>84.26</v>
      </c>
      <c r="V116">
        <v>41.67</v>
      </c>
      <c r="W116">
        <v>1.84</v>
      </c>
    </row>
    <row r="117" spans="1:23" x14ac:dyDescent="0.3">
      <c r="A117">
        <v>115</v>
      </c>
      <c r="B117" t="s">
        <v>160</v>
      </c>
      <c r="C117" t="s">
        <v>38</v>
      </c>
      <c r="D117">
        <v>140</v>
      </c>
      <c r="E117">
        <v>5405</v>
      </c>
      <c r="F117" s="3">
        <v>196</v>
      </c>
      <c r="G117">
        <v>21</v>
      </c>
      <c r="H117">
        <v>8</v>
      </c>
      <c r="I117" s="5">
        <v>5.7142857142857099E-2</v>
      </c>
      <c r="J117" s="3">
        <v>223</v>
      </c>
      <c r="K117" s="1">
        <v>45617</v>
      </c>
      <c r="L117" t="s">
        <v>25</v>
      </c>
      <c r="M117" t="s">
        <v>26</v>
      </c>
      <c r="N117" t="s">
        <v>40</v>
      </c>
      <c r="O117" t="s">
        <v>28</v>
      </c>
      <c r="P117" t="s">
        <v>54</v>
      </c>
      <c r="Q117" s="6">
        <v>1.39778571428571</v>
      </c>
      <c r="R117">
        <v>2.59</v>
      </c>
      <c r="S117">
        <v>9.32</v>
      </c>
      <c r="T117">
        <v>24.46</v>
      </c>
      <c r="U117">
        <v>13.96</v>
      </c>
      <c r="V117">
        <v>27.88</v>
      </c>
      <c r="W117">
        <v>1.1399999999999999</v>
      </c>
    </row>
    <row r="118" spans="1:23" x14ac:dyDescent="0.3">
      <c r="A118">
        <v>116</v>
      </c>
      <c r="B118" t="s">
        <v>161</v>
      </c>
      <c r="C118" t="s">
        <v>24</v>
      </c>
      <c r="D118">
        <v>93</v>
      </c>
      <c r="E118">
        <v>3425</v>
      </c>
      <c r="F118" s="3">
        <v>230</v>
      </c>
      <c r="G118">
        <v>26</v>
      </c>
      <c r="H118">
        <v>4</v>
      </c>
      <c r="I118" s="5">
        <v>4.3010752688171998E-2</v>
      </c>
      <c r="J118" s="3">
        <v>274</v>
      </c>
      <c r="K118" s="1">
        <v>45620</v>
      </c>
      <c r="L118" t="s">
        <v>25</v>
      </c>
      <c r="M118" t="s">
        <v>31</v>
      </c>
      <c r="N118" t="s">
        <v>44</v>
      </c>
      <c r="O118" t="s">
        <v>28</v>
      </c>
      <c r="P118" t="s">
        <v>50</v>
      </c>
      <c r="Q118" s="6">
        <v>2.4705376344086001</v>
      </c>
      <c r="R118">
        <v>2.72</v>
      </c>
      <c r="S118">
        <v>8.84</v>
      </c>
      <c r="T118">
        <v>57.44</v>
      </c>
      <c r="U118">
        <v>19.25</v>
      </c>
      <c r="V118">
        <v>68.5</v>
      </c>
      <c r="W118">
        <v>1.19</v>
      </c>
    </row>
    <row r="119" spans="1:23" x14ac:dyDescent="0.3">
      <c r="A119">
        <v>117</v>
      </c>
      <c r="B119" t="s">
        <v>162</v>
      </c>
      <c r="C119" t="s">
        <v>38</v>
      </c>
      <c r="D119">
        <v>114</v>
      </c>
      <c r="E119">
        <v>5263</v>
      </c>
      <c r="F119" s="3">
        <v>189</v>
      </c>
      <c r="G119">
        <v>23</v>
      </c>
      <c r="H119">
        <v>5</v>
      </c>
      <c r="I119" s="5">
        <v>4.3859649122807001E-2</v>
      </c>
      <c r="J119" s="3">
        <v>293</v>
      </c>
      <c r="K119" s="1">
        <v>45601</v>
      </c>
      <c r="L119" t="s">
        <v>25</v>
      </c>
      <c r="M119" t="s">
        <v>31</v>
      </c>
      <c r="N119" t="s">
        <v>32</v>
      </c>
      <c r="O119" t="s">
        <v>28</v>
      </c>
      <c r="P119" t="s">
        <v>41</v>
      </c>
      <c r="Q119" s="6">
        <v>1.6590350877192901</v>
      </c>
      <c r="R119">
        <v>2.17</v>
      </c>
      <c r="S119">
        <v>8.2200000000000006</v>
      </c>
      <c r="T119">
        <v>37.83</v>
      </c>
      <c r="U119">
        <v>54.92</v>
      </c>
      <c r="V119">
        <v>58.6</v>
      </c>
      <c r="W119">
        <v>1.55</v>
      </c>
    </row>
    <row r="120" spans="1:23" x14ac:dyDescent="0.3">
      <c r="A120">
        <v>118</v>
      </c>
      <c r="B120" t="s">
        <v>163</v>
      </c>
      <c r="C120" t="s">
        <v>35</v>
      </c>
      <c r="D120">
        <v>172</v>
      </c>
      <c r="E120">
        <v>3889</v>
      </c>
      <c r="F120" s="3">
        <v>266</v>
      </c>
      <c r="G120">
        <v>21</v>
      </c>
      <c r="H120">
        <v>10</v>
      </c>
      <c r="I120" s="5">
        <v>5.8139534883720902E-2</v>
      </c>
      <c r="J120" s="3">
        <v>360</v>
      </c>
      <c r="K120" s="1">
        <v>45612</v>
      </c>
      <c r="L120" t="s">
        <v>25</v>
      </c>
      <c r="M120" t="s">
        <v>39</v>
      </c>
      <c r="N120" t="s">
        <v>44</v>
      </c>
      <c r="O120" t="s">
        <v>28</v>
      </c>
      <c r="P120" t="s">
        <v>29</v>
      </c>
      <c r="Q120" s="6">
        <v>1.5454545454545401</v>
      </c>
      <c r="R120">
        <v>4.42</v>
      </c>
      <c r="S120">
        <v>12.66</v>
      </c>
      <c r="T120">
        <v>26.58</v>
      </c>
      <c r="U120">
        <v>35.43</v>
      </c>
      <c r="V120">
        <v>36</v>
      </c>
      <c r="W120">
        <v>1.35</v>
      </c>
    </row>
    <row r="121" spans="1:23" x14ac:dyDescent="0.3">
      <c r="A121">
        <v>119</v>
      </c>
      <c r="B121" t="s">
        <v>164</v>
      </c>
      <c r="C121" t="s">
        <v>38</v>
      </c>
      <c r="D121">
        <v>188</v>
      </c>
      <c r="E121">
        <v>3327</v>
      </c>
      <c r="F121" s="3">
        <v>194</v>
      </c>
      <c r="G121">
        <v>24</v>
      </c>
      <c r="H121">
        <v>6</v>
      </c>
      <c r="I121" s="5">
        <v>3.1914893617021198E-2</v>
      </c>
      <c r="J121" s="3">
        <v>249</v>
      </c>
      <c r="K121" s="1">
        <v>45599</v>
      </c>
      <c r="L121" t="s">
        <v>25</v>
      </c>
      <c r="M121" t="s">
        <v>39</v>
      </c>
      <c r="N121" t="s">
        <v>44</v>
      </c>
      <c r="O121" t="s">
        <v>28</v>
      </c>
      <c r="P121" t="s">
        <v>50</v>
      </c>
      <c r="Q121" s="6">
        <v>1.0306382978723401</v>
      </c>
      <c r="R121">
        <v>5.65</v>
      </c>
      <c r="S121">
        <v>8.07</v>
      </c>
      <c r="T121">
        <v>32.29</v>
      </c>
      <c r="U121">
        <v>28.51</v>
      </c>
      <c r="V121">
        <v>41.5</v>
      </c>
      <c r="W121">
        <v>1.29</v>
      </c>
    </row>
    <row r="122" spans="1:23" x14ac:dyDescent="0.3">
      <c r="A122">
        <v>120</v>
      </c>
      <c r="B122" t="s">
        <v>165</v>
      </c>
      <c r="C122" t="s">
        <v>35</v>
      </c>
      <c r="D122">
        <v>117</v>
      </c>
      <c r="E122">
        <v>3858</v>
      </c>
      <c r="F122" s="3">
        <v>214</v>
      </c>
      <c r="G122">
        <v>29</v>
      </c>
      <c r="H122">
        <v>4</v>
      </c>
      <c r="I122" s="5">
        <v>3.4188034188034101E-2</v>
      </c>
      <c r="J122" s="3">
        <v>275</v>
      </c>
      <c r="K122" s="1">
        <v>45619</v>
      </c>
      <c r="L122" t="s">
        <v>25</v>
      </c>
      <c r="M122" t="s">
        <v>31</v>
      </c>
      <c r="N122" t="s">
        <v>27</v>
      </c>
      <c r="O122" t="s">
        <v>28</v>
      </c>
      <c r="P122" t="s">
        <v>29</v>
      </c>
      <c r="Q122" s="6">
        <v>1.83059829059829</v>
      </c>
      <c r="R122">
        <v>3.03</v>
      </c>
      <c r="S122">
        <v>7.39</v>
      </c>
      <c r="T122">
        <v>53.54</v>
      </c>
      <c r="U122">
        <v>28.4</v>
      </c>
      <c r="V122">
        <v>68.75</v>
      </c>
      <c r="W122">
        <v>1.28</v>
      </c>
    </row>
    <row r="123" spans="1:23" x14ac:dyDescent="0.3">
      <c r="A123">
        <v>121</v>
      </c>
      <c r="B123" t="s">
        <v>166</v>
      </c>
      <c r="C123" t="s">
        <v>24</v>
      </c>
      <c r="D123">
        <v>113</v>
      </c>
      <c r="E123">
        <v>5471</v>
      </c>
      <c r="F123" s="3">
        <v>216</v>
      </c>
      <c r="G123">
        <v>27</v>
      </c>
      <c r="H123">
        <v>9</v>
      </c>
      <c r="I123" s="5">
        <v>7.9646017699115002E-2</v>
      </c>
      <c r="J123" s="3">
        <v>229</v>
      </c>
      <c r="K123" s="1">
        <v>45619</v>
      </c>
      <c r="L123" t="s">
        <v>25</v>
      </c>
      <c r="M123" t="s">
        <v>31</v>
      </c>
      <c r="N123" t="s">
        <v>49</v>
      </c>
      <c r="O123" t="s">
        <v>28</v>
      </c>
      <c r="P123" t="s">
        <v>29</v>
      </c>
      <c r="Q123" s="6">
        <v>1.9076991150442399</v>
      </c>
      <c r="R123">
        <v>2.0699999999999998</v>
      </c>
      <c r="S123">
        <v>7.98</v>
      </c>
      <c r="T123">
        <v>23.95</v>
      </c>
      <c r="U123">
        <v>6.23</v>
      </c>
      <c r="V123">
        <v>25.44</v>
      </c>
      <c r="W123">
        <v>1.06</v>
      </c>
    </row>
    <row r="124" spans="1:23" x14ac:dyDescent="0.3">
      <c r="A124">
        <v>122</v>
      </c>
      <c r="B124" t="s">
        <v>167</v>
      </c>
      <c r="C124" t="s">
        <v>43</v>
      </c>
      <c r="D124">
        <v>109</v>
      </c>
      <c r="E124">
        <v>3550</v>
      </c>
      <c r="F124" s="3">
        <v>240</v>
      </c>
      <c r="G124">
        <v>14</v>
      </c>
      <c r="H124">
        <v>8</v>
      </c>
      <c r="I124" s="5">
        <v>7.3394495412843999E-2</v>
      </c>
      <c r="J124" s="3">
        <v>404</v>
      </c>
      <c r="K124" s="1">
        <v>45620</v>
      </c>
      <c r="L124" t="s">
        <v>25</v>
      </c>
      <c r="M124" t="s">
        <v>39</v>
      </c>
      <c r="N124" t="s">
        <v>27</v>
      </c>
      <c r="O124" t="s">
        <v>28</v>
      </c>
      <c r="P124" t="s">
        <v>50</v>
      </c>
      <c r="Q124" s="6">
        <v>2.2048623853210998</v>
      </c>
      <c r="R124">
        <v>3.07</v>
      </c>
      <c r="S124">
        <v>17.170000000000002</v>
      </c>
      <c r="T124">
        <v>30.04</v>
      </c>
      <c r="U124">
        <v>68.099999999999994</v>
      </c>
      <c r="V124">
        <v>50.5</v>
      </c>
      <c r="W124">
        <v>1.68</v>
      </c>
    </row>
    <row r="125" spans="1:23" x14ac:dyDescent="0.3">
      <c r="A125">
        <v>123</v>
      </c>
      <c r="B125" t="s">
        <v>168</v>
      </c>
      <c r="C125" t="s">
        <v>35</v>
      </c>
      <c r="D125">
        <v>174</v>
      </c>
      <c r="E125">
        <v>3178</v>
      </c>
      <c r="F125" s="3">
        <v>226</v>
      </c>
      <c r="G125">
        <v>18</v>
      </c>
      <c r="H125">
        <v>10</v>
      </c>
      <c r="I125" s="5">
        <v>5.7471264367816001E-2</v>
      </c>
      <c r="J125" s="3">
        <v>233</v>
      </c>
      <c r="K125" s="1">
        <v>45616</v>
      </c>
      <c r="L125" t="s">
        <v>25</v>
      </c>
      <c r="M125" t="s">
        <v>26</v>
      </c>
      <c r="N125" t="s">
        <v>36</v>
      </c>
      <c r="O125" t="s">
        <v>28</v>
      </c>
      <c r="P125" t="s">
        <v>33</v>
      </c>
      <c r="Q125" s="6">
        <v>1.2969540229884999</v>
      </c>
      <c r="R125">
        <v>5.48</v>
      </c>
      <c r="S125">
        <v>12.54</v>
      </c>
      <c r="T125">
        <v>22.57</v>
      </c>
      <c r="U125">
        <v>3.25</v>
      </c>
      <c r="V125">
        <v>23.3</v>
      </c>
      <c r="W125">
        <v>1.03</v>
      </c>
    </row>
    <row r="126" spans="1:23" x14ac:dyDescent="0.3">
      <c r="A126">
        <v>124</v>
      </c>
      <c r="B126" t="s">
        <v>169</v>
      </c>
      <c r="C126" t="s">
        <v>24</v>
      </c>
      <c r="D126">
        <v>96</v>
      </c>
      <c r="E126">
        <v>4673</v>
      </c>
      <c r="F126" s="3">
        <v>193</v>
      </c>
      <c r="G126">
        <v>24</v>
      </c>
      <c r="H126">
        <v>5</v>
      </c>
      <c r="I126" s="5">
        <v>5.2083333333333301E-2</v>
      </c>
      <c r="J126" s="3">
        <v>400</v>
      </c>
      <c r="K126" s="1">
        <v>45606</v>
      </c>
      <c r="L126" t="s">
        <v>25</v>
      </c>
      <c r="M126" t="s">
        <v>31</v>
      </c>
      <c r="N126" t="s">
        <v>27</v>
      </c>
      <c r="O126" t="s">
        <v>28</v>
      </c>
      <c r="P126" t="s">
        <v>50</v>
      </c>
      <c r="Q126" s="6">
        <v>2.0091666666666601</v>
      </c>
      <c r="R126">
        <v>2.0499999999999998</v>
      </c>
      <c r="S126">
        <v>8.0399999999999991</v>
      </c>
      <c r="T126">
        <v>38.58</v>
      </c>
      <c r="U126">
        <v>107.38</v>
      </c>
      <c r="V126">
        <v>80</v>
      </c>
      <c r="W126">
        <v>2.0699999999999998</v>
      </c>
    </row>
    <row r="127" spans="1:23" x14ac:dyDescent="0.3">
      <c r="A127">
        <v>125</v>
      </c>
      <c r="B127" t="s">
        <v>170</v>
      </c>
      <c r="C127" t="s">
        <v>38</v>
      </c>
      <c r="D127">
        <v>110</v>
      </c>
      <c r="E127">
        <v>4254</v>
      </c>
      <c r="F127" s="3">
        <v>188</v>
      </c>
      <c r="G127">
        <v>11</v>
      </c>
      <c r="H127">
        <v>4</v>
      </c>
      <c r="I127" s="5">
        <v>3.6363636363636299E-2</v>
      </c>
      <c r="J127" s="3">
        <v>239</v>
      </c>
      <c r="K127" s="1">
        <v>45600</v>
      </c>
      <c r="L127" t="s">
        <v>25</v>
      </c>
      <c r="M127" t="s">
        <v>31</v>
      </c>
      <c r="N127" t="s">
        <v>40</v>
      </c>
      <c r="O127" t="s">
        <v>28</v>
      </c>
      <c r="P127" t="s">
        <v>59</v>
      </c>
      <c r="Q127" s="6">
        <v>1.7079090909090899</v>
      </c>
      <c r="R127">
        <v>2.59</v>
      </c>
      <c r="S127">
        <v>17.079999999999998</v>
      </c>
      <c r="T127">
        <v>46.97</v>
      </c>
      <c r="U127">
        <v>27.22</v>
      </c>
      <c r="V127">
        <v>59.75</v>
      </c>
      <c r="W127">
        <v>1.27</v>
      </c>
    </row>
    <row r="128" spans="1:23" x14ac:dyDescent="0.3">
      <c r="A128">
        <v>126</v>
      </c>
      <c r="B128" t="s">
        <v>171</v>
      </c>
      <c r="C128" t="s">
        <v>35</v>
      </c>
      <c r="D128">
        <v>163</v>
      </c>
      <c r="E128">
        <v>3658</v>
      </c>
      <c r="F128" s="3">
        <v>238</v>
      </c>
      <c r="G128">
        <v>23</v>
      </c>
      <c r="H128">
        <v>7</v>
      </c>
      <c r="I128" s="5">
        <v>4.2944785276073601E-2</v>
      </c>
      <c r="J128" s="3">
        <v>347</v>
      </c>
      <c r="K128" s="1">
        <v>45619</v>
      </c>
      <c r="L128" t="s">
        <v>25</v>
      </c>
      <c r="M128" t="s">
        <v>39</v>
      </c>
      <c r="N128" t="s">
        <v>44</v>
      </c>
      <c r="O128" t="s">
        <v>28</v>
      </c>
      <c r="P128" t="s">
        <v>29</v>
      </c>
      <c r="Q128" s="6">
        <v>1.45785276073619</v>
      </c>
      <c r="R128">
        <v>4.46</v>
      </c>
      <c r="S128">
        <v>10.33</v>
      </c>
      <c r="T128">
        <v>33.950000000000003</v>
      </c>
      <c r="U128">
        <v>46.03</v>
      </c>
      <c r="V128">
        <v>49.57</v>
      </c>
      <c r="W128">
        <v>1.46</v>
      </c>
    </row>
    <row r="129" spans="1:23" x14ac:dyDescent="0.3">
      <c r="A129">
        <v>127</v>
      </c>
      <c r="B129" t="s">
        <v>172</v>
      </c>
      <c r="C129" t="s">
        <v>24</v>
      </c>
      <c r="D129">
        <v>161</v>
      </c>
      <c r="E129">
        <v>5319</v>
      </c>
      <c r="F129" s="3">
        <v>236</v>
      </c>
      <c r="G129">
        <v>13</v>
      </c>
      <c r="H129">
        <v>4</v>
      </c>
      <c r="I129" s="5">
        <v>2.4844720496894401E-2</v>
      </c>
      <c r="J129" s="3">
        <v>290</v>
      </c>
      <c r="K129" s="1">
        <v>45614</v>
      </c>
      <c r="L129" t="s">
        <v>25</v>
      </c>
      <c r="M129" t="s">
        <v>31</v>
      </c>
      <c r="N129" t="s">
        <v>27</v>
      </c>
      <c r="O129" t="s">
        <v>28</v>
      </c>
      <c r="P129" t="s">
        <v>59</v>
      </c>
      <c r="Q129" s="6">
        <v>1.46571428571428</v>
      </c>
      <c r="R129">
        <v>3.03</v>
      </c>
      <c r="S129">
        <v>18.149999999999999</v>
      </c>
      <c r="T129">
        <v>59</v>
      </c>
      <c r="U129">
        <v>22.89</v>
      </c>
      <c r="V129">
        <v>72.5</v>
      </c>
      <c r="W129">
        <v>1.23</v>
      </c>
    </row>
    <row r="130" spans="1:23" x14ac:dyDescent="0.3">
      <c r="A130">
        <v>128</v>
      </c>
      <c r="B130" t="s">
        <v>173</v>
      </c>
      <c r="C130" t="s">
        <v>24</v>
      </c>
      <c r="D130">
        <v>195</v>
      </c>
      <c r="E130">
        <v>5278</v>
      </c>
      <c r="F130" s="3">
        <v>193</v>
      </c>
      <c r="G130">
        <v>30</v>
      </c>
      <c r="H130">
        <v>7</v>
      </c>
      <c r="I130" s="5">
        <v>3.5897435897435798E-2</v>
      </c>
      <c r="J130" s="3">
        <v>297</v>
      </c>
      <c r="K130" s="1">
        <v>45600</v>
      </c>
      <c r="L130" t="s">
        <v>25</v>
      </c>
      <c r="M130" t="s">
        <v>31</v>
      </c>
      <c r="N130" t="s">
        <v>32</v>
      </c>
      <c r="O130" t="s">
        <v>28</v>
      </c>
      <c r="P130" t="s">
        <v>59</v>
      </c>
      <c r="Q130" s="6">
        <v>0.99225641025640998</v>
      </c>
      <c r="R130">
        <v>3.69</v>
      </c>
      <c r="S130">
        <v>6.45</v>
      </c>
      <c r="T130">
        <v>27.64</v>
      </c>
      <c r="U130">
        <v>53.5</v>
      </c>
      <c r="V130">
        <v>42.43</v>
      </c>
      <c r="W130">
        <v>1.53</v>
      </c>
    </row>
    <row r="131" spans="1:23" x14ac:dyDescent="0.3">
      <c r="A131">
        <v>129</v>
      </c>
      <c r="B131" t="s">
        <v>174</v>
      </c>
      <c r="C131" t="s">
        <v>35</v>
      </c>
      <c r="D131">
        <v>84</v>
      </c>
      <c r="E131">
        <v>3755</v>
      </c>
      <c r="F131" s="3">
        <v>219</v>
      </c>
      <c r="G131">
        <v>14</v>
      </c>
      <c r="H131">
        <v>9</v>
      </c>
      <c r="I131" s="5">
        <v>0.107142857142857</v>
      </c>
      <c r="J131" s="3">
        <v>265</v>
      </c>
      <c r="K131" s="1">
        <v>45601</v>
      </c>
      <c r="L131" t="s">
        <v>25</v>
      </c>
      <c r="M131" t="s">
        <v>39</v>
      </c>
      <c r="N131" t="s">
        <v>49</v>
      </c>
      <c r="O131" t="s">
        <v>28</v>
      </c>
      <c r="P131" t="s">
        <v>41</v>
      </c>
      <c r="Q131" s="6">
        <v>2.6057142857142801</v>
      </c>
      <c r="R131">
        <v>2.2400000000000002</v>
      </c>
      <c r="S131">
        <v>15.63</v>
      </c>
      <c r="T131">
        <v>24.32</v>
      </c>
      <c r="U131">
        <v>21.07</v>
      </c>
      <c r="V131">
        <v>29.44</v>
      </c>
      <c r="W131">
        <v>1.21</v>
      </c>
    </row>
    <row r="132" spans="1:23" x14ac:dyDescent="0.3">
      <c r="A132">
        <v>130</v>
      </c>
      <c r="B132" t="s">
        <v>175</v>
      </c>
      <c r="C132" t="s">
        <v>35</v>
      </c>
      <c r="D132">
        <v>113</v>
      </c>
      <c r="E132">
        <v>4580</v>
      </c>
      <c r="F132" s="3">
        <v>195</v>
      </c>
      <c r="G132">
        <v>11</v>
      </c>
      <c r="H132">
        <v>6</v>
      </c>
      <c r="I132" s="5">
        <v>5.30973451327433E-2</v>
      </c>
      <c r="J132" s="3">
        <v>255</v>
      </c>
      <c r="K132" s="1">
        <v>45624</v>
      </c>
      <c r="L132" t="s">
        <v>25</v>
      </c>
      <c r="M132" t="s">
        <v>39</v>
      </c>
      <c r="N132" t="s">
        <v>32</v>
      </c>
      <c r="O132" t="s">
        <v>28</v>
      </c>
      <c r="P132" t="s">
        <v>54</v>
      </c>
      <c r="Q132" s="6">
        <v>1.72407079646017</v>
      </c>
      <c r="R132">
        <v>2.4700000000000002</v>
      </c>
      <c r="S132">
        <v>17.71</v>
      </c>
      <c r="T132">
        <v>32.47</v>
      </c>
      <c r="U132">
        <v>30.89</v>
      </c>
      <c r="V132">
        <v>42.5</v>
      </c>
      <c r="W132">
        <v>1.31</v>
      </c>
    </row>
    <row r="133" spans="1:23" x14ac:dyDescent="0.3">
      <c r="A133">
        <v>131</v>
      </c>
      <c r="B133" t="s">
        <v>176</v>
      </c>
      <c r="C133" t="s">
        <v>43</v>
      </c>
      <c r="D133">
        <v>117</v>
      </c>
      <c r="E133">
        <v>3809</v>
      </c>
      <c r="F133" s="3">
        <v>225</v>
      </c>
      <c r="G133">
        <v>12</v>
      </c>
      <c r="H133">
        <v>5</v>
      </c>
      <c r="I133" s="5">
        <v>4.2735042735042701E-2</v>
      </c>
      <c r="J133" s="3">
        <v>305</v>
      </c>
      <c r="K133" s="1">
        <v>45605</v>
      </c>
      <c r="L133" t="s">
        <v>25</v>
      </c>
      <c r="M133" t="s">
        <v>26</v>
      </c>
      <c r="N133" t="s">
        <v>40</v>
      </c>
      <c r="O133" t="s">
        <v>28</v>
      </c>
      <c r="P133" t="s">
        <v>29</v>
      </c>
      <c r="Q133" s="6">
        <v>1.9242735042735</v>
      </c>
      <c r="R133">
        <v>3.07</v>
      </c>
      <c r="S133">
        <v>18.760000000000002</v>
      </c>
      <c r="T133">
        <v>45.03</v>
      </c>
      <c r="U133">
        <v>35.47</v>
      </c>
      <c r="V133">
        <v>61</v>
      </c>
      <c r="W133">
        <v>1.35</v>
      </c>
    </row>
    <row r="134" spans="1:23" x14ac:dyDescent="0.3">
      <c r="A134">
        <v>132</v>
      </c>
      <c r="B134" t="s">
        <v>177</v>
      </c>
      <c r="C134" t="s">
        <v>24</v>
      </c>
      <c r="D134">
        <v>135</v>
      </c>
      <c r="E134">
        <v>5118</v>
      </c>
      <c r="F134" s="3">
        <v>220</v>
      </c>
      <c r="G134">
        <v>27</v>
      </c>
      <c r="H134">
        <v>6</v>
      </c>
      <c r="I134" s="5">
        <v>4.4444444444444398E-2</v>
      </c>
      <c r="J134" s="3">
        <v>222</v>
      </c>
      <c r="K134" s="1">
        <v>45616</v>
      </c>
      <c r="L134" t="s">
        <v>25</v>
      </c>
      <c r="M134" t="s">
        <v>31</v>
      </c>
      <c r="N134" t="s">
        <v>44</v>
      </c>
      <c r="O134" t="s">
        <v>28</v>
      </c>
      <c r="P134" t="s">
        <v>33</v>
      </c>
      <c r="Q134" s="6">
        <v>1.6295555555555501</v>
      </c>
      <c r="R134">
        <v>2.64</v>
      </c>
      <c r="S134">
        <v>8.15</v>
      </c>
      <c r="T134">
        <v>36.659999999999997</v>
      </c>
      <c r="U134">
        <v>0.91</v>
      </c>
      <c r="V134">
        <v>37</v>
      </c>
      <c r="W134">
        <v>1.01</v>
      </c>
    </row>
    <row r="135" spans="1:23" x14ac:dyDescent="0.3">
      <c r="A135">
        <v>133</v>
      </c>
      <c r="B135" t="s">
        <v>178</v>
      </c>
      <c r="C135" t="s">
        <v>35</v>
      </c>
      <c r="D135">
        <v>92</v>
      </c>
      <c r="E135">
        <v>5766</v>
      </c>
      <c r="F135" s="3">
        <v>186</v>
      </c>
      <c r="G135">
        <v>28</v>
      </c>
      <c r="H135">
        <v>7</v>
      </c>
      <c r="I135" s="5">
        <v>7.6086956521739094E-2</v>
      </c>
      <c r="J135" s="3">
        <v>207</v>
      </c>
      <c r="K135" s="1">
        <v>45623</v>
      </c>
      <c r="L135" t="s">
        <v>25</v>
      </c>
      <c r="M135" t="s">
        <v>39</v>
      </c>
      <c r="N135" t="s">
        <v>40</v>
      </c>
      <c r="O135" t="s">
        <v>28</v>
      </c>
      <c r="P135" t="s">
        <v>33</v>
      </c>
      <c r="Q135" s="6">
        <v>2.0232608695652101</v>
      </c>
      <c r="R135">
        <v>1.6</v>
      </c>
      <c r="S135">
        <v>6.65</v>
      </c>
      <c r="T135">
        <v>26.59</v>
      </c>
      <c r="U135">
        <v>11.21</v>
      </c>
      <c r="V135">
        <v>29.57</v>
      </c>
      <c r="W135">
        <v>1.1100000000000001</v>
      </c>
    </row>
    <row r="136" spans="1:23" x14ac:dyDescent="0.3">
      <c r="A136">
        <v>134</v>
      </c>
      <c r="B136" t="s">
        <v>179</v>
      </c>
      <c r="C136" t="s">
        <v>38</v>
      </c>
      <c r="D136">
        <v>188</v>
      </c>
      <c r="E136">
        <v>3934</v>
      </c>
      <c r="F136" s="3">
        <v>206</v>
      </c>
      <c r="G136">
        <v>16</v>
      </c>
      <c r="H136">
        <v>9</v>
      </c>
      <c r="I136" s="5">
        <v>4.7872340425531901E-2</v>
      </c>
      <c r="J136" s="3">
        <v>420.42857142857099</v>
      </c>
      <c r="K136" s="1">
        <v>45600</v>
      </c>
      <c r="L136" t="s">
        <v>25</v>
      </c>
      <c r="M136" t="s">
        <v>26</v>
      </c>
      <c r="N136" t="s">
        <v>32</v>
      </c>
      <c r="O136" t="s">
        <v>28</v>
      </c>
      <c r="P136" t="s">
        <v>59</v>
      </c>
      <c r="Q136" s="6">
        <v>1.0968617021276501</v>
      </c>
      <c r="R136">
        <v>4.78</v>
      </c>
      <c r="S136">
        <v>12.89</v>
      </c>
      <c r="T136">
        <v>22.91</v>
      </c>
      <c r="U136">
        <v>103.88</v>
      </c>
      <c r="V136">
        <v>46.71</v>
      </c>
      <c r="W136">
        <v>2.04</v>
      </c>
    </row>
    <row r="137" spans="1:23" x14ac:dyDescent="0.3">
      <c r="A137">
        <v>135</v>
      </c>
      <c r="B137" t="s">
        <v>180</v>
      </c>
      <c r="C137" t="s">
        <v>38</v>
      </c>
      <c r="D137">
        <v>101</v>
      </c>
      <c r="E137">
        <v>4724</v>
      </c>
      <c r="F137" s="3">
        <v>228</v>
      </c>
      <c r="G137">
        <v>13</v>
      </c>
      <c r="H137">
        <v>7</v>
      </c>
      <c r="I137" s="5">
        <v>6.9306930693069299E-2</v>
      </c>
      <c r="J137" s="3">
        <v>254</v>
      </c>
      <c r="K137" s="1">
        <v>45616</v>
      </c>
      <c r="L137" t="s">
        <v>25</v>
      </c>
      <c r="M137" t="s">
        <v>26</v>
      </c>
      <c r="N137" t="s">
        <v>27</v>
      </c>
      <c r="O137" t="s">
        <v>28</v>
      </c>
      <c r="P137" t="s">
        <v>33</v>
      </c>
      <c r="Q137" s="6">
        <v>2.2611881188118801</v>
      </c>
      <c r="R137">
        <v>2.14</v>
      </c>
      <c r="S137">
        <v>17.57</v>
      </c>
      <c r="T137">
        <v>32.630000000000003</v>
      </c>
      <c r="U137">
        <v>11.22</v>
      </c>
      <c r="V137">
        <v>36.29</v>
      </c>
      <c r="W137">
        <v>1.1100000000000001</v>
      </c>
    </row>
    <row r="138" spans="1:23" x14ac:dyDescent="0.3">
      <c r="A138">
        <v>136</v>
      </c>
      <c r="B138" t="s">
        <v>181</v>
      </c>
      <c r="C138" t="s">
        <v>35</v>
      </c>
      <c r="D138">
        <v>111</v>
      </c>
      <c r="E138">
        <v>5895</v>
      </c>
      <c r="F138" s="3">
        <v>205</v>
      </c>
      <c r="G138">
        <v>29</v>
      </c>
      <c r="H138">
        <v>4</v>
      </c>
      <c r="I138" s="5">
        <v>3.6036036036036001E-2</v>
      </c>
      <c r="J138" s="3">
        <v>346</v>
      </c>
      <c r="K138" s="1">
        <v>45600</v>
      </c>
      <c r="L138" t="s">
        <v>25</v>
      </c>
      <c r="M138" t="s">
        <v>31</v>
      </c>
      <c r="N138" t="s">
        <v>32</v>
      </c>
      <c r="O138" t="s">
        <v>28</v>
      </c>
      <c r="P138" t="s">
        <v>59</v>
      </c>
      <c r="Q138" s="6">
        <v>1.8490990990990901</v>
      </c>
      <c r="R138">
        <v>1.88</v>
      </c>
      <c r="S138">
        <v>7.08</v>
      </c>
      <c r="T138">
        <v>51.31</v>
      </c>
      <c r="U138">
        <v>68.569999999999993</v>
      </c>
      <c r="V138">
        <v>86.5</v>
      </c>
      <c r="W138">
        <v>1.69</v>
      </c>
    </row>
    <row r="139" spans="1:23" x14ac:dyDescent="0.3">
      <c r="A139">
        <v>137</v>
      </c>
      <c r="B139" t="s">
        <v>182</v>
      </c>
      <c r="C139" t="s">
        <v>43</v>
      </c>
      <c r="D139">
        <v>122</v>
      </c>
      <c r="E139">
        <v>4048</v>
      </c>
      <c r="F139" s="3">
        <v>202</v>
      </c>
      <c r="G139">
        <v>28</v>
      </c>
      <c r="H139">
        <v>10</v>
      </c>
      <c r="I139" s="5">
        <v>8.1967213114753995E-2</v>
      </c>
      <c r="J139" s="3">
        <v>467.142857142857</v>
      </c>
      <c r="K139" s="1">
        <v>45622</v>
      </c>
      <c r="L139" t="s">
        <v>25</v>
      </c>
      <c r="M139" t="s">
        <v>31</v>
      </c>
      <c r="N139" t="s">
        <v>44</v>
      </c>
      <c r="O139" t="s">
        <v>28</v>
      </c>
      <c r="P139" t="s">
        <v>41</v>
      </c>
      <c r="Q139" s="6">
        <v>1.65762295081967</v>
      </c>
      <c r="R139">
        <v>3.01</v>
      </c>
      <c r="S139">
        <v>7.22</v>
      </c>
      <c r="T139">
        <v>20.22</v>
      </c>
      <c r="U139">
        <v>131</v>
      </c>
      <c r="V139">
        <v>46.71</v>
      </c>
      <c r="W139">
        <v>2.31</v>
      </c>
    </row>
    <row r="140" spans="1:23" x14ac:dyDescent="0.3">
      <c r="A140">
        <v>138</v>
      </c>
      <c r="B140" t="s">
        <v>183</v>
      </c>
      <c r="C140" t="s">
        <v>38</v>
      </c>
      <c r="D140">
        <v>99</v>
      </c>
      <c r="E140">
        <v>3169</v>
      </c>
      <c r="F140" s="3">
        <v>238</v>
      </c>
      <c r="G140">
        <v>21</v>
      </c>
      <c r="H140">
        <v>6</v>
      </c>
      <c r="I140" s="5">
        <v>6.0606060606060601E-2</v>
      </c>
      <c r="J140" s="3">
        <v>308</v>
      </c>
      <c r="K140" s="1">
        <v>45618</v>
      </c>
      <c r="L140" t="s">
        <v>25</v>
      </c>
      <c r="M140" t="s">
        <v>31</v>
      </c>
      <c r="N140" t="s">
        <v>44</v>
      </c>
      <c r="O140" t="s">
        <v>28</v>
      </c>
      <c r="P140" t="s">
        <v>45</v>
      </c>
      <c r="Q140" s="6">
        <v>2.4008080808080798</v>
      </c>
      <c r="R140">
        <v>3.12</v>
      </c>
      <c r="S140">
        <v>11.32</v>
      </c>
      <c r="T140">
        <v>39.61</v>
      </c>
      <c r="U140">
        <v>29.59</v>
      </c>
      <c r="V140">
        <v>51.33</v>
      </c>
      <c r="W140">
        <v>1.3</v>
      </c>
    </row>
    <row r="141" spans="1:23" x14ac:dyDescent="0.3">
      <c r="A141">
        <v>139</v>
      </c>
      <c r="B141" t="s">
        <v>184</v>
      </c>
      <c r="C141" t="s">
        <v>24</v>
      </c>
      <c r="D141">
        <v>154</v>
      </c>
      <c r="E141">
        <v>4535</v>
      </c>
      <c r="F141" s="3">
        <v>229</v>
      </c>
      <c r="G141">
        <v>11</v>
      </c>
      <c r="H141">
        <v>3</v>
      </c>
      <c r="I141" s="5">
        <v>1.94805194805194E-2</v>
      </c>
      <c r="J141" s="3">
        <v>293</v>
      </c>
      <c r="K141" s="1">
        <v>45597</v>
      </c>
      <c r="L141" t="s">
        <v>25</v>
      </c>
      <c r="M141" t="s">
        <v>39</v>
      </c>
      <c r="N141" t="s">
        <v>40</v>
      </c>
      <c r="O141" t="s">
        <v>28</v>
      </c>
      <c r="P141" t="s">
        <v>45</v>
      </c>
      <c r="Q141" s="6">
        <v>1.4888961038960999</v>
      </c>
      <c r="R141">
        <v>3.4</v>
      </c>
      <c r="S141">
        <v>20.84</v>
      </c>
      <c r="T141">
        <v>76.430000000000007</v>
      </c>
      <c r="U141">
        <v>27.79</v>
      </c>
      <c r="V141">
        <v>97.67</v>
      </c>
      <c r="W141">
        <v>1.28</v>
      </c>
    </row>
    <row r="142" spans="1:23" x14ac:dyDescent="0.3">
      <c r="A142">
        <v>140</v>
      </c>
      <c r="B142" t="s">
        <v>185</v>
      </c>
      <c r="C142" t="s">
        <v>35</v>
      </c>
      <c r="D142">
        <v>129</v>
      </c>
      <c r="E142">
        <v>3849</v>
      </c>
      <c r="F142" s="3">
        <v>249</v>
      </c>
      <c r="G142">
        <v>22</v>
      </c>
      <c r="H142">
        <v>10</v>
      </c>
      <c r="I142" s="5">
        <v>7.7519379844961198E-2</v>
      </c>
      <c r="J142" s="3">
        <v>361</v>
      </c>
      <c r="K142" s="1">
        <v>45607</v>
      </c>
      <c r="L142" t="s">
        <v>25</v>
      </c>
      <c r="M142" t="s">
        <v>26</v>
      </c>
      <c r="N142" t="s">
        <v>49</v>
      </c>
      <c r="O142" t="s">
        <v>28</v>
      </c>
      <c r="P142" t="s">
        <v>59</v>
      </c>
      <c r="Q142" s="6">
        <v>1.93248062015503</v>
      </c>
      <c r="R142">
        <v>3.35</v>
      </c>
      <c r="S142">
        <v>11.33</v>
      </c>
      <c r="T142">
        <v>24.93</v>
      </c>
      <c r="U142">
        <v>44.81</v>
      </c>
      <c r="V142">
        <v>36.1</v>
      </c>
      <c r="W142">
        <v>1.45</v>
      </c>
    </row>
    <row r="143" spans="1:23" x14ac:dyDescent="0.3">
      <c r="A143">
        <v>141</v>
      </c>
      <c r="B143" t="s">
        <v>186</v>
      </c>
      <c r="C143" t="s">
        <v>38</v>
      </c>
      <c r="D143">
        <v>129</v>
      </c>
      <c r="E143">
        <v>4259</v>
      </c>
      <c r="F143" s="3">
        <v>183</v>
      </c>
      <c r="G143">
        <v>10</v>
      </c>
      <c r="H143">
        <v>10</v>
      </c>
      <c r="I143" s="5">
        <v>7.7519379844961198E-2</v>
      </c>
      <c r="J143" s="3">
        <v>214</v>
      </c>
      <c r="K143" s="1">
        <v>45612</v>
      </c>
      <c r="L143" t="s">
        <v>25</v>
      </c>
      <c r="M143" t="s">
        <v>31</v>
      </c>
      <c r="N143" t="s">
        <v>49</v>
      </c>
      <c r="O143" t="s">
        <v>28</v>
      </c>
      <c r="P143" t="s">
        <v>29</v>
      </c>
      <c r="Q143" s="6">
        <v>1.4184496124031001</v>
      </c>
      <c r="R143">
        <v>3.03</v>
      </c>
      <c r="S143">
        <v>18.3</v>
      </c>
      <c r="T143">
        <v>18.3</v>
      </c>
      <c r="U143">
        <v>16.95</v>
      </c>
      <c r="V143">
        <v>21.4</v>
      </c>
      <c r="W143">
        <v>1.17</v>
      </c>
    </row>
    <row r="144" spans="1:23" x14ac:dyDescent="0.3">
      <c r="A144">
        <v>142</v>
      </c>
      <c r="B144" t="s">
        <v>187</v>
      </c>
      <c r="C144" t="s">
        <v>24</v>
      </c>
      <c r="D144">
        <v>143</v>
      </c>
      <c r="E144">
        <v>3628</v>
      </c>
      <c r="F144" s="3">
        <v>221</v>
      </c>
      <c r="G144">
        <v>18</v>
      </c>
      <c r="H144">
        <v>9</v>
      </c>
      <c r="I144" s="5">
        <v>6.2937062937062901E-2</v>
      </c>
      <c r="J144" s="3">
        <v>320</v>
      </c>
      <c r="K144" s="1">
        <v>45613</v>
      </c>
      <c r="L144" t="s">
        <v>25</v>
      </c>
      <c r="M144" t="s">
        <v>39</v>
      </c>
      <c r="N144" t="s">
        <v>32</v>
      </c>
      <c r="O144" t="s">
        <v>28</v>
      </c>
      <c r="P144" t="s">
        <v>50</v>
      </c>
      <c r="Q144" s="6">
        <v>1.5454545454545401</v>
      </c>
      <c r="R144">
        <v>3.94</v>
      </c>
      <c r="S144">
        <v>12.28</v>
      </c>
      <c r="T144">
        <v>24.56</v>
      </c>
      <c r="U144">
        <v>44.8</v>
      </c>
      <c r="V144">
        <v>35.56</v>
      </c>
      <c r="W144">
        <v>1.45</v>
      </c>
    </row>
    <row r="145" spans="1:23" x14ac:dyDescent="0.3">
      <c r="A145">
        <v>143</v>
      </c>
      <c r="B145" t="s">
        <v>188</v>
      </c>
      <c r="C145" t="s">
        <v>43</v>
      </c>
      <c r="D145">
        <v>80</v>
      </c>
      <c r="E145">
        <v>3269</v>
      </c>
      <c r="F145" s="3">
        <v>125</v>
      </c>
      <c r="G145">
        <v>12</v>
      </c>
      <c r="H145">
        <v>4</v>
      </c>
      <c r="I145" s="5">
        <v>0.05</v>
      </c>
      <c r="J145" s="3">
        <v>358</v>
      </c>
      <c r="K145" s="1">
        <v>45619</v>
      </c>
      <c r="L145" t="s">
        <v>25</v>
      </c>
      <c r="M145" t="s">
        <v>26</v>
      </c>
      <c r="N145" t="s">
        <v>36</v>
      </c>
      <c r="O145" t="s">
        <v>28</v>
      </c>
      <c r="P145" t="s">
        <v>29</v>
      </c>
      <c r="Q145" s="6">
        <v>1.56753061615001</v>
      </c>
      <c r="R145">
        <v>2.4500000000000002</v>
      </c>
      <c r="S145">
        <v>10.45</v>
      </c>
      <c r="T145">
        <v>31.35</v>
      </c>
      <c r="U145">
        <v>185.48</v>
      </c>
      <c r="V145">
        <v>89.5</v>
      </c>
      <c r="W145">
        <v>2.85</v>
      </c>
    </row>
    <row r="146" spans="1:23" x14ac:dyDescent="0.3">
      <c r="A146">
        <v>144</v>
      </c>
      <c r="B146" t="s">
        <v>189</v>
      </c>
      <c r="C146" t="s">
        <v>35</v>
      </c>
      <c r="D146">
        <v>134</v>
      </c>
      <c r="E146">
        <v>3724</v>
      </c>
      <c r="F146" s="3">
        <v>188</v>
      </c>
      <c r="G146">
        <v>26</v>
      </c>
      <c r="H146">
        <v>9</v>
      </c>
      <c r="I146" s="5">
        <v>6.7164179104477598E-2</v>
      </c>
      <c r="J146" s="3">
        <v>386</v>
      </c>
      <c r="K146" s="1">
        <v>45603</v>
      </c>
      <c r="L146" t="s">
        <v>25</v>
      </c>
      <c r="M146" t="s">
        <v>26</v>
      </c>
      <c r="N146" t="s">
        <v>44</v>
      </c>
      <c r="O146" t="s">
        <v>28</v>
      </c>
      <c r="P146" t="s">
        <v>54</v>
      </c>
      <c r="Q146" s="6">
        <v>1.4031343283582001</v>
      </c>
      <c r="R146">
        <v>3.6</v>
      </c>
      <c r="S146">
        <v>7.23</v>
      </c>
      <c r="T146">
        <v>20.89</v>
      </c>
      <c r="U146">
        <v>105.3</v>
      </c>
      <c r="V146">
        <v>42.89</v>
      </c>
      <c r="W146">
        <v>2.0499999999999998</v>
      </c>
    </row>
    <row r="147" spans="1:23" x14ac:dyDescent="0.3">
      <c r="A147">
        <v>145</v>
      </c>
      <c r="B147" t="s">
        <v>190</v>
      </c>
      <c r="C147" t="s">
        <v>35</v>
      </c>
      <c r="D147">
        <v>174</v>
      </c>
      <c r="E147">
        <v>4838</v>
      </c>
      <c r="F147" s="3">
        <v>242</v>
      </c>
      <c r="G147">
        <v>21</v>
      </c>
      <c r="H147">
        <v>3</v>
      </c>
      <c r="I147" s="5">
        <v>1.72413793103448E-2</v>
      </c>
      <c r="J147" s="3">
        <v>326</v>
      </c>
      <c r="K147" s="1">
        <v>45618</v>
      </c>
      <c r="L147" t="s">
        <v>25</v>
      </c>
      <c r="M147" t="s">
        <v>26</v>
      </c>
      <c r="N147" t="s">
        <v>36</v>
      </c>
      <c r="O147" t="s">
        <v>28</v>
      </c>
      <c r="P147" t="s">
        <v>45</v>
      </c>
      <c r="Q147" s="6">
        <v>1.39281609195402</v>
      </c>
      <c r="R147">
        <v>3.6</v>
      </c>
      <c r="S147">
        <v>11.54</v>
      </c>
      <c r="T147">
        <v>80.78</v>
      </c>
      <c r="U147">
        <v>34.520000000000003</v>
      </c>
      <c r="V147">
        <v>108.67</v>
      </c>
      <c r="W147">
        <v>1.35</v>
      </c>
    </row>
    <row r="148" spans="1:23" x14ac:dyDescent="0.3">
      <c r="A148">
        <v>146</v>
      </c>
      <c r="B148" t="s">
        <v>191</v>
      </c>
      <c r="C148" t="s">
        <v>43</v>
      </c>
      <c r="D148">
        <v>196</v>
      </c>
      <c r="E148">
        <v>4524</v>
      </c>
      <c r="F148" s="3">
        <v>192</v>
      </c>
      <c r="G148">
        <v>15</v>
      </c>
      <c r="H148">
        <v>8</v>
      </c>
      <c r="I148" s="5">
        <v>4.08163265306122E-2</v>
      </c>
      <c r="J148" s="3">
        <v>214</v>
      </c>
      <c r="K148" s="1">
        <v>45609</v>
      </c>
      <c r="L148" t="s">
        <v>25</v>
      </c>
      <c r="M148" t="s">
        <v>26</v>
      </c>
      <c r="N148" t="s">
        <v>32</v>
      </c>
      <c r="O148" t="s">
        <v>28</v>
      </c>
      <c r="P148" t="s">
        <v>33</v>
      </c>
      <c r="Q148" s="6">
        <v>0.97964285714285704</v>
      </c>
      <c r="R148">
        <v>4.33</v>
      </c>
      <c r="S148">
        <v>12.8</v>
      </c>
      <c r="T148">
        <v>24</v>
      </c>
      <c r="U148">
        <v>11.45</v>
      </c>
      <c r="V148">
        <v>26.75</v>
      </c>
      <c r="W148">
        <v>1.1100000000000001</v>
      </c>
    </row>
    <row r="149" spans="1:23" x14ac:dyDescent="0.3">
      <c r="A149">
        <v>147</v>
      </c>
      <c r="B149" t="s">
        <v>192</v>
      </c>
      <c r="C149" t="s">
        <v>43</v>
      </c>
      <c r="D149">
        <v>194</v>
      </c>
      <c r="E149">
        <v>4694</v>
      </c>
      <c r="F149" s="3">
        <v>228</v>
      </c>
      <c r="G149">
        <v>17</v>
      </c>
      <c r="H149">
        <v>7</v>
      </c>
      <c r="I149" s="5">
        <v>3.60824742268041E-2</v>
      </c>
      <c r="J149" s="3">
        <v>382</v>
      </c>
      <c r="K149" s="1">
        <v>45610</v>
      </c>
      <c r="L149" t="s">
        <v>25</v>
      </c>
      <c r="M149" t="s">
        <v>39</v>
      </c>
      <c r="N149" t="s">
        <v>27</v>
      </c>
      <c r="O149" t="s">
        <v>28</v>
      </c>
      <c r="P149" t="s">
        <v>54</v>
      </c>
      <c r="Q149" s="6">
        <v>1.17603092783505</v>
      </c>
      <c r="R149">
        <v>4.13</v>
      </c>
      <c r="S149">
        <v>13.42</v>
      </c>
      <c r="T149">
        <v>32.590000000000003</v>
      </c>
      <c r="U149">
        <v>67.430000000000007</v>
      </c>
      <c r="V149">
        <v>54.57</v>
      </c>
      <c r="W149">
        <v>1.67</v>
      </c>
    </row>
    <row r="150" spans="1:23" x14ac:dyDescent="0.3">
      <c r="A150">
        <v>148</v>
      </c>
      <c r="B150" t="s">
        <v>193</v>
      </c>
      <c r="C150" t="s">
        <v>43</v>
      </c>
      <c r="D150">
        <v>180</v>
      </c>
      <c r="E150">
        <v>4326</v>
      </c>
      <c r="F150" s="3">
        <v>222</v>
      </c>
      <c r="G150">
        <v>13</v>
      </c>
      <c r="H150">
        <v>8</v>
      </c>
      <c r="I150" s="5">
        <v>4.4444444444444398E-2</v>
      </c>
      <c r="J150" s="3">
        <v>291</v>
      </c>
      <c r="K150" s="1">
        <v>45602</v>
      </c>
      <c r="L150" t="s">
        <v>25</v>
      </c>
      <c r="M150" t="s">
        <v>39</v>
      </c>
      <c r="N150" t="s">
        <v>44</v>
      </c>
      <c r="O150" t="s">
        <v>28</v>
      </c>
      <c r="P150" t="s">
        <v>33</v>
      </c>
      <c r="Q150" s="6">
        <v>1.2315</v>
      </c>
      <c r="R150">
        <v>4.16</v>
      </c>
      <c r="S150">
        <v>17.05</v>
      </c>
      <c r="T150">
        <v>27.71</v>
      </c>
      <c r="U150">
        <v>31.28</v>
      </c>
      <c r="V150">
        <v>36.380000000000003</v>
      </c>
      <c r="W150">
        <v>1.31</v>
      </c>
    </row>
    <row r="151" spans="1:23" x14ac:dyDescent="0.3">
      <c r="A151">
        <v>149</v>
      </c>
      <c r="B151" t="s">
        <v>194</v>
      </c>
      <c r="C151" t="s">
        <v>38</v>
      </c>
      <c r="D151">
        <v>100</v>
      </c>
      <c r="E151">
        <v>4235</v>
      </c>
      <c r="F151" s="3">
        <v>223</v>
      </c>
      <c r="G151">
        <v>10</v>
      </c>
      <c r="H151">
        <v>8</v>
      </c>
      <c r="I151" s="5">
        <v>0.08</v>
      </c>
      <c r="J151" s="3">
        <v>370</v>
      </c>
      <c r="K151" s="1">
        <v>45597</v>
      </c>
      <c r="L151" t="s">
        <v>25</v>
      </c>
      <c r="M151" t="s">
        <v>26</v>
      </c>
      <c r="N151" t="s">
        <v>40</v>
      </c>
      <c r="O151" t="s">
        <v>28</v>
      </c>
      <c r="P151" t="s">
        <v>45</v>
      </c>
      <c r="Q151" s="6">
        <v>2.2261000000000002</v>
      </c>
      <c r="R151">
        <v>2.36</v>
      </c>
      <c r="S151">
        <v>22.26</v>
      </c>
      <c r="T151">
        <v>27.83</v>
      </c>
      <c r="U151">
        <v>66.209999999999994</v>
      </c>
      <c r="V151">
        <v>46.25</v>
      </c>
      <c r="W151">
        <v>1.66</v>
      </c>
    </row>
    <row r="152" spans="1:23" x14ac:dyDescent="0.3">
      <c r="A152">
        <v>150</v>
      </c>
      <c r="B152" t="s">
        <v>195</v>
      </c>
      <c r="C152" t="s">
        <v>35</v>
      </c>
      <c r="D152">
        <v>153</v>
      </c>
      <c r="E152">
        <v>4367</v>
      </c>
      <c r="F152" s="3">
        <v>185</v>
      </c>
      <c r="G152">
        <v>29</v>
      </c>
      <c r="H152">
        <v>9</v>
      </c>
      <c r="I152" s="5">
        <v>5.8823529411764698E-2</v>
      </c>
      <c r="J152" s="3">
        <v>308</v>
      </c>
      <c r="K152" s="1">
        <v>45609</v>
      </c>
      <c r="L152" t="s">
        <v>25</v>
      </c>
      <c r="M152" t="s">
        <v>31</v>
      </c>
      <c r="N152" t="s">
        <v>49</v>
      </c>
      <c r="O152" t="s">
        <v>28</v>
      </c>
      <c r="P152" t="s">
        <v>33</v>
      </c>
      <c r="Q152" s="6">
        <v>1.2059477124183</v>
      </c>
      <c r="R152">
        <v>3.5</v>
      </c>
      <c r="S152">
        <v>6.36</v>
      </c>
      <c r="T152">
        <v>20.5</v>
      </c>
      <c r="U152">
        <v>66.930000000000007</v>
      </c>
      <c r="V152">
        <v>34.22</v>
      </c>
      <c r="W152">
        <v>1.67</v>
      </c>
    </row>
    <row r="153" spans="1:23" x14ac:dyDescent="0.3">
      <c r="A153">
        <v>151</v>
      </c>
      <c r="B153" t="s">
        <v>196</v>
      </c>
      <c r="C153" t="s">
        <v>35</v>
      </c>
      <c r="D153">
        <v>110</v>
      </c>
      <c r="E153">
        <v>3748</v>
      </c>
      <c r="F153" s="3">
        <v>199</v>
      </c>
      <c r="G153">
        <v>24</v>
      </c>
      <c r="H153">
        <v>9</v>
      </c>
      <c r="I153" s="5">
        <v>8.1818181818181804E-2</v>
      </c>
      <c r="J153" s="3">
        <v>212</v>
      </c>
      <c r="K153" s="1">
        <v>45601</v>
      </c>
      <c r="L153" t="s">
        <v>25</v>
      </c>
      <c r="M153" t="s">
        <v>39</v>
      </c>
      <c r="N153" t="s">
        <v>40</v>
      </c>
      <c r="O153" t="s">
        <v>28</v>
      </c>
      <c r="P153" t="s">
        <v>41</v>
      </c>
      <c r="Q153" s="6">
        <v>1.8061818181818099</v>
      </c>
      <c r="R153">
        <v>2.93</v>
      </c>
      <c r="S153">
        <v>8.2799999999999994</v>
      </c>
      <c r="T153">
        <v>22.08</v>
      </c>
      <c r="U153">
        <v>6.7</v>
      </c>
      <c r="V153">
        <v>23.56</v>
      </c>
      <c r="W153">
        <v>1.07</v>
      </c>
    </row>
    <row r="154" spans="1:23" x14ac:dyDescent="0.3">
      <c r="A154">
        <v>152</v>
      </c>
      <c r="B154" t="s">
        <v>197</v>
      </c>
      <c r="C154" t="s">
        <v>43</v>
      </c>
      <c r="D154">
        <v>116</v>
      </c>
      <c r="E154">
        <v>3901</v>
      </c>
      <c r="F154" s="3">
        <v>179</v>
      </c>
      <c r="G154">
        <v>21</v>
      </c>
      <c r="H154">
        <v>4</v>
      </c>
      <c r="I154" s="5">
        <v>3.4482758620689599E-2</v>
      </c>
      <c r="J154" s="3">
        <v>303</v>
      </c>
      <c r="K154" s="1">
        <v>45609</v>
      </c>
      <c r="L154" t="s">
        <v>25</v>
      </c>
      <c r="M154" t="s">
        <v>39</v>
      </c>
      <c r="N154" t="s">
        <v>44</v>
      </c>
      <c r="O154" t="s">
        <v>28</v>
      </c>
      <c r="P154" t="s">
        <v>33</v>
      </c>
      <c r="Q154" s="6">
        <v>1.5454545454545401</v>
      </c>
      <c r="R154">
        <v>2.97</v>
      </c>
      <c r="S154">
        <v>8.5399999999999991</v>
      </c>
      <c r="T154">
        <v>44.82</v>
      </c>
      <c r="U154">
        <v>69.02</v>
      </c>
      <c r="V154">
        <v>75.75</v>
      </c>
      <c r="W154">
        <v>1.69</v>
      </c>
    </row>
    <row r="155" spans="1:23" x14ac:dyDescent="0.3">
      <c r="A155">
        <v>153</v>
      </c>
      <c r="B155" t="s">
        <v>198</v>
      </c>
      <c r="C155" t="s">
        <v>43</v>
      </c>
      <c r="D155">
        <v>156</v>
      </c>
      <c r="E155">
        <v>3335</v>
      </c>
      <c r="F155" s="3">
        <v>237</v>
      </c>
      <c r="G155">
        <v>29</v>
      </c>
      <c r="H155">
        <v>7</v>
      </c>
      <c r="I155" s="5">
        <v>4.4871794871794803E-2</v>
      </c>
      <c r="J155" s="3">
        <v>233</v>
      </c>
      <c r="K155" s="1">
        <v>45610</v>
      </c>
      <c r="L155" t="s">
        <v>25</v>
      </c>
      <c r="M155" t="s">
        <v>26</v>
      </c>
      <c r="N155" t="s">
        <v>32</v>
      </c>
      <c r="O155" t="s">
        <v>28</v>
      </c>
      <c r="P155" t="s">
        <v>54</v>
      </c>
      <c r="Q155" s="6">
        <v>1.5191025641025599</v>
      </c>
      <c r="R155">
        <v>4.68</v>
      </c>
      <c r="S155">
        <v>8.17</v>
      </c>
      <c r="T155">
        <v>33.85</v>
      </c>
      <c r="U155">
        <v>-1.68</v>
      </c>
      <c r="V155">
        <v>33.29</v>
      </c>
      <c r="W155">
        <v>0.98</v>
      </c>
    </row>
    <row r="156" spans="1:23" x14ac:dyDescent="0.3">
      <c r="A156">
        <v>154</v>
      </c>
      <c r="B156" t="s">
        <v>199</v>
      </c>
      <c r="C156" t="s">
        <v>43</v>
      </c>
      <c r="D156">
        <v>177</v>
      </c>
      <c r="E156">
        <v>5671</v>
      </c>
      <c r="F156" s="3">
        <v>211</v>
      </c>
      <c r="G156">
        <v>19</v>
      </c>
      <c r="H156">
        <v>6</v>
      </c>
      <c r="I156" s="5">
        <v>3.38983050847457E-2</v>
      </c>
      <c r="J156" s="3">
        <v>239</v>
      </c>
      <c r="K156" s="1">
        <v>45621</v>
      </c>
      <c r="L156" t="s">
        <v>25</v>
      </c>
      <c r="M156" t="s">
        <v>39</v>
      </c>
      <c r="N156" t="s">
        <v>32</v>
      </c>
      <c r="O156" t="s">
        <v>28</v>
      </c>
      <c r="P156" t="s">
        <v>59</v>
      </c>
      <c r="Q156" s="6">
        <v>1.19062146892655</v>
      </c>
      <c r="R156">
        <v>3.12</v>
      </c>
      <c r="S156">
        <v>11.09</v>
      </c>
      <c r="T156">
        <v>35.119999999999997</v>
      </c>
      <c r="U156">
        <v>13.41</v>
      </c>
      <c r="V156">
        <v>39.83</v>
      </c>
      <c r="W156">
        <v>1.1299999999999999</v>
      </c>
    </row>
    <row r="157" spans="1:23" x14ac:dyDescent="0.3">
      <c r="A157">
        <v>155</v>
      </c>
      <c r="B157" t="s">
        <v>200</v>
      </c>
      <c r="C157" t="s">
        <v>24</v>
      </c>
      <c r="D157">
        <v>89</v>
      </c>
      <c r="E157">
        <v>3408</v>
      </c>
      <c r="F157" s="3">
        <v>215</v>
      </c>
      <c r="G157">
        <v>25</v>
      </c>
      <c r="H157">
        <v>9</v>
      </c>
      <c r="I157" s="5">
        <v>0.101123595505617</v>
      </c>
      <c r="J157" s="3">
        <v>387</v>
      </c>
      <c r="K157" s="1">
        <v>45611</v>
      </c>
      <c r="L157" t="s">
        <v>25</v>
      </c>
      <c r="M157" t="s">
        <v>31</v>
      </c>
      <c r="N157" t="s">
        <v>32</v>
      </c>
      <c r="O157" t="s">
        <v>28</v>
      </c>
      <c r="P157" t="s">
        <v>45</v>
      </c>
      <c r="Q157" s="6">
        <v>2.4132584269662898</v>
      </c>
      <c r="R157">
        <v>2.61</v>
      </c>
      <c r="S157">
        <v>8.59</v>
      </c>
      <c r="T157">
        <v>23.86</v>
      </c>
      <c r="U157">
        <v>80.180000000000007</v>
      </c>
      <c r="V157">
        <v>43</v>
      </c>
      <c r="W157">
        <v>1.8</v>
      </c>
    </row>
    <row r="158" spans="1:23" x14ac:dyDescent="0.3">
      <c r="A158">
        <v>156</v>
      </c>
      <c r="B158" t="s">
        <v>201</v>
      </c>
      <c r="C158" t="s">
        <v>24</v>
      </c>
      <c r="D158">
        <v>155</v>
      </c>
      <c r="E158">
        <v>4422</v>
      </c>
      <c r="F158" s="3">
        <v>184</v>
      </c>
      <c r="G158">
        <v>14</v>
      </c>
      <c r="H158">
        <v>8</v>
      </c>
      <c r="I158" s="5">
        <v>5.1612903225806403E-2</v>
      </c>
      <c r="J158" s="3">
        <v>233</v>
      </c>
      <c r="K158" s="1">
        <v>45611</v>
      </c>
      <c r="L158" t="s">
        <v>25</v>
      </c>
      <c r="M158" t="s">
        <v>31</v>
      </c>
      <c r="N158" t="s">
        <v>49</v>
      </c>
      <c r="O158" t="s">
        <v>28</v>
      </c>
      <c r="P158" t="s">
        <v>45</v>
      </c>
      <c r="Q158" s="6">
        <v>1.18683870967741</v>
      </c>
      <c r="R158">
        <v>3.51</v>
      </c>
      <c r="S158">
        <v>13.14</v>
      </c>
      <c r="T158">
        <v>23</v>
      </c>
      <c r="U158">
        <v>26.66</v>
      </c>
      <c r="V158">
        <v>29.12</v>
      </c>
      <c r="W158">
        <v>1.27</v>
      </c>
    </row>
    <row r="159" spans="1:23" x14ac:dyDescent="0.3">
      <c r="A159">
        <v>157</v>
      </c>
      <c r="B159" t="s">
        <v>202</v>
      </c>
      <c r="C159" t="s">
        <v>38</v>
      </c>
      <c r="D159">
        <v>123</v>
      </c>
      <c r="E159">
        <v>3097</v>
      </c>
      <c r="F159" s="3">
        <v>191</v>
      </c>
      <c r="G159">
        <v>20</v>
      </c>
      <c r="H159">
        <v>8</v>
      </c>
      <c r="I159" s="5">
        <v>6.5040650406504003E-2</v>
      </c>
      <c r="J159" s="3">
        <v>335</v>
      </c>
      <c r="K159" s="1">
        <v>45618</v>
      </c>
      <c r="L159" t="s">
        <v>25</v>
      </c>
      <c r="M159" t="s">
        <v>39</v>
      </c>
      <c r="N159" t="s">
        <v>32</v>
      </c>
      <c r="O159" t="s">
        <v>28</v>
      </c>
      <c r="P159" t="s">
        <v>45</v>
      </c>
      <c r="Q159" s="6">
        <v>1.5491869918699099</v>
      </c>
      <c r="R159">
        <v>3.97</v>
      </c>
      <c r="S159">
        <v>9.5299999999999994</v>
      </c>
      <c r="T159">
        <v>23.82</v>
      </c>
      <c r="U159">
        <v>75.81</v>
      </c>
      <c r="V159">
        <v>41.88</v>
      </c>
      <c r="W159">
        <v>1.76</v>
      </c>
    </row>
    <row r="160" spans="1:23" x14ac:dyDescent="0.3">
      <c r="A160">
        <v>158</v>
      </c>
      <c r="B160" t="s">
        <v>203</v>
      </c>
      <c r="C160" t="s">
        <v>43</v>
      </c>
      <c r="D160">
        <v>102</v>
      </c>
      <c r="E160">
        <v>3621</v>
      </c>
      <c r="F160" s="3">
        <v>245</v>
      </c>
      <c r="G160">
        <v>10</v>
      </c>
      <c r="H160">
        <v>5</v>
      </c>
      <c r="I160" s="5">
        <v>4.9019607843137199E-2</v>
      </c>
      <c r="J160" s="3">
        <v>281</v>
      </c>
      <c r="K160" s="1">
        <v>45608</v>
      </c>
      <c r="L160" t="s">
        <v>25</v>
      </c>
      <c r="M160" t="s">
        <v>31</v>
      </c>
      <c r="N160" t="s">
        <v>27</v>
      </c>
      <c r="O160" t="s">
        <v>28</v>
      </c>
      <c r="P160" t="s">
        <v>41</v>
      </c>
      <c r="Q160" s="6">
        <v>2.4001960784313701</v>
      </c>
      <c r="R160">
        <v>2.82</v>
      </c>
      <c r="S160">
        <v>24.48</v>
      </c>
      <c r="T160">
        <v>48.96</v>
      </c>
      <c r="U160">
        <v>14.78</v>
      </c>
      <c r="V160">
        <v>56.2</v>
      </c>
      <c r="W160">
        <v>1.1499999999999999</v>
      </c>
    </row>
    <row r="161" spans="1:23" x14ac:dyDescent="0.3">
      <c r="A161">
        <v>159</v>
      </c>
      <c r="B161" t="s">
        <v>204</v>
      </c>
      <c r="C161" t="s">
        <v>43</v>
      </c>
      <c r="D161">
        <v>150</v>
      </c>
      <c r="E161">
        <v>4806</v>
      </c>
      <c r="F161" s="3">
        <v>245</v>
      </c>
      <c r="G161">
        <v>15</v>
      </c>
      <c r="H161">
        <v>9</v>
      </c>
      <c r="I161" s="5">
        <v>0.06</v>
      </c>
      <c r="J161" s="3">
        <v>327</v>
      </c>
      <c r="K161" s="1">
        <v>45603</v>
      </c>
      <c r="L161" t="s">
        <v>25</v>
      </c>
      <c r="M161" t="s">
        <v>31</v>
      </c>
      <c r="N161" t="s">
        <v>36</v>
      </c>
      <c r="O161" t="s">
        <v>28</v>
      </c>
      <c r="P161" t="s">
        <v>54</v>
      </c>
      <c r="Q161" s="6">
        <v>1.6302000000000001</v>
      </c>
      <c r="R161">
        <v>3.12</v>
      </c>
      <c r="S161">
        <v>16.3</v>
      </c>
      <c r="T161">
        <v>27.17</v>
      </c>
      <c r="U161">
        <v>33.729999999999997</v>
      </c>
      <c r="V161">
        <v>36.33</v>
      </c>
      <c r="W161">
        <v>1.34</v>
      </c>
    </row>
    <row r="162" spans="1:23" x14ac:dyDescent="0.3">
      <c r="A162">
        <v>160</v>
      </c>
      <c r="B162" t="s">
        <v>205</v>
      </c>
      <c r="C162" t="s">
        <v>35</v>
      </c>
      <c r="D162">
        <v>160</v>
      </c>
      <c r="E162">
        <v>5276</v>
      </c>
      <c r="F162" s="3">
        <v>246</v>
      </c>
      <c r="G162">
        <v>11</v>
      </c>
      <c r="H162">
        <v>6</v>
      </c>
      <c r="I162" s="5">
        <v>3.7499999999999999E-2</v>
      </c>
      <c r="J162" s="3">
        <v>280.28571428571399</v>
      </c>
      <c r="K162" s="1">
        <v>45601</v>
      </c>
      <c r="L162" t="s">
        <v>25</v>
      </c>
      <c r="M162" t="s">
        <v>26</v>
      </c>
      <c r="N162" t="s">
        <v>49</v>
      </c>
      <c r="O162" t="s">
        <v>28</v>
      </c>
      <c r="P162" t="s">
        <v>41</v>
      </c>
      <c r="Q162" s="6">
        <v>1.5366875</v>
      </c>
      <c r="R162">
        <v>3.03</v>
      </c>
      <c r="S162">
        <v>22.35</v>
      </c>
      <c r="T162">
        <v>40.98</v>
      </c>
      <c r="U162">
        <v>14</v>
      </c>
      <c r="V162">
        <v>46.71</v>
      </c>
      <c r="W162">
        <v>1.1399999999999999</v>
      </c>
    </row>
    <row r="163" spans="1:23" x14ac:dyDescent="0.3">
      <c r="A163">
        <v>161</v>
      </c>
      <c r="B163" t="s">
        <v>206</v>
      </c>
      <c r="C163" t="s">
        <v>35</v>
      </c>
      <c r="D163">
        <v>143</v>
      </c>
      <c r="E163">
        <v>3901</v>
      </c>
      <c r="F163" s="3">
        <v>191</v>
      </c>
      <c r="G163">
        <v>29</v>
      </c>
      <c r="H163">
        <v>4</v>
      </c>
      <c r="I163" s="5">
        <v>2.7972027972027899E-2</v>
      </c>
      <c r="J163" s="3">
        <v>364</v>
      </c>
      <c r="K163" s="1">
        <v>45620</v>
      </c>
      <c r="L163" t="s">
        <v>25</v>
      </c>
      <c r="M163" t="s">
        <v>31</v>
      </c>
      <c r="N163" t="s">
        <v>27</v>
      </c>
      <c r="O163" t="s">
        <v>28</v>
      </c>
      <c r="P163" t="s">
        <v>50</v>
      </c>
      <c r="Q163" s="6">
        <v>1.33832167832167</v>
      </c>
      <c r="R163">
        <v>3.67</v>
      </c>
      <c r="S163">
        <v>6.6</v>
      </c>
      <c r="T163">
        <v>47.84</v>
      </c>
      <c r="U163">
        <v>90.2</v>
      </c>
      <c r="V163">
        <v>91</v>
      </c>
      <c r="W163">
        <v>1.9</v>
      </c>
    </row>
    <row r="164" spans="1:23" x14ac:dyDescent="0.3">
      <c r="A164">
        <v>162</v>
      </c>
      <c r="B164" t="s">
        <v>207</v>
      </c>
      <c r="C164" t="s">
        <v>35</v>
      </c>
      <c r="D164">
        <v>178</v>
      </c>
      <c r="E164">
        <v>4673</v>
      </c>
      <c r="F164" s="3">
        <v>222</v>
      </c>
      <c r="G164">
        <v>29</v>
      </c>
      <c r="H164">
        <v>6</v>
      </c>
      <c r="I164" s="5">
        <v>3.3707865168539297E-2</v>
      </c>
      <c r="J164" s="3">
        <v>249</v>
      </c>
      <c r="K164" s="1">
        <v>45600</v>
      </c>
      <c r="L164" t="s">
        <v>25</v>
      </c>
      <c r="M164" t="s">
        <v>39</v>
      </c>
      <c r="N164" t="s">
        <v>44</v>
      </c>
      <c r="O164" t="s">
        <v>28</v>
      </c>
      <c r="P164" t="s">
        <v>59</v>
      </c>
      <c r="Q164" s="6">
        <v>1.24977528089887</v>
      </c>
      <c r="R164">
        <v>3.81</v>
      </c>
      <c r="S164">
        <v>7.67</v>
      </c>
      <c r="T164">
        <v>37.08</v>
      </c>
      <c r="U164">
        <v>11.93</v>
      </c>
      <c r="V164">
        <v>41.5</v>
      </c>
      <c r="W164">
        <v>1.1200000000000001</v>
      </c>
    </row>
    <row r="165" spans="1:23" x14ac:dyDescent="0.3">
      <c r="A165">
        <v>163</v>
      </c>
      <c r="B165" t="s">
        <v>208</v>
      </c>
      <c r="C165" t="s">
        <v>24</v>
      </c>
      <c r="D165">
        <v>152</v>
      </c>
      <c r="E165">
        <v>3542</v>
      </c>
      <c r="F165" s="3">
        <v>209</v>
      </c>
      <c r="G165">
        <v>13</v>
      </c>
      <c r="H165">
        <v>9</v>
      </c>
      <c r="I165" s="5">
        <v>5.9210526315789401E-2</v>
      </c>
      <c r="J165" s="3">
        <v>354</v>
      </c>
      <c r="K165" s="1">
        <v>45609</v>
      </c>
      <c r="L165" t="s">
        <v>25</v>
      </c>
      <c r="M165" t="s">
        <v>26</v>
      </c>
      <c r="N165" t="s">
        <v>32</v>
      </c>
      <c r="O165" t="s">
        <v>28</v>
      </c>
      <c r="P165" t="s">
        <v>33</v>
      </c>
      <c r="Q165" s="6">
        <v>1.3747368421052599</v>
      </c>
      <c r="R165">
        <v>4.29</v>
      </c>
      <c r="S165">
        <v>16.07</v>
      </c>
      <c r="T165">
        <v>23.22</v>
      </c>
      <c r="U165">
        <v>69.41</v>
      </c>
      <c r="V165">
        <v>39.33</v>
      </c>
      <c r="W165">
        <v>1.69</v>
      </c>
    </row>
    <row r="166" spans="1:23" x14ac:dyDescent="0.3">
      <c r="A166">
        <v>164</v>
      </c>
      <c r="B166" t="s">
        <v>209</v>
      </c>
      <c r="C166" t="s">
        <v>24</v>
      </c>
      <c r="D166">
        <v>139</v>
      </c>
      <c r="E166">
        <v>4347</v>
      </c>
      <c r="F166" s="3">
        <v>238</v>
      </c>
      <c r="G166">
        <v>26</v>
      </c>
      <c r="H166">
        <v>5</v>
      </c>
      <c r="I166" s="5">
        <v>3.5971223021582698E-2</v>
      </c>
      <c r="J166" s="3">
        <v>282</v>
      </c>
      <c r="K166" s="1">
        <v>45609</v>
      </c>
      <c r="L166" t="s">
        <v>25</v>
      </c>
      <c r="M166" t="s">
        <v>39</v>
      </c>
      <c r="N166" t="s">
        <v>49</v>
      </c>
      <c r="O166" t="s">
        <v>28</v>
      </c>
      <c r="P166" t="s">
        <v>33</v>
      </c>
      <c r="Q166" s="6">
        <v>1.71359712230215</v>
      </c>
      <c r="R166">
        <v>3.2</v>
      </c>
      <c r="S166">
        <v>9.16</v>
      </c>
      <c r="T166">
        <v>47.64</v>
      </c>
      <c r="U166">
        <v>18.39</v>
      </c>
      <c r="V166">
        <v>56.4</v>
      </c>
      <c r="W166">
        <v>1.18</v>
      </c>
    </row>
    <row r="167" spans="1:23" x14ac:dyDescent="0.3">
      <c r="A167">
        <v>165</v>
      </c>
      <c r="B167" t="s">
        <v>210</v>
      </c>
      <c r="C167" t="s">
        <v>38</v>
      </c>
      <c r="D167">
        <v>175</v>
      </c>
      <c r="E167">
        <v>5014</v>
      </c>
      <c r="F167" s="3">
        <v>247</v>
      </c>
      <c r="G167">
        <v>25</v>
      </c>
      <c r="H167">
        <v>7</v>
      </c>
      <c r="I167" s="5">
        <v>0.04</v>
      </c>
      <c r="J167" s="3">
        <v>306</v>
      </c>
      <c r="K167" s="1">
        <v>45611</v>
      </c>
      <c r="L167" t="s">
        <v>25</v>
      </c>
      <c r="M167" t="s">
        <v>31</v>
      </c>
      <c r="N167" t="s">
        <v>27</v>
      </c>
      <c r="O167" t="s">
        <v>28</v>
      </c>
      <c r="P167" t="s">
        <v>45</v>
      </c>
      <c r="Q167" s="6">
        <v>1.4128000000000001</v>
      </c>
      <c r="R167">
        <v>3.49</v>
      </c>
      <c r="S167">
        <v>9.89</v>
      </c>
      <c r="T167">
        <v>35.32</v>
      </c>
      <c r="U167">
        <v>23.77</v>
      </c>
      <c r="V167">
        <v>43.71</v>
      </c>
      <c r="W167">
        <v>1.24</v>
      </c>
    </row>
    <row r="168" spans="1:23" x14ac:dyDescent="0.3">
      <c r="A168">
        <v>166</v>
      </c>
      <c r="B168" t="s">
        <v>211</v>
      </c>
      <c r="C168" t="s">
        <v>43</v>
      </c>
      <c r="D168">
        <v>92</v>
      </c>
      <c r="E168">
        <v>4185</v>
      </c>
      <c r="F168" s="3">
        <v>218</v>
      </c>
      <c r="G168">
        <v>21</v>
      </c>
      <c r="H168">
        <v>9</v>
      </c>
      <c r="I168" s="5">
        <v>9.7826086956521702E-2</v>
      </c>
      <c r="J168" s="3">
        <v>320</v>
      </c>
      <c r="K168" s="1">
        <v>45599</v>
      </c>
      <c r="L168" t="s">
        <v>25</v>
      </c>
      <c r="M168" t="s">
        <v>31</v>
      </c>
      <c r="N168" t="s">
        <v>36</v>
      </c>
      <c r="O168" t="s">
        <v>28</v>
      </c>
      <c r="P168" t="s">
        <v>50</v>
      </c>
      <c r="Q168" s="6">
        <v>2.3745652173913001</v>
      </c>
      <c r="R168">
        <v>2.2000000000000002</v>
      </c>
      <c r="S168">
        <v>10.4</v>
      </c>
      <c r="T168">
        <v>24.27</v>
      </c>
      <c r="U168">
        <v>46.48</v>
      </c>
      <c r="V168">
        <v>35.56</v>
      </c>
      <c r="W168">
        <v>1.46</v>
      </c>
    </row>
    <row r="169" spans="1:23" x14ac:dyDescent="0.3">
      <c r="A169">
        <v>167</v>
      </c>
      <c r="B169" t="s">
        <v>212</v>
      </c>
      <c r="C169" t="s">
        <v>24</v>
      </c>
      <c r="D169">
        <v>123</v>
      </c>
      <c r="E169">
        <v>5964</v>
      </c>
      <c r="F169" s="3">
        <v>193</v>
      </c>
      <c r="G169">
        <v>17</v>
      </c>
      <c r="H169">
        <v>6</v>
      </c>
      <c r="I169" s="5">
        <v>4.8780487804878002E-2</v>
      </c>
      <c r="J169" s="3">
        <v>278</v>
      </c>
      <c r="K169" s="1">
        <v>45599</v>
      </c>
      <c r="L169" t="s">
        <v>25</v>
      </c>
      <c r="M169" t="s">
        <v>26</v>
      </c>
      <c r="N169" t="s">
        <v>40</v>
      </c>
      <c r="O169" t="s">
        <v>28</v>
      </c>
      <c r="P169" t="s">
        <v>50</v>
      </c>
      <c r="Q169" s="6">
        <v>1.56753061615001</v>
      </c>
      <c r="R169">
        <v>2.06</v>
      </c>
      <c r="S169">
        <v>11.34</v>
      </c>
      <c r="T169">
        <v>32.130000000000003</v>
      </c>
      <c r="U169">
        <v>44.19</v>
      </c>
      <c r="V169">
        <v>46.33</v>
      </c>
      <c r="W169">
        <v>1.44</v>
      </c>
    </row>
    <row r="170" spans="1:23" x14ac:dyDescent="0.3">
      <c r="A170">
        <v>168</v>
      </c>
      <c r="B170" t="s">
        <v>213</v>
      </c>
      <c r="C170" t="s">
        <v>38</v>
      </c>
      <c r="D170">
        <v>86</v>
      </c>
      <c r="E170">
        <v>5124</v>
      </c>
      <c r="F170" s="3">
        <v>184</v>
      </c>
      <c r="G170">
        <v>13</v>
      </c>
      <c r="H170">
        <v>10</v>
      </c>
      <c r="I170" s="5">
        <v>0.116279069767441</v>
      </c>
      <c r="J170" s="3">
        <v>232</v>
      </c>
      <c r="K170" s="1">
        <v>45616</v>
      </c>
      <c r="L170" t="s">
        <v>25</v>
      </c>
      <c r="M170" t="s">
        <v>31</v>
      </c>
      <c r="N170" t="s">
        <v>40</v>
      </c>
      <c r="O170" t="s">
        <v>28</v>
      </c>
      <c r="P170" t="s">
        <v>33</v>
      </c>
      <c r="Q170" s="6">
        <v>2.1361627906976701</v>
      </c>
      <c r="R170">
        <v>1.68</v>
      </c>
      <c r="S170">
        <v>14.13</v>
      </c>
      <c r="T170">
        <v>18.37</v>
      </c>
      <c r="U170">
        <v>26.29</v>
      </c>
      <c r="V170">
        <v>23.2</v>
      </c>
      <c r="W170">
        <v>1.26</v>
      </c>
    </row>
    <row r="171" spans="1:23" x14ac:dyDescent="0.3">
      <c r="A171">
        <v>169</v>
      </c>
      <c r="B171" t="s">
        <v>214</v>
      </c>
      <c r="C171" t="s">
        <v>35</v>
      </c>
      <c r="D171">
        <v>117</v>
      </c>
      <c r="E171">
        <v>4162</v>
      </c>
      <c r="F171" s="3">
        <v>238</v>
      </c>
      <c r="G171">
        <v>28</v>
      </c>
      <c r="H171">
        <v>10</v>
      </c>
      <c r="I171" s="5">
        <v>8.5470085470085402E-2</v>
      </c>
      <c r="J171" s="3">
        <v>242</v>
      </c>
      <c r="K171" s="1">
        <v>45618</v>
      </c>
      <c r="L171" t="s">
        <v>25</v>
      </c>
      <c r="M171" t="s">
        <v>31</v>
      </c>
      <c r="N171" t="s">
        <v>44</v>
      </c>
      <c r="O171" t="s">
        <v>28</v>
      </c>
      <c r="P171" t="s">
        <v>45</v>
      </c>
      <c r="Q171" s="6">
        <v>2.03487179487179</v>
      </c>
      <c r="R171">
        <v>2.81</v>
      </c>
      <c r="S171">
        <v>8.5</v>
      </c>
      <c r="T171">
        <v>23.81</v>
      </c>
      <c r="U171">
        <v>1.65</v>
      </c>
      <c r="V171">
        <v>24.2</v>
      </c>
      <c r="W171">
        <v>1.02</v>
      </c>
    </row>
    <row r="172" spans="1:23" x14ac:dyDescent="0.3">
      <c r="A172">
        <v>170</v>
      </c>
      <c r="B172" t="s">
        <v>215</v>
      </c>
      <c r="C172" t="s">
        <v>38</v>
      </c>
      <c r="D172">
        <v>146</v>
      </c>
      <c r="E172">
        <v>4330</v>
      </c>
      <c r="F172" s="3">
        <v>192</v>
      </c>
      <c r="G172">
        <v>20</v>
      </c>
      <c r="H172">
        <v>3</v>
      </c>
      <c r="I172" s="5">
        <v>2.0547945205479399E-2</v>
      </c>
      <c r="J172" s="3">
        <v>357</v>
      </c>
      <c r="K172" s="1">
        <v>45605</v>
      </c>
      <c r="L172" t="s">
        <v>25</v>
      </c>
      <c r="M172" t="s">
        <v>31</v>
      </c>
      <c r="N172" t="s">
        <v>44</v>
      </c>
      <c r="O172" t="s">
        <v>28</v>
      </c>
      <c r="P172" t="s">
        <v>29</v>
      </c>
      <c r="Q172" s="6">
        <v>1.31438356164383</v>
      </c>
      <c r="R172">
        <v>3.37</v>
      </c>
      <c r="S172">
        <v>9.6</v>
      </c>
      <c r="T172">
        <v>63.97</v>
      </c>
      <c r="U172">
        <v>86.03</v>
      </c>
      <c r="V172">
        <v>119</v>
      </c>
      <c r="W172">
        <v>1.86</v>
      </c>
    </row>
    <row r="173" spans="1:23" x14ac:dyDescent="0.3">
      <c r="A173">
        <v>171</v>
      </c>
      <c r="B173" t="s">
        <v>216</v>
      </c>
      <c r="C173" t="s">
        <v>38</v>
      </c>
      <c r="D173">
        <v>89</v>
      </c>
      <c r="E173">
        <v>3268</v>
      </c>
      <c r="F173" s="3">
        <v>140</v>
      </c>
      <c r="G173">
        <v>17</v>
      </c>
      <c r="H173">
        <v>4</v>
      </c>
      <c r="I173" s="5">
        <v>4.49438202247191E-2</v>
      </c>
      <c r="J173" s="3">
        <v>252</v>
      </c>
      <c r="K173" s="1">
        <v>45609</v>
      </c>
      <c r="L173" t="s">
        <v>25</v>
      </c>
      <c r="M173" t="s">
        <v>26</v>
      </c>
      <c r="N173" t="s">
        <v>44</v>
      </c>
      <c r="O173" t="s">
        <v>28</v>
      </c>
      <c r="P173" t="s">
        <v>33</v>
      </c>
      <c r="Q173" s="6">
        <v>1.56753061615001</v>
      </c>
      <c r="R173">
        <v>2.72</v>
      </c>
      <c r="S173">
        <v>8.2100000000000009</v>
      </c>
      <c r="T173">
        <v>34.880000000000003</v>
      </c>
      <c r="U173">
        <v>80.63</v>
      </c>
      <c r="V173">
        <v>63</v>
      </c>
      <c r="W173">
        <v>1.81</v>
      </c>
    </row>
    <row r="174" spans="1:23" x14ac:dyDescent="0.3">
      <c r="A174">
        <v>172</v>
      </c>
      <c r="B174" t="s">
        <v>217</v>
      </c>
      <c r="C174" t="s">
        <v>24</v>
      </c>
      <c r="D174">
        <v>195</v>
      </c>
      <c r="E174">
        <v>3483</v>
      </c>
      <c r="F174" s="3">
        <v>214</v>
      </c>
      <c r="G174">
        <v>27</v>
      </c>
      <c r="H174">
        <v>7</v>
      </c>
      <c r="I174" s="5">
        <v>3.5897435897435798E-2</v>
      </c>
      <c r="J174" s="3">
        <v>367</v>
      </c>
      <c r="K174" s="1">
        <v>45619</v>
      </c>
      <c r="L174" t="s">
        <v>25</v>
      </c>
      <c r="M174" t="s">
        <v>26</v>
      </c>
      <c r="N174" t="s">
        <v>27</v>
      </c>
      <c r="O174" t="s">
        <v>28</v>
      </c>
      <c r="P174" t="s">
        <v>29</v>
      </c>
      <c r="Q174" s="6">
        <v>1.0973846153846101</v>
      </c>
      <c r="R174">
        <v>5.6</v>
      </c>
      <c r="S174">
        <v>7.93</v>
      </c>
      <c r="T174">
        <v>30.57</v>
      </c>
      <c r="U174">
        <v>71.5</v>
      </c>
      <c r="V174">
        <v>52.43</v>
      </c>
      <c r="W174">
        <v>1.72</v>
      </c>
    </row>
    <row r="175" spans="1:23" x14ac:dyDescent="0.3">
      <c r="A175">
        <v>173</v>
      </c>
      <c r="B175" t="s">
        <v>218</v>
      </c>
      <c r="C175" t="s">
        <v>38</v>
      </c>
      <c r="D175">
        <v>170</v>
      </c>
      <c r="E175">
        <v>4519</v>
      </c>
      <c r="F175" s="3">
        <v>241</v>
      </c>
      <c r="G175">
        <v>22</v>
      </c>
      <c r="H175">
        <v>7</v>
      </c>
      <c r="I175" s="5">
        <v>4.1176470588235203E-2</v>
      </c>
      <c r="J175" s="3">
        <v>207</v>
      </c>
      <c r="K175" s="1">
        <v>45623</v>
      </c>
      <c r="L175" t="s">
        <v>25</v>
      </c>
      <c r="M175" t="s">
        <v>31</v>
      </c>
      <c r="N175" t="s">
        <v>49</v>
      </c>
      <c r="O175" t="s">
        <v>28</v>
      </c>
      <c r="P175" t="s">
        <v>33</v>
      </c>
      <c r="Q175" s="6">
        <v>1.41547058823529</v>
      </c>
      <c r="R175">
        <v>3.76</v>
      </c>
      <c r="S175">
        <v>10.94</v>
      </c>
      <c r="T175">
        <v>34.380000000000003</v>
      </c>
      <c r="U175">
        <v>-13.98</v>
      </c>
      <c r="V175">
        <v>29.57</v>
      </c>
      <c r="W175">
        <v>0.86</v>
      </c>
    </row>
    <row r="176" spans="1:23" x14ac:dyDescent="0.3">
      <c r="A176">
        <v>174</v>
      </c>
      <c r="B176" t="s">
        <v>219</v>
      </c>
      <c r="C176" t="s">
        <v>38</v>
      </c>
      <c r="D176">
        <v>97</v>
      </c>
      <c r="E176">
        <v>3605</v>
      </c>
      <c r="F176" s="3">
        <v>240</v>
      </c>
      <c r="G176">
        <v>21</v>
      </c>
      <c r="H176">
        <v>7</v>
      </c>
      <c r="I176" s="5">
        <v>7.2164948453608199E-2</v>
      </c>
      <c r="J176" s="3">
        <v>343</v>
      </c>
      <c r="K176" s="1">
        <v>45606</v>
      </c>
      <c r="L176" t="s">
        <v>25</v>
      </c>
      <c r="M176" t="s">
        <v>26</v>
      </c>
      <c r="N176" t="s">
        <v>36</v>
      </c>
      <c r="O176" t="s">
        <v>28</v>
      </c>
      <c r="P176" t="s">
        <v>50</v>
      </c>
      <c r="Q176" s="6">
        <v>2.4772164948453601</v>
      </c>
      <c r="R176">
        <v>2.69</v>
      </c>
      <c r="S176">
        <v>11.44</v>
      </c>
      <c r="T176">
        <v>34.33</v>
      </c>
      <c r="U176">
        <v>42.74</v>
      </c>
      <c r="V176">
        <v>49</v>
      </c>
      <c r="W176">
        <v>1.43</v>
      </c>
    </row>
    <row r="177" spans="1:23" x14ac:dyDescent="0.3">
      <c r="A177">
        <v>175</v>
      </c>
      <c r="B177" t="s">
        <v>220</v>
      </c>
      <c r="C177" t="s">
        <v>35</v>
      </c>
      <c r="D177">
        <v>159</v>
      </c>
      <c r="E177">
        <v>5076</v>
      </c>
      <c r="F177" s="3">
        <v>205</v>
      </c>
      <c r="G177">
        <v>15</v>
      </c>
      <c r="H177">
        <v>10</v>
      </c>
      <c r="I177" s="5">
        <v>6.2893081761006206E-2</v>
      </c>
      <c r="J177" s="3">
        <v>334</v>
      </c>
      <c r="K177" s="1">
        <v>45613</v>
      </c>
      <c r="L177" t="s">
        <v>25</v>
      </c>
      <c r="M177" t="s">
        <v>39</v>
      </c>
      <c r="N177" t="s">
        <v>32</v>
      </c>
      <c r="O177" t="s">
        <v>28</v>
      </c>
      <c r="P177" t="s">
        <v>50</v>
      </c>
      <c r="Q177" s="6">
        <v>1.2891194968553401</v>
      </c>
      <c r="R177">
        <v>3.13</v>
      </c>
      <c r="S177">
        <v>13.66</v>
      </c>
      <c r="T177">
        <v>20.5</v>
      </c>
      <c r="U177">
        <v>62.95</v>
      </c>
      <c r="V177">
        <v>33.4</v>
      </c>
      <c r="W177">
        <v>1.63</v>
      </c>
    </row>
    <row r="178" spans="1:23" x14ac:dyDescent="0.3">
      <c r="A178">
        <v>176</v>
      </c>
      <c r="B178" t="s">
        <v>221</v>
      </c>
      <c r="C178" t="s">
        <v>35</v>
      </c>
      <c r="D178">
        <v>131</v>
      </c>
      <c r="E178">
        <v>5352</v>
      </c>
      <c r="F178" s="3">
        <v>226</v>
      </c>
      <c r="G178">
        <v>24</v>
      </c>
      <c r="H178">
        <v>10</v>
      </c>
      <c r="I178" s="5">
        <v>7.6335877862595394E-2</v>
      </c>
      <c r="J178" s="3">
        <v>400</v>
      </c>
      <c r="K178" s="1">
        <v>45616</v>
      </c>
      <c r="L178" t="s">
        <v>25</v>
      </c>
      <c r="M178" t="s">
        <v>31</v>
      </c>
      <c r="N178" t="s">
        <v>44</v>
      </c>
      <c r="O178" t="s">
        <v>28</v>
      </c>
      <c r="P178" t="s">
        <v>33</v>
      </c>
      <c r="Q178" s="6">
        <v>1.7241221374045801</v>
      </c>
      <c r="R178">
        <v>2.4500000000000002</v>
      </c>
      <c r="S178">
        <v>9.41</v>
      </c>
      <c r="T178">
        <v>22.59</v>
      </c>
      <c r="U178">
        <v>77.099999999999994</v>
      </c>
      <c r="V178">
        <v>40</v>
      </c>
      <c r="W178">
        <v>1.77</v>
      </c>
    </row>
    <row r="179" spans="1:23" x14ac:dyDescent="0.3">
      <c r="A179">
        <v>177</v>
      </c>
      <c r="B179" t="s">
        <v>222</v>
      </c>
      <c r="C179" t="s">
        <v>43</v>
      </c>
      <c r="D179">
        <v>108</v>
      </c>
      <c r="E179">
        <v>5503</v>
      </c>
      <c r="F179" s="3">
        <v>185</v>
      </c>
      <c r="G179">
        <v>11</v>
      </c>
      <c r="H179">
        <v>7</v>
      </c>
      <c r="I179" s="5">
        <v>6.4814814814814797E-2</v>
      </c>
      <c r="J179" s="3">
        <v>392</v>
      </c>
      <c r="K179" s="1">
        <v>45602</v>
      </c>
      <c r="L179" t="s">
        <v>25</v>
      </c>
      <c r="M179" t="s">
        <v>31</v>
      </c>
      <c r="N179" t="s">
        <v>36</v>
      </c>
      <c r="O179" t="s">
        <v>28</v>
      </c>
      <c r="P179" t="s">
        <v>33</v>
      </c>
      <c r="Q179" s="6">
        <v>1.71537037037037</v>
      </c>
      <c r="R179">
        <v>1.96</v>
      </c>
      <c r="S179">
        <v>16.84</v>
      </c>
      <c r="T179">
        <v>26.47</v>
      </c>
      <c r="U179">
        <v>111.59</v>
      </c>
      <c r="V179">
        <v>56</v>
      </c>
      <c r="W179">
        <v>2.12</v>
      </c>
    </row>
    <row r="180" spans="1:23" x14ac:dyDescent="0.3">
      <c r="A180">
        <v>178</v>
      </c>
      <c r="B180" t="s">
        <v>223</v>
      </c>
      <c r="C180" t="s">
        <v>24</v>
      </c>
      <c r="D180">
        <v>93</v>
      </c>
      <c r="E180">
        <v>4308</v>
      </c>
      <c r="F180" s="3">
        <v>210</v>
      </c>
      <c r="G180">
        <v>19</v>
      </c>
      <c r="H180">
        <v>9</v>
      </c>
      <c r="I180" s="5">
        <v>9.6774193548387094E-2</v>
      </c>
      <c r="J180" s="3">
        <v>346</v>
      </c>
      <c r="K180" s="1">
        <v>45616</v>
      </c>
      <c r="L180" t="s">
        <v>25</v>
      </c>
      <c r="M180" t="s">
        <v>31</v>
      </c>
      <c r="N180" t="s">
        <v>32</v>
      </c>
      <c r="O180" t="s">
        <v>28</v>
      </c>
      <c r="P180" t="s">
        <v>33</v>
      </c>
      <c r="Q180" s="6">
        <v>2.2562365591397802</v>
      </c>
      <c r="R180">
        <v>2.16</v>
      </c>
      <c r="S180">
        <v>11.04</v>
      </c>
      <c r="T180">
        <v>23.31</v>
      </c>
      <c r="U180">
        <v>64.900000000000006</v>
      </c>
      <c r="V180">
        <v>38.44</v>
      </c>
      <c r="W180">
        <v>1.65</v>
      </c>
    </row>
    <row r="181" spans="1:23" x14ac:dyDescent="0.3">
      <c r="A181">
        <v>179</v>
      </c>
      <c r="B181" t="s">
        <v>224</v>
      </c>
      <c r="C181" t="s">
        <v>38</v>
      </c>
      <c r="D181">
        <v>137</v>
      </c>
      <c r="E181">
        <v>3555</v>
      </c>
      <c r="F181" s="3">
        <v>214</v>
      </c>
      <c r="G181">
        <v>29</v>
      </c>
      <c r="H181">
        <v>3</v>
      </c>
      <c r="I181" s="5">
        <v>2.18978102189781E-2</v>
      </c>
      <c r="J181" s="3">
        <v>140.142857142857</v>
      </c>
      <c r="K181" s="1">
        <v>45602</v>
      </c>
      <c r="L181" t="s">
        <v>25</v>
      </c>
      <c r="M181" t="s">
        <v>26</v>
      </c>
      <c r="N181" t="s">
        <v>32</v>
      </c>
      <c r="O181" t="s">
        <v>28</v>
      </c>
      <c r="P181" t="s">
        <v>33</v>
      </c>
      <c r="Q181" s="6">
        <v>1.55839416058394</v>
      </c>
      <c r="R181">
        <v>3.85</v>
      </c>
      <c r="S181">
        <v>7.36</v>
      </c>
      <c r="T181">
        <v>71.17</v>
      </c>
      <c r="U181">
        <v>-34.36</v>
      </c>
      <c r="V181">
        <v>46.71</v>
      </c>
      <c r="W181">
        <v>0.66</v>
      </c>
    </row>
    <row r="182" spans="1:23" x14ac:dyDescent="0.3">
      <c r="A182">
        <v>180</v>
      </c>
      <c r="B182" t="s">
        <v>225</v>
      </c>
      <c r="C182" t="s">
        <v>43</v>
      </c>
      <c r="D182">
        <v>81</v>
      </c>
      <c r="E182">
        <v>5615</v>
      </c>
      <c r="F182" s="3">
        <v>193</v>
      </c>
      <c r="G182">
        <v>30</v>
      </c>
      <c r="H182">
        <v>6</v>
      </c>
      <c r="I182" s="5">
        <v>7.4074074074074001E-2</v>
      </c>
      <c r="J182" s="3">
        <v>256</v>
      </c>
      <c r="K182" s="1">
        <v>45624</v>
      </c>
      <c r="L182" t="s">
        <v>25</v>
      </c>
      <c r="M182" t="s">
        <v>31</v>
      </c>
      <c r="N182" t="s">
        <v>49</v>
      </c>
      <c r="O182" t="s">
        <v>28</v>
      </c>
      <c r="P182" t="s">
        <v>54</v>
      </c>
      <c r="Q182" s="6">
        <v>2.3844444444444401</v>
      </c>
      <c r="R182">
        <v>1.44</v>
      </c>
      <c r="S182">
        <v>6.44</v>
      </c>
      <c r="T182">
        <v>32.19</v>
      </c>
      <c r="U182">
        <v>32.549999999999997</v>
      </c>
      <c r="V182">
        <v>42.67</v>
      </c>
      <c r="W182">
        <v>1.33</v>
      </c>
    </row>
    <row r="183" spans="1:23" x14ac:dyDescent="0.3">
      <c r="A183">
        <v>181</v>
      </c>
      <c r="B183" t="s">
        <v>226</v>
      </c>
      <c r="C183" t="s">
        <v>38</v>
      </c>
      <c r="D183">
        <v>160</v>
      </c>
      <c r="E183">
        <v>4743</v>
      </c>
      <c r="F183" s="3">
        <v>206</v>
      </c>
      <c r="G183">
        <v>23</v>
      </c>
      <c r="H183">
        <v>10</v>
      </c>
      <c r="I183" s="5">
        <v>6.25E-2</v>
      </c>
      <c r="J183" s="3">
        <v>372</v>
      </c>
      <c r="K183" s="1">
        <v>45616</v>
      </c>
      <c r="L183" t="s">
        <v>25</v>
      </c>
      <c r="M183" t="s">
        <v>31</v>
      </c>
      <c r="N183" t="s">
        <v>27</v>
      </c>
      <c r="O183" t="s">
        <v>28</v>
      </c>
      <c r="P183" t="s">
        <v>33</v>
      </c>
      <c r="Q183" s="6">
        <v>1.288875</v>
      </c>
      <c r="R183">
        <v>3.37</v>
      </c>
      <c r="S183">
        <v>8.9700000000000006</v>
      </c>
      <c r="T183">
        <v>20.62</v>
      </c>
      <c r="U183">
        <v>80.39</v>
      </c>
      <c r="V183">
        <v>37.200000000000003</v>
      </c>
      <c r="W183">
        <v>1.8</v>
      </c>
    </row>
    <row r="184" spans="1:23" x14ac:dyDescent="0.3">
      <c r="A184">
        <v>182</v>
      </c>
      <c r="B184" t="s">
        <v>227</v>
      </c>
      <c r="C184" t="s">
        <v>35</v>
      </c>
      <c r="D184">
        <v>186</v>
      </c>
      <c r="E184">
        <v>3337</v>
      </c>
      <c r="F184" s="3">
        <v>184</v>
      </c>
      <c r="G184">
        <v>16</v>
      </c>
      <c r="H184">
        <v>8</v>
      </c>
      <c r="I184" s="5">
        <v>4.3010752688171998E-2</v>
      </c>
      <c r="J184" s="3">
        <v>213</v>
      </c>
      <c r="K184" s="1">
        <v>45626</v>
      </c>
      <c r="L184" t="s">
        <v>25</v>
      </c>
      <c r="M184" t="s">
        <v>26</v>
      </c>
      <c r="N184" t="s">
        <v>44</v>
      </c>
      <c r="O184" t="s">
        <v>28</v>
      </c>
      <c r="P184" t="s">
        <v>29</v>
      </c>
      <c r="Q184" s="6">
        <v>0.98698924731182802</v>
      </c>
      <c r="R184">
        <v>5.57</v>
      </c>
      <c r="S184">
        <v>11.47</v>
      </c>
      <c r="T184">
        <v>22.95</v>
      </c>
      <c r="U184">
        <v>16.03</v>
      </c>
      <c r="V184">
        <v>26.62</v>
      </c>
      <c r="W184">
        <v>1.1599999999999999</v>
      </c>
    </row>
    <row r="185" spans="1:23" x14ac:dyDescent="0.3">
      <c r="A185">
        <v>183</v>
      </c>
      <c r="B185" t="s">
        <v>228</v>
      </c>
      <c r="C185" t="s">
        <v>38</v>
      </c>
      <c r="D185">
        <v>105</v>
      </c>
      <c r="E185">
        <v>3234</v>
      </c>
      <c r="F185" s="3">
        <v>239</v>
      </c>
      <c r="G185">
        <v>27</v>
      </c>
      <c r="H185">
        <v>10</v>
      </c>
      <c r="I185" s="5">
        <v>9.5238095238095205E-2</v>
      </c>
      <c r="J185" s="3">
        <v>255</v>
      </c>
      <c r="K185" s="1">
        <v>45602</v>
      </c>
      <c r="L185" t="s">
        <v>25</v>
      </c>
      <c r="M185" t="s">
        <v>26</v>
      </c>
      <c r="N185" t="s">
        <v>44</v>
      </c>
      <c r="O185" t="s">
        <v>28</v>
      </c>
      <c r="P185" t="s">
        <v>33</v>
      </c>
      <c r="Q185" s="6">
        <v>2.27428571428571</v>
      </c>
      <c r="R185">
        <v>3.25</v>
      </c>
      <c r="S185">
        <v>8.84</v>
      </c>
      <c r="T185">
        <v>23.88</v>
      </c>
      <c r="U185">
        <v>6.78</v>
      </c>
      <c r="V185">
        <v>25.5</v>
      </c>
      <c r="W185">
        <v>1.07</v>
      </c>
    </row>
    <row r="186" spans="1:23" x14ac:dyDescent="0.3">
      <c r="A186">
        <v>184</v>
      </c>
      <c r="B186" t="s">
        <v>229</v>
      </c>
      <c r="C186" t="s">
        <v>38</v>
      </c>
      <c r="D186">
        <v>131</v>
      </c>
      <c r="E186">
        <v>3913</v>
      </c>
      <c r="F186" s="3">
        <v>204</v>
      </c>
      <c r="G186">
        <v>14</v>
      </c>
      <c r="H186">
        <v>10</v>
      </c>
      <c r="I186" s="5">
        <v>7.6335877862595394E-2</v>
      </c>
      <c r="J186" s="3">
        <v>220</v>
      </c>
      <c r="K186" s="1">
        <v>45621</v>
      </c>
      <c r="L186" t="s">
        <v>25</v>
      </c>
      <c r="M186" t="s">
        <v>26</v>
      </c>
      <c r="N186" t="s">
        <v>40</v>
      </c>
      <c r="O186" t="s">
        <v>28</v>
      </c>
      <c r="P186" t="s">
        <v>59</v>
      </c>
      <c r="Q186" s="6">
        <v>1.5548854961831999</v>
      </c>
      <c r="R186">
        <v>3.35</v>
      </c>
      <c r="S186">
        <v>14.55</v>
      </c>
      <c r="T186">
        <v>20.37</v>
      </c>
      <c r="U186">
        <v>8.01</v>
      </c>
      <c r="V186">
        <v>22</v>
      </c>
      <c r="W186">
        <v>1.08</v>
      </c>
    </row>
    <row r="187" spans="1:23" x14ac:dyDescent="0.3">
      <c r="A187">
        <v>185</v>
      </c>
      <c r="B187" t="s">
        <v>230</v>
      </c>
      <c r="C187" t="s">
        <v>38</v>
      </c>
      <c r="D187">
        <v>129</v>
      </c>
      <c r="E187">
        <v>3208</v>
      </c>
      <c r="F187" s="3">
        <v>204</v>
      </c>
      <c r="G187">
        <v>18</v>
      </c>
      <c r="H187">
        <v>8</v>
      </c>
      <c r="I187" s="5">
        <v>6.2015503875968901E-2</v>
      </c>
      <c r="J187" s="3">
        <v>297</v>
      </c>
      <c r="K187" s="1">
        <v>45625</v>
      </c>
      <c r="L187" t="s">
        <v>25</v>
      </c>
      <c r="M187" t="s">
        <v>26</v>
      </c>
      <c r="N187" t="s">
        <v>27</v>
      </c>
      <c r="O187" t="s">
        <v>28</v>
      </c>
      <c r="P187" t="s">
        <v>45</v>
      </c>
      <c r="Q187" s="6">
        <v>1.5829457364341</v>
      </c>
      <c r="R187">
        <v>4.0199999999999996</v>
      </c>
      <c r="S187">
        <v>11.34</v>
      </c>
      <c r="T187">
        <v>25.52</v>
      </c>
      <c r="U187">
        <v>45.45</v>
      </c>
      <c r="V187">
        <v>37.119999999999997</v>
      </c>
      <c r="W187">
        <v>1.45</v>
      </c>
    </row>
    <row r="188" spans="1:23" x14ac:dyDescent="0.3">
      <c r="A188">
        <v>186</v>
      </c>
      <c r="B188" t="s">
        <v>231</v>
      </c>
      <c r="C188" t="s">
        <v>35</v>
      </c>
      <c r="D188">
        <v>187</v>
      </c>
      <c r="E188">
        <v>5972</v>
      </c>
      <c r="F188" s="3">
        <v>221</v>
      </c>
      <c r="G188">
        <v>30</v>
      </c>
      <c r="H188">
        <v>7</v>
      </c>
      <c r="I188" s="5">
        <v>3.7433155080213901E-2</v>
      </c>
      <c r="J188" s="3">
        <v>404</v>
      </c>
      <c r="K188" s="1">
        <v>45610</v>
      </c>
      <c r="L188" t="s">
        <v>25</v>
      </c>
      <c r="M188" t="s">
        <v>26</v>
      </c>
      <c r="N188" t="s">
        <v>32</v>
      </c>
      <c r="O188" t="s">
        <v>28</v>
      </c>
      <c r="P188" t="s">
        <v>54</v>
      </c>
      <c r="Q188" s="6">
        <v>1.1798930481283401</v>
      </c>
      <c r="R188">
        <v>3.13</v>
      </c>
      <c r="S188">
        <v>7.35</v>
      </c>
      <c r="T188">
        <v>31.52</v>
      </c>
      <c r="U188">
        <v>83.1</v>
      </c>
      <c r="V188">
        <v>57.71</v>
      </c>
      <c r="W188">
        <v>1.83</v>
      </c>
    </row>
    <row r="189" spans="1:23" x14ac:dyDescent="0.3">
      <c r="A189">
        <v>187</v>
      </c>
      <c r="B189" t="s">
        <v>232</v>
      </c>
      <c r="C189" t="s">
        <v>43</v>
      </c>
      <c r="D189">
        <v>167</v>
      </c>
      <c r="E189">
        <v>3662</v>
      </c>
      <c r="F189" s="3">
        <v>235</v>
      </c>
      <c r="G189">
        <v>10</v>
      </c>
      <c r="H189">
        <v>7</v>
      </c>
      <c r="I189" s="5">
        <v>4.1916167664670601E-2</v>
      </c>
      <c r="J189" s="3">
        <v>344</v>
      </c>
      <c r="K189" s="1">
        <v>45621</v>
      </c>
      <c r="L189" t="s">
        <v>25</v>
      </c>
      <c r="M189" t="s">
        <v>31</v>
      </c>
      <c r="N189" t="s">
        <v>40</v>
      </c>
      <c r="O189" t="s">
        <v>28</v>
      </c>
      <c r="P189" t="s">
        <v>59</v>
      </c>
      <c r="Q189" s="6">
        <v>1.40976047904191</v>
      </c>
      <c r="R189">
        <v>4.5599999999999996</v>
      </c>
      <c r="S189">
        <v>23.54</v>
      </c>
      <c r="T189">
        <v>33.630000000000003</v>
      </c>
      <c r="U189">
        <v>46.12</v>
      </c>
      <c r="V189">
        <v>49.14</v>
      </c>
      <c r="W189">
        <v>1.46</v>
      </c>
    </row>
    <row r="190" spans="1:23" x14ac:dyDescent="0.3">
      <c r="A190">
        <v>188</v>
      </c>
      <c r="B190" t="s">
        <v>233</v>
      </c>
      <c r="C190" t="s">
        <v>24</v>
      </c>
      <c r="D190">
        <v>140</v>
      </c>
      <c r="E190">
        <v>3359</v>
      </c>
      <c r="F190" s="3">
        <v>182</v>
      </c>
      <c r="G190">
        <v>29</v>
      </c>
      <c r="H190">
        <v>7</v>
      </c>
      <c r="I190" s="5">
        <v>0.05</v>
      </c>
      <c r="J190" s="3">
        <v>403</v>
      </c>
      <c r="K190" s="1">
        <v>45624</v>
      </c>
      <c r="L190" t="s">
        <v>25</v>
      </c>
      <c r="M190" t="s">
        <v>26</v>
      </c>
      <c r="N190" t="s">
        <v>36</v>
      </c>
      <c r="O190" t="s">
        <v>28</v>
      </c>
      <c r="P190" t="s">
        <v>54</v>
      </c>
      <c r="Q190" s="6">
        <v>1.3009285714285701</v>
      </c>
      <c r="R190">
        <v>4.17</v>
      </c>
      <c r="S190">
        <v>6.28</v>
      </c>
      <c r="T190">
        <v>26.02</v>
      </c>
      <c r="U190">
        <v>121.27</v>
      </c>
      <c r="V190">
        <v>57.57</v>
      </c>
      <c r="W190">
        <v>2.21</v>
      </c>
    </row>
    <row r="191" spans="1:23" x14ac:dyDescent="0.3">
      <c r="A191">
        <v>189</v>
      </c>
      <c r="B191" t="s">
        <v>234</v>
      </c>
      <c r="C191" t="s">
        <v>43</v>
      </c>
      <c r="D191">
        <v>198</v>
      </c>
      <c r="E191">
        <v>3700</v>
      </c>
      <c r="F191" s="3">
        <v>221</v>
      </c>
      <c r="G191">
        <v>14</v>
      </c>
      <c r="H191">
        <v>5</v>
      </c>
      <c r="I191" s="5">
        <v>2.52525252525252E-2</v>
      </c>
      <c r="J191" s="3">
        <v>312</v>
      </c>
      <c r="K191" s="1">
        <v>45606</v>
      </c>
      <c r="L191" t="s">
        <v>25</v>
      </c>
      <c r="M191" t="s">
        <v>31</v>
      </c>
      <c r="N191" t="s">
        <v>49</v>
      </c>
      <c r="O191" t="s">
        <v>28</v>
      </c>
      <c r="P191" t="s">
        <v>50</v>
      </c>
      <c r="Q191" s="6">
        <v>1.1144949494949401</v>
      </c>
      <c r="R191">
        <v>5.35</v>
      </c>
      <c r="S191">
        <v>15.76</v>
      </c>
      <c r="T191">
        <v>44.13</v>
      </c>
      <c r="U191">
        <v>41.39</v>
      </c>
      <c r="V191">
        <v>62.4</v>
      </c>
      <c r="W191">
        <v>1.41</v>
      </c>
    </row>
    <row r="192" spans="1:23" x14ac:dyDescent="0.3">
      <c r="A192">
        <v>190</v>
      </c>
      <c r="B192" t="s">
        <v>235</v>
      </c>
      <c r="C192" t="s">
        <v>35</v>
      </c>
      <c r="D192">
        <v>196</v>
      </c>
      <c r="E192">
        <v>3835</v>
      </c>
      <c r="F192" s="3">
        <v>218</v>
      </c>
      <c r="G192">
        <v>10</v>
      </c>
      <c r="H192">
        <v>9</v>
      </c>
      <c r="I192" s="5">
        <v>4.5918367346938702E-2</v>
      </c>
      <c r="J192" s="3">
        <v>382</v>
      </c>
      <c r="K192" s="1">
        <v>45600</v>
      </c>
      <c r="L192" t="s">
        <v>25</v>
      </c>
      <c r="M192" t="s">
        <v>39</v>
      </c>
      <c r="N192" t="s">
        <v>44</v>
      </c>
      <c r="O192" t="s">
        <v>28</v>
      </c>
      <c r="P192" t="s">
        <v>59</v>
      </c>
      <c r="Q192" s="6">
        <v>1.11260204081632</v>
      </c>
      <c r="R192">
        <v>5.1100000000000003</v>
      </c>
      <c r="S192">
        <v>21.81</v>
      </c>
      <c r="T192">
        <v>24.23</v>
      </c>
      <c r="U192">
        <v>75.17</v>
      </c>
      <c r="V192">
        <v>42.44</v>
      </c>
      <c r="W192">
        <v>1.75</v>
      </c>
    </row>
    <row r="193" spans="1:23" x14ac:dyDescent="0.3">
      <c r="A193">
        <v>191</v>
      </c>
      <c r="B193" t="s">
        <v>236</v>
      </c>
      <c r="C193" t="s">
        <v>43</v>
      </c>
      <c r="D193">
        <v>140</v>
      </c>
      <c r="E193">
        <v>5638</v>
      </c>
      <c r="F193" s="3">
        <v>208</v>
      </c>
      <c r="G193">
        <v>22</v>
      </c>
      <c r="H193">
        <v>5</v>
      </c>
      <c r="I193" s="5">
        <v>3.5714285714285698E-2</v>
      </c>
      <c r="J193" s="3">
        <v>337</v>
      </c>
      <c r="K193" s="1">
        <v>45614</v>
      </c>
      <c r="L193" t="s">
        <v>25</v>
      </c>
      <c r="M193" t="s">
        <v>26</v>
      </c>
      <c r="N193" t="s">
        <v>40</v>
      </c>
      <c r="O193" t="s">
        <v>28</v>
      </c>
      <c r="P193" t="s">
        <v>59</v>
      </c>
      <c r="Q193" s="6">
        <v>1.4858571428571401</v>
      </c>
      <c r="R193">
        <v>2.48</v>
      </c>
      <c r="S193">
        <v>9.4600000000000009</v>
      </c>
      <c r="T193">
        <v>41.6</v>
      </c>
      <c r="U193">
        <v>62</v>
      </c>
      <c r="V193">
        <v>67.400000000000006</v>
      </c>
      <c r="W193">
        <v>1.62</v>
      </c>
    </row>
    <row r="194" spans="1:23" x14ac:dyDescent="0.3">
      <c r="A194">
        <v>192</v>
      </c>
      <c r="B194" t="s">
        <v>237</v>
      </c>
      <c r="C194" t="s">
        <v>43</v>
      </c>
      <c r="D194">
        <v>157</v>
      </c>
      <c r="E194">
        <v>5825</v>
      </c>
      <c r="F194" s="3">
        <v>231</v>
      </c>
      <c r="G194">
        <v>16</v>
      </c>
      <c r="H194">
        <v>3</v>
      </c>
      <c r="I194" s="5">
        <v>1.9108280254777E-2</v>
      </c>
      <c r="J194" s="3">
        <v>212</v>
      </c>
      <c r="K194" s="1">
        <v>45612</v>
      </c>
      <c r="L194" t="s">
        <v>25</v>
      </c>
      <c r="M194" t="s">
        <v>26</v>
      </c>
      <c r="N194" t="s">
        <v>40</v>
      </c>
      <c r="O194" t="s">
        <v>28</v>
      </c>
      <c r="P194" t="s">
        <v>29</v>
      </c>
      <c r="Q194" s="6">
        <v>1.46878980891719</v>
      </c>
      <c r="R194">
        <v>2.7</v>
      </c>
      <c r="S194">
        <v>14.41</v>
      </c>
      <c r="T194">
        <v>76.87</v>
      </c>
      <c r="U194">
        <v>-8.07</v>
      </c>
      <c r="V194">
        <v>70.67</v>
      </c>
      <c r="W194">
        <v>0.92</v>
      </c>
    </row>
    <row r="195" spans="1:23" x14ac:dyDescent="0.3">
      <c r="A195">
        <v>193</v>
      </c>
      <c r="B195" t="s">
        <v>238</v>
      </c>
      <c r="C195" t="s">
        <v>43</v>
      </c>
      <c r="D195">
        <v>91</v>
      </c>
      <c r="E195">
        <v>5428</v>
      </c>
      <c r="F195" s="3">
        <v>248</v>
      </c>
      <c r="G195">
        <v>11</v>
      </c>
      <c r="H195">
        <v>3</v>
      </c>
      <c r="I195" s="5">
        <v>3.2967032967032898E-2</v>
      </c>
      <c r="J195" s="3">
        <v>374</v>
      </c>
      <c r="K195" s="1">
        <v>45618</v>
      </c>
      <c r="L195" t="s">
        <v>25</v>
      </c>
      <c r="M195" t="s">
        <v>39</v>
      </c>
      <c r="N195" t="s">
        <v>27</v>
      </c>
      <c r="O195" t="s">
        <v>28</v>
      </c>
      <c r="P195" t="s">
        <v>45</v>
      </c>
      <c r="Q195" s="6">
        <v>2.7294505494505401</v>
      </c>
      <c r="R195">
        <v>1.68</v>
      </c>
      <c r="S195">
        <v>22.58</v>
      </c>
      <c r="T195">
        <v>82.79</v>
      </c>
      <c r="U195">
        <v>50.58</v>
      </c>
      <c r="V195">
        <v>124.67</v>
      </c>
      <c r="W195">
        <v>1.51</v>
      </c>
    </row>
    <row r="196" spans="1:23" x14ac:dyDescent="0.3">
      <c r="A196">
        <v>194</v>
      </c>
      <c r="B196" t="s">
        <v>239</v>
      </c>
      <c r="C196" t="s">
        <v>38</v>
      </c>
      <c r="D196">
        <v>140</v>
      </c>
      <c r="E196">
        <v>3571</v>
      </c>
      <c r="F196" s="3">
        <v>238</v>
      </c>
      <c r="G196">
        <v>21</v>
      </c>
      <c r="H196">
        <v>9</v>
      </c>
      <c r="I196" s="5">
        <v>6.4285714285714196E-2</v>
      </c>
      <c r="J196" s="3">
        <v>360</v>
      </c>
      <c r="K196" s="1">
        <v>45612</v>
      </c>
      <c r="L196" t="s">
        <v>25</v>
      </c>
      <c r="M196" t="s">
        <v>26</v>
      </c>
      <c r="N196" t="s">
        <v>27</v>
      </c>
      <c r="O196" t="s">
        <v>28</v>
      </c>
      <c r="P196" t="s">
        <v>29</v>
      </c>
      <c r="Q196" s="6">
        <v>1.70085714285714</v>
      </c>
      <c r="R196">
        <v>3.92</v>
      </c>
      <c r="S196">
        <v>11.34</v>
      </c>
      <c r="T196">
        <v>26.46</v>
      </c>
      <c r="U196">
        <v>51.18</v>
      </c>
      <c r="V196">
        <v>40</v>
      </c>
      <c r="W196">
        <v>1.51</v>
      </c>
    </row>
    <row r="197" spans="1:23" x14ac:dyDescent="0.3">
      <c r="A197">
        <v>195</v>
      </c>
      <c r="B197" t="s">
        <v>240</v>
      </c>
      <c r="C197" t="s">
        <v>24</v>
      </c>
      <c r="D197">
        <v>154</v>
      </c>
      <c r="E197">
        <v>3638</v>
      </c>
      <c r="F197" s="3">
        <v>182</v>
      </c>
      <c r="G197">
        <v>11</v>
      </c>
      <c r="H197">
        <v>8</v>
      </c>
      <c r="I197" s="5">
        <v>5.1948051948051903E-2</v>
      </c>
      <c r="J197" s="3">
        <v>288</v>
      </c>
      <c r="K197" s="1">
        <v>45600</v>
      </c>
      <c r="L197" t="s">
        <v>25</v>
      </c>
      <c r="M197" t="s">
        <v>31</v>
      </c>
      <c r="N197" t="s">
        <v>44</v>
      </c>
      <c r="O197" t="s">
        <v>28</v>
      </c>
      <c r="P197" t="s">
        <v>59</v>
      </c>
      <c r="Q197" s="6">
        <v>1.1829220779220699</v>
      </c>
      <c r="R197">
        <v>4.2300000000000004</v>
      </c>
      <c r="S197">
        <v>16.559999999999999</v>
      </c>
      <c r="T197">
        <v>22.77</v>
      </c>
      <c r="U197">
        <v>58.09</v>
      </c>
      <c r="V197">
        <v>36</v>
      </c>
      <c r="W197">
        <v>1.58</v>
      </c>
    </row>
    <row r="198" spans="1:23" x14ac:dyDescent="0.3">
      <c r="A198">
        <v>196</v>
      </c>
      <c r="B198" t="s">
        <v>241</v>
      </c>
      <c r="C198" t="s">
        <v>35</v>
      </c>
      <c r="D198">
        <v>133</v>
      </c>
      <c r="E198">
        <v>4505</v>
      </c>
      <c r="F198" s="3">
        <v>201</v>
      </c>
      <c r="G198">
        <v>23</v>
      </c>
      <c r="H198">
        <v>3</v>
      </c>
      <c r="I198" s="5">
        <v>2.2556390977443601E-2</v>
      </c>
      <c r="J198" s="3">
        <v>319</v>
      </c>
      <c r="K198" s="1">
        <v>45622</v>
      </c>
      <c r="L198" t="s">
        <v>25</v>
      </c>
      <c r="M198" t="s">
        <v>39</v>
      </c>
      <c r="N198" t="s">
        <v>49</v>
      </c>
      <c r="O198" t="s">
        <v>28</v>
      </c>
      <c r="P198" t="s">
        <v>41</v>
      </c>
      <c r="Q198" s="6">
        <v>1.5076691729323299</v>
      </c>
      <c r="R198">
        <v>2.95</v>
      </c>
      <c r="S198">
        <v>8.7200000000000006</v>
      </c>
      <c r="T198">
        <v>66.84</v>
      </c>
      <c r="U198">
        <v>59.09</v>
      </c>
      <c r="V198">
        <v>106.33</v>
      </c>
      <c r="W198">
        <v>1.59</v>
      </c>
    </row>
    <row r="199" spans="1:23" x14ac:dyDescent="0.3">
      <c r="A199">
        <v>197</v>
      </c>
      <c r="B199" t="s">
        <v>242</v>
      </c>
      <c r="C199" t="s">
        <v>38</v>
      </c>
      <c r="D199">
        <v>152</v>
      </c>
      <c r="E199">
        <v>5016</v>
      </c>
      <c r="F199" s="3">
        <v>239</v>
      </c>
      <c r="G199">
        <v>26</v>
      </c>
      <c r="H199">
        <v>9</v>
      </c>
      <c r="I199" s="5">
        <v>5.9210526315789401E-2</v>
      </c>
      <c r="J199" s="3">
        <v>331</v>
      </c>
      <c r="K199" s="1">
        <v>45616</v>
      </c>
      <c r="L199" t="s">
        <v>25</v>
      </c>
      <c r="M199" t="s">
        <v>31</v>
      </c>
      <c r="N199" t="s">
        <v>36</v>
      </c>
      <c r="O199" t="s">
        <v>28</v>
      </c>
      <c r="P199" t="s">
        <v>33</v>
      </c>
      <c r="Q199" s="6">
        <v>1.56967105263157</v>
      </c>
      <c r="R199">
        <v>3.03</v>
      </c>
      <c r="S199">
        <v>9.18</v>
      </c>
      <c r="T199">
        <v>26.51</v>
      </c>
      <c r="U199">
        <v>38.729999999999997</v>
      </c>
      <c r="V199">
        <v>36.78</v>
      </c>
      <c r="W199">
        <v>1.39</v>
      </c>
    </row>
    <row r="200" spans="1:23" x14ac:dyDescent="0.3">
      <c r="A200">
        <v>198</v>
      </c>
      <c r="B200" t="s">
        <v>243</v>
      </c>
      <c r="C200" t="s">
        <v>35</v>
      </c>
      <c r="D200">
        <v>141</v>
      </c>
      <c r="E200">
        <v>3071</v>
      </c>
      <c r="F200" s="3">
        <v>208</v>
      </c>
      <c r="G200">
        <v>10</v>
      </c>
      <c r="H200">
        <v>6</v>
      </c>
      <c r="I200" s="5">
        <v>4.2553191489361701E-2</v>
      </c>
      <c r="J200" s="3">
        <v>336</v>
      </c>
      <c r="K200" s="1">
        <v>45614</v>
      </c>
      <c r="L200" t="s">
        <v>25</v>
      </c>
      <c r="M200" t="s">
        <v>39</v>
      </c>
      <c r="N200" t="s">
        <v>36</v>
      </c>
      <c r="O200" t="s">
        <v>28</v>
      </c>
      <c r="P200" t="s">
        <v>59</v>
      </c>
      <c r="Q200" s="6">
        <v>1.47659574468085</v>
      </c>
      <c r="R200">
        <v>4.59</v>
      </c>
      <c r="S200">
        <v>20.82</v>
      </c>
      <c r="T200">
        <v>34.700000000000003</v>
      </c>
      <c r="U200">
        <v>61.38</v>
      </c>
      <c r="V200">
        <v>56</v>
      </c>
      <c r="W200">
        <v>1.61</v>
      </c>
    </row>
    <row r="201" spans="1:23" x14ac:dyDescent="0.3">
      <c r="A201">
        <v>199</v>
      </c>
      <c r="B201" t="s">
        <v>244</v>
      </c>
      <c r="C201" t="s">
        <v>35</v>
      </c>
      <c r="D201">
        <v>135</v>
      </c>
      <c r="E201">
        <v>5682</v>
      </c>
      <c r="F201" s="3">
        <v>209</v>
      </c>
      <c r="G201">
        <v>30</v>
      </c>
      <c r="H201">
        <v>3</v>
      </c>
      <c r="I201" s="5">
        <v>2.2222222222222199E-2</v>
      </c>
      <c r="J201" s="3">
        <v>295</v>
      </c>
      <c r="K201" s="1">
        <v>45611</v>
      </c>
      <c r="L201" t="s">
        <v>25</v>
      </c>
      <c r="M201" t="s">
        <v>39</v>
      </c>
      <c r="N201" t="s">
        <v>40</v>
      </c>
      <c r="O201" t="s">
        <v>28</v>
      </c>
      <c r="P201" t="s">
        <v>45</v>
      </c>
      <c r="Q201" s="6">
        <v>1.5454545454545401</v>
      </c>
      <c r="R201">
        <v>2.38</v>
      </c>
      <c r="S201">
        <v>6.95</v>
      </c>
      <c r="T201">
        <v>69.55</v>
      </c>
      <c r="U201">
        <v>41.39</v>
      </c>
      <c r="V201">
        <v>98.33</v>
      </c>
      <c r="W201">
        <v>1.41</v>
      </c>
    </row>
    <row r="202" spans="1:23" x14ac:dyDescent="0.3">
      <c r="A202">
        <v>200</v>
      </c>
      <c r="B202" t="s">
        <v>245</v>
      </c>
      <c r="C202" t="s">
        <v>43</v>
      </c>
      <c r="D202">
        <v>199</v>
      </c>
      <c r="E202">
        <v>5067</v>
      </c>
      <c r="F202" s="3">
        <v>247</v>
      </c>
      <c r="G202">
        <v>24</v>
      </c>
      <c r="H202">
        <v>8</v>
      </c>
      <c r="I202" s="5">
        <v>4.0201005025125601E-2</v>
      </c>
      <c r="J202" s="3">
        <v>279</v>
      </c>
      <c r="K202" s="1">
        <v>45615</v>
      </c>
      <c r="L202" t="s">
        <v>25</v>
      </c>
      <c r="M202" t="s">
        <v>31</v>
      </c>
      <c r="N202" t="s">
        <v>49</v>
      </c>
      <c r="O202" t="s">
        <v>28</v>
      </c>
      <c r="P202" t="s">
        <v>41</v>
      </c>
      <c r="Q202" s="6">
        <v>1.24311557788944</v>
      </c>
      <c r="R202">
        <v>3.93</v>
      </c>
      <c r="S202">
        <v>10.31</v>
      </c>
      <c r="T202">
        <v>30.92</v>
      </c>
      <c r="U202">
        <v>12.78</v>
      </c>
      <c r="V202">
        <v>34.880000000000003</v>
      </c>
      <c r="W202">
        <v>1.1299999999999999</v>
      </c>
    </row>
    <row r="203" spans="1:23" x14ac:dyDescent="0.3">
      <c r="A203">
        <v>201</v>
      </c>
      <c r="B203" t="s">
        <v>246</v>
      </c>
      <c r="C203" t="s">
        <v>38</v>
      </c>
      <c r="D203">
        <v>138</v>
      </c>
      <c r="E203">
        <v>3971</v>
      </c>
      <c r="F203" s="3">
        <v>185</v>
      </c>
      <c r="G203">
        <v>28</v>
      </c>
      <c r="H203">
        <v>3</v>
      </c>
      <c r="I203" s="5">
        <v>2.1739130434782601E-2</v>
      </c>
      <c r="J203" s="3">
        <v>351</v>
      </c>
      <c r="K203" s="1">
        <v>45603</v>
      </c>
      <c r="L203" t="s">
        <v>25</v>
      </c>
      <c r="M203" t="s">
        <v>39</v>
      </c>
      <c r="N203" t="s">
        <v>27</v>
      </c>
      <c r="O203" t="s">
        <v>28</v>
      </c>
      <c r="P203" t="s">
        <v>54</v>
      </c>
      <c r="Q203" s="6">
        <v>1.3396376811594199</v>
      </c>
      <c r="R203">
        <v>3.48</v>
      </c>
      <c r="S203">
        <v>6.6</v>
      </c>
      <c r="T203">
        <v>61.62</v>
      </c>
      <c r="U203">
        <v>89.86</v>
      </c>
      <c r="V203">
        <v>117</v>
      </c>
      <c r="W203">
        <v>1.9</v>
      </c>
    </row>
    <row r="204" spans="1:23" x14ac:dyDescent="0.3">
      <c r="A204">
        <v>202</v>
      </c>
      <c r="B204" t="s">
        <v>247</v>
      </c>
      <c r="C204" t="s">
        <v>38</v>
      </c>
      <c r="D204">
        <v>175</v>
      </c>
      <c r="E204">
        <v>4481</v>
      </c>
      <c r="F204" s="3">
        <v>236</v>
      </c>
      <c r="G204">
        <v>21</v>
      </c>
      <c r="H204">
        <v>10</v>
      </c>
      <c r="I204" s="5">
        <v>5.7142857142857099E-2</v>
      </c>
      <c r="J204" s="3">
        <v>257</v>
      </c>
      <c r="K204" s="1">
        <v>45616</v>
      </c>
      <c r="L204" t="s">
        <v>25</v>
      </c>
      <c r="M204" t="s">
        <v>26</v>
      </c>
      <c r="N204" t="s">
        <v>32</v>
      </c>
      <c r="O204" t="s">
        <v>28</v>
      </c>
      <c r="P204" t="s">
        <v>33</v>
      </c>
      <c r="Q204" s="6">
        <v>1.3507428571428499</v>
      </c>
      <c r="R204">
        <v>3.91</v>
      </c>
      <c r="S204">
        <v>11.26</v>
      </c>
      <c r="T204">
        <v>23.64</v>
      </c>
      <c r="U204">
        <v>8.7200000000000006</v>
      </c>
      <c r="V204">
        <v>25.7</v>
      </c>
      <c r="W204">
        <v>1.0900000000000001</v>
      </c>
    </row>
    <row r="205" spans="1:23" x14ac:dyDescent="0.3">
      <c r="A205">
        <v>203</v>
      </c>
      <c r="B205" t="s">
        <v>248</v>
      </c>
      <c r="C205" t="s">
        <v>35</v>
      </c>
      <c r="D205">
        <v>170</v>
      </c>
      <c r="E205">
        <v>5476</v>
      </c>
      <c r="F205" s="3">
        <v>186</v>
      </c>
      <c r="G205">
        <v>25</v>
      </c>
      <c r="H205">
        <v>4</v>
      </c>
      <c r="I205" s="5">
        <v>2.3529411764705799E-2</v>
      </c>
      <c r="J205" s="3">
        <v>353</v>
      </c>
      <c r="K205" s="1">
        <v>45604</v>
      </c>
      <c r="L205" t="s">
        <v>25</v>
      </c>
      <c r="M205" t="s">
        <v>31</v>
      </c>
      <c r="N205" t="s">
        <v>49</v>
      </c>
      <c r="O205" t="s">
        <v>28</v>
      </c>
      <c r="P205" t="s">
        <v>45</v>
      </c>
      <c r="Q205" s="6">
        <v>1.09582352941176</v>
      </c>
      <c r="R205">
        <v>3.1</v>
      </c>
      <c r="S205">
        <v>7.45</v>
      </c>
      <c r="T205">
        <v>46.57</v>
      </c>
      <c r="U205">
        <v>89.49</v>
      </c>
      <c r="V205">
        <v>88.25</v>
      </c>
      <c r="W205">
        <v>1.89</v>
      </c>
    </row>
    <row r="206" spans="1:23" x14ac:dyDescent="0.3">
      <c r="A206">
        <v>204</v>
      </c>
      <c r="B206" t="s">
        <v>249</v>
      </c>
      <c r="C206" t="s">
        <v>38</v>
      </c>
      <c r="D206">
        <v>138</v>
      </c>
      <c r="E206">
        <v>4426</v>
      </c>
      <c r="F206" s="3">
        <v>204</v>
      </c>
      <c r="G206">
        <v>24</v>
      </c>
      <c r="H206">
        <v>10</v>
      </c>
      <c r="I206" s="5">
        <v>7.2463768115942004E-2</v>
      </c>
      <c r="J206" s="3">
        <v>375</v>
      </c>
      <c r="K206" s="1">
        <v>45601</v>
      </c>
      <c r="L206" t="s">
        <v>25</v>
      </c>
      <c r="M206" t="s">
        <v>31</v>
      </c>
      <c r="N206" t="s">
        <v>32</v>
      </c>
      <c r="O206" t="s">
        <v>28</v>
      </c>
      <c r="P206" t="s">
        <v>41</v>
      </c>
      <c r="Q206" s="6">
        <v>1.47644927536231</v>
      </c>
      <c r="R206">
        <v>3.12</v>
      </c>
      <c r="S206">
        <v>8.49</v>
      </c>
      <c r="T206">
        <v>20.38</v>
      </c>
      <c r="U206">
        <v>84.05</v>
      </c>
      <c r="V206">
        <v>37.5</v>
      </c>
      <c r="W206">
        <v>1.84</v>
      </c>
    </row>
    <row r="207" spans="1:23" x14ac:dyDescent="0.3">
      <c r="A207">
        <v>205</v>
      </c>
      <c r="B207" t="s">
        <v>250</v>
      </c>
      <c r="C207" t="s">
        <v>24</v>
      </c>
      <c r="D207">
        <v>108</v>
      </c>
      <c r="E207">
        <v>4080</v>
      </c>
      <c r="F207" s="3">
        <v>248</v>
      </c>
      <c r="G207">
        <v>18</v>
      </c>
      <c r="H207">
        <v>4</v>
      </c>
      <c r="I207" s="5">
        <v>3.7037037037037E-2</v>
      </c>
      <c r="J207" s="3">
        <v>278</v>
      </c>
      <c r="K207" s="1">
        <v>45626</v>
      </c>
      <c r="L207" t="s">
        <v>25</v>
      </c>
      <c r="M207" t="s">
        <v>39</v>
      </c>
      <c r="N207" t="s">
        <v>44</v>
      </c>
      <c r="O207" t="s">
        <v>28</v>
      </c>
      <c r="P207" t="s">
        <v>29</v>
      </c>
      <c r="Q207" s="6">
        <v>2.2944444444444398</v>
      </c>
      <c r="R207">
        <v>2.65</v>
      </c>
      <c r="S207">
        <v>13.77</v>
      </c>
      <c r="T207">
        <v>61.95</v>
      </c>
      <c r="U207">
        <v>12.19</v>
      </c>
      <c r="V207">
        <v>69.5</v>
      </c>
      <c r="W207">
        <v>1.1200000000000001</v>
      </c>
    </row>
    <row r="208" spans="1:23" x14ac:dyDescent="0.3">
      <c r="A208">
        <v>206</v>
      </c>
      <c r="B208" t="s">
        <v>251</v>
      </c>
      <c r="C208" t="s">
        <v>35</v>
      </c>
      <c r="D208">
        <v>150</v>
      </c>
      <c r="E208">
        <v>4113</v>
      </c>
      <c r="F208" s="3">
        <v>220</v>
      </c>
      <c r="G208">
        <v>12</v>
      </c>
      <c r="H208">
        <v>7</v>
      </c>
      <c r="I208" s="5">
        <v>4.6666666666666599E-2</v>
      </c>
      <c r="J208" s="3">
        <v>244</v>
      </c>
      <c r="K208" s="1">
        <v>45618</v>
      </c>
      <c r="L208" t="s">
        <v>25</v>
      </c>
      <c r="M208" t="s">
        <v>31</v>
      </c>
      <c r="N208" t="s">
        <v>27</v>
      </c>
      <c r="O208" t="s">
        <v>28</v>
      </c>
      <c r="P208" t="s">
        <v>45</v>
      </c>
      <c r="Q208" s="6">
        <v>1.4644666666666599</v>
      </c>
      <c r="R208">
        <v>3.65</v>
      </c>
      <c r="S208">
        <v>18.309999999999999</v>
      </c>
      <c r="T208">
        <v>31.38</v>
      </c>
      <c r="U208">
        <v>11.08</v>
      </c>
      <c r="V208">
        <v>34.86</v>
      </c>
      <c r="W208">
        <v>1.1100000000000001</v>
      </c>
    </row>
    <row r="209" spans="1:23" x14ac:dyDescent="0.3">
      <c r="A209">
        <v>207</v>
      </c>
      <c r="B209" t="s">
        <v>252</v>
      </c>
      <c r="C209" t="s">
        <v>24</v>
      </c>
      <c r="D209">
        <v>90</v>
      </c>
      <c r="E209">
        <v>5119</v>
      </c>
      <c r="F209" s="3">
        <v>227</v>
      </c>
      <c r="G209">
        <v>14</v>
      </c>
      <c r="H209">
        <v>10</v>
      </c>
      <c r="I209" s="5">
        <v>0.11111111111111099</v>
      </c>
      <c r="J209" s="3">
        <v>275</v>
      </c>
      <c r="K209" s="1">
        <v>45603</v>
      </c>
      <c r="L209" t="s">
        <v>25</v>
      </c>
      <c r="M209" t="s">
        <v>26</v>
      </c>
      <c r="N209" t="s">
        <v>49</v>
      </c>
      <c r="O209" t="s">
        <v>28</v>
      </c>
      <c r="P209" t="s">
        <v>54</v>
      </c>
      <c r="Q209" s="6">
        <v>2.5175555555555502</v>
      </c>
      <c r="R209">
        <v>1.76</v>
      </c>
      <c r="S209">
        <v>16.18</v>
      </c>
      <c r="T209">
        <v>22.66</v>
      </c>
      <c r="U209">
        <v>21.37</v>
      </c>
      <c r="V209">
        <v>27.5</v>
      </c>
      <c r="W209">
        <v>1.21</v>
      </c>
    </row>
    <row r="210" spans="1:23" x14ac:dyDescent="0.3">
      <c r="A210">
        <v>208</v>
      </c>
      <c r="B210" t="s">
        <v>253</v>
      </c>
      <c r="C210" t="s">
        <v>43</v>
      </c>
      <c r="D210">
        <v>98</v>
      </c>
      <c r="E210">
        <v>3422</v>
      </c>
      <c r="F210" s="3">
        <v>224</v>
      </c>
      <c r="G210">
        <v>17</v>
      </c>
      <c r="H210">
        <v>7</v>
      </c>
      <c r="I210" s="5">
        <v>7.1428571428571397E-2</v>
      </c>
      <c r="J210" s="3">
        <v>289</v>
      </c>
      <c r="K210" s="1">
        <v>45615</v>
      </c>
      <c r="L210" t="s">
        <v>25</v>
      </c>
      <c r="M210" t="s">
        <v>39</v>
      </c>
      <c r="N210" t="s">
        <v>44</v>
      </c>
      <c r="O210" t="s">
        <v>28</v>
      </c>
      <c r="P210" t="s">
        <v>41</v>
      </c>
      <c r="Q210" s="6">
        <v>2.2811224489795898</v>
      </c>
      <c r="R210">
        <v>2.86</v>
      </c>
      <c r="S210">
        <v>13.15</v>
      </c>
      <c r="T210">
        <v>31.94</v>
      </c>
      <c r="U210">
        <v>29.28</v>
      </c>
      <c r="V210">
        <v>41.29</v>
      </c>
      <c r="W210">
        <v>1.29</v>
      </c>
    </row>
    <row r="211" spans="1:23" x14ac:dyDescent="0.3">
      <c r="A211">
        <v>209</v>
      </c>
      <c r="B211" t="s">
        <v>254</v>
      </c>
      <c r="C211" t="s">
        <v>38</v>
      </c>
      <c r="D211">
        <v>130</v>
      </c>
      <c r="E211">
        <v>3327</v>
      </c>
      <c r="F211" s="3">
        <v>225</v>
      </c>
      <c r="G211">
        <v>13</v>
      </c>
      <c r="H211">
        <v>3</v>
      </c>
      <c r="I211" s="5">
        <v>2.3076923076922998E-2</v>
      </c>
      <c r="J211" s="3">
        <v>340</v>
      </c>
      <c r="K211" s="1">
        <v>45612</v>
      </c>
      <c r="L211" t="s">
        <v>25</v>
      </c>
      <c r="M211" t="s">
        <v>31</v>
      </c>
      <c r="N211" t="s">
        <v>44</v>
      </c>
      <c r="O211" t="s">
        <v>28</v>
      </c>
      <c r="P211" t="s">
        <v>29</v>
      </c>
      <c r="Q211" s="6">
        <v>1.7294615384615299</v>
      </c>
      <c r="R211">
        <v>3.91</v>
      </c>
      <c r="S211">
        <v>17.29</v>
      </c>
      <c r="T211">
        <v>74.94</v>
      </c>
      <c r="U211">
        <v>51.23</v>
      </c>
      <c r="V211">
        <v>113.33</v>
      </c>
      <c r="W211">
        <v>1.51</v>
      </c>
    </row>
    <row r="212" spans="1:23" x14ac:dyDescent="0.3">
      <c r="A212">
        <v>210</v>
      </c>
      <c r="B212" t="s">
        <v>255</v>
      </c>
      <c r="C212" t="s">
        <v>38</v>
      </c>
      <c r="D212">
        <v>199</v>
      </c>
      <c r="E212">
        <v>6562</v>
      </c>
      <c r="F212" s="3">
        <v>200</v>
      </c>
      <c r="G212">
        <v>15</v>
      </c>
      <c r="H212">
        <v>8</v>
      </c>
      <c r="I212" s="5">
        <v>4.0201005025125601E-2</v>
      </c>
      <c r="J212" s="3">
        <v>299</v>
      </c>
      <c r="K212" s="1">
        <v>45604</v>
      </c>
      <c r="L212" t="s">
        <v>25</v>
      </c>
      <c r="M212" t="s">
        <v>39</v>
      </c>
      <c r="N212" t="s">
        <v>40</v>
      </c>
      <c r="O212" t="s">
        <v>28</v>
      </c>
      <c r="P212" t="s">
        <v>45</v>
      </c>
      <c r="Q212" s="6">
        <v>1.00492462311557</v>
      </c>
      <c r="R212">
        <v>3.03</v>
      </c>
      <c r="S212">
        <v>13.33</v>
      </c>
      <c r="T212">
        <v>25</v>
      </c>
      <c r="U212">
        <v>49.51</v>
      </c>
      <c r="V212">
        <v>37.380000000000003</v>
      </c>
      <c r="W212">
        <v>1.5</v>
      </c>
    </row>
    <row r="213" spans="1:23" x14ac:dyDescent="0.3">
      <c r="A213">
        <v>211</v>
      </c>
      <c r="B213" t="s">
        <v>256</v>
      </c>
      <c r="C213" t="s">
        <v>24</v>
      </c>
      <c r="D213">
        <v>101</v>
      </c>
      <c r="E213">
        <v>3241</v>
      </c>
      <c r="F213" s="3">
        <v>183</v>
      </c>
      <c r="G213">
        <v>24</v>
      </c>
      <c r="H213">
        <v>5</v>
      </c>
      <c r="I213" s="5">
        <v>4.95049504950495E-2</v>
      </c>
      <c r="J213" s="3">
        <v>303</v>
      </c>
      <c r="K213" s="1">
        <v>45606</v>
      </c>
      <c r="L213" t="s">
        <v>25</v>
      </c>
      <c r="M213" t="s">
        <v>39</v>
      </c>
      <c r="N213" t="s">
        <v>40</v>
      </c>
      <c r="O213" t="s">
        <v>28</v>
      </c>
      <c r="P213" t="s">
        <v>50</v>
      </c>
      <c r="Q213" s="6">
        <v>1.81524752475247</v>
      </c>
      <c r="R213">
        <v>3.12</v>
      </c>
      <c r="S213">
        <v>7.64</v>
      </c>
      <c r="T213">
        <v>36.67</v>
      </c>
      <c r="U213">
        <v>65.27</v>
      </c>
      <c r="V213">
        <v>60.6</v>
      </c>
      <c r="W213">
        <v>1.65</v>
      </c>
    </row>
    <row r="214" spans="1:23" x14ac:dyDescent="0.3">
      <c r="A214">
        <v>212</v>
      </c>
      <c r="B214" t="s">
        <v>257</v>
      </c>
      <c r="C214" t="s">
        <v>35</v>
      </c>
      <c r="D214">
        <v>118</v>
      </c>
      <c r="E214">
        <v>3970</v>
      </c>
      <c r="F214" s="3">
        <v>185</v>
      </c>
      <c r="G214">
        <v>27</v>
      </c>
      <c r="H214">
        <v>9</v>
      </c>
      <c r="I214" s="5">
        <v>7.6271186440677902E-2</v>
      </c>
      <c r="J214" s="3">
        <v>211</v>
      </c>
      <c r="K214" s="1">
        <v>45615</v>
      </c>
      <c r="L214" t="s">
        <v>25</v>
      </c>
      <c r="M214" t="s">
        <v>26</v>
      </c>
      <c r="N214" t="s">
        <v>32</v>
      </c>
      <c r="O214" t="s">
        <v>28</v>
      </c>
      <c r="P214" t="s">
        <v>41</v>
      </c>
      <c r="Q214" s="6">
        <v>1.56753061615001</v>
      </c>
      <c r="R214">
        <v>2.97</v>
      </c>
      <c r="S214">
        <v>6.85</v>
      </c>
      <c r="T214">
        <v>20.55</v>
      </c>
      <c r="U214">
        <v>14.07</v>
      </c>
      <c r="V214">
        <v>23.44</v>
      </c>
      <c r="W214">
        <v>1.1399999999999999</v>
      </c>
    </row>
    <row r="215" spans="1:23" x14ac:dyDescent="0.3">
      <c r="A215">
        <v>213</v>
      </c>
      <c r="B215" t="s">
        <v>258</v>
      </c>
      <c r="C215" t="s">
        <v>43</v>
      </c>
      <c r="D215">
        <v>199</v>
      </c>
      <c r="E215">
        <v>5734</v>
      </c>
      <c r="F215" s="3">
        <v>248</v>
      </c>
      <c r="G215">
        <v>18</v>
      </c>
      <c r="H215">
        <v>9</v>
      </c>
      <c r="I215" s="5">
        <v>4.5226130653266298E-2</v>
      </c>
      <c r="J215" s="3">
        <v>297</v>
      </c>
      <c r="K215" s="1">
        <v>45607</v>
      </c>
      <c r="L215" t="s">
        <v>25</v>
      </c>
      <c r="M215" t="s">
        <v>26</v>
      </c>
      <c r="N215" t="s">
        <v>36</v>
      </c>
      <c r="O215" t="s">
        <v>28</v>
      </c>
      <c r="P215" t="s">
        <v>59</v>
      </c>
      <c r="Q215" s="6">
        <v>1.24618090452261</v>
      </c>
      <c r="R215">
        <v>3.47</v>
      </c>
      <c r="S215">
        <v>13.78</v>
      </c>
      <c r="T215">
        <v>27.55</v>
      </c>
      <c r="U215">
        <v>19.760000000000002</v>
      </c>
      <c r="V215">
        <v>33</v>
      </c>
      <c r="W215">
        <v>1.2</v>
      </c>
    </row>
    <row r="216" spans="1:23" x14ac:dyDescent="0.3">
      <c r="A216">
        <v>214</v>
      </c>
      <c r="B216" t="s">
        <v>259</v>
      </c>
      <c r="C216" t="s">
        <v>24</v>
      </c>
      <c r="D216">
        <v>183</v>
      </c>
      <c r="E216">
        <v>4001</v>
      </c>
      <c r="F216" s="3">
        <v>238</v>
      </c>
      <c r="G216">
        <v>23</v>
      </c>
      <c r="H216">
        <v>4</v>
      </c>
      <c r="I216" s="5">
        <v>2.1857923497267701E-2</v>
      </c>
      <c r="J216" s="3">
        <v>292</v>
      </c>
      <c r="K216" s="1">
        <v>45617</v>
      </c>
      <c r="L216" t="s">
        <v>25</v>
      </c>
      <c r="M216" t="s">
        <v>31</v>
      </c>
      <c r="N216" t="s">
        <v>44</v>
      </c>
      <c r="O216" t="s">
        <v>28</v>
      </c>
      <c r="P216" t="s">
        <v>54</v>
      </c>
      <c r="Q216" s="6">
        <v>1.2997267759562801</v>
      </c>
      <c r="R216">
        <v>4.57</v>
      </c>
      <c r="S216">
        <v>10.34</v>
      </c>
      <c r="T216">
        <v>59.46</v>
      </c>
      <c r="U216">
        <v>22.77</v>
      </c>
      <c r="V216">
        <v>73</v>
      </c>
      <c r="W216">
        <v>1.23</v>
      </c>
    </row>
    <row r="217" spans="1:23" x14ac:dyDescent="0.3">
      <c r="A217">
        <v>215</v>
      </c>
      <c r="B217" t="s">
        <v>260</v>
      </c>
      <c r="C217" t="s">
        <v>35</v>
      </c>
      <c r="D217">
        <v>126</v>
      </c>
      <c r="E217">
        <v>4206</v>
      </c>
      <c r="F217" s="3">
        <v>234</v>
      </c>
      <c r="G217">
        <v>29</v>
      </c>
      <c r="H217">
        <v>10</v>
      </c>
      <c r="I217" s="5">
        <v>7.9365079365079305E-2</v>
      </c>
      <c r="J217" s="3">
        <v>408</v>
      </c>
      <c r="K217" s="1">
        <v>45602</v>
      </c>
      <c r="L217" t="s">
        <v>25</v>
      </c>
      <c r="M217" t="s">
        <v>39</v>
      </c>
      <c r="N217" t="s">
        <v>44</v>
      </c>
      <c r="O217" t="s">
        <v>28</v>
      </c>
      <c r="P217" t="s">
        <v>33</v>
      </c>
      <c r="Q217" s="6">
        <v>1.85523809523809</v>
      </c>
      <c r="R217">
        <v>3</v>
      </c>
      <c r="S217">
        <v>8.06</v>
      </c>
      <c r="T217">
        <v>23.38</v>
      </c>
      <c r="U217">
        <v>74.540000000000006</v>
      </c>
      <c r="V217">
        <v>40.799999999999997</v>
      </c>
      <c r="W217">
        <v>1.75</v>
      </c>
    </row>
    <row r="218" spans="1:23" x14ac:dyDescent="0.3">
      <c r="A218">
        <v>216</v>
      </c>
      <c r="B218" t="s">
        <v>261</v>
      </c>
      <c r="C218" t="s">
        <v>35</v>
      </c>
      <c r="D218">
        <v>199</v>
      </c>
      <c r="E218">
        <v>4745</v>
      </c>
      <c r="F218" s="3">
        <v>308</v>
      </c>
      <c r="G218">
        <v>13</v>
      </c>
      <c r="H218">
        <v>9</v>
      </c>
      <c r="I218" s="5">
        <v>4.5226130653266298E-2</v>
      </c>
      <c r="J218" s="3">
        <v>367</v>
      </c>
      <c r="K218" s="1">
        <v>45624</v>
      </c>
      <c r="L218" t="s">
        <v>25</v>
      </c>
      <c r="M218" t="s">
        <v>39</v>
      </c>
      <c r="N218" t="s">
        <v>49</v>
      </c>
      <c r="O218" t="s">
        <v>28</v>
      </c>
      <c r="P218" t="s">
        <v>54</v>
      </c>
      <c r="Q218" s="6">
        <v>1.5454545454545401</v>
      </c>
      <c r="R218">
        <v>4.1900000000000004</v>
      </c>
      <c r="S218">
        <v>23.66</v>
      </c>
      <c r="T218">
        <v>34.17</v>
      </c>
      <c r="U218">
        <v>19.329999999999998</v>
      </c>
      <c r="V218">
        <v>40.78</v>
      </c>
      <c r="W218">
        <v>1.19</v>
      </c>
    </row>
    <row r="219" spans="1:23" x14ac:dyDescent="0.3">
      <c r="A219">
        <v>217</v>
      </c>
      <c r="B219" t="s">
        <v>262</v>
      </c>
      <c r="C219" t="s">
        <v>24</v>
      </c>
      <c r="D219">
        <v>92</v>
      </c>
      <c r="E219">
        <v>4042</v>
      </c>
      <c r="F219" s="3">
        <v>201</v>
      </c>
      <c r="G219">
        <v>15</v>
      </c>
      <c r="H219">
        <v>7</v>
      </c>
      <c r="I219" s="5">
        <v>7.6086956521739094E-2</v>
      </c>
      <c r="J219" s="3">
        <v>252</v>
      </c>
      <c r="K219" s="1">
        <v>45620</v>
      </c>
      <c r="L219" t="s">
        <v>25</v>
      </c>
      <c r="M219" t="s">
        <v>39</v>
      </c>
      <c r="N219" t="s">
        <v>27</v>
      </c>
      <c r="O219" t="s">
        <v>28</v>
      </c>
      <c r="P219" t="s">
        <v>50</v>
      </c>
      <c r="Q219" s="6">
        <v>2.1820652173913002</v>
      </c>
      <c r="R219">
        <v>2.2799999999999998</v>
      </c>
      <c r="S219">
        <v>13.38</v>
      </c>
      <c r="T219">
        <v>28.68</v>
      </c>
      <c r="U219">
        <v>25.53</v>
      </c>
      <c r="V219">
        <v>36</v>
      </c>
      <c r="W219">
        <v>1.26</v>
      </c>
    </row>
    <row r="220" spans="1:23" x14ac:dyDescent="0.3">
      <c r="A220">
        <v>218</v>
      </c>
      <c r="B220" t="s">
        <v>263</v>
      </c>
      <c r="C220" t="s">
        <v>35</v>
      </c>
      <c r="D220">
        <v>148</v>
      </c>
      <c r="E220">
        <v>4883</v>
      </c>
      <c r="F220" s="3">
        <v>250</v>
      </c>
      <c r="G220">
        <v>10</v>
      </c>
      <c r="H220">
        <v>3</v>
      </c>
      <c r="I220" s="5">
        <v>2.0270270270270199E-2</v>
      </c>
      <c r="J220" s="3">
        <v>299</v>
      </c>
      <c r="K220" s="1">
        <v>45608</v>
      </c>
      <c r="L220" t="s">
        <v>25</v>
      </c>
      <c r="M220" t="s">
        <v>39</v>
      </c>
      <c r="N220" t="s">
        <v>44</v>
      </c>
      <c r="O220" t="s">
        <v>28</v>
      </c>
      <c r="P220" t="s">
        <v>41</v>
      </c>
      <c r="Q220" s="6">
        <v>1.68655405405405</v>
      </c>
      <c r="R220">
        <v>3.03</v>
      </c>
      <c r="S220">
        <v>24.96</v>
      </c>
      <c r="T220">
        <v>83.2</v>
      </c>
      <c r="U220">
        <v>19.79</v>
      </c>
      <c r="V220">
        <v>99.67</v>
      </c>
      <c r="W220">
        <v>1.2</v>
      </c>
    </row>
    <row r="221" spans="1:23" x14ac:dyDescent="0.3">
      <c r="A221">
        <v>219</v>
      </c>
      <c r="B221" t="s">
        <v>264</v>
      </c>
      <c r="C221" t="s">
        <v>24</v>
      </c>
      <c r="D221">
        <v>92</v>
      </c>
      <c r="E221">
        <v>3748</v>
      </c>
      <c r="F221" s="3">
        <v>208</v>
      </c>
      <c r="G221">
        <v>14</v>
      </c>
      <c r="H221">
        <v>8</v>
      </c>
      <c r="I221" s="5">
        <v>8.6956521739130405E-2</v>
      </c>
      <c r="J221" s="3">
        <v>265</v>
      </c>
      <c r="K221" s="1">
        <v>45598</v>
      </c>
      <c r="L221" t="s">
        <v>25</v>
      </c>
      <c r="M221" t="s">
        <v>26</v>
      </c>
      <c r="N221" t="s">
        <v>49</v>
      </c>
      <c r="O221" t="s">
        <v>28</v>
      </c>
      <c r="P221" t="s">
        <v>29</v>
      </c>
      <c r="Q221" s="6">
        <v>2.2625000000000002</v>
      </c>
      <c r="R221">
        <v>2.4500000000000002</v>
      </c>
      <c r="S221">
        <v>14.87</v>
      </c>
      <c r="T221">
        <v>26.02</v>
      </c>
      <c r="U221">
        <v>27.31</v>
      </c>
      <c r="V221">
        <v>33.119999999999997</v>
      </c>
      <c r="W221">
        <v>1.27</v>
      </c>
    </row>
    <row r="222" spans="1:23" x14ac:dyDescent="0.3">
      <c r="A222">
        <v>220</v>
      </c>
      <c r="B222" t="s">
        <v>265</v>
      </c>
      <c r="C222" t="s">
        <v>35</v>
      </c>
      <c r="D222">
        <v>135</v>
      </c>
      <c r="E222">
        <v>3480</v>
      </c>
      <c r="F222" s="3">
        <v>225</v>
      </c>
      <c r="G222">
        <v>11</v>
      </c>
      <c r="H222">
        <v>4</v>
      </c>
      <c r="I222" s="5">
        <v>2.96296296296296E-2</v>
      </c>
      <c r="J222" s="3">
        <v>285</v>
      </c>
      <c r="K222" s="1">
        <v>45619</v>
      </c>
      <c r="L222" t="s">
        <v>25</v>
      </c>
      <c r="M222" t="s">
        <v>39</v>
      </c>
      <c r="N222" t="s">
        <v>36</v>
      </c>
      <c r="O222" t="s">
        <v>28</v>
      </c>
      <c r="P222" t="s">
        <v>29</v>
      </c>
      <c r="Q222" s="6">
        <v>1.6662222222222201</v>
      </c>
      <c r="R222">
        <v>3.88</v>
      </c>
      <c r="S222">
        <v>20.45</v>
      </c>
      <c r="T222">
        <v>56.24</v>
      </c>
      <c r="U222">
        <v>26.7</v>
      </c>
      <c r="V222">
        <v>71.25</v>
      </c>
      <c r="W222">
        <v>1.27</v>
      </c>
    </row>
    <row r="223" spans="1:23" x14ac:dyDescent="0.3">
      <c r="A223">
        <v>221</v>
      </c>
      <c r="B223" t="s">
        <v>266</v>
      </c>
      <c r="C223" t="s">
        <v>24</v>
      </c>
      <c r="D223">
        <v>177</v>
      </c>
      <c r="E223">
        <v>3007</v>
      </c>
      <c r="F223" s="3">
        <v>223</v>
      </c>
      <c r="G223">
        <v>30</v>
      </c>
      <c r="H223">
        <v>8</v>
      </c>
      <c r="I223" s="5">
        <v>4.5197740112994302E-2</v>
      </c>
      <c r="J223" s="3">
        <v>360</v>
      </c>
      <c r="K223" s="1">
        <v>45598</v>
      </c>
      <c r="L223" t="s">
        <v>25</v>
      </c>
      <c r="M223" t="s">
        <v>31</v>
      </c>
      <c r="N223" t="s">
        <v>36</v>
      </c>
      <c r="O223" t="s">
        <v>28</v>
      </c>
      <c r="P223" t="s">
        <v>29</v>
      </c>
      <c r="Q223" s="6">
        <v>1.26112994350282</v>
      </c>
      <c r="R223">
        <v>5.89</v>
      </c>
      <c r="S223">
        <v>7.44</v>
      </c>
      <c r="T223">
        <v>27.9</v>
      </c>
      <c r="U223">
        <v>61.28</v>
      </c>
      <c r="V223">
        <v>45</v>
      </c>
      <c r="W223">
        <v>1.61</v>
      </c>
    </row>
    <row r="224" spans="1:23" x14ac:dyDescent="0.3">
      <c r="A224">
        <v>222</v>
      </c>
      <c r="B224" t="s">
        <v>267</v>
      </c>
      <c r="C224" t="s">
        <v>43</v>
      </c>
      <c r="D224">
        <v>117</v>
      </c>
      <c r="E224">
        <v>3380</v>
      </c>
      <c r="F224" s="3">
        <v>187</v>
      </c>
      <c r="G224">
        <v>21</v>
      </c>
      <c r="H224">
        <v>10</v>
      </c>
      <c r="I224" s="5">
        <v>8.5470085470085402E-2</v>
      </c>
      <c r="J224" s="3">
        <v>400</v>
      </c>
      <c r="K224" s="1">
        <v>45615</v>
      </c>
      <c r="L224" t="s">
        <v>25</v>
      </c>
      <c r="M224" t="s">
        <v>26</v>
      </c>
      <c r="N224" t="s">
        <v>40</v>
      </c>
      <c r="O224" t="s">
        <v>28</v>
      </c>
      <c r="P224" t="s">
        <v>41</v>
      </c>
      <c r="Q224" s="6">
        <v>1.5959829059829</v>
      </c>
      <c r="R224">
        <v>3.46</v>
      </c>
      <c r="S224">
        <v>8.89</v>
      </c>
      <c r="T224">
        <v>18.670000000000002</v>
      </c>
      <c r="U224">
        <v>114.21</v>
      </c>
      <c r="V224">
        <v>40</v>
      </c>
      <c r="W224">
        <v>2.14</v>
      </c>
    </row>
    <row r="225" spans="1:23" x14ac:dyDescent="0.3">
      <c r="A225">
        <v>223</v>
      </c>
      <c r="B225" t="s">
        <v>268</v>
      </c>
      <c r="C225" t="s">
        <v>24</v>
      </c>
      <c r="D225">
        <v>127</v>
      </c>
      <c r="E225">
        <v>4823</v>
      </c>
      <c r="F225" s="3">
        <v>195</v>
      </c>
      <c r="G225">
        <v>11</v>
      </c>
      <c r="H225">
        <v>10</v>
      </c>
      <c r="I225" s="5">
        <v>7.8740157480314904E-2</v>
      </c>
      <c r="J225" s="3">
        <v>305</v>
      </c>
      <c r="K225" s="1">
        <v>45611</v>
      </c>
      <c r="L225" t="s">
        <v>25</v>
      </c>
      <c r="M225" t="s">
        <v>26</v>
      </c>
      <c r="N225" t="s">
        <v>32</v>
      </c>
      <c r="O225" t="s">
        <v>28</v>
      </c>
      <c r="P225" t="s">
        <v>45</v>
      </c>
      <c r="Q225" s="6">
        <v>1.5329921259842501</v>
      </c>
      <c r="R225">
        <v>2.63</v>
      </c>
      <c r="S225">
        <v>17.7</v>
      </c>
      <c r="T225">
        <v>19.47</v>
      </c>
      <c r="U225">
        <v>56.66</v>
      </c>
      <c r="V225">
        <v>30.5</v>
      </c>
      <c r="W225">
        <v>1.57</v>
      </c>
    </row>
    <row r="226" spans="1:23" x14ac:dyDescent="0.3">
      <c r="A226">
        <v>224</v>
      </c>
      <c r="B226" t="s">
        <v>269</v>
      </c>
      <c r="C226" t="s">
        <v>38</v>
      </c>
      <c r="D226">
        <v>132</v>
      </c>
      <c r="E226">
        <v>4490</v>
      </c>
      <c r="F226" s="3">
        <v>202</v>
      </c>
      <c r="G226">
        <v>10</v>
      </c>
      <c r="H226">
        <v>7</v>
      </c>
      <c r="I226" s="5">
        <v>5.3030303030302997E-2</v>
      </c>
      <c r="J226" s="3">
        <v>294</v>
      </c>
      <c r="K226" s="1">
        <v>45606</v>
      </c>
      <c r="L226" t="s">
        <v>25</v>
      </c>
      <c r="M226" t="s">
        <v>31</v>
      </c>
      <c r="N226" t="s">
        <v>36</v>
      </c>
      <c r="O226" t="s">
        <v>28</v>
      </c>
      <c r="P226" t="s">
        <v>50</v>
      </c>
      <c r="Q226" s="6">
        <v>1.5337121212121201</v>
      </c>
      <c r="R226">
        <v>2.94</v>
      </c>
      <c r="S226">
        <v>20.239999999999998</v>
      </c>
      <c r="T226">
        <v>28.92</v>
      </c>
      <c r="U226">
        <v>45.22</v>
      </c>
      <c r="V226">
        <v>42</v>
      </c>
      <c r="W226">
        <v>1.45</v>
      </c>
    </row>
    <row r="227" spans="1:23" x14ac:dyDescent="0.3">
      <c r="A227">
        <v>225</v>
      </c>
      <c r="B227" t="s">
        <v>270</v>
      </c>
      <c r="C227" t="s">
        <v>24</v>
      </c>
      <c r="D227">
        <v>102</v>
      </c>
      <c r="E227">
        <v>5149</v>
      </c>
      <c r="F227" s="3">
        <v>229</v>
      </c>
      <c r="G227">
        <v>27</v>
      </c>
      <c r="H227">
        <v>9</v>
      </c>
      <c r="I227" s="5">
        <v>8.8235294117646995E-2</v>
      </c>
      <c r="J227" s="3">
        <v>232</v>
      </c>
      <c r="K227" s="1">
        <v>45622</v>
      </c>
      <c r="L227" t="s">
        <v>25</v>
      </c>
      <c r="M227" t="s">
        <v>26</v>
      </c>
      <c r="N227" t="s">
        <v>27</v>
      </c>
      <c r="O227" t="s">
        <v>28</v>
      </c>
      <c r="P227" t="s">
        <v>41</v>
      </c>
      <c r="Q227" s="6">
        <v>2.2498039215686201</v>
      </c>
      <c r="R227">
        <v>1.98</v>
      </c>
      <c r="S227">
        <v>8.5</v>
      </c>
      <c r="T227">
        <v>25.5</v>
      </c>
      <c r="U227">
        <v>1.1000000000000001</v>
      </c>
      <c r="V227">
        <v>25.78</v>
      </c>
      <c r="W227">
        <v>1.01</v>
      </c>
    </row>
    <row r="228" spans="1:23" x14ac:dyDescent="0.3">
      <c r="A228">
        <v>226</v>
      </c>
      <c r="B228" t="s">
        <v>271</v>
      </c>
      <c r="C228" t="s">
        <v>35</v>
      </c>
      <c r="D228">
        <v>91</v>
      </c>
      <c r="E228">
        <v>4290</v>
      </c>
      <c r="F228" s="3">
        <v>214</v>
      </c>
      <c r="G228">
        <v>13</v>
      </c>
      <c r="H228">
        <v>10</v>
      </c>
      <c r="I228" s="5">
        <v>0.109890109890109</v>
      </c>
      <c r="J228" s="3">
        <v>367</v>
      </c>
      <c r="K228" s="1">
        <v>45612</v>
      </c>
      <c r="L228" t="s">
        <v>25</v>
      </c>
      <c r="M228" t="s">
        <v>31</v>
      </c>
      <c r="N228" t="s">
        <v>44</v>
      </c>
      <c r="O228" t="s">
        <v>28</v>
      </c>
      <c r="P228" t="s">
        <v>29</v>
      </c>
      <c r="Q228" s="6">
        <v>2.3487912087912002</v>
      </c>
      <c r="R228">
        <v>2.12</v>
      </c>
      <c r="S228">
        <v>16.440000000000001</v>
      </c>
      <c r="T228">
        <v>21.37</v>
      </c>
      <c r="U228">
        <v>71.7</v>
      </c>
      <c r="V228">
        <v>36.700000000000003</v>
      </c>
      <c r="W228">
        <v>1.72</v>
      </c>
    </row>
    <row r="229" spans="1:23" x14ac:dyDescent="0.3">
      <c r="A229">
        <v>227</v>
      </c>
      <c r="B229" t="s">
        <v>272</v>
      </c>
      <c r="C229" t="s">
        <v>35</v>
      </c>
      <c r="D229">
        <v>163</v>
      </c>
      <c r="E229">
        <v>5643</v>
      </c>
      <c r="F229" s="3">
        <v>217</v>
      </c>
      <c r="G229">
        <v>30</v>
      </c>
      <c r="H229">
        <v>6</v>
      </c>
      <c r="I229" s="5">
        <v>3.6809815950920199E-2</v>
      </c>
      <c r="J229" s="3">
        <v>342</v>
      </c>
      <c r="K229" s="1">
        <v>45597</v>
      </c>
      <c r="L229" t="s">
        <v>25</v>
      </c>
      <c r="M229" t="s">
        <v>26</v>
      </c>
      <c r="N229" t="s">
        <v>36</v>
      </c>
      <c r="O229" t="s">
        <v>28</v>
      </c>
      <c r="P229" t="s">
        <v>45</v>
      </c>
      <c r="Q229" s="6">
        <v>1.3337423312883401</v>
      </c>
      <c r="R229">
        <v>2.89</v>
      </c>
      <c r="S229">
        <v>7.25</v>
      </c>
      <c r="T229">
        <v>36.229999999999997</v>
      </c>
      <c r="U229">
        <v>57.31</v>
      </c>
      <c r="V229">
        <v>57</v>
      </c>
      <c r="W229">
        <v>1.57</v>
      </c>
    </row>
    <row r="230" spans="1:23" x14ac:dyDescent="0.3">
      <c r="A230">
        <v>228</v>
      </c>
      <c r="B230" t="s">
        <v>273</v>
      </c>
      <c r="C230" t="s">
        <v>43</v>
      </c>
      <c r="D230">
        <v>92</v>
      </c>
      <c r="E230">
        <v>3916</v>
      </c>
      <c r="F230" s="3">
        <v>188</v>
      </c>
      <c r="G230">
        <v>13</v>
      </c>
      <c r="H230">
        <v>6</v>
      </c>
      <c r="I230" s="5">
        <v>6.5217391304347797E-2</v>
      </c>
      <c r="J230" s="3">
        <v>205</v>
      </c>
      <c r="K230" s="1">
        <v>45610</v>
      </c>
      <c r="L230" t="s">
        <v>25</v>
      </c>
      <c r="M230" t="s">
        <v>26</v>
      </c>
      <c r="N230" t="s">
        <v>44</v>
      </c>
      <c r="O230" t="s">
        <v>28</v>
      </c>
      <c r="P230" t="s">
        <v>54</v>
      </c>
      <c r="Q230" s="6">
        <v>2.0445652173913</v>
      </c>
      <c r="R230">
        <v>2.35</v>
      </c>
      <c r="S230">
        <v>14.47</v>
      </c>
      <c r="T230">
        <v>31.35</v>
      </c>
      <c r="U230">
        <v>8.98</v>
      </c>
      <c r="V230">
        <v>34.17</v>
      </c>
      <c r="W230">
        <v>1.0900000000000001</v>
      </c>
    </row>
    <row r="231" spans="1:23" x14ac:dyDescent="0.3">
      <c r="A231">
        <v>229</v>
      </c>
      <c r="B231" t="s">
        <v>274</v>
      </c>
      <c r="C231" t="s">
        <v>35</v>
      </c>
      <c r="D231">
        <v>165</v>
      </c>
      <c r="E231">
        <v>4551</v>
      </c>
      <c r="F231" s="3">
        <v>185</v>
      </c>
      <c r="G231">
        <v>30</v>
      </c>
      <c r="H231">
        <v>8</v>
      </c>
      <c r="I231" s="5">
        <v>4.8484848484848402E-2</v>
      </c>
      <c r="J231" s="3">
        <v>339</v>
      </c>
      <c r="K231" s="1">
        <v>45602</v>
      </c>
      <c r="L231" t="s">
        <v>25</v>
      </c>
      <c r="M231" t="s">
        <v>26</v>
      </c>
      <c r="N231" t="s">
        <v>36</v>
      </c>
      <c r="O231" t="s">
        <v>28</v>
      </c>
      <c r="P231" t="s">
        <v>33</v>
      </c>
      <c r="Q231" s="6">
        <v>1.12333333333333</v>
      </c>
      <c r="R231">
        <v>3.63</v>
      </c>
      <c r="S231">
        <v>6.18</v>
      </c>
      <c r="T231">
        <v>23.17</v>
      </c>
      <c r="U231">
        <v>82.9</v>
      </c>
      <c r="V231">
        <v>42.38</v>
      </c>
      <c r="W231">
        <v>1.83</v>
      </c>
    </row>
    <row r="232" spans="1:23" x14ac:dyDescent="0.3">
      <c r="A232">
        <v>230</v>
      </c>
      <c r="B232" t="s">
        <v>275</v>
      </c>
      <c r="C232" t="s">
        <v>43</v>
      </c>
      <c r="D232">
        <v>127</v>
      </c>
      <c r="E232">
        <v>3344</v>
      </c>
      <c r="F232" s="3">
        <v>202</v>
      </c>
      <c r="G232">
        <v>10</v>
      </c>
      <c r="H232">
        <v>8</v>
      </c>
      <c r="I232" s="5">
        <v>6.2992125984251898E-2</v>
      </c>
      <c r="J232" s="3">
        <v>243</v>
      </c>
      <c r="K232" s="1">
        <v>45607</v>
      </c>
      <c r="L232" t="s">
        <v>25</v>
      </c>
      <c r="M232" t="s">
        <v>26</v>
      </c>
      <c r="N232" t="s">
        <v>49</v>
      </c>
      <c r="O232" t="s">
        <v>28</v>
      </c>
      <c r="P232" t="s">
        <v>59</v>
      </c>
      <c r="Q232" s="6">
        <v>1.58818897637795</v>
      </c>
      <c r="R232">
        <v>3.8</v>
      </c>
      <c r="S232">
        <v>20.170000000000002</v>
      </c>
      <c r="T232">
        <v>25.21</v>
      </c>
      <c r="U232">
        <v>20.48</v>
      </c>
      <c r="V232">
        <v>30.38</v>
      </c>
      <c r="W232">
        <v>1.2</v>
      </c>
    </row>
    <row r="233" spans="1:23" x14ac:dyDescent="0.3">
      <c r="A233">
        <v>231</v>
      </c>
      <c r="B233" t="s">
        <v>276</v>
      </c>
      <c r="C233" t="s">
        <v>43</v>
      </c>
      <c r="D233">
        <v>178</v>
      </c>
      <c r="E233">
        <v>4441</v>
      </c>
      <c r="F233" s="3">
        <v>232</v>
      </c>
      <c r="G233">
        <v>22</v>
      </c>
      <c r="H233">
        <v>4</v>
      </c>
      <c r="I233" s="5">
        <v>2.2471910112359501E-2</v>
      </c>
      <c r="J233" s="3">
        <v>385</v>
      </c>
      <c r="K233" s="1">
        <v>45620</v>
      </c>
      <c r="L233" t="s">
        <v>25</v>
      </c>
      <c r="M233" t="s">
        <v>31</v>
      </c>
      <c r="N233" t="s">
        <v>49</v>
      </c>
      <c r="O233" t="s">
        <v>28</v>
      </c>
      <c r="P233" t="s">
        <v>50</v>
      </c>
      <c r="Q233" s="6">
        <v>1.3032022471910101</v>
      </c>
      <c r="R233">
        <v>4.01</v>
      </c>
      <c r="S233">
        <v>10.54</v>
      </c>
      <c r="T233">
        <v>57.99</v>
      </c>
      <c r="U233">
        <v>65.97</v>
      </c>
      <c r="V233">
        <v>96.25</v>
      </c>
      <c r="W233">
        <v>1.66</v>
      </c>
    </row>
    <row r="234" spans="1:23" x14ac:dyDescent="0.3">
      <c r="A234">
        <v>232</v>
      </c>
      <c r="B234" t="s">
        <v>277</v>
      </c>
      <c r="C234" t="s">
        <v>35</v>
      </c>
      <c r="D234">
        <v>101</v>
      </c>
      <c r="E234">
        <v>3331</v>
      </c>
      <c r="F234" s="3">
        <v>234</v>
      </c>
      <c r="G234">
        <v>29</v>
      </c>
      <c r="H234">
        <v>5</v>
      </c>
      <c r="I234" s="5">
        <v>4.95049504950495E-2</v>
      </c>
      <c r="J234" s="3">
        <v>320</v>
      </c>
      <c r="K234" s="1">
        <v>45623</v>
      </c>
      <c r="L234" t="s">
        <v>25</v>
      </c>
      <c r="M234" t="s">
        <v>31</v>
      </c>
      <c r="N234" t="s">
        <v>40</v>
      </c>
      <c r="O234" t="s">
        <v>28</v>
      </c>
      <c r="P234" t="s">
        <v>33</v>
      </c>
      <c r="Q234" s="6">
        <v>2.3185148514851401</v>
      </c>
      <c r="R234">
        <v>3.03</v>
      </c>
      <c r="S234">
        <v>8.07</v>
      </c>
      <c r="T234">
        <v>46.83</v>
      </c>
      <c r="U234">
        <v>36.65</v>
      </c>
      <c r="V234">
        <v>64</v>
      </c>
      <c r="W234">
        <v>1.37</v>
      </c>
    </row>
    <row r="235" spans="1:23" x14ac:dyDescent="0.3">
      <c r="A235">
        <v>233</v>
      </c>
      <c r="B235" t="s">
        <v>278</v>
      </c>
      <c r="C235" t="s">
        <v>35</v>
      </c>
      <c r="D235">
        <v>161</v>
      </c>
      <c r="E235">
        <v>5977</v>
      </c>
      <c r="F235" s="3">
        <v>193</v>
      </c>
      <c r="G235">
        <v>24</v>
      </c>
      <c r="H235">
        <v>8</v>
      </c>
      <c r="I235" s="5">
        <v>4.9689440993788803E-2</v>
      </c>
      <c r="J235" s="3">
        <v>279</v>
      </c>
      <c r="K235" s="1">
        <v>45609</v>
      </c>
      <c r="L235" t="s">
        <v>25</v>
      </c>
      <c r="M235" t="s">
        <v>26</v>
      </c>
      <c r="N235" t="s">
        <v>44</v>
      </c>
      <c r="O235" t="s">
        <v>28</v>
      </c>
      <c r="P235" t="s">
        <v>33</v>
      </c>
      <c r="Q235" s="6">
        <v>1.2004347826086901</v>
      </c>
      <c r="R235">
        <v>2.69</v>
      </c>
      <c r="S235">
        <v>8.0500000000000007</v>
      </c>
      <c r="T235">
        <v>24.16</v>
      </c>
      <c r="U235">
        <v>44.36</v>
      </c>
      <c r="V235">
        <v>34.880000000000003</v>
      </c>
      <c r="W235">
        <v>1.44</v>
      </c>
    </row>
    <row r="236" spans="1:23" x14ac:dyDescent="0.3">
      <c r="A236">
        <v>234</v>
      </c>
      <c r="B236" t="s">
        <v>279</v>
      </c>
      <c r="C236" t="s">
        <v>35</v>
      </c>
      <c r="D236">
        <v>95</v>
      </c>
      <c r="E236">
        <v>4562</v>
      </c>
      <c r="F236" s="3">
        <v>188</v>
      </c>
      <c r="G236">
        <v>24</v>
      </c>
      <c r="H236">
        <v>9</v>
      </c>
      <c r="I236" s="5">
        <v>9.4736842105263105E-2</v>
      </c>
      <c r="J236" s="3">
        <v>253</v>
      </c>
      <c r="K236" s="1">
        <v>45622</v>
      </c>
      <c r="L236" t="s">
        <v>25</v>
      </c>
      <c r="M236" t="s">
        <v>26</v>
      </c>
      <c r="N236" t="s">
        <v>40</v>
      </c>
      <c r="O236" t="s">
        <v>28</v>
      </c>
      <c r="P236" t="s">
        <v>41</v>
      </c>
      <c r="Q236" s="6">
        <v>1.9749473684210499</v>
      </c>
      <c r="R236">
        <v>2.08</v>
      </c>
      <c r="S236">
        <v>7.82</v>
      </c>
      <c r="T236">
        <v>20.85</v>
      </c>
      <c r="U236">
        <v>34.85</v>
      </c>
      <c r="V236">
        <v>28.11</v>
      </c>
      <c r="W236">
        <v>1.35</v>
      </c>
    </row>
    <row r="237" spans="1:23" x14ac:dyDescent="0.3">
      <c r="A237">
        <v>235</v>
      </c>
      <c r="B237" t="s">
        <v>280</v>
      </c>
      <c r="C237" t="s">
        <v>38</v>
      </c>
      <c r="D237">
        <v>85</v>
      </c>
      <c r="E237">
        <v>5099</v>
      </c>
      <c r="F237" s="3">
        <v>233</v>
      </c>
      <c r="G237">
        <v>28</v>
      </c>
      <c r="H237">
        <v>9</v>
      </c>
      <c r="I237" s="5">
        <v>0.105882352941176</v>
      </c>
      <c r="J237" s="3">
        <v>311</v>
      </c>
      <c r="K237" s="1">
        <v>45598</v>
      </c>
      <c r="L237" t="s">
        <v>25</v>
      </c>
      <c r="M237" t="s">
        <v>31</v>
      </c>
      <c r="N237" t="s">
        <v>40</v>
      </c>
      <c r="O237" t="s">
        <v>28</v>
      </c>
      <c r="P237" t="s">
        <v>29</v>
      </c>
      <c r="Q237" s="6">
        <v>2.7360000000000002</v>
      </c>
      <c r="R237">
        <v>1.67</v>
      </c>
      <c r="S237">
        <v>8.31</v>
      </c>
      <c r="T237">
        <v>25.84</v>
      </c>
      <c r="U237">
        <v>33.729999999999997</v>
      </c>
      <c r="V237">
        <v>34.56</v>
      </c>
      <c r="W237">
        <v>1.34</v>
      </c>
    </row>
    <row r="238" spans="1:23" x14ac:dyDescent="0.3">
      <c r="A238">
        <v>236</v>
      </c>
      <c r="B238" t="s">
        <v>281</v>
      </c>
      <c r="C238" t="s">
        <v>43</v>
      </c>
      <c r="D238">
        <v>192</v>
      </c>
      <c r="E238">
        <v>5852</v>
      </c>
      <c r="F238" s="3">
        <v>181</v>
      </c>
      <c r="G238">
        <v>16</v>
      </c>
      <c r="H238">
        <v>8</v>
      </c>
      <c r="I238" s="5">
        <v>4.1666666666666602E-2</v>
      </c>
      <c r="J238" s="3">
        <v>327</v>
      </c>
      <c r="K238" s="1">
        <v>45617</v>
      </c>
      <c r="L238" t="s">
        <v>25</v>
      </c>
      <c r="M238" t="s">
        <v>26</v>
      </c>
      <c r="N238" t="s">
        <v>49</v>
      </c>
      <c r="O238" t="s">
        <v>28</v>
      </c>
      <c r="P238" t="s">
        <v>54</v>
      </c>
      <c r="Q238" s="6">
        <v>0.94296875000000002</v>
      </c>
      <c r="R238">
        <v>3.28</v>
      </c>
      <c r="S238">
        <v>11.32</v>
      </c>
      <c r="T238">
        <v>22.63</v>
      </c>
      <c r="U238">
        <v>80.61</v>
      </c>
      <c r="V238">
        <v>40.880000000000003</v>
      </c>
      <c r="W238">
        <v>1.81</v>
      </c>
    </row>
    <row r="239" spans="1:23" x14ac:dyDescent="0.3">
      <c r="A239">
        <v>237</v>
      </c>
      <c r="B239" t="s">
        <v>282</v>
      </c>
      <c r="C239" t="s">
        <v>35</v>
      </c>
      <c r="D239">
        <v>80</v>
      </c>
      <c r="E239">
        <v>3823</v>
      </c>
      <c r="F239" s="3">
        <v>182</v>
      </c>
      <c r="G239">
        <v>13</v>
      </c>
      <c r="H239">
        <v>4</v>
      </c>
      <c r="I239" s="5">
        <v>0.05</v>
      </c>
      <c r="J239" s="3">
        <v>319</v>
      </c>
      <c r="K239" s="1">
        <v>45609</v>
      </c>
      <c r="L239" t="s">
        <v>25</v>
      </c>
      <c r="M239" t="s">
        <v>26</v>
      </c>
      <c r="N239" t="s">
        <v>44</v>
      </c>
      <c r="O239" t="s">
        <v>28</v>
      </c>
      <c r="P239" t="s">
        <v>33</v>
      </c>
      <c r="Q239" s="6">
        <v>2.269625</v>
      </c>
      <c r="R239">
        <v>2.09</v>
      </c>
      <c r="S239">
        <v>13.97</v>
      </c>
      <c r="T239">
        <v>45.39</v>
      </c>
      <c r="U239">
        <v>75.69</v>
      </c>
      <c r="V239">
        <v>79.75</v>
      </c>
      <c r="W239">
        <v>1.76</v>
      </c>
    </row>
    <row r="240" spans="1:23" x14ac:dyDescent="0.3">
      <c r="A240">
        <v>238</v>
      </c>
      <c r="B240" t="s">
        <v>283</v>
      </c>
      <c r="C240" t="s">
        <v>24</v>
      </c>
      <c r="D240">
        <v>191</v>
      </c>
      <c r="E240">
        <v>4612</v>
      </c>
      <c r="F240" s="3">
        <v>238</v>
      </c>
      <c r="G240">
        <v>20</v>
      </c>
      <c r="H240">
        <v>10</v>
      </c>
      <c r="I240" s="5">
        <v>5.23560209424083E-2</v>
      </c>
      <c r="J240" s="3">
        <v>312</v>
      </c>
      <c r="K240" s="1">
        <v>45597</v>
      </c>
      <c r="L240" t="s">
        <v>25</v>
      </c>
      <c r="M240" t="s">
        <v>31</v>
      </c>
      <c r="N240" t="s">
        <v>27</v>
      </c>
      <c r="O240" t="s">
        <v>28</v>
      </c>
      <c r="P240" t="s">
        <v>45</v>
      </c>
      <c r="Q240" s="6">
        <v>1.2472774869109899</v>
      </c>
      <c r="R240">
        <v>4.1399999999999997</v>
      </c>
      <c r="S240">
        <v>11.91</v>
      </c>
      <c r="T240">
        <v>23.82</v>
      </c>
      <c r="U240">
        <v>30.97</v>
      </c>
      <c r="V240">
        <v>31.2</v>
      </c>
      <c r="W240">
        <v>1.31</v>
      </c>
    </row>
    <row r="241" spans="1:23" x14ac:dyDescent="0.3">
      <c r="A241">
        <v>239</v>
      </c>
      <c r="B241" t="s">
        <v>284</v>
      </c>
      <c r="C241" t="s">
        <v>24</v>
      </c>
      <c r="D241">
        <v>147</v>
      </c>
      <c r="E241">
        <v>5881</v>
      </c>
      <c r="F241" s="3">
        <v>196</v>
      </c>
      <c r="G241">
        <v>23</v>
      </c>
      <c r="H241">
        <v>7</v>
      </c>
      <c r="I241" s="5">
        <v>4.7619047619047603E-2</v>
      </c>
      <c r="J241" s="3">
        <v>329</v>
      </c>
      <c r="K241" s="1">
        <v>45614</v>
      </c>
      <c r="L241" t="s">
        <v>25</v>
      </c>
      <c r="M241" t="s">
        <v>26</v>
      </c>
      <c r="N241" t="s">
        <v>40</v>
      </c>
      <c r="O241" t="s">
        <v>28</v>
      </c>
      <c r="P241" t="s">
        <v>59</v>
      </c>
      <c r="Q241" s="6">
        <v>1.3356462585033999</v>
      </c>
      <c r="R241">
        <v>2.5</v>
      </c>
      <c r="S241">
        <v>8.5399999999999991</v>
      </c>
      <c r="T241">
        <v>28.05</v>
      </c>
      <c r="U241">
        <v>67.569999999999993</v>
      </c>
      <c r="V241">
        <v>47</v>
      </c>
      <c r="W241">
        <v>1.68</v>
      </c>
    </row>
    <row r="242" spans="1:23" x14ac:dyDescent="0.3">
      <c r="A242">
        <v>240</v>
      </c>
      <c r="B242" t="s">
        <v>285</v>
      </c>
      <c r="C242" t="s">
        <v>43</v>
      </c>
      <c r="D242">
        <v>100</v>
      </c>
      <c r="E242">
        <v>5204</v>
      </c>
      <c r="F242" s="3">
        <v>198</v>
      </c>
      <c r="G242">
        <v>26</v>
      </c>
      <c r="H242">
        <v>4</v>
      </c>
      <c r="I242" s="5">
        <v>0.04</v>
      </c>
      <c r="J242" s="3">
        <v>342</v>
      </c>
      <c r="K242" s="1">
        <v>45620</v>
      </c>
      <c r="L242" t="s">
        <v>25</v>
      </c>
      <c r="M242" t="s">
        <v>39</v>
      </c>
      <c r="N242" t="s">
        <v>32</v>
      </c>
      <c r="O242" t="s">
        <v>28</v>
      </c>
      <c r="P242" t="s">
        <v>50</v>
      </c>
      <c r="Q242" s="6">
        <v>1.9753000000000001</v>
      </c>
      <c r="R242">
        <v>1.92</v>
      </c>
      <c r="S242">
        <v>7.6</v>
      </c>
      <c r="T242">
        <v>49.38</v>
      </c>
      <c r="U242">
        <v>73.14</v>
      </c>
      <c r="V242">
        <v>85.5</v>
      </c>
      <c r="W242">
        <v>1.73</v>
      </c>
    </row>
    <row r="243" spans="1:23" x14ac:dyDescent="0.3">
      <c r="A243">
        <v>241</v>
      </c>
      <c r="B243" t="s">
        <v>286</v>
      </c>
      <c r="C243" t="s">
        <v>38</v>
      </c>
      <c r="D243">
        <v>82</v>
      </c>
      <c r="E243">
        <v>5130</v>
      </c>
      <c r="F243" s="3">
        <v>234</v>
      </c>
      <c r="G243">
        <v>12</v>
      </c>
      <c r="H243">
        <v>9</v>
      </c>
      <c r="I243" s="5">
        <v>0.109756097560975</v>
      </c>
      <c r="J243" s="3">
        <v>420.42857142857099</v>
      </c>
      <c r="K243" s="1">
        <v>45611</v>
      </c>
      <c r="L243" t="s">
        <v>25</v>
      </c>
      <c r="M243" t="s">
        <v>31</v>
      </c>
      <c r="N243" t="s">
        <v>36</v>
      </c>
      <c r="O243" t="s">
        <v>28</v>
      </c>
      <c r="P243" t="s">
        <v>45</v>
      </c>
      <c r="Q243" s="6">
        <v>2.8506097560975601</v>
      </c>
      <c r="R243">
        <v>1.6</v>
      </c>
      <c r="S243">
        <v>19.48</v>
      </c>
      <c r="T243">
        <v>25.97</v>
      </c>
      <c r="U243">
        <v>79.86</v>
      </c>
      <c r="V243">
        <v>46.71</v>
      </c>
      <c r="W243">
        <v>1.8</v>
      </c>
    </row>
    <row r="244" spans="1:23" x14ac:dyDescent="0.3">
      <c r="A244">
        <v>242</v>
      </c>
      <c r="B244" t="s">
        <v>287</v>
      </c>
      <c r="C244" t="s">
        <v>24</v>
      </c>
      <c r="D244">
        <v>123</v>
      </c>
      <c r="E244">
        <v>5231</v>
      </c>
      <c r="F244" s="3">
        <v>203</v>
      </c>
      <c r="G244">
        <v>30</v>
      </c>
      <c r="H244">
        <v>10</v>
      </c>
      <c r="I244" s="5">
        <v>8.1300813008129996E-2</v>
      </c>
      <c r="J244" s="3">
        <v>317</v>
      </c>
      <c r="K244" s="1">
        <v>45619</v>
      </c>
      <c r="L244" t="s">
        <v>25</v>
      </c>
      <c r="M244" t="s">
        <v>26</v>
      </c>
      <c r="N244" t="s">
        <v>44</v>
      </c>
      <c r="O244" t="s">
        <v>28</v>
      </c>
      <c r="P244" t="s">
        <v>29</v>
      </c>
      <c r="Q244" s="6">
        <v>1.64983739837398</v>
      </c>
      <c r="R244">
        <v>2.35</v>
      </c>
      <c r="S244">
        <v>6.76</v>
      </c>
      <c r="T244">
        <v>20.29</v>
      </c>
      <c r="U244">
        <v>56.21</v>
      </c>
      <c r="V244">
        <v>31.7</v>
      </c>
      <c r="W244">
        <v>1.56</v>
      </c>
    </row>
    <row r="245" spans="1:23" x14ac:dyDescent="0.3">
      <c r="A245">
        <v>243</v>
      </c>
      <c r="B245" t="s">
        <v>288</v>
      </c>
      <c r="C245" t="s">
        <v>35</v>
      </c>
      <c r="D245">
        <v>165</v>
      </c>
      <c r="E245">
        <v>5980</v>
      </c>
      <c r="F245" s="3">
        <v>248</v>
      </c>
      <c r="G245">
        <v>17</v>
      </c>
      <c r="H245">
        <v>3</v>
      </c>
      <c r="I245" s="5">
        <v>1.8181818181818101E-2</v>
      </c>
      <c r="J245" s="3">
        <v>368</v>
      </c>
      <c r="K245" s="1">
        <v>45602</v>
      </c>
      <c r="L245" t="s">
        <v>25</v>
      </c>
      <c r="M245" t="s">
        <v>39</v>
      </c>
      <c r="N245" t="s">
        <v>44</v>
      </c>
      <c r="O245" t="s">
        <v>28</v>
      </c>
      <c r="P245" t="s">
        <v>33</v>
      </c>
      <c r="Q245" s="6">
        <v>1.5055151515151499</v>
      </c>
      <c r="R245">
        <v>2.76</v>
      </c>
      <c r="S245">
        <v>14.61</v>
      </c>
      <c r="T245">
        <v>82.8</v>
      </c>
      <c r="U245">
        <v>48.14</v>
      </c>
      <c r="V245">
        <v>122.67</v>
      </c>
      <c r="W245">
        <v>1.48</v>
      </c>
    </row>
    <row r="246" spans="1:23" x14ac:dyDescent="0.3">
      <c r="A246">
        <v>244</v>
      </c>
      <c r="B246" t="s">
        <v>289</v>
      </c>
      <c r="C246" t="s">
        <v>24</v>
      </c>
      <c r="D246">
        <v>167</v>
      </c>
      <c r="E246">
        <v>3202</v>
      </c>
      <c r="F246" s="3">
        <v>215</v>
      </c>
      <c r="G246">
        <v>26</v>
      </c>
      <c r="H246">
        <v>6</v>
      </c>
      <c r="I246" s="5">
        <v>3.59281437125748E-2</v>
      </c>
      <c r="J246" s="3">
        <v>321</v>
      </c>
      <c r="K246" s="1">
        <v>45608</v>
      </c>
      <c r="L246" t="s">
        <v>25</v>
      </c>
      <c r="M246" t="s">
        <v>26</v>
      </c>
      <c r="N246" t="s">
        <v>36</v>
      </c>
      <c r="O246" t="s">
        <v>28</v>
      </c>
      <c r="P246" t="s">
        <v>41</v>
      </c>
      <c r="Q246" s="6">
        <v>1.2866467065868199</v>
      </c>
      <c r="R246">
        <v>5.22</v>
      </c>
      <c r="S246">
        <v>8.26</v>
      </c>
      <c r="T246">
        <v>35.81</v>
      </c>
      <c r="U246">
        <v>49.39</v>
      </c>
      <c r="V246">
        <v>53.5</v>
      </c>
      <c r="W246">
        <v>1.49</v>
      </c>
    </row>
    <row r="247" spans="1:23" x14ac:dyDescent="0.3">
      <c r="A247">
        <v>245</v>
      </c>
      <c r="B247" t="s">
        <v>290</v>
      </c>
      <c r="C247" t="s">
        <v>35</v>
      </c>
      <c r="D247">
        <v>111</v>
      </c>
      <c r="E247">
        <v>5847</v>
      </c>
      <c r="F247" s="3">
        <v>197</v>
      </c>
      <c r="G247">
        <v>21</v>
      </c>
      <c r="H247">
        <v>9</v>
      </c>
      <c r="I247" s="5">
        <v>8.1081081081081002E-2</v>
      </c>
      <c r="J247" s="3">
        <v>295</v>
      </c>
      <c r="K247" s="1">
        <v>45626</v>
      </c>
      <c r="L247" t="s">
        <v>25</v>
      </c>
      <c r="M247" t="s">
        <v>31</v>
      </c>
      <c r="N247" t="s">
        <v>44</v>
      </c>
      <c r="O247" t="s">
        <v>28</v>
      </c>
      <c r="P247" t="s">
        <v>29</v>
      </c>
      <c r="Q247" s="6">
        <v>1.7721621621621599</v>
      </c>
      <c r="R247">
        <v>1.9</v>
      </c>
      <c r="S247">
        <v>9.3699999999999992</v>
      </c>
      <c r="T247">
        <v>21.86</v>
      </c>
      <c r="U247">
        <v>49.97</v>
      </c>
      <c r="V247">
        <v>32.78</v>
      </c>
      <c r="W247">
        <v>1.5</v>
      </c>
    </row>
    <row r="248" spans="1:23" x14ac:dyDescent="0.3">
      <c r="A248">
        <v>246</v>
      </c>
      <c r="B248" t="s">
        <v>291</v>
      </c>
      <c r="C248" t="s">
        <v>38</v>
      </c>
      <c r="D248">
        <v>94</v>
      </c>
      <c r="E248">
        <v>4359</v>
      </c>
      <c r="F248" s="3">
        <v>145</v>
      </c>
      <c r="G248">
        <v>28</v>
      </c>
      <c r="H248">
        <v>5</v>
      </c>
      <c r="I248" s="5">
        <v>5.31914893617021E-2</v>
      </c>
      <c r="J248" s="3">
        <v>392</v>
      </c>
      <c r="K248" s="1">
        <v>45603</v>
      </c>
      <c r="L248" t="s">
        <v>25</v>
      </c>
      <c r="M248" t="s">
        <v>39</v>
      </c>
      <c r="N248" t="s">
        <v>27</v>
      </c>
      <c r="O248" t="s">
        <v>28</v>
      </c>
      <c r="P248" t="s">
        <v>54</v>
      </c>
      <c r="Q248" s="6">
        <v>1.5454545454545401</v>
      </c>
      <c r="R248">
        <v>2.16</v>
      </c>
      <c r="S248">
        <v>5.19</v>
      </c>
      <c r="T248">
        <v>29.05</v>
      </c>
      <c r="U248">
        <v>169.84</v>
      </c>
      <c r="V248">
        <v>78.400000000000006</v>
      </c>
      <c r="W248">
        <v>2.7</v>
      </c>
    </row>
    <row r="249" spans="1:23" x14ac:dyDescent="0.3">
      <c r="A249">
        <v>247</v>
      </c>
      <c r="B249" t="s">
        <v>292</v>
      </c>
      <c r="C249" t="s">
        <v>43</v>
      </c>
      <c r="D249">
        <v>179</v>
      </c>
      <c r="E249">
        <v>3185</v>
      </c>
      <c r="F249" s="3">
        <v>237</v>
      </c>
      <c r="G249">
        <v>29</v>
      </c>
      <c r="H249">
        <v>5</v>
      </c>
      <c r="I249" s="5">
        <v>2.7932960893854698E-2</v>
      </c>
      <c r="J249" s="3">
        <v>236</v>
      </c>
      <c r="K249" s="1">
        <v>45607</v>
      </c>
      <c r="L249" t="s">
        <v>25</v>
      </c>
      <c r="M249" t="s">
        <v>26</v>
      </c>
      <c r="N249" t="s">
        <v>32</v>
      </c>
      <c r="O249" t="s">
        <v>28</v>
      </c>
      <c r="P249" t="s">
        <v>59</v>
      </c>
      <c r="Q249" s="6">
        <v>1.3225698324022299</v>
      </c>
      <c r="R249">
        <v>5.62</v>
      </c>
      <c r="S249">
        <v>8.16</v>
      </c>
      <c r="T249">
        <v>47.35</v>
      </c>
      <c r="U249">
        <v>-0.31</v>
      </c>
      <c r="V249">
        <v>47.2</v>
      </c>
      <c r="W249">
        <v>1</v>
      </c>
    </row>
    <row r="250" spans="1:23" x14ac:dyDescent="0.3">
      <c r="A250">
        <v>248</v>
      </c>
      <c r="B250" t="s">
        <v>293</v>
      </c>
      <c r="C250" t="s">
        <v>24</v>
      </c>
      <c r="D250">
        <v>166</v>
      </c>
      <c r="E250">
        <v>5592</v>
      </c>
      <c r="F250" s="3">
        <v>183</v>
      </c>
      <c r="G250">
        <v>22</v>
      </c>
      <c r="H250">
        <v>4</v>
      </c>
      <c r="I250" s="5">
        <v>2.40963855421686E-2</v>
      </c>
      <c r="J250" s="3">
        <v>334</v>
      </c>
      <c r="K250" s="1">
        <v>45618</v>
      </c>
      <c r="L250" t="s">
        <v>25</v>
      </c>
      <c r="M250" t="s">
        <v>39</v>
      </c>
      <c r="N250" t="s">
        <v>44</v>
      </c>
      <c r="O250" t="s">
        <v>28</v>
      </c>
      <c r="P250" t="s">
        <v>45</v>
      </c>
      <c r="Q250" s="6">
        <v>1.1025903614457799</v>
      </c>
      <c r="R250">
        <v>2.97</v>
      </c>
      <c r="S250">
        <v>8.32</v>
      </c>
      <c r="T250">
        <v>45.76</v>
      </c>
      <c r="U250">
        <v>82.48</v>
      </c>
      <c r="V250">
        <v>83.5</v>
      </c>
      <c r="W250">
        <v>1.82</v>
      </c>
    </row>
    <row r="251" spans="1:23" x14ac:dyDescent="0.3">
      <c r="A251">
        <v>249</v>
      </c>
      <c r="B251" t="s">
        <v>294</v>
      </c>
      <c r="C251" t="s">
        <v>38</v>
      </c>
      <c r="D251">
        <v>90</v>
      </c>
      <c r="E251">
        <v>5062</v>
      </c>
      <c r="F251" s="3">
        <v>191</v>
      </c>
      <c r="G251">
        <v>23</v>
      </c>
      <c r="H251">
        <v>6</v>
      </c>
      <c r="I251" s="5">
        <v>6.6666666666666596E-2</v>
      </c>
      <c r="J251" s="3">
        <v>362</v>
      </c>
      <c r="K251" s="1">
        <v>45615</v>
      </c>
      <c r="L251" t="s">
        <v>25</v>
      </c>
      <c r="M251" t="s">
        <v>39</v>
      </c>
      <c r="N251" t="s">
        <v>32</v>
      </c>
      <c r="O251" t="s">
        <v>28</v>
      </c>
      <c r="P251" t="s">
        <v>41</v>
      </c>
      <c r="Q251" s="6">
        <v>2.1266666666666598</v>
      </c>
      <c r="R251">
        <v>1.78</v>
      </c>
      <c r="S251">
        <v>8.32</v>
      </c>
      <c r="T251">
        <v>31.9</v>
      </c>
      <c r="U251">
        <v>89.13</v>
      </c>
      <c r="V251">
        <v>60.33</v>
      </c>
      <c r="W251">
        <v>1.89</v>
      </c>
    </row>
    <row r="252" spans="1:23" x14ac:dyDescent="0.3">
      <c r="A252">
        <v>250</v>
      </c>
      <c r="B252" t="s">
        <v>295</v>
      </c>
      <c r="C252" t="s">
        <v>38</v>
      </c>
      <c r="D252">
        <v>106</v>
      </c>
      <c r="E252">
        <v>5830</v>
      </c>
      <c r="F252" s="3">
        <v>242</v>
      </c>
      <c r="G252">
        <v>29</v>
      </c>
      <c r="H252">
        <v>10</v>
      </c>
      <c r="I252" s="5">
        <v>9.4339622641509399E-2</v>
      </c>
      <c r="J252" s="3">
        <v>387</v>
      </c>
      <c r="K252" s="1">
        <v>45598</v>
      </c>
      <c r="L252" t="s">
        <v>25</v>
      </c>
      <c r="M252" t="s">
        <v>26</v>
      </c>
      <c r="N252" t="s">
        <v>40</v>
      </c>
      <c r="O252" t="s">
        <v>28</v>
      </c>
      <c r="P252" t="s">
        <v>29</v>
      </c>
      <c r="Q252" s="6">
        <v>2.2820754716981102</v>
      </c>
      <c r="R252">
        <v>1.82</v>
      </c>
      <c r="S252">
        <v>8.34</v>
      </c>
      <c r="T252">
        <v>24.19</v>
      </c>
      <c r="U252">
        <v>59.98</v>
      </c>
      <c r="V252">
        <v>38.700000000000003</v>
      </c>
      <c r="W252">
        <v>1.6</v>
      </c>
    </row>
    <row r="253" spans="1:23" x14ac:dyDescent="0.3">
      <c r="A253">
        <v>251</v>
      </c>
      <c r="B253" t="s">
        <v>296</v>
      </c>
      <c r="C253" t="s">
        <v>43</v>
      </c>
      <c r="D253">
        <v>140</v>
      </c>
      <c r="E253">
        <v>4629</v>
      </c>
      <c r="F253" s="3">
        <v>237</v>
      </c>
      <c r="G253">
        <v>10</v>
      </c>
      <c r="H253">
        <v>6</v>
      </c>
      <c r="I253" s="5">
        <v>4.2857142857142802E-2</v>
      </c>
      <c r="J253" s="3">
        <v>241</v>
      </c>
      <c r="K253" s="1">
        <v>45602</v>
      </c>
      <c r="L253" t="s">
        <v>25</v>
      </c>
      <c r="M253" t="s">
        <v>26</v>
      </c>
      <c r="N253" t="s">
        <v>40</v>
      </c>
      <c r="O253" t="s">
        <v>28</v>
      </c>
      <c r="P253" t="s">
        <v>33</v>
      </c>
      <c r="Q253" s="6">
        <v>1.69257142857142</v>
      </c>
      <c r="R253">
        <v>3.02</v>
      </c>
      <c r="S253">
        <v>23.7</v>
      </c>
      <c r="T253">
        <v>39.49</v>
      </c>
      <c r="U253">
        <v>1.7</v>
      </c>
      <c r="V253">
        <v>40.17</v>
      </c>
      <c r="W253">
        <v>1.02</v>
      </c>
    </row>
    <row r="254" spans="1:23" x14ac:dyDescent="0.3">
      <c r="A254">
        <v>252</v>
      </c>
      <c r="B254" t="s">
        <v>297</v>
      </c>
      <c r="C254" t="s">
        <v>35</v>
      </c>
      <c r="D254">
        <v>158</v>
      </c>
      <c r="E254">
        <v>4780</v>
      </c>
      <c r="F254" s="3">
        <v>247</v>
      </c>
      <c r="G254">
        <v>23</v>
      </c>
      <c r="H254">
        <v>9</v>
      </c>
      <c r="I254" s="5">
        <v>5.6962025316455597E-2</v>
      </c>
      <c r="J254" s="3">
        <v>205</v>
      </c>
      <c r="K254" s="1">
        <v>45620</v>
      </c>
      <c r="L254" t="s">
        <v>25</v>
      </c>
      <c r="M254" t="s">
        <v>26</v>
      </c>
      <c r="N254" t="s">
        <v>27</v>
      </c>
      <c r="O254" t="s">
        <v>28</v>
      </c>
      <c r="P254" t="s">
        <v>50</v>
      </c>
      <c r="Q254" s="6">
        <v>1.5645569620253099</v>
      </c>
      <c r="R254">
        <v>3.31</v>
      </c>
      <c r="S254">
        <v>10.75</v>
      </c>
      <c r="T254">
        <v>27.47</v>
      </c>
      <c r="U254">
        <v>-17.07</v>
      </c>
      <c r="V254">
        <v>22.78</v>
      </c>
      <c r="W254">
        <v>0.83</v>
      </c>
    </row>
    <row r="255" spans="1:23" x14ac:dyDescent="0.3">
      <c r="A255">
        <v>253</v>
      </c>
      <c r="B255" t="s">
        <v>298</v>
      </c>
      <c r="C255" t="s">
        <v>43</v>
      </c>
      <c r="D255">
        <v>187</v>
      </c>
      <c r="E255">
        <v>3800</v>
      </c>
      <c r="F255" s="3">
        <v>241</v>
      </c>
      <c r="G255">
        <v>16</v>
      </c>
      <c r="H255">
        <v>8</v>
      </c>
      <c r="I255" s="5">
        <v>4.2780748663101602E-2</v>
      </c>
      <c r="J255" s="3">
        <v>376</v>
      </c>
      <c r="K255" s="1">
        <v>45605</v>
      </c>
      <c r="L255" t="s">
        <v>25</v>
      </c>
      <c r="M255" t="s">
        <v>31</v>
      </c>
      <c r="N255" t="s">
        <v>49</v>
      </c>
      <c r="O255" t="s">
        <v>28</v>
      </c>
      <c r="P255" t="s">
        <v>29</v>
      </c>
      <c r="Q255" s="6">
        <v>1.2887700534759301</v>
      </c>
      <c r="R255">
        <v>4.92</v>
      </c>
      <c r="S255">
        <v>15.06</v>
      </c>
      <c r="T255">
        <v>30.12</v>
      </c>
      <c r="U255">
        <v>56.02</v>
      </c>
      <c r="V255">
        <v>47</v>
      </c>
      <c r="W255">
        <v>1.56</v>
      </c>
    </row>
    <row r="256" spans="1:23" x14ac:dyDescent="0.3">
      <c r="A256">
        <v>254</v>
      </c>
      <c r="B256" t="s">
        <v>299</v>
      </c>
      <c r="C256" t="s">
        <v>35</v>
      </c>
      <c r="D256">
        <v>95</v>
      </c>
      <c r="E256">
        <v>4096</v>
      </c>
      <c r="F256" s="3">
        <v>243</v>
      </c>
      <c r="G256">
        <v>26</v>
      </c>
      <c r="H256">
        <v>9</v>
      </c>
      <c r="I256" s="5">
        <v>9.4736842105263105E-2</v>
      </c>
      <c r="J256" s="3">
        <v>316</v>
      </c>
      <c r="K256" s="1">
        <v>45618</v>
      </c>
      <c r="L256" t="s">
        <v>25</v>
      </c>
      <c r="M256" t="s">
        <v>39</v>
      </c>
      <c r="N256" t="s">
        <v>44</v>
      </c>
      <c r="O256" t="s">
        <v>28</v>
      </c>
      <c r="P256" t="s">
        <v>45</v>
      </c>
      <c r="Q256" s="6">
        <v>2.5546315789473599</v>
      </c>
      <c r="R256">
        <v>2.3199999999999998</v>
      </c>
      <c r="S256">
        <v>9.33</v>
      </c>
      <c r="T256">
        <v>26.97</v>
      </c>
      <c r="U256">
        <v>30.21</v>
      </c>
      <c r="V256">
        <v>35.11</v>
      </c>
      <c r="W256">
        <v>1.3</v>
      </c>
    </row>
    <row r="257" spans="1:23" x14ac:dyDescent="0.3">
      <c r="A257">
        <v>255</v>
      </c>
      <c r="B257" t="s">
        <v>300</v>
      </c>
      <c r="C257" t="s">
        <v>38</v>
      </c>
      <c r="D257">
        <v>118</v>
      </c>
      <c r="E257">
        <v>3562</v>
      </c>
      <c r="F257" s="3">
        <v>232</v>
      </c>
      <c r="G257">
        <v>12</v>
      </c>
      <c r="H257">
        <v>3</v>
      </c>
      <c r="I257" s="5">
        <v>2.5423728813559299E-2</v>
      </c>
      <c r="J257" s="3">
        <v>379</v>
      </c>
      <c r="K257" s="1">
        <v>45615</v>
      </c>
      <c r="L257" t="s">
        <v>25</v>
      </c>
      <c r="M257" t="s">
        <v>26</v>
      </c>
      <c r="N257" t="s">
        <v>32</v>
      </c>
      <c r="O257" t="s">
        <v>28</v>
      </c>
      <c r="P257" t="s">
        <v>41</v>
      </c>
      <c r="Q257" s="6">
        <v>1.96186440677966</v>
      </c>
      <c r="R257">
        <v>3.31</v>
      </c>
      <c r="S257">
        <v>19.29</v>
      </c>
      <c r="T257">
        <v>77.17</v>
      </c>
      <c r="U257">
        <v>63.71</v>
      </c>
      <c r="V257">
        <v>126.33</v>
      </c>
      <c r="W257">
        <v>1.64</v>
      </c>
    </row>
    <row r="258" spans="1:23" x14ac:dyDescent="0.3">
      <c r="A258">
        <v>256</v>
      </c>
      <c r="B258" t="s">
        <v>301</v>
      </c>
      <c r="C258" t="s">
        <v>24</v>
      </c>
      <c r="D258">
        <v>166</v>
      </c>
      <c r="E258">
        <v>3910</v>
      </c>
      <c r="F258" s="3">
        <v>191</v>
      </c>
      <c r="G258">
        <v>27</v>
      </c>
      <c r="H258">
        <v>7</v>
      </c>
      <c r="I258" s="5">
        <v>4.2168674698795101E-2</v>
      </c>
      <c r="J258" s="3">
        <v>327</v>
      </c>
      <c r="K258" s="1">
        <v>45611</v>
      </c>
      <c r="L258" t="s">
        <v>25</v>
      </c>
      <c r="M258" t="s">
        <v>31</v>
      </c>
      <c r="N258" t="s">
        <v>49</v>
      </c>
      <c r="O258" t="s">
        <v>28</v>
      </c>
      <c r="P258" t="s">
        <v>45</v>
      </c>
      <c r="Q258" s="6">
        <v>1.1525301204819201</v>
      </c>
      <c r="R258">
        <v>4.25</v>
      </c>
      <c r="S258">
        <v>7.09</v>
      </c>
      <c r="T258">
        <v>27.33</v>
      </c>
      <c r="U258">
        <v>70.92</v>
      </c>
      <c r="V258">
        <v>46.71</v>
      </c>
      <c r="W258">
        <v>1.71</v>
      </c>
    </row>
    <row r="259" spans="1:23" x14ac:dyDescent="0.3">
      <c r="A259">
        <v>257</v>
      </c>
      <c r="B259" t="s">
        <v>302</v>
      </c>
      <c r="C259" t="s">
        <v>24</v>
      </c>
      <c r="D259">
        <v>146</v>
      </c>
      <c r="E259">
        <v>5411</v>
      </c>
      <c r="F259" s="3">
        <v>202</v>
      </c>
      <c r="G259">
        <v>28</v>
      </c>
      <c r="H259">
        <v>7</v>
      </c>
      <c r="I259" s="5">
        <v>4.7945205479451997E-2</v>
      </c>
      <c r="J259" s="3">
        <v>284</v>
      </c>
      <c r="K259" s="1">
        <v>45610</v>
      </c>
      <c r="L259" t="s">
        <v>25</v>
      </c>
      <c r="M259" t="s">
        <v>26</v>
      </c>
      <c r="N259" t="s">
        <v>36</v>
      </c>
      <c r="O259" t="s">
        <v>28</v>
      </c>
      <c r="P259" t="s">
        <v>54</v>
      </c>
      <c r="Q259" s="6">
        <v>1.3819178082191701</v>
      </c>
      <c r="R259">
        <v>2.7</v>
      </c>
      <c r="S259">
        <v>7.21</v>
      </c>
      <c r="T259">
        <v>28.82</v>
      </c>
      <c r="U259">
        <v>40.76</v>
      </c>
      <c r="V259">
        <v>40.57</v>
      </c>
      <c r="W259">
        <v>1.41</v>
      </c>
    </row>
    <row r="260" spans="1:23" x14ac:dyDescent="0.3">
      <c r="A260">
        <v>258</v>
      </c>
      <c r="B260" t="s">
        <v>303</v>
      </c>
      <c r="C260" t="s">
        <v>24</v>
      </c>
      <c r="D260">
        <v>101</v>
      </c>
      <c r="E260">
        <v>4026</v>
      </c>
      <c r="F260" s="3">
        <v>220</v>
      </c>
      <c r="G260">
        <v>22</v>
      </c>
      <c r="H260">
        <v>9</v>
      </c>
      <c r="I260" s="5">
        <v>8.9108910891089105E-2</v>
      </c>
      <c r="J260" s="3">
        <v>234</v>
      </c>
      <c r="K260" s="1">
        <v>45611</v>
      </c>
      <c r="L260" t="s">
        <v>25</v>
      </c>
      <c r="M260" t="s">
        <v>26</v>
      </c>
      <c r="N260" t="s">
        <v>49</v>
      </c>
      <c r="O260" t="s">
        <v>28</v>
      </c>
      <c r="P260" t="s">
        <v>45</v>
      </c>
      <c r="Q260" s="6">
        <v>2.1750495049504899</v>
      </c>
      <c r="R260">
        <v>2.5099999999999998</v>
      </c>
      <c r="S260">
        <v>9.99</v>
      </c>
      <c r="T260">
        <v>24.41</v>
      </c>
      <c r="U260">
        <v>6.52</v>
      </c>
      <c r="V260">
        <v>26</v>
      </c>
      <c r="W260">
        <v>1.07</v>
      </c>
    </row>
    <row r="261" spans="1:23" x14ac:dyDescent="0.3">
      <c r="A261">
        <v>259</v>
      </c>
      <c r="B261" t="s">
        <v>304</v>
      </c>
      <c r="C261" t="s">
        <v>35</v>
      </c>
      <c r="D261">
        <v>185</v>
      </c>
      <c r="E261">
        <v>3716</v>
      </c>
      <c r="F261" s="3">
        <v>218</v>
      </c>
      <c r="G261">
        <v>27</v>
      </c>
      <c r="H261">
        <v>7</v>
      </c>
      <c r="I261" s="5">
        <v>3.7837837837837798E-2</v>
      </c>
      <c r="J261" s="3">
        <v>207</v>
      </c>
      <c r="K261" s="1">
        <v>45599</v>
      </c>
      <c r="L261" t="s">
        <v>25</v>
      </c>
      <c r="M261" t="s">
        <v>26</v>
      </c>
      <c r="N261" t="s">
        <v>44</v>
      </c>
      <c r="O261" t="s">
        <v>28</v>
      </c>
      <c r="P261" t="s">
        <v>50</v>
      </c>
      <c r="Q261" s="6">
        <v>1.17962162162162</v>
      </c>
      <c r="R261">
        <v>4.9800000000000004</v>
      </c>
      <c r="S261">
        <v>8.08</v>
      </c>
      <c r="T261">
        <v>31.18</v>
      </c>
      <c r="U261">
        <v>-5.15</v>
      </c>
      <c r="V261">
        <v>29.57</v>
      </c>
      <c r="W261">
        <v>0.95</v>
      </c>
    </row>
    <row r="262" spans="1:23" x14ac:dyDescent="0.3">
      <c r="A262">
        <v>260</v>
      </c>
      <c r="B262" t="s">
        <v>305</v>
      </c>
      <c r="C262" t="s">
        <v>38</v>
      </c>
      <c r="D262">
        <v>147</v>
      </c>
      <c r="E262">
        <v>5162</v>
      </c>
      <c r="F262" s="3">
        <v>187</v>
      </c>
      <c r="G262">
        <v>30</v>
      </c>
      <c r="H262">
        <v>7</v>
      </c>
      <c r="I262" s="5">
        <v>4.7619047619047603E-2</v>
      </c>
      <c r="J262" s="3">
        <v>354</v>
      </c>
      <c r="K262" s="1">
        <v>45621</v>
      </c>
      <c r="L262" t="s">
        <v>25</v>
      </c>
      <c r="M262" t="s">
        <v>26</v>
      </c>
      <c r="N262" t="s">
        <v>49</v>
      </c>
      <c r="O262" t="s">
        <v>28</v>
      </c>
      <c r="P262" t="s">
        <v>59</v>
      </c>
      <c r="Q262" s="6">
        <v>1.2706802721088399</v>
      </c>
      <c r="R262">
        <v>2.85</v>
      </c>
      <c r="S262">
        <v>6.23</v>
      </c>
      <c r="T262">
        <v>26.68</v>
      </c>
      <c r="U262">
        <v>89.52</v>
      </c>
      <c r="V262">
        <v>50.57</v>
      </c>
      <c r="W262">
        <v>1.9</v>
      </c>
    </row>
    <row r="263" spans="1:23" x14ac:dyDescent="0.3">
      <c r="A263">
        <v>261</v>
      </c>
      <c r="B263" t="s">
        <v>306</v>
      </c>
      <c r="C263" t="s">
        <v>38</v>
      </c>
      <c r="D263">
        <v>188</v>
      </c>
      <c r="E263">
        <v>3859</v>
      </c>
      <c r="F263" s="3">
        <v>212</v>
      </c>
      <c r="G263">
        <v>30</v>
      </c>
      <c r="H263">
        <v>9</v>
      </c>
      <c r="I263" s="5">
        <v>4.7872340425531901E-2</v>
      </c>
      <c r="J263" s="3">
        <v>351</v>
      </c>
      <c r="K263" s="1">
        <v>45624</v>
      </c>
      <c r="L263" t="s">
        <v>25</v>
      </c>
      <c r="M263" t="s">
        <v>31</v>
      </c>
      <c r="N263" t="s">
        <v>44</v>
      </c>
      <c r="O263" t="s">
        <v>28</v>
      </c>
      <c r="P263" t="s">
        <v>54</v>
      </c>
      <c r="Q263" s="6">
        <v>1.1267553191489299</v>
      </c>
      <c r="R263">
        <v>4.87</v>
      </c>
      <c r="S263">
        <v>7.06</v>
      </c>
      <c r="T263">
        <v>23.54</v>
      </c>
      <c r="U263">
        <v>65.7</v>
      </c>
      <c r="V263">
        <v>39</v>
      </c>
      <c r="W263">
        <v>1.66</v>
      </c>
    </row>
    <row r="264" spans="1:23" x14ac:dyDescent="0.3">
      <c r="A264">
        <v>262</v>
      </c>
      <c r="B264" t="s">
        <v>307</v>
      </c>
      <c r="C264" t="s">
        <v>35</v>
      </c>
      <c r="D264">
        <v>122</v>
      </c>
      <c r="E264">
        <v>3350</v>
      </c>
      <c r="F264" s="3">
        <v>226</v>
      </c>
      <c r="G264">
        <v>28</v>
      </c>
      <c r="H264">
        <v>3</v>
      </c>
      <c r="I264" s="5">
        <v>2.4590163934426201E-2</v>
      </c>
      <c r="J264" s="3">
        <v>308</v>
      </c>
      <c r="K264" s="1">
        <v>45620</v>
      </c>
      <c r="L264" t="s">
        <v>25</v>
      </c>
      <c r="M264" t="s">
        <v>26</v>
      </c>
      <c r="N264" t="s">
        <v>36</v>
      </c>
      <c r="O264" t="s">
        <v>28</v>
      </c>
      <c r="P264" t="s">
        <v>50</v>
      </c>
      <c r="Q264" s="6">
        <v>1.85155737704918</v>
      </c>
      <c r="R264">
        <v>3.64</v>
      </c>
      <c r="S264">
        <v>8.07</v>
      </c>
      <c r="T264">
        <v>75.3</v>
      </c>
      <c r="U264">
        <v>36.35</v>
      </c>
      <c r="V264">
        <v>102.67</v>
      </c>
      <c r="W264">
        <v>1.36</v>
      </c>
    </row>
    <row r="265" spans="1:23" x14ac:dyDescent="0.3">
      <c r="A265">
        <v>263</v>
      </c>
      <c r="B265" t="s">
        <v>308</v>
      </c>
      <c r="C265" t="s">
        <v>43</v>
      </c>
      <c r="D265">
        <v>143</v>
      </c>
      <c r="E265">
        <v>5340</v>
      </c>
      <c r="F265" s="3">
        <v>221</v>
      </c>
      <c r="G265">
        <v>20</v>
      </c>
      <c r="H265">
        <v>9</v>
      </c>
      <c r="I265" s="5">
        <v>6.2937062937062901E-2</v>
      </c>
      <c r="J265" s="3">
        <v>250</v>
      </c>
      <c r="K265" s="1">
        <v>45601</v>
      </c>
      <c r="L265" t="s">
        <v>25</v>
      </c>
      <c r="M265" t="s">
        <v>39</v>
      </c>
      <c r="N265" t="s">
        <v>44</v>
      </c>
      <c r="O265" t="s">
        <v>28</v>
      </c>
      <c r="P265" t="s">
        <v>41</v>
      </c>
      <c r="Q265" s="6">
        <v>1.5454545454545401</v>
      </c>
      <c r="R265">
        <v>2.68</v>
      </c>
      <c r="S265">
        <v>11.05</v>
      </c>
      <c r="T265">
        <v>24.56</v>
      </c>
      <c r="U265">
        <v>13.12</v>
      </c>
      <c r="V265">
        <v>27.78</v>
      </c>
      <c r="W265">
        <v>1.1299999999999999</v>
      </c>
    </row>
    <row r="266" spans="1:23" x14ac:dyDescent="0.3">
      <c r="A266">
        <v>264</v>
      </c>
      <c r="B266" t="s">
        <v>309</v>
      </c>
      <c r="C266" t="s">
        <v>43</v>
      </c>
      <c r="D266">
        <v>170</v>
      </c>
      <c r="E266">
        <v>3124</v>
      </c>
      <c r="F266" s="3">
        <v>235</v>
      </c>
      <c r="G266">
        <v>17</v>
      </c>
      <c r="H266">
        <v>3</v>
      </c>
      <c r="I266" s="5">
        <v>1.7647058823529401E-2</v>
      </c>
      <c r="J266" s="3">
        <v>251</v>
      </c>
      <c r="K266" s="1">
        <v>45607</v>
      </c>
      <c r="L266" t="s">
        <v>25</v>
      </c>
      <c r="M266" t="s">
        <v>26</v>
      </c>
      <c r="N266" t="s">
        <v>40</v>
      </c>
      <c r="O266" t="s">
        <v>28</v>
      </c>
      <c r="P266" t="s">
        <v>59</v>
      </c>
      <c r="Q266" s="6">
        <v>1.3818823529411699</v>
      </c>
      <c r="R266">
        <v>5.44</v>
      </c>
      <c r="S266">
        <v>13.82</v>
      </c>
      <c r="T266">
        <v>78.31</v>
      </c>
      <c r="U266">
        <v>6.84</v>
      </c>
      <c r="V266">
        <v>83.67</v>
      </c>
      <c r="W266">
        <v>1.07</v>
      </c>
    </row>
    <row r="267" spans="1:23" x14ac:dyDescent="0.3">
      <c r="A267">
        <v>265</v>
      </c>
      <c r="B267" t="s">
        <v>310</v>
      </c>
      <c r="C267" t="s">
        <v>43</v>
      </c>
      <c r="D267">
        <v>114</v>
      </c>
      <c r="E267">
        <v>5017</v>
      </c>
      <c r="F267" s="3">
        <v>243</v>
      </c>
      <c r="G267">
        <v>11</v>
      </c>
      <c r="H267">
        <v>6</v>
      </c>
      <c r="I267" s="5">
        <v>5.2631578947368397E-2</v>
      </c>
      <c r="J267" s="3">
        <v>266</v>
      </c>
      <c r="K267" s="1">
        <v>45613</v>
      </c>
      <c r="L267" t="s">
        <v>25</v>
      </c>
      <c r="M267" t="s">
        <v>31</v>
      </c>
      <c r="N267" t="s">
        <v>36</v>
      </c>
      <c r="O267" t="s">
        <v>28</v>
      </c>
      <c r="P267" t="s">
        <v>50</v>
      </c>
      <c r="Q267" s="6">
        <v>2.1282456140350798</v>
      </c>
      <c r="R267">
        <v>2.27</v>
      </c>
      <c r="S267">
        <v>22.06</v>
      </c>
      <c r="T267">
        <v>40.44</v>
      </c>
      <c r="U267">
        <v>9.64</v>
      </c>
      <c r="V267">
        <v>44.33</v>
      </c>
      <c r="W267">
        <v>1.1000000000000001</v>
      </c>
    </row>
    <row r="268" spans="1:23" x14ac:dyDescent="0.3">
      <c r="A268">
        <v>266</v>
      </c>
      <c r="B268" t="s">
        <v>311</v>
      </c>
      <c r="C268" t="s">
        <v>43</v>
      </c>
      <c r="D268">
        <v>186</v>
      </c>
      <c r="E268">
        <v>3424</v>
      </c>
      <c r="F268" s="3">
        <v>202</v>
      </c>
      <c r="G268">
        <v>27</v>
      </c>
      <c r="H268">
        <v>3</v>
      </c>
      <c r="I268" s="5">
        <v>1.6129032258064498E-2</v>
      </c>
      <c r="J268" s="3">
        <v>273</v>
      </c>
      <c r="K268" s="1">
        <v>45622</v>
      </c>
      <c r="L268" t="s">
        <v>25</v>
      </c>
      <c r="M268" t="s">
        <v>26</v>
      </c>
      <c r="N268" t="s">
        <v>40</v>
      </c>
      <c r="O268" t="s">
        <v>28</v>
      </c>
      <c r="P268" t="s">
        <v>41</v>
      </c>
      <c r="Q268" s="6">
        <v>1.085</v>
      </c>
      <c r="R268">
        <v>5.43</v>
      </c>
      <c r="S268">
        <v>7.47</v>
      </c>
      <c r="T268">
        <v>67.27</v>
      </c>
      <c r="U268">
        <v>35.28</v>
      </c>
      <c r="V268">
        <v>91</v>
      </c>
      <c r="W268">
        <v>1.35</v>
      </c>
    </row>
    <row r="269" spans="1:23" x14ac:dyDescent="0.3">
      <c r="A269">
        <v>267</v>
      </c>
      <c r="B269" t="s">
        <v>312</v>
      </c>
      <c r="C269" t="s">
        <v>38</v>
      </c>
      <c r="D269">
        <v>120</v>
      </c>
      <c r="E269">
        <v>4060</v>
      </c>
      <c r="F269" s="3">
        <v>211</v>
      </c>
      <c r="G269">
        <v>24</v>
      </c>
      <c r="H269">
        <v>9</v>
      </c>
      <c r="I269" s="5">
        <v>7.4999999999999997E-2</v>
      </c>
      <c r="J269" s="3">
        <v>281</v>
      </c>
      <c r="K269" s="1">
        <v>45601</v>
      </c>
      <c r="L269" t="s">
        <v>25</v>
      </c>
      <c r="M269" t="s">
        <v>39</v>
      </c>
      <c r="N269" t="s">
        <v>36</v>
      </c>
      <c r="O269" t="s">
        <v>28</v>
      </c>
      <c r="P269" t="s">
        <v>41</v>
      </c>
      <c r="Q269" s="6">
        <v>1.7579166666666599</v>
      </c>
      <c r="R269">
        <v>2.96</v>
      </c>
      <c r="S269">
        <v>8.7899999999999991</v>
      </c>
      <c r="T269">
        <v>23.44</v>
      </c>
      <c r="U269">
        <v>33.21</v>
      </c>
      <c r="V269">
        <v>31.22</v>
      </c>
      <c r="W269">
        <v>1.33</v>
      </c>
    </row>
    <row r="270" spans="1:23" x14ac:dyDescent="0.3">
      <c r="A270">
        <v>268</v>
      </c>
      <c r="B270" t="s">
        <v>313</v>
      </c>
      <c r="C270" t="s">
        <v>38</v>
      </c>
      <c r="D270">
        <v>130</v>
      </c>
      <c r="E270">
        <v>5688</v>
      </c>
      <c r="F270" s="3">
        <v>212</v>
      </c>
      <c r="G270">
        <v>21</v>
      </c>
      <c r="H270">
        <v>5</v>
      </c>
      <c r="I270" s="5">
        <v>3.8461538461538401E-2</v>
      </c>
      <c r="J270" s="3">
        <v>297</v>
      </c>
      <c r="K270" s="1">
        <v>45613</v>
      </c>
      <c r="L270" t="s">
        <v>25</v>
      </c>
      <c r="M270" t="s">
        <v>26</v>
      </c>
      <c r="N270" t="s">
        <v>27</v>
      </c>
      <c r="O270" t="s">
        <v>28</v>
      </c>
      <c r="P270" t="s">
        <v>50</v>
      </c>
      <c r="Q270" s="6">
        <v>1.63115384615384</v>
      </c>
      <c r="R270">
        <v>2.29</v>
      </c>
      <c r="S270">
        <v>10.1</v>
      </c>
      <c r="T270">
        <v>42.41</v>
      </c>
      <c r="U270">
        <v>40.06</v>
      </c>
      <c r="V270">
        <v>59.4</v>
      </c>
      <c r="W270">
        <v>1.4</v>
      </c>
    </row>
    <row r="271" spans="1:23" x14ac:dyDescent="0.3">
      <c r="A271">
        <v>269</v>
      </c>
      <c r="B271" t="s">
        <v>314</v>
      </c>
      <c r="C271" t="s">
        <v>43</v>
      </c>
      <c r="D271">
        <v>178</v>
      </c>
      <c r="E271">
        <v>5029</v>
      </c>
      <c r="F271" s="3">
        <v>190</v>
      </c>
      <c r="G271">
        <v>25</v>
      </c>
      <c r="H271">
        <v>8</v>
      </c>
      <c r="I271" s="5">
        <v>4.49438202247191E-2</v>
      </c>
      <c r="J271" s="3">
        <v>308</v>
      </c>
      <c r="K271" s="1">
        <v>45605</v>
      </c>
      <c r="L271" t="s">
        <v>25</v>
      </c>
      <c r="M271" t="s">
        <v>26</v>
      </c>
      <c r="N271" t="s">
        <v>40</v>
      </c>
      <c r="O271" t="s">
        <v>28</v>
      </c>
      <c r="P271" t="s">
        <v>29</v>
      </c>
      <c r="Q271" s="6">
        <v>1.06623595505617</v>
      </c>
      <c r="R271">
        <v>3.54</v>
      </c>
      <c r="S271">
        <v>7.59</v>
      </c>
      <c r="T271">
        <v>23.72</v>
      </c>
      <c r="U271">
        <v>62.28</v>
      </c>
      <c r="V271">
        <v>38.5</v>
      </c>
      <c r="W271">
        <v>1.62</v>
      </c>
    </row>
    <row r="272" spans="1:23" x14ac:dyDescent="0.3">
      <c r="A272">
        <v>270</v>
      </c>
      <c r="B272" t="s">
        <v>315</v>
      </c>
      <c r="C272" t="s">
        <v>24</v>
      </c>
      <c r="D272">
        <v>196</v>
      </c>
      <c r="E272">
        <v>5476</v>
      </c>
      <c r="F272" s="3">
        <v>205</v>
      </c>
      <c r="G272">
        <v>19</v>
      </c>
      <c r="H272">
        <v>4</v>
      </c>
      <c r="I272" s="5">
        <v>2.04081632653061E-2</v>
      </c>
      <c r="J272" s="3">
        <v>263</v>
      </c>
      <c r="K272" s="1">
        <v>45622</v>
      </c>
      <c r="L272" t="s">
        <v>25</v>
      </c>
      <c r="M272" t="s">
        <v>26</v>
      </c>
      <c r="N272" t="s">
        <v>40</v>
      </c>
      <c r="O272" t="s">
        <v>28</v>
      </c>
      <c r="P272" t="s">
        <v>41</v>
      </c>
      <c r="Q272" s="6">
        <v>1.0440306122448899</v>
      </c>
      <c r="R272">
        <v>3.58</v>
      </c>
      <c r="S272">
        <v>10.77</v>
      </c>
      <c r="T272">
        <v>51.16</v>
      </c>
      <c r="U272">
        <v>28.52</v>
      </c>
      <c r="V272">
        <v>65.75</v>
      </c>
      <c r="W272">
        <v>1.29</v>
      </c>
    </row>
    <row r="273" spans="1:23" x14ac:dyDescent="0.3">
      <c r="A273">
        <v>271</v>
      </c>
      <c r="B273" t="s">
        <v>316</v>
      </c>
      <c r="C273" t="s">
        <v>38</v>
      </c>
      <c r="D273">
        <v>110</v>
      </c>
      <c r="E273">
        <v>5000</v>
      </c>
      <c r="F273" s="3">
        <v>198</v>
      </c>
      <c r="G273">
        <v>18</v>
      </c>
      <c r="H273">
        <v>3</v>
      </c>
      <c r="I273" s="5">
        <v>2.7272727272727199E-2</v>
      </c>
      <c r="J273" s="3">
        <v>227</v>
      </c>
      <c r="K273" s="1">
        <v>45608</v>
      </c>
      <c r="L273" t="s">
        <v>25</v>
      </c>
      <c r="M273" t="s">
        <v>26</v>
      </c>
      <c r="N273" t="s">
        <v>44</v>
      </c>
      <c r="O273" t="s">
        <v>28</v>
      </c>
      <c r="P273" t="s">
        <v>41</v>
      </c>
      <c r="Q273" s="6">
        <v>1.7989999999999999</v>
      </c>
      <c r="R273">
        <v>2.2000000000000002</v>
      </c>
      <c r="S273">
        <v>10.99</v>
      </c>
      <c r="T273">
        <v>65.959999999999994</v>
      </c>
      <c r="U273">
        <v>14.71</v>
      </c>
      <c r="V273">
        <v>75.67</v>
      </c>
      <c r="W273">
        <v>1.1499999999999999</v>
      </c>
    </row>
    <row r="274" spans="1:23" x14ac:dyDescent="0.3">
      <c r="A274">
        <v>272</v>
      </c>
      <c r="B274" t="s">
        <v>317</v>
      </c>
      <c r="C274" t="s">
        <v>38</v>
      </c>
      <c r="D274">
        <v>95</v>
      </c>
      <c r="E274">
        <v>4141</v>
      </c>
      <c r="F274" s="3">
        <v>207</v>
      </c>
      <c r="G274">
        <v>22</v>
      </c>
      <c r="H274">
        <v>3</v>
      </c>
      <c r="I274" s="5">
        <v>3.1578947368420998E-2</v>
      </c>
      <c r="J274" s="3">
        <v>394</v>
      </c>
      <c r="K274" s="1">
        <v>45607</v>
      </c>
      <c r="L274" t="s">
        <v>25</v>
      </c>
      <c r="M274" t="s">
        <v>39</v>
      </c>
      <c r="N274" t="s">
        <v>27</v>
      </c>
      <c r="O274" t="s">
        <v>28</v>
      </c>
      <c r="P274" t="s">
        <v>59</v>
      </c>
      <c r="Q274" s="6">
        <v>2.1804210526315702</v>
      </c>
      <c r="R274">
        <v>2.29</v>
      </c>
      <c r="S274">
        <v>9.42</v>
      </c>
      <c r="T274">
        <v>69.05</v>
      </c>
      <c r="U274">
        <v>90.21</v>
      </c>
      <c r="V274">
        <v>131.33000000000001</v>
      </c>
      <c r="W274">
        <v>1.9</v>
      </c>
    </row>
    <row r="275" spans="1:23" x14ac:dyDescent="0.3">
      <c r="A275">
        <v>273</v>
      </c>
      <c r="B275" t="s">
        <v>318</v>
      </c>
      <c r="C275" t="s">
        <v>35</v>
      </c>
      <c r="D275">
        <v>183</v>
      </c>
      <c r="E275">
        <v>4791</v>
      </c>
      <c r="F275" s="3">
        <v>233</v>
      </c>
      <c r="G275">
        <v>27</v>
      </c>
      <c r="H275">
        <v>5</v>
      </c>
      <c r="I275" s="5">
        <v>2.7322404371584699E-2</v>
      </c>
      <c r="J275" s="3">
        <v>301</v>
      </c>
      <c r="K275" s="1">
        <v>45617</v>
      </c>
      <c r="L275" t="s">
        <v>25</v>
      </c>
      <c r="M275" t="s">
        <v>26</v>
      </c>
      <c r="N275" t="s">
        <v>36</v>
      </c>
      <c r="O275" t="s">
        <v>28</v>
      </c>
      <c r="P275" t="s">
        <v>54</v>
      </c>
      <c r="Q275" s="6">
        <v>1.2730601092896101</v>
      </c>
      <c r="R275">
        <v>3.82</v>
      </c>
      <c r="S275">
        <v>8.6300000000000008</v>
      </c>
      <c r="T275">
        <v>46.59</v>
      </c>
      <c r="U275">
        <v>29.2</v>
      </c>
      <c r="V275">
        <v>60.2</v>
      </c>
      <c r="W275">
        <v>1.29</v>
      </c>
    </row>
    <row r="276" spans="1:23" x14ac:dyDescent="0.3">
      <c r="A276">
        <v>274</v>
      </c>
      <c r="B276" t="s">
        <v>319</v>
      </c>
      <c r="C276" t="s">
        <v>24</v>
      </c>
      <c r="D276">
        <v>100</v>
      </c>
      <c r="E276">
        <v>4168</v>
      </c>
      <c r="F276" s="3">
        <v>194</v>
      </c>
      <c r="G276">
        <v>30</v>
      </c>
      <c r="H276">
        <v>3</v>
      </c>
      <c r="I276" s="5">
        <v>0.03</v>
      </c>
      <c r="J276" s="3">
        <v>345</v>
      </c>
      <c r="K276" s="1">
        <v>45621</v>
      </c>
      <c r="L276" t="s">
        <v>25</v>
      </c>
      <c r="M276" t="s">
        <v>26</v>
      </c>
      <c r="N276" t="s">
        <v>44</v>
      </c>
      <c r="O276" t="s">
        <v>28</v>
      </c>
      <c r="P276" t="s">
        <v>59</v>
      </c>
      <c r="Q276" s="6">
        <v>1.9359999999999999</v>
      </c>
      <c r="R276">
        <v>2.4</v>
      </c>
      <c r="S276">
        <v>6.45</v>
      </c>
      <c r="T276">
        <v>64.53</v>
      </c>
      <c r="U276">
        <v>78.2</v>
      </c>
      <c r="V276">
        <v>115</v>
      </c>
      <c r="W276">
        <v>1.78</v>
      </c>
    </row>
    <row r="277" spans="1:23" x14ac:dyDescent="0.3">
      <c r="A277">
        <v>275</v>
      </c>
      <c r="B277" t="s">
        <v>320</v>
      </c>
      <c r="C277" t="s">
        <v>38</v>
      </c>
      <c r="D277">
        <v>187</v>
      </c>
      <c r="E277">
        <v>3741</v>
      </c>
      <c r="F277" s="3">
        <v>226</v>
      </c>
      <c r="G277">
        <v>27</v>
      </c>
      <c r="H277">
        <v>10</v>
      </c>
      <c r="I277" s="5">
        <v>5.3475935828876997E-2</v>
      </c>
      <c r="J277" s="3">
        <v>274</v>
      </c>
      <c r="K277" s="1">
        <v>45610</v>
      </c>
      <c r="L277" t="s">
        <v>25</v>
      </c>
      <c r="M277" t="s">
        <v>39</v>
      </c>
      <c r="N277" t="s">
        <v>27</v>
      </c>
      <c r="O277" t="s">
        <v>28</v>
      </c>
      <c r="P277" t="s">
        <v>54</v>
      </c>
      <c r="Q277" s="6">
        <v>1.2091443850267301</v>
      </c>
      <c r="R277">
        <v>5</v>
      </c>
      <c r="S277">
        <v>8.3699999999999992</v>
      </c>
      <c r="T277">
        <v>22.61</v>
      </c>
      <c r="U277">
        <v>21.18</v>
      </c>
      <c r="V277">
        <v>27.4</v>
      </c>
      <c r="W277">
        <v>1.21</v>
      </c>
    </row>
    <row r="278" spans="1:23" x14ac:dyDescent="0.3">
      <c r="A278">
        <v>276</v>
      </c>
      <c r="B278" t="s">
        <v>321</v>
      </c>
      <c r="C278" t="s">
        <v>38</v>
      </c>
      <c r="D278">
        <v>90</v>
      </c>
      <c r="E278">
        <v>3577</v>
      </c>
      <c r="F278" s="3">
        <v>234</v>
      </c>
      <c r="G278">
        <v>24</v>
      </c>
      <c r="H278">
        <v>5</v>
      </c>
      <c r="I278" s="5">
        <v>5.5555555555555497E-2</v>
      </c>
      <c r="J278" s="3">
        <v>240</v>
      </c>
      <c r="K278" s="1">
        <v>45610</v>
      </c>
      <c r="L278" t="s">
        <v>25</v>
      </c>
      <c r="M278" t="s">
        <v>39</v>
      </c>
      <c r="N278" t="s">
        <v>49</v>
      </c>
      <c r="O278" t="s">
        <v>28</v>
      </c>
      <c r="P278" t="s">
        <v>54</v>
      </c>
      <c r="Q278" s="6">
        <v>2.5948888888888799</v>
      </c>
      <c r="R278">
        <v>2.52</v>
      </c>
      <c r="S278">
        <v>9.73</v>
      </c>
      <c r="T278">
        <v>46.71</v>
      </c>
      <c r="U278">
        <v>2.77</v>
      </c>
      <c r="V278">
        <v>48</v>
      </c>
      <c r="W278">
        <v>1.03</v>
      </c>
    </row>
    <row r="279" spans="1:23" x14ac:dyDescent="0.3">
      <c r="A279">
        <v>277</v>
      </c>
      <c r="B279" t="s">
        <v>322</v>
      </c>
      <c r="C279" t="s">
        <v>43</v>
      </c>
      <c r="D279">
        <v>148</v>
      </c>
      <c r="E279">
        <v>4469</v>
      </c>
      <c r="F279" s="3">
        <v>210</v>
      </c>
      <c r="G279">
        <v>25</v>
      </c>
      <c r="H279">
        <v>8</v>
      </c>
      <c r="I279" s="5">
        <v>5.4054054054054002E-2</v>
      </c>
      <c r="J279" s="3">
        <v>373.71428571428498</v>
      </c>
      <c r="K279" s="1">
        <v>45621</v>
      </c>
      <c r="L279" t="s">
        <v>25</v>
      </c>
      <c r="M279" t="s">
        <v>39</v>
      </c>
      <c r="N279" t="s">
        <v>32</v>
      </c>
      <c r="O279" t="s">
        <v>28</v>
      </c>
      <c r="P279" t="s">
        <v>59</v>
      </c>
      <c r="Q279" s="6">
        <v>1.4172972972972899</v>
      </c>
      <c r="R279">
        <v>3.31</v>
      </c>
      <c r="S279">
        <v>8.39</v>
      </c>
      <c r="T279">
        <v>26.22</v>
      </c>
      <c r="U279">
        <v>78.16</v>
      </c>
      <c r="V279">
        <v>46.71</v>
      </c>
      <c r="W279">
        <v>1.78</v>
      </c>
    </row>
    <row r="280" spans="1:23" x14ac:dyDescent="0.3">
      <c r="A280">
        <v>278</v>
      </c>
      <c r="B280" t="s">
        <v>323</v>
      </c>
      <c r="C280" t="s">
        <v>38</v>
      </c>
      <c r="D280">
        <v>129</v>
      </c>
      <c r="E280">
        <v>3611</v>
      </c>
      <c r="F280" s="3">
        <v>228</v>
      </c>
      <c r="G280">
        <v>11</v>
      </c>
      <c r="H280">
        <v>7</v>
      </c>
      <c r="I280" s="5">
        <v>5.4263565891472798E-2</v>
      </c>
      <c r="J280" s="3">
        <v>255</v>
      </c>
      <c r="K280" s="1">
        <v>45618</v>
      </c>
      <c r="L280" t="s">
        <v>25</v>
      </c>
      <c r="M280" t="s">
        <v>39</v>
      </c>
      <c r="N280" t="s">
        <v>40</v>
      </c>
      <c r="O280" t="s">
        <v>28</v>
      </c>
      <c r="P280" t="s">
        <v>45</v>
      </c>
      <c r="Q280" s="6">
        <v>1.7660465116279001</v>
      </c>
      <c r="R280">
        <v>3.57</v>
      </c>
      <c r="S280">
        <v>20.71</v>
      </c>
      <c r="T280">
        <v>32.549999999999997</v>
      </c>
      <c r="U280">
        <v>11.93</v>
      </c>
      <c r="V280">
        <v>36.43</v>
      </c>
      <c r="W280">
        <v>1.1200000000000001</v>
      </c>
    </row>
    <row r="281" spans="1:23" x14ac:dyDescent="0.3">
      <c r="A281">
        <v>279</v>
      </c>
      <c r="B281" t="s">
        <v>324</v>
      </c>
      <c r="C281" t="s">
        <v>38</v>
      </c>
      <c r="D281">
        <v>120</v>
      </c>
      <c r="E281">
        <v>3947</v>
      </c>
      <c r="F281" s="3">
        <v>193</v>
      </c>
      <c r="G281">
        <v>15</v>
      </c>
      <c r="H281">
        <v>6</v>
      </c>
      <c r="I281" s="5">
        <v>0.05</v>
      </c>
      <c r="J281" s="3">
        <v>266</v>
      </c>
      <c r="K281" s="1">
        <v>45608</v>
      </c>
      <c r="L281" t="s">
        <v>25</v>
      </c>
      <c r="M281" t="s">
        <v>31</v>
      </c>
      <c r="N281" t="s">
        <v>40</v>
      </c>
      <c r="O281" t="s">
        <v>28</v>
      </c>
      <c r="P281" t="s">
        <v>41</v>
      </c>
      <c r="Q281" s="6">
        <v>1.6124166666666599</v>
      </c>
      <c r="R281">
        <v>3.04</v>
      </c>
      <c r="S281">
        <v>12.9</v>
      </c>
      <c r="T281">
        <v>32.25</v>
      </c>
      <c r="U281">
        <v>37.47</v>
      </c>
      <c r="V281">
        <v>44.33</v>
      </c>
      <c r="W281">
        <v>1.37</v>
      </c>
    </row>
    <row r="282" spans="1:23" x14ac:dyDescent="0.3">
      <c r="A282">
        <v>280</v>
      </c>
      <c r="B282" t="s">
        <v>325</v>
      </c>
      <c r="C282" t="s">
        <v>38</v>
      </c>
      <c r="D282">
        <v>82</v>
      </c>
      <c r="E282">
        <v>4239</v>
      </c>
      <c r="F282" s="3">
        <v>192</v>
      </c>
      <c r="G282">
        <v>23</v>
      </c>
      <c r="H282">
        <v>8</v>
      </c>
      <c r="I282" s="5">
        <v>9.7560975609756101E-2</v>
      </c>
      <c r="J282" s="3">
        <v>217</v>
      </c>
      <c r="K282" s="1">
        <v>45618</v>
      </c>
      <c r="L282" t="s">
        <v>25</v>
      </c>
      <c r="M282" t="s">
        <v>31</v>
      </c>
      <c r="N282" t="s">
        <v>27</v>
      </c>
      <c r="O282" t="s">
        <v>28</v>
      </c>
      <c r="P282" t="s">
        <v>45</v>
      </c>
      <c r="Q282" s="6">
        <v>2.3384146341463401</v>
      </c>
      <c r="R282">
        <v>1.93</v>
      </c>
      <c r="S282">
        <v>8.34</v>
      </c>
      <c r="T282">
        <v>23.97</v>
      </c>
      <c r="U282">
        <v>13.17</v>
      </c>
      <c r="V282">
        <v>27.12</v>
      </c>
      <c r="W282">
        <v>1.1299999999999999</v>
      </c>
    </row>
    <row r="283" spans="1:23" x14ac:dyDescent="0.3">
      <c r="A283">
        <v>281</v>
      </c>
      <c r="B283" t="s">
        <v>326</v>
      </c>
      <c r="C283" t="s">
        <v>43</v>
      </c>
      <c r="D283">
        <v>145</v>
      </c>
      <c r="E283">
        <v>5973</v>
      </c>
      <c r="F283" s="3">
        <v>242</v>
      </c>
      <c r="G283">
        <v>12</v>
      </c>
      <c r="H283">
        <v>7</v>
      </c>
      <c r="I283" s="5">
        <v>4.8275862068965503E-2</v>
      </c>
      <c r="J283" s="3">
        <v>308</v>
      </c>
      <c r="K283" s="1">
        <v>45610</v>
      </c>
      <c r="L283" t="s">
        <v>25</v>
      </c>
      <c r="M283" t="s">
        <v>39</v>
      </c>
      <c r="N283" t="s">
        <v>44</v>
      </c>
      <c r="O283" t="s">
        <v>28</v>
      </c>
      <c r="P283" t="s">
        <v>54</v>
      </c>
      <c r="Q283" s="6">
        <v>1.67006896551724</v>
      </c>
      <c r="R283">
        <v>2.4300000000000002</v>
      </c>
      <c r="S283">
        <v>20.18</v>
      </c>
      <c r="T283">
        <v>34.590000000000003</v>
      </c>
      <c r="U283">
        <v>27.19</v>
      </c>
      <c r="V283">
        <v>44</v>
      </c>
      <c r="W283">
        <v>1.27</v>
      </c>
    </row>
    <row r="284" spans="1:23" x14ac:dyDescent="0.3">
      <c r="A284">
        <v>282</v>
      </c>
      <c r="B284" t="s">
        <v>327</v>
      </c>
      <c r="C284" t="s">
        <v>43</v>
      </c>
      <c r="D284">
        <v>190</v>
      </c>
      <c r="E284">
        <v>4525</v>
      </c>
      <c r="F284" s="3">
        <v>189</v>
      </c>
      <c r="G284">
        <v>10</v>
      </c>
      <c r="H284">
        <v>5</v>
      </c>
      <c r="I284" s="5">
        <v>2.6315789473684199E-2</v>
      </c>
      <c r="J284" s="3">
        <v>383</v>
      </c>
      <c r="K284" s="1">
        <v>45597</v>
      </c>
      <c r="L284" t="s">
        <v>25</v>
      </c>
      <c r="M284" t="s">
        <v>39</v>
      </c>
      <c r="N284" t="s">
        <v>40</v>
      </c>
      <c r="O284" t="s">
        <v>28</v>
      </c>
      <c r="P284" t="s">
        <v>45</v>
      </c>
      <c r="Q284" s="6">
        <v>0.99394736842105202</v>
      </c>
      <c r="R284">
        <v>4.2</v>
      </c>
      <c r="S284">
        <v>18.88</v>
      </c>
      <c r="T284">
        <v>37.770000000000003</v>
      </c>
      <c r="U284">
        <v>102.81</v>
      </c>
      <c r="V284">
        <v>76.599999999999994</v>
      </c>
      <c r="W284">
        <v>2.0299999999999998</v>
      </c>
    </row>
    <row r="285" spans="1:23" x14ac:dyDescent="0.3">
      <c r="A285">
        <v>283</v>
      </c>
      <c r="B285" t="s">
        <v>328</v>
      </c>
      <c r="C285" t="s">
        <v>35</v>
      </c>
      <c r="D285">
        <v>137</v>
      </c>
      <c r="E285">
        <v>4395</v>
      </c>
      <c r="F285" s="3">
        <v>242</v>
      </c>
      <c r="G285">
        <v>24</v>
      </c>
      <c r="H285">
        <v>4</v>
      </c>
      <c r="I285" s="5">
        <v>2.9197080291970798E-2</v>
      </c>
      <c r="J285" s="3">
        <v>309</v>
      </c>
      <c r="K285" s="1">
        <v>45602</v>
      </c>
      <c r="L285" t="s">
        <v>25</v>
      </c>
      <c r="M285" t="s">
        <v>26</v>
      </c>
      <c r="N285" t="s">
        <v>44</v>
      </c>
      <c r="O285" t="s">
        <v>28</v>
      </c>
      <c r="P285" t="s">
        <v>33</v>
      </c>
      <c r="Q285" s="6">
        <v>1.76335766423357</v>
      </c>
      <c r="R285">
        <v>3.12</v>
      </c>
      <c r="S285">
        <v>10.07</v>
      </c>
      <c r="T285">
        <v>60.4</v>
      </c>
      <c r="U285">
        <v>27.91</v>
      </c>
      <c r="V285">
        <v>77.25</v>
      </c>
      <c r="W285">
        <v>1.28</v>
      </c>
    </row>
    <row r="286" spans="1:23" x14ac:dyDescent="0.3">
      <c r="A286">
        <v>284</v>
      </c>
      <c r="B286" t="s">
        <v>329</v>
      </c>
      <c r="C286" t="s">
        <v>43</v>
      </c>
      <c r="D286">
        <v>157</v>
      </c>
      <c r="E286">
        <v>3047</v>
      </c>
      <c r="F286" s="3">
        <v>223</v>
      </c>
      <c r="G286">
        <v>19</v>
      </c>
      <c r="H286">
        <v>3</v>
      </c>
      <c r="I286" s="5">
        <v>1.9108280254777E-2</v>
      </c>
      <c r="J286" s="3">
        <v>401</v>
      </c>
      <c r="K286" s="1">
        <v>45597</v>
      </c>
      <c r="L286" t="s">
        <v>25</v>
      </c>
      <c r="M286" t="s">
        <v>31</v>
      </c>
      <c r="N286" t="s">
        <v>36</v>
      </c>
      <c r="O286" t="s">
        <v>28</v>
      </c>
      <c r="P286" t="s">
        <v>45</v>
      </c>
      <c r="Q286" s="6">
        <v>1.41821656050955</v>
      </c>
      <c r="R286">
        <v>5.15</v>
      </c>
      <c r="S286">
        <v>11.72</v>
      </c>
      <c r="T286">
        <v>74.22</v>
      </c>
      <c r="U286">
        <v>80.099999999999994</v>
      </c>
      <c r="V286">
        <v>133.66999999999999</v>
      </c>
      <c r="W286">
        <v>1.8</v>
      </c>
    </row>
    <row r="287" spans="1:23" x14ac:dyDescent="0.3">
      <c r="A287">
        <v>285</v>
      </c>
      <c r="B287" t="s">
        <v>330</v>
      </c>
      <c r="C287" t="s">
        <v>24</v>
      </c>
      <c r="D287">
        <v>105</v>
      </c>
      <c r="E287">
        <v>5348</v>
      </c>
      <c r="F287" s="3">
        <v>226</v>
      </c>
      <c r="G287">
        <v>27</v>
      </c>
      <c r="H287">
        <v>5</v>
      </c>
      <c r="I287" s="5">
        <v>4.7619047619047603E-2</v>
      </c>
      <c r="J287" s="3">
        <v>205</v>
      </c>
      <c r="K287" s="1">
        <v>45608</v>
      </c>
      <c r="L287" t="s">
        <v>25</v>
      </c>
      <c r="M287" t="s">
        <v>39</v>
      </c>
      <c r="N287" t="s">
        <v>27</v>
      </c>
      <c r="O287" t="s">
        <v>28</v>
      </c>
      <c r="P287" t="s">
        <v>41</v>
      </c>
      <c r="Q287" s="6">
        <v>2.1533333333333302</v>
      </c>
      <c r="R287">
        <v>1.96</v>
      </c>
      <c r="S287">
        <v>8.3699999999999992</v>
      </c>
      <c r="T287">
        <v>45.22</v>
      </c>
      <c r="U287">
        <v>-9.33</v>
      </c>
      <c r="V287">
        <v>41</v>
      </c>
      <c r="W287">
        <v>0.91</v>
      </c>
    </row>
    <row r="288" spans="1:23" x14ac:dyDescent="0.3">
      <c r="A288">
        <v>286</v>
      </c>
      <c r="B288" t="s">
        <v>331</v>
      </c>
      <c r="C288" t="s">
        <v>43</v>
      </c>
      <c r="D288">
        <v>149</v>
      </c>
      <c r="E288">
        <v>3101</v>
      </c>
      <c r="F288" s="3">
        <v>231</v>
      </c>
      <c r="G288">
        <v>15</v>
      </c>
      <c r="H288">
        <v>9</v>
      </c>
      <c r="I288" s="5">
        <v>6.0402684563758302E-2</v>
      </c>
      <c r="J288" s="3">
        <v>230</v>
      </c>
      <c r="K288" s="1">
        <v>45602</v>
      </c>
      <c r="L288" t="s">
        <v>25</v>
      </c>
      <c r="M288" t="s">
        <v>39</v>
      </c>
      <c r="N288" t="s">
        <v>40</v>
      </c>
      <c r="O288" t="s">
        <v>28</v>
      </c>
      <c r="P288" t="s">
        <v>33</v>
      </c>
      <c r="Q288" s="6">
        <v>1.5532885906040199</v>
      </c>
      <c r="R288">
        <v>4.8</v>
      </c>
      <c r="S288">
        <v>15.43</v>
      </c>
      <c r="T288">
        <v>25.72</v>
      </c>
      <c r="U288">
        <v>-0.62</v>
      </c>
      <c r="V288">
        <v>25.56</v>
      </c>
      <c r="W288">
        <v>0.99</v>
      </c>
    </row>
    <row r="289" spans="1:23" x14ac:dyDescent="0.3">
      <c r="A289">
        <v>287</v>
      </c>
      <c r="B289" t="s">
        <v>332</v>
      </c>
      <c r="C289" t="s">
        <v>43</v>
      </c>
      <c r="D289">
        <v>159</v>
      </c>
      <c r="E289">
        <v>3693</v>
      </c>
      <c r="F289" s="3">
        <v>187</v>
      </c>
      <c r="G289">
        <v>24</v>
      </c>
      <c r="H289">
        <v>6</v>
      </c>
      <c r="I289" s="5">
        <v>3.7735849056603703E-2</v>
      </c>
      <c r="J289" s="3">
        <v>256</v>
      </c>
      <c r="K289" s="1">
        <v>45620</v>
      </c>
      <c r="L289" t="s">
        <v>25</v>
      </c>
      <c r="M289" t="s">
        <v>26</v>
      </c>
      <c r="N289" t="s">
        <v>27</v>
      </c>
      <c r="O289" t="s">
        <v>28</v>
      </c>
      <c r="P289" t="s">
        <v>50</v>
      </c>
      <c r="Q289" s="6">
        <v>1.1766666666666601</v>
      </c>
      <c r="R289">
        <v>4.3099999999999996</v>
      </c>
      <c r="S289">
        <v>7.8</v>
      </c>
      <c r="T289">
        <v>31.18</v>
      </c>
      <c r="U289">
        <v>36.83</v>
      </c>
      <c r="V289">
        <v>42.67</v>
      </c>
      <c r="W289">
        <v>1.37</v>
      </c>
    </row>
    <row r="290" spans="1:23" x14ac:dyDescent="0.3">
      <c r="A290">
        <v>288</v>
      </c>
      <c r="B290" t="s">
        <v>333</v>
      </c>
      <c r="C290" t="s">
        <v>43</v>
      </c>
      <c r="D290">
        <v>150</v>
      </c>
      <c r="E290">
        <v>5590</v>
      </c>
      <c r="F290" s="3">
        <v>229</v>
      </c>
      <c r="G290">
        <v>20</v>
      </c>
      <c r="H290">
        <v>8</v>
      </c>
      <c r="I290" s="5">
        <v>5.3333333333333302E-2</v>
      </c>
      <c r="J290" s="3">
        <v>262</v>
      </c>
      <c r="K290" s="1">
        <v>45598</v>
      </c>
      <c r="L290" t="s">
        <v>25</v>
      </c>
      <c r="M290" t="s">
        <v>31</v>
      </c>
      <c r="N290" t="s">
        <v>32</v>
      </c>
      <c r="O290" t="s">
        <v>28</v>
      </c>
      <c r="P290" t="s">
        <v>29</v>
      </c>
      <c r="Q290" s="6">
        <v>1.5243795620437901</v>
      </c>
      <c r="R290">
        <v>2.68</v>
      </c>
      <c r="S290">
        <v>11.43</v>
      </c>
      <c r="T290">
        <v>28.58</v>
      </c>
      <c r="U290">
        <v>14.58</v>
      </c>
      <c r="V290">
        <v>32.75</v>
      </c>
      <c r="W290">
        <v>1.1499999999999999</v>
      </c>
    </row>
    <row r="291" spans="1:23" x14ac:dyDescent="0.3">
      <c r="A291">
        <v>289</v>
      </c>
      <c r="B291" t="s">
        <v>334</v>
      </c>
      <c r="C291" t="s">
        <v>35</v>
      </c>
      <c r="D291">
        <v>160</v>
      </c>
      <c r="E291">
        <v>5277</v>
      </c>
      <c r="F291" s="3">
        <v>227</v>
      </c>
      <c r="G291">
        <v>10</v>
      </c>
      <c r="H291">
        <v>5</v>
      </c>
      <c r="I291" s="5">
        <v>3.125E-2</v>
      </c>
      <c r="J291" s="3">
        <v>314</v>
      </c>
      <c r="K291" s="1">
        <v>45611</v>
      </c>
      <c r="L291" t="s">
        <v>25</v>
      </c>
      <c r="M291" t="s">
        <v>39</v>
      </c>
      <c r="N291" t="s">
        <v>36</v>
      </c>
      <c r="O291" t="s">
        <v>28</v>
      </c>
      <c r="P291" t="s">
        <v>45</v>
      </c>
      <c r="Q291" s="6">
        <v>1.4216249999999999</v>
      </c>
      <c r="R291">
        <v>3.03</v>
      </c>
      <c r="S291">
        <v>22.75</v>
      </c>
      <c r="T291">
        <v>45.49</v>
      </c>
      <c r="U291">
        <v>38.049999999999997</v>
      </c>
      <c r="V291">
        <v>62.8</v>
      </c>
      <c r="W291">
        <v>1.38</v>
      </c>
    </row>
    <row r="292" spans="1:23" x14ac:dyDescent="0.3">
      <c r="A292">
        <v>290</v>
      </c>
      <c r="B292" t="s">
        <v>335</v>
      </c>
      <c r="C292" t="s">
        <v>35</v>
      </c>
      <c r="D292">
        <v>98</v>
      </c>
      <c r="E292">
        <v>4653</v>
      </c>
      <c r="F292" s="3">
        <v>206</v>
      </c>
      <c r="G292">
        <v>29</v>
      </c>
      <c r="H292">
        <v>5</v>
      </c>
      <c r="I292" s="5">
        <v>5.10204081632653E-2</v>
      </c>
      <c r="J292" s="3">
        <v>381</v>
      </c>
      <c r="K292" s="1">
        <v>45598</v>
      </c>
      <c r="L292" t="s">
        <v>25</v>
      </c>
      <c r="M292" t="s">
        <v>31</v>
      </c>
      <c r="N292" t="s">
        <v>36</v>
      </c>
      <c r="O292" t="s">
        <v>28</v>
      </c>
      <c r="P292" t="s">
        <v>29</v>
      </c>
      <c r="Q292" s="6">
        <v>2.1004081632653002</v>
      </c>
      <c r="R292">
        <v>2.11</v>
      </c>
      <c r="S292">
        <v>7.1</v>
      </c>
      <c r="T292">
        <v>41.17</v>
      </c>
      <c r="U292">
        <v>85.1</v>
      </c>
      <c r="V292">
        <v>76.2</v>
      </c>
      <c r="W292">
        <v>1.85</v>
      </c>
    </row>
    <row r="293" spans="1:23" x14ac:dyDescent="0.3">
      <c r="A293">
        <v>291</v>
      </c>
      <c r="B293" t="s">
        <v>336</v>
      </c>
      <c r="C293" t="s">
        <v>43</v>
      </c>
      <c r="D293">
        <v>86</v>
      </c>
      <c r="E293">
        <v>3513</v>
      </c>
      <c r="F293" s="3">
        <v>211</v>
      </c>
      <c r="G293">
        <v>22</v>
      </c>
      <c r="H293">
        <v>7</v>
      </c>
      <c r="I293" s="5">
        <v>8.1395348837209294E-2</v>
      </c>
      <c r="J293" s="3">
        <v>391</v>
      </c>
      <c r="K293" s="1">
        <v>45606</v>
      </c>
      <c r="L293" t="s">
        <v>25</v>
      </c>
      <c r="M293" t="s">
        <v>26</v>
      </c>
      <c r="N293" t="s">
        <v>32</v>
      </c>
      <c r="O293" t="s">
        <v>28</v>
      </c>
      <c r="P293" t="s">
        <v>50</v>
      </c>
      <c r="Q293" s="6">
        <v>2.4553488372093</v>
      </c>
      <c r="R293">
        <v>2.4500000000000002</v>
      </c>
      <c r="S293">
        <v>9.6</v>
      </c>
      <c r="T293">
        <v>30.17</v>
      </c>
      <c r="U293">
        <v>85.17</v>
      </c>
      <c r="V293">
        <v>55.86</v>
      </c>
      <c r="W293">
        <v>1.85</v>
      </c>
    </row>
    <row r="294" spans="1:23" x14ac:dyDescent="0.3">
      <c r="A294">
        <v>292</v>
      </c>
      <c r="B294" t="s">
        <v>337</v>
      </c>
      <c r="C294" t="s">
        <v>43</v>
      </c>
      <c r="D294">
        <v>128</v>
      </c>
      <c r="E294">
        <v>5772</v>
      </c>
      <c r="F294" s="3">
        <v>236</v>
      </c>
      <c r="G294">
        <v>20</v>
      </c>
      <c r="H294">
        <v>10</v>
      </c>
      <c r="I294" s="5">
        <v>7.8125E-2</v>
      </c>
      <c r="J294" s="3">
        <v>248</v>
      </c>
      <c r="K294" s="1">
        <v>45600</v>
      </c>
      <c r="L294" t="s">
        <v>25</v>
      </c>
      <c r="M294" t="s">
        <v>26</v>
      </c>
      <c r="N294" t="s">
        <v>40</v>
      </c>
      <c r="O294" t="s">
        <v>28</v>
      </c>
      <c r="P294" t="s">
        <v>59</v>
      </c>
      <c r="Q294" s="6">
        <v>1.8401562499999999</v>
      </c>
      <c r="R294">
        <v>2.2200000000000002</v>
      </c>
      <c r="S294">
        <v>11.78</v>
      </c>
      <c r="T294">
        <v>23.55</v>
      </c>
      <c r="U294">
        <v>5.29</v>
      </c>
      <c r="V294">
        <v>24.8</v>
      </c>
      <c r="W294">
        <v>1.05</v>
      </c>
    </row>
    <row r="295" spans="1:23" x14ac:dyDescent="0.3">
      <c r="A295">
        <v>293</v>
      </c>
      <c r="B295" t="s">
        <v>338</v>
      </c>
      <c r="C295" t="s">
        <v>35</v>
      </c>
      <c r="D295">
        <v>105</v>
      </c>
      <c r="E295">
        <v>5840</v>
      </c>
      <c r="F295" s="3">
        <v>237</v>
      </c>
      <c r="G295">
        <v>22</v>
      </c>
      <c r="H295">
        <v>8</v>
      </c>
      <c r="I295" s="5">
        <v>7.6190476190476197E-2</v>
      </c>
      <c r="J295" s="3">
        <v>370</v>
      </c>
      <c r="K295" s="1">
        <v>45620</v>
      </c>
      <c r="L295" t="s">
        <v>25</v>
      </c>
      <c r="M295" t="s">
        <v>39</v>
      </c>
      <c r="N295" t="s">
        <v>32</v>
      </c>
      <c r="O295" t="s">
        <v>28</v>
      </c>
      <c r="P295" t="s">
        <v>50</v>
      </c>
      <c r="Q295" s="6">
        <v>2.2529523809523799</v>
      </c>
      <c r="R295">
        <v>1.8</v>
      </c>
      <c r="S295">
        <v>10.75</v>
      </c>
      <c r="T295">
        <v>29.57</v>
      </c>
      <c r="U295">
        <v>56.41</v>
      </c>
      <c r="V295">
        <v>46.25</v>
      </c>
      <c r="W295">
        <v>1.56</v>
      </c>
    </row>
    <row r="296" spans="1:23" x14ac:dyDescent="0.3">
      <c r="A296">
        <v>294</v>
      </c>
      <c r="B296" t="s">
        <v>339</v>
      </c>
      <c r="C296" t="s">
        <v>35</v>
      </c>
      <c r="D296">
        <v>90</v>
      </c>
      <c r="E296">
        <v>2968</v>
      </c>
      <c r="F296" s="3">
        <v>249</v>
      </c>
      <c r="G296">
        <v>21</v>
      </c>
      <c r="H296">
        <v>10</v>
      </c>
      <c r="I296" s="5">
        <v>0.11111111111111099</v>
      </c>
      <c r="J296" s="3">
        <v>254</v>
      </c>
      <c r="K296" s="1">
        <v>45615</v>
      </c>
      <c r="L296" t="s">
        <v>25</v>
      </c>
      <c r="M296" t="s">
        <v>31</v>
      </c>
      <c r="N296" t="s">
        <v>32</v>
      </c>
      <c r="O296" t="s">
        <v>28</v>
      </c>
      <c r="P296" t="s">
        <v>41</v>
      </c>
      <c r="Q296" s="6">
        <v>2.7666666666666599</v>
      </c>
      <c r="R296">
        <v>3.03</v>
      </c>
      <c r="S296">
        <v>11.86</v>
      </c>
      <c r="T296">
        <v>24.9</v>
      </c>
      <c r="U296">
        <v>2.0099999999999998</v>
      </c>
      <c r="V296">
        <v>25.4</v>
      </c>
      <c r="W296">
        <v>1.02</v>
      </c>
    </row>
    <row r="297" spans="1:23" x14ac:dyDescent="0.3">
      <c r="A297">
        <v>295</v>
      </c>
      <c r="B297" t="s">
        <v>340</v>
      </c>
      <c r="C297" t="s">
        <v>43</v>
      </c>
      <c r="D297">
        <v>89</v>
      </c>
      <c r="E297">
        <v>5158</v>
      </c>
      <c r="F297" s="3">
        <v>212</v>
      </c>
      <c r="G297">
        <v>20</v>
      </c>
      <c r="H297">
        <v>5</v>
      </c>
      <c r="I297" s="5">
        <v>5.6179775280898799E-2</v>
      </c>
      <c r="J297" s="3">
        <v>228</v>
      </c>
      <c r="K297" s="1">
        <v>45617</v>
      </c>
      <c r="L297" t="s">
        <v>25</v>
      </c>
      <c r="M297" t="s">
        <v>26</v>
      </c>
      <c r="N297" t="s">
        <v>44</v>
      </c>
      <c r="O297" t="s">
        <v>28</v>
      </c>
      <c r="P297" t="s">
        <v>54</v>
      </c>
      <c r="Q297" s="6">
        <v>2.3793258426966202</v>
      </c>
      <c r="R297">
        <v>1.73</v>
      </c>
      <c r="S297">
        <v>10.59</v>
      </c>
      <c r="T297">
        <v>42.35</v>
      </c>
      <c r="U297">
        <v>7.67</v>
      </c>
      <c r="V297">
        <v>45.6</v>
      </c>
      <c r="W297">
        <v>1.08</v>
      </c>
    </row>
    <row r="298" spans="1:23" x14ac:dyDescent="0.3">
      <c r="A298">
        <v>296</v>
      </c>
      <c r="B298" t="s">
        <v>341</v>
      </c>
      <c r="C298" t="s">
        <v>35</v>
      </c>
      <c r="D298">
        <v>119</v>
      </c>
      <c r="E298">
        <v>3489</v>
      </c>
      <c r="F298" s="3">
        <v>194</v>
      </c>
      <c r="G298">
        <v>14</v>
      </c>
      <c r="H298">
        <v>3</v>
      </c>
      <c r="I298" s="5">
        <v>2.5210084033613401E-2</v>
      </c>
      <c r="J298" s="3">
        <v>333</v>
      </c>
      <c r="K298" s="1">
        <v>45606</v>
      </c>
      <c r="L298" t="s">
        <v>25</v>
      </c>
      <c r="M298" t="s">
        <v>31</v>
      </c>
      <c r="N298" t="s">
        <v>32</v>
      </c>
      <c r="O298" t="s">
        <v>28</v>
      </c>
      <c r="P298" t="s">
        <v>50</v>
      </c>
      <c r="Q298" s="6">
        <v>1.6332773109243699</v>
      </c>
      <c r="R298">
        <v>3.41</v>
      </c>
      <c r="S298">
        <v>13.88</v>
      </c>
      <c r="T298">
        <v>64.790000000000006</v>
      </c>
      <c r="U298">
        <v>71.33</v>
      </c>
      <c r="V298">
        <v>111</v>
      </c>
      <c r="W298">
        <v>1.71</v>
      </c>
    </row>
    <row r="299" spans="1:23" x14ac:dyDescent="0.3">
      <c r="A299">
        <v>297</v>
      </c>
      <c r="B299" t="s">
        <v>342</v>
      </c>
      <c r="C299" t="s">
        <v>24</v>
      </c>
      <c r="D299">
        <v>173</v>
      </c>
      <c r="E299">
        <v>3977</v>
      </c>
      <c r="F299" s="3">
        <v>230</v>
      </c>
      <c r="G299">
        <v>30</v>
      </c>
      <c r="H299">
        <v>5</v>
      </c>
      <c r="I299" s="5">
        <v>2.8901734104046201E-2</v>
      </c>
      <c r="J299" s="3">
        <v>323</v>
      </c>
      <c r="K299" s="1">
        <v>45618</v>
      </c>
      <c r="L299" t="s">
        <v>25</v>
      </c>
      <c r="M299" t="s">
        <v>26</v>
      </c>
      <c r="N299" t="s">
        <v>27</v>
      </c>
      <c r="O299" t="s">
        <v>28</v>
      </c>
      <c r="P299" t="s">
        <v>45</v>
      </c>
      <c r="Q299" s="6">
        <v>1.3284393063583799</v>
      </c>
      <c r="R299">
        <v>4.3499999999999996</v>
      </c>
      <c r="S299">
        <v>7.66</v>
      </c>
      <c r="T299">
        <v>45.96</v>
      </c>
      <c r="U299">
        <v>40.54</v>
      </c>
      <c r="V299">
        <v>64.599999999999994</v>
      </c>
      <c r="W299">
        <v>1.41</v>
      </c>
    </row>
    <row r="300" spans="1:23" x14ac:dyDescent="0.3">
      <c r="A300">
        <v>298</v>
      </c>
      <c r="B300" t="s">
        <v>343</v>
      </c>
      <c r="C300" t="s">
        <v>43</v>
      </c>
      <c r="D300">
        <v>95</v>
      </c>
      <c r="E300">
        <v>3397</v>
      </c>
      <c r="F300" s="3">
        <v>182</v>
      </c>
      <c r="G300">
        <v>14</v>
      </c>
      <c r="H300">
        <v>7</v>
      </c>
      <c r="I300" s="5">
        <v>7.3684210526315699E-2</v>
      </c>
      <c r="J300" s="3">
        <v>318</v>
      </c>
      <c r="K300" s="1">
        <v>45623</v>
      </c>
      <c r="L300" t="s">
        <v>25</v>
      </c>
      <c r="M300" t="s">
        <v>39</v>
      </c>
      <c r="N300" t="s">
        <v>32</v>
      </c>
      <c r="O300" t="s">
        <v>28</v>
      </c>
      <c r="P300" t="s">
        <v>33</v>
      </c>
      <c r="Q300" s="6">
        <v>1.91463157894736</v>
      </c>
      <c r="R300">
        <v>2.8</v>
      </c>
      <c r="S300">
        <v>12.99</v>
      </c>
      <c r="T300">
        <v>25.98</v>
      </c>
      <c r="U300">
        <v>74.83</v>
      </c>
      <c r="V300">
        <v>45.43</v>
      </c>
      <c r="W300">
        <v>1.75</v>
      </c>
    </row>
    <row r="301" spans="1:23" x14ac:dyDescent="0.3">
      <c r="A301">
        <v>299</v>
      </c>
      <c r="B301" t="s">
        <v>344</v>
      </c>
      <c r="C301" t="s">
        <v>43</v>
      </c>
      <c r="D301">
        <v>112</v>
      </c>
      <c r="E301">
        <v>5194</v>
      </c>
      <c r="F301" s="3">
        <v>246</v>
      </c>
      <c r="G301">
        <v>10</v>
      </c>
      <c r="H301">
        <v>5</v>
      </c>
      <c r="I301" s="5">
        <v>4.4642857142857102E-2</v>
      </c>
      <c r="J301" s="3">
        <v>207</v>
      </c>
      <c r="K301" s="1">
        <v>45617</v>
      </c>
      <c r="L301" t="s">
        <v>25</v>
      </c>
      <c r="M301" t="s">
        <v>39</v>
      </c>
      <c r="N301" t="s">
        <v>40</v>
      </c>
      <c r="O301" t="s">
        <v>28</v>
      </c>
      <c r="P301" t="s">
        <v>54</v>
      </c>
      <c r="Q301" s="6">
        <v>2.19616071428571</v>
      </c>
      <c r="R301">
        <v>2.16</v>
      </c>
      <c r="S301">
        <v>24.6</v>
      </c>
      <c r="T301">
        <v>49.19</v>
      </c>
      <c r="U301">
        <v>-15.84</v>
      </c>
      <c r="V301">
        <v>41.4</v>
      </c>
      <c r="W301">
        <v>0.84</v>
      </c>
    </row>
    <row r="302" spans="1:23" x14ac:dyDescent="0.3">
      <c r="A302">
        <v>300</v>
      </c>
      <c r="B302" t="s">
        <v>345</v>
      </c>
      <c r="C302" t="s">
        <v>38</v>
      </c>
      <c r="D302">
        <v>134</v>
      </c>
      <c r="E302">
        <v>3007</v>
      </c>
      <c r="F302" s="3">
        <v>218</v>
      </c>
      <c r="G302">
        <v>10</v>
      </c>
      <c r="H302">
        <v>5</v>
      </c>
      <c r="I302" s="5">
        <v>3.7313432835820802E-2</v>
      </c>
      <c r="J302" s="3">
        <v>280</v>
      </c>
      <c r="K302" s="1">
        <v>45626</v>
      </c>
      <c r="L302" t="s">
        <v>25</v>
      </c>
      <c r="M302" t="s">
        <v>31</v>
      </c>
      <c r="N302" t="s">
        <v>40</v>
      </c>
      <c r="O302" t="s">
        <v>28</v>
      </c>
      <c r="P302" t="s">
        <v>29</v>
      </c>
      <c r="Q302" s="6">
        <v>1.6233582089552201</v>
      </c>
      <c r="R302">
        <v>4.46</v>
      </c>
      <c r="S302">
        <v>21.75</v>
      </c>
      <c r="T302">
        <v>43.51</v>
      </c>
      <c r="U302">
        <v>28.72</v>
      </c>
      <c r="V302">
        <v>56</v>
      </c>
      <c r="W302">
        <v>1.29</v>
      </c>
    </row>
    <row r="303" spans="1:23" x14ac:dyDescent="0.3">
      <c r="A303">
        <v>301</v>
      </c>
      <c r="B303" t="s">
        <v>346</v>
      </c>
      <c r="C303" t="s">
        <v>38</v>
      </c>
      <c r="D303">
        <v>113</v>
      </c>
      <c r="E303">
        <v>5721</v>
      </c>
      <c r="F303" s="3">
        <v>217</v>
      </c>
      <c r="G303">
        <v>11</v>
      </c>
      <c r="H303">
        <v>6</v>
      </c>
      <c r="I303" s="5">
        <v>5.30973451327433E-2</v>
      </c>
      <c r="J303" s="3">
        <v>356</v>
      </c>
      <c r="K303" s="1">
        <v>45613</v>
      </c>
      <c r="L303" t="s">
        <v>25</v>
      </c>
      <c r="M303" t="s">
        <v>26</v>
      </c>
      <c r="N303" t="s">
        <v>40</v>
      </c>
      <c r="O303" t="s">
        <v>28</v>
      </c>
      <c r="P303" t="s">
        <v>50</v>
      </c>
      <c r="Q303" s="6">
        <v>1.91769911504424</v>
      </c>
      <c r="R303">
        <v>1.98</v>
      </c>
      <c r="S303">
        <v>19.7</v>
      </c>
      <c r="T303">
        <v>36.119999999999997</v>
      </c>
      <c r="U303">
        <v>64.28</v>
      </c>
      <c r="V303">
        <v>59.33</v>
      </c>
      <c r="W303">
        <v>1.64</v>
      </c>
    </row>
    <row r="304" spans="1:23" x14ac:dyDescent="0.3">
      <c r="A304">
        <v>302</v>
      </c>
      <c r="B304" t="s">
        <v>347</v>
      </c>
      <c r="C304" t="s">
        <v>24</v>
      </c>
      <c r="D304">
        <v>157</v>
      </c>
      <c r="E304">
        <v>3546</v>
      </c>
      <c r="F304" s="3">
        <v>189</v>
      </c>
      <c r="G304">
        <v>16</v>
      </c>
      <c r="H304">
        <v>5</v>
      </c>
      <c r="I304" s="5">
        <v>3.18471337579617E-2</v>
      </c>
      <c r="J304" s="3">
        <v>272</v>
      </c>
      <c r="K304" s="1">
        <v>45624</v>
      </c>
      <c r="L304" t="s">
        <v>25</v>
      </c>
      <c r="M304" t="s">
        <v>31</v>
      </c>
      <c r="N304" t="s">
        <v>36</v>
      </c>
      <c r="O304" t="s">
        <v>28</v>
      </c>
      <c r="P304" t="s">
        <v>54</v>
      </c>
      <c r="Q304" s="6">
        <v>1.2045222929936299</v>
      </c>
      <c r="R304">
        <v>4.43</v>
      </c>
      <c r="S304">
        <v>11.82</v>
      </c>
      <c r="T304">
        <v>37.82</v>
      </c>
      <c r="U304">
        <v>43.83</v>
      </c>
      <c r="V304">
        <v>54.4</v>
      </c>
      <c r="W304">
        <v>1.44</v>
      </c>
    </row>
    <row r="305" spans="1:23" x14ac:dyDescent="0.3">
      <c r="A305">
        <v>303</v>
      </c>
      <c r="B305" t="s">
        <v>348</v>
      </c>
      <c r="C305" t="s">
        <v>24</v>
      </c>
      <c r="D305">
        <v>105</v>
      </c>
      <c r="E305">
        <v>3670</v>
      </c>
      <c r="F305" s="3">
        <v>246</v>
      </c>
      <c r="G305">
        <v>24</v>
      </c>
      <c r="H305">
        <v>9</v>
      </c>
      <c r="I305" s="5">
        <v>8.5714285714285701E-2</v>
      </c>
      <c r="J305" s="3">
        <v>337</v>
      </c>
      <c r="K305" s="1">
        <v>45620</v>
      </c>
      <c r="L305" t="s">
        <v>25</v>
      </c>
      <c r="M305" t="s">
        <v>39</v>
      </c>
      <c r="N305" t="s">
        <v>32</v>
      </c>
      <c r="O305" t="s">
        <v>28</v>
      </c>
      <c r="P305" t="s">
        <v>50</v>
      </c>
      <c r="Q305" s="6">
        <v>2.3414285714285699</v>
      </c>
      <c r="R305">
        <v>2.86</v>
      </c>
      <c r="S305">
        <v>10.24</v>
      </c>
      <c r="T305">
        <v>27.32</v>
      </c>
      <c r="U305">
        <v>37.08</v>
      </c>
      <c r="V305">
        <v>37.44</v>
      </c>
      <c r="W305">
        <v>1.37</v>
      </c>
    </row>
    <row r="306" spans="1:23" x14ac:dyDescent="0.3">
      <c r="A306">
        <v>304</v>
      </c>
      <c r="B306" t="s">
        <v>349</v>
      </c>
      <c r="C306" t="s">
        <v>35</v>
      </c>
      <c r="D306">
        <v>162</v>
      </c>
      <c r="E306">
        <v>5915</v>
      </c>
      <c r="F306" s="3">
        <v>212</v>
      </c>
      <c r="G306">
        <v>11</v>
      </c>
      <c r="H306">
        <v>8</v>
      </c>
      <c r="I306" s="5">
        <v>4.9382716049382699E-2</v>
      </c>
      <c r="J306" s="3">
        <v>284</v>
      </c>
      <c r="K306" s="1">
        <v>45616</v>
      </c>
      <c r="L306" t="s">
        <v>25</v>
      </c>
      <c r="M306" t="s">
        <v>39</v>
      </c>
      <c r="N306" t="s">
        <v>49</v>
      </c>
      <c r="O306" t="s">
        <v>28</v>
      </c>
      <c r="P306" t="s">
        <v>33</v>
      </c>
      <c r="Q306" s="6">
        <v>1.3083950617283899</v>
      </c>
      <c r="R306">
        <v>2.74</v>
      </c>
      <c r="S306">
        <v>19.27</v>
      </c>
      <c r="T306">
        <v>26.5</v>
      </c>
      <c r="U306">
        <v>33.99</v>
      </c>
      <c r="V306">
        <v>35.5</v>
      </c>
      <c r="W306">
        <v>1.34</v>
      </c>
    </row>
    <row r="307" spans="1:23" x14ac:dyDescent="0.3">
      <c r="A307">
        <v>305</v>
      </c>
      <c r="B307" t="s">
        <v>350</v>
      </c>
      <c r="C307" t="s">
        <v>38</v>
      </c>
      <c r="D307">
        <v>135</v>
      </c>
      <c r="E307">
        <v>4450</v>
      </c>
      <c r="F307" s="3">
        <v>219</v>
      </c>
      <c r="G307">
        <v>16</v>
      </c>
      <c r="H307">
        <v>10</v>
      </c>
      <c r="I307" s="5">
        <v>7.4074074074074001E-2</v>
      </c>
      <c r="J307" s="3">
        <v>391</v>
      </c>
      <c r="K307" s="1">
        <v>45606</v>
      </c>
      <c r="L307" t="s">
        <v>25</v>
      </c>
      <c r="M307" t="s">
        <v>31</v>
      </c>
      <c r="N307" t="s">
        <v>27</v>
      </c>
      <c r="O307" t="s">
        <v>28</v>
      </c>
      <c r="P307" t="s">
        <v>50</v>
      </c>
      <c r="Q307" s="6">
        <v>1.62377777777777</v>
      </c>
      <c r="R307">
        <v>3.03</v>
      </c>
      <c r="S307">
        <v>13.7</v>
      </c>
      <c r="T307">
        <v>21.92</v>
      </c>
      <c r="U307">
        <v>78.37</v>
      </c>
      <c r="V307">
        <v>39.1</v>
      </c>
      <c r="W307">
        <v>1.78</v>
      </c>
    </row>
    <row r="308" spans="1:23" x14ac:dyDescent="0.3">
      <c r="A308">
        <v>306</v>
      </c>
      <c r="B308" t="s">
        <v>351</v>
      </c>
      <c r="C308" t="s">
        <v>24</v>
      </c>
      <c r="D308">
        <v>136</v>
      </c>
      <c r="E308">
        <v>5782</v>
      </c>
      <c r="F308" s="3">
        <v>190</v>
      </c>
      <c r="G308">
        <v>23</v>
      </c>
      <c r="H308">
        <v>6</v>
      </c>
      <c r="I308" s="5">
        <v>4.4117647058823498E-2</v>
      </c>
      <c r="J308" s="3">
        <v>398</v>
      </c>
      <c r="K308" s="1">
        <v>45607</v>
      </c>
      <c r="L308" t="s">
        <v>25</v>
      </c>
      <c r="M308" t="s">
        <v>39</v>
      </c>
      <c r="N308" t="s">
        <v>40</v>
      </c>
      <c r="O308" t="s">
        <v>28</v>
      </c>
      <c r="P308" t="s">
        <v>59</v>
      </c>
      <c r="Q308" s="6">
        <v>1.39448529411764</v>
      </c>
      <c r="R308">
        <v>2.35</v>
      </c>
      <c r="S308">
        <v>8.25</v>
      </c>
      <c r="T308">
        <v>31.61</v>
      </c>
      <c r="U308">
        <v>109.86</v>
      </c>
      <c r="V308">
        <v>66.33</v>
      </c>
      <c r="W308">
        <v>2.1</v>
      </c>
    </row>
    <row r="309" spans="1:23" x14ac:dyDescent="0.3">
      <c r="A309">
        <v>307</v>
      </c>
      <c r="B309" t="s">
        <v>352</v>
      </c>
      <c r="C309" t="s">
        <v>24</v>
      </c>
      <c r="D309">
        <v>192</v>
      </c>
      <c r="E309">
        <v>4339</v>
      </c>
      <c r="F309" s="3">
        <v>246</v>
      </c>
      <c r="G309">
        <v>24</v>
      </c>
      <c r="H309">
        <v>8</v>
      </c>
      <c r="I309" s="5">
        <v>4.1666666666666602E-2</v>
      </c>
      <c r="J309" s="3">
        <v>262</v>
      </c>
      <c r="K309" s="1">
        <v>45614</v>
      </c>
      <c r="L309" t="s">
        <v>25</v>
      </c>
      <c r="M309" t="s">
        <v>31</v>
      </c>
      <c r="N309" t="s">
        <v>27</v>
      </c>
      <c r="O309" t="s">
        <v>28</v>
      </c>
      <c r="P309" t="s">
        <v>59</v>
      </c>
      <c r="Q309" s="6">
        <v>1.27901041666666</v>
      </c>
      <c r="R309">
        <v>4.42</v>
      </c>
      <c r="S309">
        <v>10.23</v>
      </c>
      <c r="T309">
        <v>30.7</v>
      </c>
      <c r="U309">
        <v>6.69</v>
      </c>
      <c r="V309">
        <v>32.75</v>
      </c>
      <c r="W309">
        <v>1.07</v>
      </c>
    </row>
    <row r="310" spans="1:23" x14ac:dyDescent="0.3">
      <c r="A310">
        <v>308</v>
      </c>
      <c r="B310" t="s">
        <v>353</v>
      </c>
      <c r="C310" t="s">
        <v>35</v>
      </c>
      <c r="D310">
        <v>147</v>
      </c>
      <c r="E310">
        <v>5870</v>
      </c>
      <c r="F310" s="3">
        <v>224</v>
      </c>
      <c r="G310">
        <v>14</v>
      </c>
      <c r="H310">
        <v>8</v>
      </c>
      <c r="I310" s="5">
        <v>5.4421768707482901E-2</v>
      </c>
      <c r="J310" s="3">
        <v>357</v>
      </c>
      <c r="K310" s="1">
        <v>45598</v>
      </c>
      <c r="L310" t="s">
        <v>25</v>
      </c>
      <c r="M310" t="s">
        <v>31</v>
      </c>
      <c r="N310" t="s">
        <v>40</v>
      </c>
      <c r="O310" t="s">
        <v>28</v>
      </c>
      <c r="P310" t="s">
        <v>29</v>
      </c>
      <c r="Q310" s="6">
        <v>1.5243795620437901</v>
      </c>
      <c r="R310">
        <v>2.5</v>
      </c>
      <c r="S310">
        <v>16.010000000000002</v>
      </c>
      <c r="T310">
        <v>28.01</v>
      </c>
      <c r="U310">
        <v>59.32</v>
      </c>
      <c r="V310">
        <v>44.62</v>
      </c>
      <c r="W310">
        <v>1.59</v>
      </c>
    </row>
    <row r="311" spans="1:23" x14ac:dyDescent="0.3">
      <c r="A311">
        <v>309</v>
      </c>
      <c r="B311" t="s">
        <v>354</v>
      </c>
      <c r="C311" t="s">
        <v>24</v>
      </c>
      <c r="D311">
        <v>164</v>
      </c>
      <c r="E311">
        <v>5662</v>
      </c>
      <c r="F311" s="3">
        <v>186</v>
      </c>
      <c r="G311">
        <v>11</v>
      </c>
      <c r="H311">
        <v>9</v>
      </c>
      <c r="I311" s="5">
        <v>5.4878048780487798E-2</v>
      </c>
      <c r="J311" s="3">
        <v>208</v>
      </c>
      <c r="K311" s="1">
        <v>45613</v>
      </c>
      <c r="L311" t="s">
        <v>25</v>
      </c>
      <c r="M311" t="s">
        <v>39</v>
      </c>
      <c r="N311" t="s">
        <v>32</v>
      </c>
      <c r="O311" t="s">
        <v>28</v>
      </c>
      <c r="P311" t="s">
        <v>50</v>
      </c>
      <c r="Q311" s="6">
        <v>1.13664634146341</v>
      </c>
      <c r="R311">
        <v>2.9</v>
      </c>
      <c r="S311">
        <v>16.95</v>
      </c>
      <c r="T311">
        <v>20.71</v>
      </c>
      <c r="U311">
        <v>11.58</v>
      </c>
      <c r="V311">
        <v>23.11</v>
      </c>
      <c r="W311">
        <v>1.1200000000000001</v>
      </c>
    </row>
    <row r="312" spans="1:23" x14ac:dyDescent="0.3">
      <c r="A312">
        <v>310</v>
      </c>
      <c r="B312" t="s">
        <v>355</v>
      </c>
      <c r="C312" t="s">
        <v>24</v>
      </c>
      <c r="D312">
        <v>192</v>
      </c>
      <c r="E312">
        <v>5130</v>
      </c>
      <c r="F312" s="3">
        <v>185</v>
      </c>
      <c r="G312">
        <v>19</v>
      </c>
      <c r="H312">
        <v>4</v>
      </c>
      <c r="I312" s="5">
        <v>2.0833333333333301E-2</v>
      </c>
      <c r="J312" s="3">
        <v>222</v>
      </c>
      <c r="K312" s="1">
        <v>45603</v>
      </c>
      <c r="L312" t="s">
        <v>25</v>
      </c>
      <c r="M312" t="s">
        <v>26</v>
      </c>
      <c r="N312" t="s">
        <v>32</v>
      </c>
      <c r="O312" t="s">
        <v>28</v>
      </c>
      <c r="P312" t="s">
        <v>54</v>
      </c>
      <c r="Q312" s="6">
        <v>0.96161458333333305</v>
      </c>
      <c r="R312">
        <v>3.74</v>
      </c>
      <c r="S312">
        <v>9.7200000000000006</v>
      </c>
      <c r="T312">
        <v>46.16</v>
      </c>
      <c r="U312">
        <v>20.239999999999998</v>
      </c>
      <c r="V312">
        <v>55.5</v>
      </c>
      <c r="W312">
        <v>1.2</v>
      </c>
    </row>
    <row r="313" spans="1:23" x14ac:dyDescent="0.3">
      <c r="A313">
        <v>311</v>
      </c>
      <c r="B313" t="s">
        <v>356</v>
      </c>
      <c r="C313" t="s">
        <v>38</v>
      </c>
      <c r="D313">
        <v>139</v>
      </c>
      <c r="E313">
        <v>4608</v>
      </c>
      <c r="F313" s="3">
        <v>225</v>
      </c>
      <c r="G313">
        <v>12</v>
      </c>
      <c r="H313">
        <v>8</v>
      </c>
      <c r="I313" s="5">
        <v>5.7553956834532301E-2</v>
      </c>
      <c r="J313" s="3">
        <v>223</v>
      </c>
      <c r="K313" s="1">
        <v>45608</v>
      </c>
      <c r="L313" t="s">
        <v>25</v>
      </c>
      <c r="M313" t="s">
        <v>26</v>
      </c>
      <c r="N313" t="s">
        <v>40</v>
      </c>
      <c r="O313" t="s">
        <v>28</v>
      </c>
      <c r="P313" t="s">
        <v>41</v>
      </c>
      <c r="Q313" s="6">
        <v>1.61863309352517</v>
      </c>
      <c r="R313">
        <v>3.02</v>
      </c>
      <c r="S313">
        <v>18.75</v>
      </c>
      <c r="T313">
        <v>28.12</v>
      </c>
      <c r="U313">
        <v>-0.88</v>
      </c>
      <c r="V313">
        <v>27.88</v>
      </c>
      <c r="W313">
        <v>0.99</v>
      </c>
    </row>
    <row r="314" spans="1:23" x14ac:dyDescent="0.3">
      <c r="A314">
        <v>312</v>
      </c>
      <c r="B314" t="s">
        <v>357</v>
      </c>
      <c r="C314" t="s">
        <v>43</v>
      </c>
      <c r="D314">
        <v>199</v>
      </c>
      <c r="E314">
        <v>5290</v>
      </c>
      <c r="F314" s="3">
        <v>219</v>
      </c>
      <c r="G314">
        <v>20</v>
      </c>
      <c r="H314">
        <v>7</v>
      </c>
      <c r="I314" s="5">
        <v>3.5175879396984903E-2</v>
      </c>
      <c r="J314" s="3">
        <v>252</v>
      </c>
      <c r="K314" s="1">
        <v>45626</v>
      </c>
      <c r="L314" t="s">
        <v>25</v>
      </c>
      <c r="M314" t="s">
        <v>39</v>
      </c>
      <c r="N314" t="s">
        <v>27</v>
      </c>
      <c r="O314" t="s">
        <v>28</v>
      </c>
      <c r="P314" t="s">
        <v>29</v>
      </c>
      <c r="Q314" s="6">
        <v>1.0982412060301501</v>
      </c>
      <c r="R314">
        <v>3.76</v>
      </c>
      <c r="S314">
        <v>10.93</v>
      </c>
      <c r="T314">
        <v>31.22</v>
      </c>
      <c r="U314">
        <v>15.31</v>
      </c>
      <c r="V314">
        <v>36</v>
      </c>
      <c r="W314">
        <v>1.1499999999999999</v>
      </c>
    </row>
    <row r="315" spans="1:23" x14ac:dyDescent="0.3">
      <c r="A315">
        <v>313</v>
      </c>
      <c r="B315" t="s">
        <v>358</v>
      </c>
      <c r="C315" t="s">
        <v>38</v>
      </c>
      <c r="D315">
        <v>82</v>
      </c>
      <c r="E315">
        <v>4961</v>
      </c>
      <c r="F315" s="3">
        <v>220</v>
      </c>
      <c r="G315">
        <v>27</v>
      </c>
      <c r="H315">
        <v>7</v>
      </c>
      <c r="I315" s="5">
        <v>8.5365853658536495E-2</v>
      </c>
      <c r="J315" s="3">
        <v>234</v>
      </c>
      <c r="K315" s="1">
        <v>45598</v>
      </c>
      <c r="L315" t="s">
        <v>25</v>
      </c>
      <c r="M315" t="s">
        <v>39</v>
      </c>
      <c r="N315" t="s">
        <v>32</v>
      </c>
      <c r="O315" t="s">
        <v>28</v>
      </c>
      <c r="P315" t="s">
        <v>29</v>
      </c>
      <c r="Q315" s="6">
        <v>2.6864634146341402</v>
      </c>
      <c r="R315">
        <v>1.65</v>
      </c>
      <c r="S315">
        <v>8.16</v>
      </c>
      <c r="T315">
        <v>31.47</v>
      </c>
      <c r="U315">
        <v>6.22</v>
      </c>
      <c r="V315">
        <v>33.43</v>
      </c>
      <c r="W315">
        <v>1.06</v>
      </c>
    </row>
    <row r="316" spans="1:23" x14ac:dyDescent="0.3">
      <c r="A316">
        <v>314</v>
      </c>
      <c r="B316" t="s">
        <v>359</v>
      </c>
      <c r="C316" t="s">
        <v>43</v>
      </c>
      <c r="D316">
        <v>175</v>
      </c>
      <c r="E316">
        <v>4347</v>
      </c>
      <c r="F316" s="3">
        <v>242</v>
      </c>
      <c r="G316">
        <v>17</v>
      </c>
      <c r="H316">
        <v>3</v>
      </c>
      <c r="I316" s="5">
        <v>1.7142857142857099E-2</v>
      </c>
      <c r="J316" s="3">
        <v>330</v>
      </c>
      <c r="K316" s="1">
        <v>45618</v>
      </c>
      <c r="L316" t="s">
        <v>25</v>
      </c>
      <c r="M316" t="s">
        <v>26</v>
      </c>
      <c r="N316" t="s">
        <v>40</v>
      </c>
      <c r="O316" t="s">
        <v>28</v>
      </c>
      <c r="P316" t="s">
        <v>45</v>
      </c>
      <c r="Q316" s="6">
        <v>1.3832</v>
      </c>
      <c r="R316">
        <v>4.03</v>
      </c>
      <c r="S316">
        <v>14.24</v>
      </c>
      <c r="T316">
        <v>80.69</v>
      </c>
      <c r="U316">
        <v>36.33</v>
      </c>
      <c r="V316">
        <v>110</v>
      </c>
      <c r="W316">
        <v>1.36</v>
      </c>
    </row>
    <row r="317" spans="1:23" x14ac:dyDescent="0.3">
      <c r="A317">
        <v>315</v>
      </c>
      <c r="B317" t="s">
        <v>360</v>
      </c>
      <c r="C317" t="s">
        <v>35</v>
      </c>
      <c r="D317">
        <v>181</v>
      </c>
      <c r="E317">
        <v>5664</v>
      </c>
      <c r="F317" s="3">
        <v>205</v>
      </c>
      <c r="G317">
        <v>22</v>
      </c>
      <c r="H317">
        <v>5</v>
      </c>
      <c r="I317" s="5">
        <v>2.7624309392265099E-2</v>
      </c>
      <c r="J317" s="3">
        <v>351</v>
      </c>
      <c r="K317" s="1">
        <v>45618</v>
      </c>
      <c r="L317" t="s">
        <v>25</v>
      </c>
      <c r="M317" t="s">
        <v>26</v>
      </c>
      <c r="N317" t="s">
        <v>32</v>
      </c>
      <c r="O317" t="s">
        <v>28</v>
      </c>
      <c r="P317" t="s">
        <v>45</v>
      </c>
      <c r="Q317" s="6">
        <v>1.13116022099447</v>
      </c>
      <c r="R317">
        <v>3.2</v>
      </c>
      <c r="S317">
        <v>9.31</v>
      </c>
      <c r="T317">
        <v>40.950000000000003</v>
      </c>
      <c r="U317">
        <v>71.44</v>
      </c>
      <c r="V317">
        <v>70.2</v>
      </c>
      <c r="W317">
        <v>1.71</v>
      </c>
    </row>
    <row r="318" spans="1:23" x14ac:dyDescent="0.3">
      <c r="A318">
        <v>316</v>
      </c>
      <c r="B318" t="s">
        <v>361</v>
      </c>
      <c r="C318" t="s">
        <v>24</v>
      </c>
      <c r="D318">
        <v>146</v>
      </c>
      <c r="E318">
        <v>3757</v>
      </c>
      <c r="F318" s="3">
        <v>193</v>
      </c>
      <c r="G318">
        <v>25</v>
      </c>
      <c r="H318">
        <v>9</v>
      </c>
      <c r="I318" s="5">
        <v>6.1643835616438297E-2</v>
      </c>
      <c r="J318" s="3">
        <v>239</v>
      </c>
      <c r="K318" s="1">
        <v>45605</v>
      </c>
      <c r="L318" t="s">
        <v>25</v>
      </c>
      <c r="M318" t="s">
        <v>26</v>
      </c>
      <c r="N318" t="s">
        <v>44</v>
      </c>
      <c r="O318" t="s">
        <v>28</v>
      </c>
      <c r="P318" t="s">
        <v>29</v>
      </c>
      <c r="Q318" s="6">
        <v>1.31910958904109</v>
      </c>
      <c r="R318">
        <v>3.89</v>
      </c>
      <c r="S318">
        <v>7.7</v>
      </c>
      <c r="T318">
        <v>21.4</v>
      </c>
      <c r="U318">
        <v>24.1</v>
      </c>
      <c r="V318">
        <v>26.56</v>
      </c>
      <c r="W318">
        <v>1.24</v>
      </c>
    </row>
    <row r="319" spans="1:23" x14ac:dyDescent="0.3">
      <c r="A319">
        <v>317</v>
      </c>
      <c r="B319" t="s">
        <v>362</v>
      </c>
      <c r="C319" t="s">
        <v>38</v>
      </c>
      <c r="D319">
        <v>192</v>
      </c>
      <c r="E319">
        <v>4225</v>
      </c>
      <c r="F319" s="3">
        <v>242</v>
      </c>
      <c r="G319">
        <v>24</v>
      </c>
      <c r="H319">
        <v>6</v>
      </c>
      <c r="I319" s="5">
        <v>3.125E-2</v>
      </c>
      <c r="J319" s="3">
        <v>211</v>
      </c>
      <c r="K319" s="1">
        <v>45597</v>
      </c>
      <c r="L319" t="s">
        <v>25</v>
      </c>
      <c r="M319" t="s">
        <v>31</v>
      </c>
      <c r="N319" t="s">
        <v>36</v>
      </c>
      <c r="O319" t="s">
        <v>28</v>
      </c>
      <c r="P319" t="s">
        <v>45</v>
      </c>
      <c r="Q319" s="6">
        <v>1.2604166666666601</v>
      </c>
      <c r="R319">
        <v>4.54</v>
      </c>
      <c r="S319">
        <v>10.08</v>
      </c>
      <c r="T319">
        <v>40.33</v>
      </c>
      <c r="U319">
        <v>-12.81</v>
      </c>
      <c r="V319">
        <v>35.17</v>
      </c>
      <c r="W319">
        <v>0.87</v>
      </c>
    </row>
    <row r="320" spans="1:23" x14ac:dyDescent="0.3">
      <c r="A320">
        <v>318</v>
      </c>
      <c r="B320" t="s">
        <v>363</v>
      </c>
      <c r="C320" t="s">
        <v>35</v>
      </c>
      <c r="D320">
        <v>149</v>
      </c>
      <c r="E320">
        <v>3410</v>
      </c>
      <c r="F320" s="3">
        <v>181</v>
      </c>
      <c r="G320">
        <v>20</v>
      </c>
      <c r="H320">
        <v>4</v>
      </c>
      <c r="I320" s="5">
        <v>2.68456375838926E-2</v>
      </c>
      <c r="J320" s="3">
        <v>369</v>
      </c>
      <c r="K320" s="1">
        <v>45613</v>
      </c>
      <c r="L320" t="s">
        <v>25</v>
      </c>
      <c r="M320" t="s">
        <v>26</v>
      </c>
      <c r="N320" t="s">
        <v>27</v>
      </c>
      <c r="O320" t="s">
        <v>28</v>
      </c>
      <c r="P320" t="s">
        <v>50</v>
      </c>
      <c r="Q320" s="6">
        <v>1.21557046979865</v>
      </c>
      <c r="R320">
        <v>4.37</v>
      </c>
      <c r="S320">
        <v>9.06</v>
      </c>
      <c r="T320">
        <v>45.28</v>
      </c>
      <c r="U320">
        <v>103.73</v>
      </c>
      <c r="V320">
        <v>92.25</v>
      </c>
      <c r="W320">
        <v>2.04</v>
      </c>
    </row>
    <row r="321" spans="1:23" x14ac:dyDescent="0.3">
      <c r="A321">
        <v>319</v>
      </c>
      <c r="B321" t="s">
        <v>364</v>
      </c>
      <c r="C321" t="s">
        <v>38</v>
      </c>
      <c r="D321">
        <v>93</v>
      </c>
      <c r="E321">
        <v>3934</v>
      </c>
      <c r="F321" s="3">
        <v>227</v>
      </c>
      <c r="G321">
        <v>20</v>
      </c>
      <c r="H321">
        <v>6</v>
      </c>
      <c r="I321" s="5">
        <v>6.4516129032257993E-2</v>
      </c>
      <c r="J321" s="3">
        <v>401</v>
      </c>
      <c r="K321" s="1">
        <v>45614</v>
      </c>
      <c r="L321" t="s">
        <v>25</v>
      </c>
      <c r="M321" t="s">
        <v>31</v>
      </c>
      <c r="N321" t="s">
        <v>36</v>
      </c>
      <c r="O321" t="s">
        <v>28</v>
      </c>
      <c r="P321" t="s">
        <v>59</v>
      </c>
      <c r="Q321" s="6">
        <v>2.4391397849462302</v>
      </c>
      <c r="R321">
        <v>2.36</v>
      </c>
      <c r="S321">
        <v>11.34</v>
      </c>
      <c r="T321">
        <v>37.81</v>
      </c>
      <c r="U321">
        <v>76.78</v>
      </c>
      <c r="V321">
        <v>66.83</v>
      </c>
      <c r="W321">
        <v>1.77</v>
      </c>
    </row>
    <row r="322" spans="1:23" x14ac:dyDescent="0.3">
      <c r="A322">
        <v>320</v>
      </c>
      <c r="B322" t="s">
        <v>365</v>
      </c>
      <c r="C322" t="s">
        <v>38</v>
      </c>
      <c r="D322">
        <v>182</v>
      </c>
      <c r="E322">
        <v>3384</v>
      </c>
      <c r="F322" s="3">
        <v>188</v>
      </c>
      <c r="G322">
        <v>18</v>
      </c>
      <c r="H322">
        <v>8</v>
      </c>
      <c r="I322" s="5">
        <v>4.3956043956043897E-2</v>
      </c>
      <c r="J322" s="3">
        <v>361</v>
      </c>
      <c r="K322" s="1">
        <v>45597</v>
      </c>
      <c r="L322" t="s">
        <v>25</v>
      </c>
      <c r="M322" t="s">
        <v>26</v>
      </c>
      <c r="N322" t="s">
        <v>49</v>
      </c>
      <c r="O322" t="s">
        <v>28</v>
      </c>
      <c r="P322" t="s">
        <v>45</v>
      </c>
      <c r="Q322" s="6">
        <v>1.0311538461538401</v>
      </c>
      <c r="R322">
        <v>5.38</v>
      </c>
      <c r="S322">
        <v>10.43</v>
      </c>
      <c r="T322">
        <v>23.46</v>
      </c>
      <c r="U322">
        <v>92.36</v>
      </c>
      <c r="V322">
        <v>45.12</v>
      </c>
      <c r="W322">
        <v>1.92</v>
      </c>
    </row>
    <row r="323" spans="1:23" x14ac:dyDescent="0.3">
      <c r="A323">
        <v>321</v>
      </c>
      <c r="B323" t="s">
        <v>366</v>
      </c>
      <c r="C323" t="s">
        <v>35</v>
      </c>
      <c r="D323">
        <v>99</v>
      </c>
      <c r="E323">
        <v>3842</v>
      </c>
      <c r="F323" s="3">
        <v>246</v>
      </c>
      <c r="G323">
        <v>23</v>
      </c>
      <c r="H323">
        <v>8</v>
      </c>
      <c r="I323" s="5">
        <v>8.0808080808080801E-2</v>
      </c>
      <c r="J323" s="3">
        <v>296</v>
      </c>
      <c r="K323" s="1">
        <v>45606</v>
      </c>
      <c r="L323" t="s">
        <v>25</v>
      </c>
      <c r="M323" t="s">
        <v>39</v>
      </c>
      <c r="N323" t="s">
        <v>44</v>
      </c>
      <c r="O323" t="s">
        <v>28</v>
      </c>
      <c r="P323" t="s">
        <v>50</v>
      </c>
      <c r="Q323" s="6">
        <v>2.4878787878787798</v>
      </c>
      <c r="R323">
        <v>2.58</v>
      </c>
      <c r="S323">
        <v>10.71</v>
      </c>
      <c r="T323">
        <v>30.79</v>
      </c>
      <c r="U323">
        <v>20.18</v>
      </c>
      <c r="V323">
        <v>37</v>
      </c>
      <c r="W323">
        <v>1.2</v>
      </c>
    </row>
    <row r="324" spans="1:23" x14ac:dyDescent="0.3">
      <c r="A324">
        <v>322</v>
      </c>
      <c r="B324" t="s">
        <v>367</v>
      </c>
      <c r="C324" t="s">
        <v>35</v>
      </c>
      <c r="D324">
        <v>188</v>
      </c>
      <c r="E324">
        <v>4022</v>
      </c>
      <c r="F324" s="3">
        <v>239</v>
      </c>
      <c r="G324">
        <v>20</v>
      </c>
      <c r="H324">
        <v>8</v>
      </c>
      <c r="I324" s="5">
        <v>4.2553191489361701E-2</v>
      </c>
      <c r="J324" s="3">
        <v>373.71428571428498</v>
      </c>
      <c r="K324" s="1">
        <v>45602</v>
      </c>
      <c r="L324" t="s">
        <v>25</v>
      </c>
      <c r="M324" t="s">
        <v>31</v>
      </c>
      <c r="N324" t="s">
        <v>36</v>
      </c>
      <c r="O324" t="s">
        <v>28</v>
      </c>
      <c r="P324" t="s">
        <v>33</v>
      </c>
      <c r="Q324" s="6">
        <v>1.26920212765957</v>
      </c>
      <c r="R324">
        <v>4.67</v>
      </c>
      <c r="S324">
        <v>11.93</v>
      </c>
      <c r="T324">
        <v>29.83</v>
      </c>
      <c r="U324">
        <v>56.62</v>
      </c>
      <c r="V324">
        <v>46.71</v>
      </c>
      <c r="W324">
        <v>1.57</v>
      </c>
    </row>
    <row r="325" spans="1:23" x14ac:dyDescent="0.3">
      <c r="A325">
        <v>323</v>
      </c>
      <c r="B325" t="s">
        <v>368</v>
      </c>
      <c r="C325" t="s">
        <v>43</v>
      </c>
      <c r="D325">
        <v>193</v>
      </c>
      <c r="E325">
        <v>5786</v>
      </c>
      <c r="F325" s="3">
        <v>202</v>
      </c>
      <c r="G325">
        <v>16</v>
      </c>
      <c r="H325">
        <v>10</v>
      </c>
      <c r="I325" s="5">
        <v>5.1813471502590601E-2</v>
      </c>
      <c r="J325" s="3">
        <v>330</v>
      </c>
      <c r="K325" s="1">
        <v>45601</v>
      </c>
      <c r="L325" t="s">
        <v>25</v>
      </c>
      <c r="M325" t="s">
        <v>39</v>
      </c>
      <c r="N325" t="s">
        <v>40</v>
      </c>
      <c r="O325" t="s">
        <v>28</v>
      </c>
      <c r="P325" t="s">
        <v>41</v>
      </c>
      <c r="Q325" s="6">
        <v>1.0440932642487</v>
      </c>
      <c r="R325">
        <v>3.34</v>
      </c>
      <c r="S325">
        <v>12.59</v>
      </c>
      <c r="T325">
        <v>20.149999999999999</v>
      </c>
      <c r="U325">
        <v>63.76</v>
      </c>
      <c r="V325">
        <v>33</v>
      </c>
      <c r="W325">
        <v>1.64</v>
      </c>
    </row>
    <row r="326" spans="1:23" x14ac:dyDescent="0.3">
      <c r="A326">
        <v>324</v>
      </c>
      <c r="B326" t="s">
        <v>369</v>
      </c>
      <c r="C326" t="s">
        <v>38</v>
      </c>
      <c r="D326">
        <v>107</v>
      </c>
      <c r="E326">
        <v>4423</v>
      </c>
      <c r="F326" s="3">
        <v>239</v>
      </c>
      <c r="G326">
        <v>25</v>
      </c>
      <c r="H326">
        <v>9</v>
      </c>
      <c r="I326" s="5">
        <v>8.4112149532710206E-2</v>
      </c>
      <c r="J326" s="3">
        <v>280</v>
      </c>
      <c r="K326" s="1">
        <v>45619</v>
      </c>
      <c r="L326" t="s">
        <v>25</v>
      </c>
      <c r="M326" t="s">
        <v>26</v>
      </c>
      <c r="N326" t="s">
        <v>49</v>
      </c>
      <c r="O326" t="s">
        <v>28</v>
      </c>
      <c r="P326" t="s">
        <v>29</v>
      </c>
      <c r="Q326" s="6">
        <v>2.23803738317757</v>
      </c>
      <c r="R326">
        <v>2.42</v>
      </c>
      <c r="S326">
        <v>9.58</v>
      </c>
      <c r="T326">
        <v>26.61</v>
      </c>
      <c r="U326">
        <v>16.920000000000002</v>
      </c>
      <c r="V326">
        <v>31.11</v>
      </c>
      <c r="W326">
        <v>1.17</v>
      </c>
    </row>
    <row r="327" spans="1:23" x14ac:dyDescent="0.3">
      <c r="A327">
        <v>325</v>
      </c>
      <c r="B327" t="s">
        <v>370</v>
      </c>
      <c r="C327" t="s">
        <v>24</v>
      </c>
      <c r="D327">
        <v>131</v>
      </c>
      <c r="E327">
        <v>4228</v>
      </c>
      <c r="F327" s="3">
        <v>230</v>
      </c>
      <c r="G327">
        <v>16</v>
      </c>
      <c r="H327">
        <v>9</v>
      </c>
      <c r="I327" s="5">
        <v>6.8702290076335798E-2</v>
      </c>
      <c r="J327" s="3">
        <v>284</v>
      </c>
      <c r="K327" s="1">
        <v>45603</v>
      </c>
      <c r="L327" t="s">
        <v>25</v>
      </c>
      <c r="M327" t="s">
        <v>26</v>
      </c>
      <c r="N327" t="s">
        <v>40</v>
      </c>
      <c r="O327" t="s">
        <v>28</v>
      </c>
      <c r="P327" t="s">
        <v>54</v>
      </c>
      <c r="Q327" s="6">
        <v>1.7570992366412199</v>
      </c>
      <c r="R327">
        <v>3.1</v>
      </c>
      <c r="S327">
        <v>14.39</v>
      </c>
      <c r="T327">
        <v>25.58</v>
      </c>
      <c r="U327">
        <v>23.38</v>
      </c>
      <c r="V327">
        <v>31.56</v>
      </c>
      <c r="W327">
        <v>1.23</v>
      </c>
    </row>
    <row r="328" spans="1:23" x14ac:dyDescent="0.3">
      <c r="A328">
        <v>326</v>
      </c>
      <c r="B328" t="s">
        <v>371</v>
      </c>
      <c r="C328" t="s">
        <v>43</v>
      </c>
      <c r="D328">
        <v>139</v>
      </c>
      <c r="E328">
        <v>5120</v>
      </c>
      <c r="F328" s="3">
        <v>199</v>
      </c>
      <c r="G328">
        <v>24</v>
      </c>
      <c r="H328">
        <v>5</v>
      </c>
      <c r="I328" s="5">
        <v>3.5971223021582698E-2</v>
      </c>
      <c r="J328" s="3">
        <v>374</v>
      </c>
      <c r="K328" s="1">
        <v>45619</v>
      </c>
      <c r="L328" t="s">
        <v>25</v>
      </c>
      <c r="M328" t="s">
        <v>31</v>
      </c>
      <c r="N328" t="s">
        <v>32</v>
      </c>
      <c r="O328" t="s">
        <v>28</v>
      </c>
      <c r="P328" t="s">
        <v>29</v>
      </c>
      <c r="Q328" s="6">
        <v>1.4338129496402801</v>
      </c>
      <c r="R328">
        <v>2.71</v>
      </c>
      <c r="S328">
        <v>8.3000000000000007</v>
      </c>
      <c r="T328">
        <v>39.86</v>
      </c>
      <c r="U328">
        <v>87.66</v>
      </c>
      <c r="V328">
        <v>74.8</v>
      </c>
      <c r="W328">
        <v>1.88</v>
      </c>
    </row>
    <row r="329" spans="1:23" x14ac:dyDescent="0.3">
      <c r="A329">
        <v>327</v>
      </c>
      <c r="B329" t="s">
        <v>372</v>
      </c>
      <c r="C329" t="s">
        <v>24</v>
      </c>
      <c r="D329">
        <v>141</v>
      </c>
      <c r="E329">
        <v>3600</v>
      </c>
      <c r="F329" s="3">
        <v>228</v>
      </c>
      <c r="G329">
        <v>20</v>
      </c>
      <c r="H329">
        <v>6</v>
      </c>
      <c r="I329" s="5">
        <v>4.2553191489361701E-2</v>
      </c>
      <c r="J329" s="3">
        <v>279</v>
      </c>
      <c r="K329" s="1">
        <v>45603</v>
      </c>
      <c r="L329" t="s">
        <v>25</v>
      </c>
      <c r="M329" t="s">
        <v>26</v>
      </c>
      <c r="N329" t="s">
        <v>27</v>
      </c>
      <c r="O329" t="s">
        <v>28</v>
      </c>
      <c r="P329" t="s">
        <v>54</v>
      </c>
      <c r="Q329" s="6">
        <v>1.61375886524822</v>
      </c>
      <c r="R329">
        <v>3.92</v>
      </c>
      <c r="S329">
        <v>11.38</v>
      </c>
      <c r="T329">
        <v>37.92</v>
      </c>
      <c r="U329">
        <v>22.62</v>
      </c>
      <c r="V329">
        <v>46.5</v>
      </c>
      <c r="W329">
        <v>1.23</v>
      </c>
    </row>
    <row r="330" spans="1:23" x14ac:dyDescent="0.3">
      <c r="A330">
        <v>328</v>
      </c>
      <c r="B330" t="s">
        <v>373</v>
      </c>
      <c r="C330" t="s">
        <v>35</v>
      </c>
      <c r="D330">
        <v>175</v>
      </c>
      <c r="E330">
        <v>5016</v>
      </c>
      <c r="F330" s="3">
        <v>270</v>
      </c>
      <c r="G330">
        <v>16</v>
      </c>
      <c r="H330">
        <v>3</v>
      </c>
      <c r="I330" s="5">
        <v>1.7142857142857099E-2</v>
      </c>
      <c r="J330" s="3">
        <v>375</v>
      </c>
      <c r="K330" s="1">
        <v>45603</v>
      </c>
      <c r="L330" t="s">
        <v>25</v>
      </c>
      <c r="M330" t="s">
        <v>39</v>
      </c>
      <c r="N330" t="s">
        <v>27</v>
      </c>
      <c r="O330" t="s">
        <v>28</v>
      </c>
      <c r="P330" t="s">
        <v>54</v>
      </c>
      <c r="Q330" s="6">
        <v>1.5454545454545401</v>
      </c>
      <c r="R330">
        <v>3.49</v>
      </c>
      <c r="S330">
        <v>16.899999999999999</v>
      </c>
      <c r="T330">
        <v>90.15</v>
      </c>
      <c r="U330">
        <v>38.659999999999997</v>
      </c>
      <c r="V330">
        <v>125</v>
      </c>
      <c r="W330">
        <v>1.39</v>
      </c>
    </row>
    <row r="331" spans="1:23" x14ac:dyDescent="0.3">
      <c r="A331">
        <v>329</v>
      </c>
      <c r="B331" t="s">
        <v>374</v>
      </c>
      <c r="C331" t="s">
        <v>43</v>
      </c>
      <c r="D331">
        <v>96</v>
      </c>
      <c r="E331">
        <v>5771</v>
      </c>
      <c r="F331" s="3">
        <v>214</v>
      </c>
      <c r="G331">
        <v>30</v>
      </c>
      <c r="H331">
        <v>3</v>
      </c>
      <c r="I331" s="5">
        <v>3.125E-2</v>
      </c>
      <c r="J331" s="3">
        <v>231</v>
      </c>
      <c r="K331" s="1">
        <v>45626</v>
      </c>
      <c r="L331" t="s">
        <v>25</v>
      </c>
      <c r="M331" t="s">
        <v>31</v>
      </c>
      <c r="N331" t="s">
        <v>49</v>
      </c>
      <c r="O331" t="s">
        <v>28</v>
      </c>
      <c r="P331" t="s">
        <v>29</v>
      </c>
      <c r="Q331" s="6">
        <v>2.2289583333333298</v>
      </c>
      <c r="R331">
        <v>1.66</v>
      </c>
      <c r="S331">
        <v>7.13</v>
      </c>
      <c r="T331">
        <v>71.33</v>
      </c>
      <c r="U331">
        <v>7.95</v>
      </c>
      <c r="V331">
        <v>77</v>
      </c>
      <c r="W331">
        <v>1.08</v>
      </c>
    </row>
    <row r="332" spans="1:23" x14ac:dyDescent="0.3">
      <c r="A332">
        <v>330</v>
      </c>
      <c r="B332" t="s">
        <v>375</v>
      </c>
      <c r="C332" t="s">
        <v>24</v>
      </c>
      <c r="D332">
        <v>140</v>
      </c>
      <c r="E332">
        <v>4615</v>
      </c>
      <c r="F332" s="3">
        <v>195</v>
      </c>
      <c r="G332">
        <v>12</v>
      </c>
      <c r="H332">
        <v>6</v>
      </c>
      <c r="I332" s="5">
        <v>4.2857142857142802E-2</v>
      </c>
      <c r="J332" s="3">
        <v>392</v>
      </c>
      <c r="K332" s="1">
        <v>45621</v>
      </c>
      <c r="L332" t="s">
        <v>25</v>
      </c>
      <c r="M332" t="s">
        <v>39</v>
      </c>
      <c r="N332" t="s">
        <v>40</v>
      </c>
      <c r="O332" t="s">
        <v>28</v>
      </c>
      <c r="P332" t="s">
        <v>59</v>
      </c>
      <c r="Q332" s="6">
        <v>1.39207142857142</v>
      </c>
      <c r="R332">
        <v>3.03</v>
      </c>
      <c r="S332">
        <v>16.239999999999998</v>
      </c>
      <c r="T332">
        <v>32.479999999999997</v>
      </c>
      <c r="U332">
        <v>101.14</v>
      </c>
      <c r="V332">
        <v>65.33</v>
      </c>
      <c r="W332">
        <v>2.0099999999999998</v>
      </c>
    </row>
    <row r="333" spans="1:23" x14ac:dyDescent="0.3">
      <c r="A333">
        <v>331</v>
      </c>
      <c r="B333" t="s">
        <v>376</v>
      </c>
      <c r="C333" t="s">
        <v>43</v>
      </c>
      <c r="D333">
        <v>187</v>
      </c>
      <c r="E333">
        <v>3115</v>
      </c>
      <c r="F333" s="3">
        <v>185</v>
      </c>
      <c r="G333">
        <v>12</v>
      </c>
      <c r="H333">
        <v>3</v>
      </c>
      <c r="I333" s="5">
        <v>1.60427807486631E-2</v>
      </c>
      <c r="J333" s="3">
        <v>270</v>
      </c>
      <c r="K333" s="1">
        <v>45626</v>
      </c>
      <c r="L333" t="s">
        <v>25</v>
      </c>
      <c r="M333" t="s">
        <v>31</v>
      </c>
      <c r="N333" t="s">
        <v>27</v>
      </c>
      <c r="O333" t="s">
        <v>28</v>
      </c>
      <c r="P333" t="s">
        <v>29</v>
      </c>
      <c r="Q333" s="6">
        <v>0.98721925133689803</v>
      </c>
      <c r="R333">
        <v>6</v>
      </c>
      <c r="S333">
        <v>15.38</v>
      </c>
      <c r="T333">
        <v>61.54</v>
      </c>
      <c r="U333">
        <v>46.25</v>
      </c>
      <c r="V333">
        <v>90</v>
      </c>
      <c r="W333">
        <v>1.46</v>
      </c>
    </row>
    <row r="334" spans="1:23" x14ac:dyDescent="0.3">
      <c r="A334">
        <v>332</v>
      </c>
      <c r="B334" t="s">
        <v>377</v>
      </c>
      <c r="C334" t="s">
        <v>24</v>
      </c>
      <c r="D334">
        <v>153</v>
      </c>
      <c r="E334">
        <v>5886</v>
      </c>
      <c r="F334" s="3">
        <v>218</v>
      </c>
      <c r="G334">
        <v>29</v>
      </c>
      <c r="H334">
        <v>3</v>
      </c>
      <c r="I334" s="5">
        <v>1.9607843137254902E-2</v>
      </c>
      <c r="J334" s="3">
        <v>291</v>
      </c>
      <c r="K334" s="1">
        <v>45616</v>
      </c>
      <c r="L334" t="s">
        <v>25</v>
      </c>
      <c r="M334" t="s">
        <v>31</v>
      </c>
      <c r="N334" t="s">
        <v>49</v>
      </c>
      <c r="O334" t="s">
        <v>28</v>
      </c>
      <c r="P334" t="s">
        <v>33</v>
      </c>
      <c r="Q334" s="6">
        <v>1.4269934640522799</v>
      </c>
      <c r="R334">
        <v>2.6</v>
      </c>
      <c r="S334">
        <v>7.53</v>
      </c>
      <c r="T334">
        <v>72.78</v>
      </c>
      <c r="U334">
        <v>33.28</v>
      </c>
      <c r="V334">
        <v>97</v>
      </c>
      <c r="W334">
        <v>1.33</v>
      </c>
    </row>
    <row r="335" spans="1:23" x14ac:dyDescent="0.3">
      <c r="A335">
        <v>333</v>
      </c>
      <c r="B335" t="s">
        <v>378</v>
      </c>
      <c r="C335" t="s">
        <v>24</v>
      </c>
      <c r="D335">
        <v>122</v>
      </c>
      <c r="E335">
        <v>4929</v>
      </c>
      <c r="F335" s="3">
        <v>193</v>
      </c>
      <c r="G335">
        <v>10</v>
      </c>
      <c r="H335">
        <v>10</v>
      </c>
      <c r="I335" s="5">
        <v>8.1967213114753995E-2</v>
      </c>
      <c r="J335" s="3">
        <v>467.142857142857</v>
      </c>
      <c r="K335" s="1">
        <v>45608</v>
      </c>
      <c r="L335" t="s">
        <v>25</v>
      </c>
      <c r="M335" t="s">
        <v>26</v>
      </c>
      <c r="N335" t="s">
        <v>40</v>
      </c>
      <c r="O335" t="s">
        <v>28</v>
      </c>
      <c r="P335" t="s">
        <v>41</v>
      </c>
      <c r="Q335" s="6">
        <v>1.5796721311475399</v>
      </c>
      <c r="R335">
        <v>2.48</v>
      </c>
      <c r="S335">
        <v>19.27</v>
      </c>
      <c r="T335">
        <v>19.27</v>
      </c>
      <c r="U335">
        <v>142.38999999999999</v>
      </c>
      <c r="V335">
        <v>46.71</v>
      </c>
      <c r="W335">
        <v>2.42</v>
      </c>
    </row>
    <row r="336" spans="1:23" x14ac:dyDescent="0.3">
      <c r="A336">
        <v>334</v>
      </c>
      <c r="B336" t="s">
        <v>379</v>
      </c>
      <c r="C336" t="s">
        <v>43</v>
      </c>
      <c r="D336">
        <v>151</v>
      </c>
      <c r="E336">
        <v>4357</v>
      </c>
      <c r="F336" s="3">
        <v>239</v>
      </c>
      <c r="G336">
        <v>28</v>
      </c>
      <c r="H336">
        <v>9</v>
      </c>
      <c r="I336" s="5">
        <v>5.9602649006622502E-2</v>
      </c>
      <c r="J336" s="3">
        <v>295</v>
      </c>
      <c r="K336" s="1">
        <v>45609</v>
      </c>
      <c r="L336" t="s">
        <v>25</v>
      </c>
      <c r="M336" t="s">
        <v>39</v>
      </c>
      <c r="N336" t="s">
        <v>49</v>
      </c>
      <c r="O336" t="s">
        <v>28</v>
      </c>
      <c r="P336" t="s">
        <v>33</v>
      </c>
      <c r="Q336" s="6">
        <v>1.58072847682119</v>
      </c>
      <c r="R336">
        <v>3.47</v>
      </c>
      <c r="S336">
        <v>8.52</v>
      </c>
      <c r="T336">
        <v>26.52</v>
      </c>
      <c r="U336">
        <v>23.59</v>
      </c>
      <c r="V336">
        <v>32.78</v>
      </c>
      <c r="W336">
        <v>1.24</v>
      </c>
    </row>
    <row r="337" spans="1:23" x14ac:dyDescent="0.3">
      <c r="A337">
        <v>335</v>
      </c>
      <c r="B337" t="s">
        <v>380</v>
      </c>
      <c r="C337" t="s">
        <v>35</v>
      </c>
      <c r="D337">
        <v>116</v>
      </c>
      <c r="E337">
        <v>4519</v>
      </c>
      <c r="F337" s="3">
        <v>184</v>
      </c>
      <c r="G337">
        <v>23</v>
      </c>
      <c r="H337">
        <v>7</v>
      </c>
      <c r="I337" s="5">
        <v>6.0344827586206899E-2</v>
      </c>
      <c r="J337" s="3">
        <v>218</v>
      </c>
      <c r="K337" s="1">
        <v>45608</v>
      </c>
      <c r="L337" t="s">
        <v>25</v>
      </c>
      <c r="M337" t="s">
        <v>26</v>
      </c>
      <c r="N337" t="s">
        <v>40</v>
      </c>
      <c r="O337" t="s">
        <v>28</v>
      </c>
      <c r="P337" t="s">
        <v>41</v>
      </c>
      <c r="Q337" s="6">
        <v>1.5887068965517199</v>
      </c>
      <c r="R337">
        <v>2.57</v>
      </c>
      <c r="S337">
        <v>8.01</v>
      </c>
      <c r="T337">
        <v>26.33</v>
      </c>
      <c r="U337">
        <v>18.29</v>
      </c>
      <c r="V337">
        <v>31.14</v>
      </c>
      <c r="W337">
        <v>1.18</v>
      </c>
    </row>
    <row r="338" spans="1:23" x14ac:dyDescent="0.3">
      <c r="A338">
        <v>336</v>
      </c>
      <c r="B338" t="s">
        <v>381</v>
      </c>
      <c r="C338" t="s">
        <v>35</v>
      </c>
      <c r="D338">
        <v>145</v>
      </c>
      <c r="E338">
        <v>5612</v>
      </c>
      <c r="F338" s="3">
        <v>207</v>
      </c>
      <c r="G338">
        <v>22</v>
      </c>
      <c r="H338">
        <v>4</v>
      </c>
      <c r="I338" s="5">
        <v>2.7586206896551699E-2</v>
      </c>
      <c r="J338" s="3">
        <v>345</v>
      </c>
      <c r="K338" s="1">
        <v>45608</v>
      </c>
      <c r="L338" t="s">
        <v>25</v>
      </c>
      <c r="M338" t="s">
        <v>26</v>
      </c>
      <c r="N338" t="s">
        <v>27</v>
      </c>
      <c r="O338" t="s">
        <v>28</v>
      </c>
      <c r="P338" t="s">
        <v>41</v>
      </c>
      <c r="Q338" s="6">
        <v>1.4299310344827501</v>
      </c>
      <c r="R338">
        <v>2.58</v>
      </c>
      <c r="S338">
        <v>9.42</v>
      </c>
      <c r="T338">
        <v>51.84</v>
      </c>
      <c r="U338">
        <v>66.39</v>
      </c>
      <c r="V338">
        <v>86.25</v>
      </c>
      <c r="W338">
        <v>1.66</v>
      </c>
    </row>
    <row r="339" spans="1:23" x14ac:dyDescent="0.3">
      <c r="A339">
        <v>337</v>
      </c>
      <c r="B339" t="s">
        <v>382</v>
      </c>
      <c r="C339" t="s">
        <v>43</v>
      </c>
      <c r="D339">
        <v>90</v>
      </c>
      <c r="E339">
        <v>3251</v>
      </c>
      <c r="F339" s="3">
        <v>199</v>
      </c>
      <c r="G339">
        <v>12</v>
      </c>
      <c r="H339">
        <v>7</v>
      </c>
      <c r="I339" s="5">
        <v>7.7777777777777696E-2</v>
      </c>
      <c r="J339" s="3">
        <v>213</v>
      </c>
      <c r="K339" s="1">
        <v>45626</v>
      </c>
      <c r="L339" t="s">
        <v>25</v>
      </c>
      <c r="M339" t="s">
        <v>31</v>
      </c>
      <c r="N339" t="s">
        <v>27</v>
      </c>
      <c r="O339" t="s">
        <v>28</v>
      </c>
      <c r="P339" t="s">
        <v>29</v>
      </c>
      <c r="Q339" s="6">
        <v>2.2076666666666598</v>
      </c>
      <c r="R339">
        <v>2.77</v>
      </c>
      <c r="S339">
        <v>16.559999999999999</v>
      </c>
      <c r="T339">
        <v>28.38</v>
      </c>
      <c r="U339">
        <v>7.2</v>
      </c>
      <c r="V339">
        <v>30.43</v>
      </c>
      <c r="W339">
        <v>1.07</v>
      </c>
    </row>
    <row r="340" spans="1:23" x14ac:dyDescent="0.3">
      <c r="A340">
        <v>338</v>
      </c>
      <c r="B340" t="s">
        <v>383</v>
      </c>
      <c r="C340" t="s">
        <v>43</v>
      </c>
      <c r="D340">
        <v>133</v>
      </c>
      <c r="E340">
        <v>3360</v>
      </c>
      <c r="F340" s="3">
        <v>204</v>
      </c>
      <c r="G340">
        <v>13</v>
      </c>
      <c r="H340">
        <v>9</v>
      </c>
      <c r="I340" s="5">
        <v>6.7669172932330796E-2</v>
      </c>
      <c r="J340" s="3">
        <v>338</v>
      </c>
      <c r="K340" s="1">
        <v>45610</v>
      </c>
      <c r="L340" t="s">
        <v>25</v>
      </c>
      <c r="M340" t="s">
        <v>31</v>
      </c>
      <c r="N340" t="s">
        <v>44</v>
      </c>
      <c r="O340" t="s">
        <v>28</v>
      </c>
      <c r="P340" t="s">
        <v>54</v>
      </c>
      <c r="Q340" s="6">
        <v>1.5321804511278101</v>
      </c>
      <c r="R340">
        <v>3.96</v>
      </c>
      <c r="S340">
        <v>15.68</v>
      </c>
      <c r="T340">
        <v>22.64</v>
      </c>
      <c r="U340">
        <v>65.87</v>
      </c>
      <c r="V340">
        <v>37.56</v>
      </c>
      <c r="W340">
        <v>1.66</v>
      </c>
    </row>
    <row r="341" spans="1:23" x14ac:dyDescent="0.3">
      <c r="A341">
        <v>339</v>
      </c>
      <c r="B341" t="s">
        <v>384</v>
      </c>
      <c r="C341" t="s">
        <v>24</v>
      </c>
      <c r="D341">
        <v>135</v>
      </c>
      <c r="E341">
        <v>5891</v>
      </c>
      <c r="F341" s="3">
        <v>246</v>
      </c>
      <c r="G341">
        <v>21</v>
      </c>
      <c r="H341">
        <v>6</v>
      </c>
      <c r="I341" s="5">
        <v>4.4444444444444398E-2</v>
      </c>
      <c r="J341" s="3">
        <v>397</v>
      </c>
      <c r="K341" s="1">
        <v>45601</v>
      </c>
      <c r="L341" t="s">
        <v>25</v>
      </c>
      <c r="M341" t="s">
        <v>31</v>
      </c>
      <c r="N341" t="s">
        <v>27</v>
      </c>
      <c r="O341" t="s">
        <v>28</v>
      </c>
      <c r="P341" t="s">
        <v>41</v>
      </c>
      <c r="Q341" s="6">
        <v>1.81992592592592</v>
      </c>
      <c r="R341">
        <v>2.29</v>
      </c>
      <c r="S341">
        <v>11.7</v>
      </c>
      <c r="T341">
        <v>40.950000000000003</v>
      </c>
      <c r="U341">
        <v>61.59</v>
      </c>
      <c r="V341">
        <v>66.17</v>
      </c>
      <c r="W341">
        <v>1.62</v>
      </c>
    </row>
    <row r="342" spans="1:23" x14ac:dyDescent="0.3">
      <c r="A342">
        <v>340</v>
      </c>
      <c r="B342" t="s">
        <v>385</v>
      </c>
      <c r="C342" t="s">
        <v>38</v>
      </c>
      <c r="D342">
        <v>155</v>
      </c>
      <c r="E342">
        <v>5835</v>
      </c>
      <c r="F342" s="3">
        <v>240</v>
      </c>
      <c r="G342">
        <v>10</v>
      </c>
      <c r="H342">
        <v>4</v>
      </c>
      <c r="I342" s="5">
        <v>2.5806451612903201E-2</v>
      </c>
      <c r="J342" s="3">
        <v>186.85714285714201</v>
      </c>
      <c r="K342" s="1">
        <v>45609</v>
      </c>
      <c r="L342" t="s">
        <v>25</v>
      </c>
      <c r="M342" t="s">
        <v>31</v>
      </c>
      <c r="N342" t="s">
        <v>49</v>
      </c>
      <c r="O342" t="s">
        <v>28</v>
      </c>
      <c r="P342" t="s">
        <v>33</v>
      </c>
      <c r="Q342" s="6">
        <v>1.54529032258064</v>
      </c>
      <c r="R342">
        <v>2.66</v>
      </c>
      <c r="S342">
        <v>23.95</v>
      </c>
      <c r="T342">
        <v>59.88</v>
      </c>
      <c r="U342">
        <v>-21.99</v>
      </c>
      <c r="V342">
        <v>46.71</v>
      </c>
      <c r="W342">
        <v>0.78</v>
      </c>
    </row>
    <row r="343" spans="1:23" x14ac:dyDescent="0.3">
      <c r="A343">
        <v>341</v>
      </c>
      <c r="B343" t="s">
        <v>386</v>
      </c>
      <c r="C343" t="s">
        <v>35</v>
      </c>
      <c r="D343">
        <v>100</v>
      </c>
      <c r="E343">
        <v>4928</v>
      </c>
      <c r="F343" s="3">
        <v>187</v>
      </c>
      <c r="G343">
        <v>22</v>
      </c>
      <c r="H343">
        <v>10</v>
      </c>
      <c r="I343" s="5">
        <v>0.1</v>
      </c>
      <c r="J343" s="3">
        <v>219</v>
      </c>
      <c r="K343" s="1">
        <v>45619</v>
      </c>
      <c r="L343" t="s">
        <v>25</v>
      </c>
      <c r="M343" t="s">
        <v>31</v>
      </c>
      <c r="N343" t="s">
        <v>49</v>
      </c>
      <c r="O343" t="s">
        <v>28</v>
      </c>
      <c r="P343" t="s">
        <v>29</v>
      </c>
      <c r="Q343" s="6">
        <v>1.8668</v>
      </c>
      <c r="R343">
        <v>2.0299999999999998</v>
      </c>
      <c r="S343">
        <v>8.49</v>
      </c>
      <c r="T343">
        <v>18.670000000000002</v>
      </c>
      <c r="U343">
        <v>17.309999999999999</v>
      </c>
      <c r="V343">
        <v>21.9</v>
      </c>
      <c r="W343">
        <v>1.17</v>
      </c>
    </row>
    <row r="344" spans="1:23" x14ac:dyDescent="0.3">
      <c r="A344">
        <v>342</v>
      </c>
      <c r="B344" t="s">
        <v>387</v>
      </c>
      <c r="C344" t="s">
        <v>38</v>
      </c>
      <c r="D344">
        <v>138</v>
      </c>
      <c r="E344">
        <v>4049</v>
      </c>
      <c r="F344" s="3">
        <v>183</v>
      </c>
      <c r="G344">
        <v>20</v>
      </c>
      <c r="H344">
        <v>7</v>
      </c>
      <c r="I344" s="5">
        <v>5.0724637681159403E-2</v>
      </c>
      <c r="J344" s="3">
        <v>264</v>
      </c>
      <c r="K344" s="1">
        <v>45616</v>
      </c>
      <c r="L344" t="s">
        <v>25</v>
      </c>
      <c r="M344" t="s">
        <v>31</v>
      </c>
      <c r="N344" t="s">
        <v>44</v>
      </c>
      <c r="O344" t="s">
        <v>28</v>
      </c>
      <c r="P344" t="s">
        <v>33</v>
      </c>
      <c r="Q344" s="6">
        <v>1.3236231884057901</v>
      </c>
      <c r="R344">
        <v>3.41</v>
      </c>
      <c r="S344">
        <v>9.1300000000000008</v>
      </c>
      <c r="T344">
        <v>26.09</v>
      </c>
      <c r="U344">
        <v>44.53</v>
      </c>
      <c r="V344">
        <v>37.71</v>
      </c>
      <c r="W344">
        <v>1.45</v>
      </c>
    </row>
    <row r="345" spans="1:23" x14ac:dyDescent="0.3">
      <c r="A345">
        <v>343</v>
      </c>
      <c r="B345" t="s">
        <v>388</v>
      </c>
      <c r="C345" t="s">
        <v>24</v>
      </c>
      <c r="D345">
        <v>109</v>
      </c>
      <c r="E345">
        <v>4114</v>
      </c>
      <c r="F345" s="3">
        <v>243</v>
      </c>
      <c r="G345">
        <v>18</v>
      </c>
      <c r="H345">
        <v>6</v>
      </c>
      <c r="I345" s="5">
        <v>5.5045871559633003E-2</v>
      </c>
      <c r="J345" s="3">
        <v>297</v>
      </c>
      <c r="K345" s="1">
        <v>45621</v>
      </c>
      <c r="L345" t="s">
        <v>25</v>
      </c>
      <c r="M345" t="s">
        <v>39</v>
      </c>
      <c r="N345" t="s">
        <v>27</v>
      </c>
      <c r="O345" t="s">
        <v>28</v>
      </c>
      <c r="P345" t="s">
        <v>59</v>
      </c>
      <c r="Q345" s="6">
        <v>2.2323853211009101</v>
      </c>
      <c r="R345">
        <v>2.65</v>
      </c>
      <c r="S345">
        <v>13.52</v>
      </c>
      <c r="T345">
        <v>40.56</v>
      </c>
      <c r="U345">
        <v>22.06</v>
      </c>
      <c r="V345">
        <v>49.5</v>
      </c>
      <c r="W345">
        <v>1.22</v>
      </c>
    </row>
    <row r="346" spans="1:23" x14ac:dyDescent="0.3">
      <c r="A346">
        <v>344</v>
      </c>
      <c r="B346" t="s">
        <v>389</v>
      </c>
      <c r="C346" t="s">
        <v>35</v>
      </c>
      <c r="D346">
        <v>124</v>
      </c>
      <c r="E346">
        <v>3947</v>
      </c>
      <c r="F346" s="3">
        <v>198</v>
      </c>
      <c r="G346">
        <v>11</v>
      </c>
      <c r="H346">
        <v>4</v>
      </c>
      <c r="I346" s="5">
        <v>3.2258064516128997E-2</v>
      </c>
      <c r="J346" s="3">
        <v>267</v>
      </c>
      <c r="K346" s="1">
        <v>45622</v>
      </c>
      <c r="L346" t="s">
        <v>25</v>
      </c>
      <c r="M346" t="s">
        <v>31</v>
      </c>
      <c r="N346" t="s">
        <v>32</v>
      </c>
      <c r="O346" t="s">
        <v>28</v>
      </c>
      <c r="P346" t="s">
        <v>41</v>
      </c>
      <c r="Q346" s="6">
        <v>1.59766129032258</v>
      </c>
      <c r="R346">
        <v>3.14</v>
      </c>
      <c r="S346">
        <v>18.010000000000002</v>
      </c>
      <c r="T346">
        <v>49.53</v>
      </c>
      <c r="U346">
        <v>34.770000000000003</v>
      </c>
      <c r="V346">
        <v>66.75</v>
      </c>
      <c r="W346">
        <v>1.35</v>
      </c>
    </row>
    <row r="347" spans="1:23" x14ac:dyDescent="0.3">
      <c r="A347">
        <v>345</v>
      </c>
      <c r="B347" t="s">
        <v>390</v>
      </c>
      <c r="C347" t="s">
        <v>38</v>
      </c>
      <c r="D347">
        <v>112</v>
      </c>
      <c r="E347">
        <v>3705</v>
      </c>
      <c r="F347" s="3">
        <v>239</v>
      </c>
      <c r="G347">
        <v>25</v>
      </c>
      <c r="H347">
        <v>5</v>
      </c>
      <c r="I347" s="5">
        <v>4.4642857142857102E-2</v>
      </c>
      <c r="J347" s="3">
        <v>307</v>
      </c>
      <c r="K347" s="1">
        <v>45598</v>
      </c>
      <c r="L347" t="s">
        <v>25</v>
      </c>
      <c r="M347" t="s">
        <v>39</v>
      </c>
      <c r="N347" t="s">
        <v>44</v>
      </c>
      <c r="O347" t="s">
        <v>28</v>
      </c>
      <c r="P347" t="s">
        <v>29</v>
      </c>
      <c r="Q347" s="6">
        <v>2.13625</v>
      </c>
      <c r="R347">
        <v>3.02</v>
      </c>
      <c r="S347">
        <v>9.57</v>
      </c>
      <c r="T347">
        <v>47.85</v>
      </c>
      <c r="U347">
        <v>28.31</v>
      </c>
      <c r="V347">
        <v>61.4</v>
      </c>
      <c r="W347">
        <v>1.28</v>
      </c>
    </row>
    <row r="348" spans="1:23" x14ac:dyDescent="0.3">
      <c r="A348">
        <v>346</v>
      </c>
      <c r="B348" t="s">
        <v>391</v>
      </c>
      <c r="C348" t="s">
        <v>43</v>
      </c>
      <c r="D348">
        <v>197</v>
      </c>
      <c r="E348">
        <v>5365</v>
      </c>
      <c r="F348" s="3">
        <v>209</v>
      </c>
      <c r="G348">
        <v>14</v>
      </c>
      <c r="H348">
        <v>4</v>
      </c>
      <c r="I348" s="5">
        <v>2.03045685279187E-2</v>
      </c>
      <c r="J348" s="3">
        <v>226</v>
      </c>
      <c r="K348" s="1">
        <v>45597</v>
      </c>
      <c r="L348" t="s">
        <v>25</v>
      </c>
      <c r="M348" t="s">
        <v>39</v>
      </c>
      <c r="N348" t="s">
        <v>40</v>
      </c>
      <c r="O348" t="s">
        <v>28</v>
      </c>
      <c r="P348" t="s">
        <v>45</v>
      </c>
      <c r="Q348" s="6">
        <v>1.06020304568527</v>
      </c>
      <c r="R348">
        <v>3.67</v>
      </c>
      <c r="S348">
        <v>14.92</v>
      </c>
      <c r="T348">
        <v>52.22</v>
      </c>
      <c r="U348">
        <v>8.2100000000000009</v>
      </c>
      <c r="V348">
        <v>56.5</v>
      </c>
      <c r="W348">
        <v>1.08</v>
      </c>
    </row>
    <row r="349" spans="1:23" x14ac:dyDescent="0.3">
      <c r="A349">
        <v>347</v>
      </c>
      <c r="B349" t="s">
        <v>392</v>
      </c>
      <c r="C349" t="s">
        <v>38</v>
      </c>
      <c r="D349">
        <v>114</v>
      </c>
      <c r="E349">
        <v>5213</v>
      </c>
      <c r="F349" s="3">
        <v>225</v>
      </c>
      <c r="G349">
        <v>26</v>
      </c>
      <c r="H349">
        <v>4</v>
      </c>
      <c r="I349" s="5">
        <v>3.5087719298245598E-2</v>
      </c>
      <c r="J349" s="3">
        <v>249</v>
      </c>
      <c r="K349" s="1">
        <v>45625</v>
      </c>
      <c r="L349" t="s">
        <v>25</v>
      </c>
      <c r="M349" t="s">
        <v>39</v>
      </c>
      <c r="N349" t="s">
        <v>44</v>
      </c>
      <c r="O349" t="s">
        <v>28</v>
      </c>
      <c r="P349" t="s">
        <v>45</v>
      </c>
      <c r="Q349" s="6">
        <v>1.9706140350877099</v>
      </c>
      <c r="R349">
        <v>2.19</v>
      </c>
      <c r="S349">
        <v>8.64</v>
      </c>
      <c r="T349">
        <v>56.16</v>
      </c>
      <c r="U349">
        <v>10.84</v>
      </c>
      <c r="V349">
        <v>62.25</v>
      </c>
      <c r="W349">
        <v>1.1100000000000001</v>
      </c>
    </row>
    <row r="350" spans="1:23" x14ac:dyDescent="0.3">
      <c r="A350">
        <v>348</v>
      </c>
      <c r="B350" t="s">
        <v>393</v>
      </c>
      <c r="C350" t="s">
        <v>35</v>
      </c>
      <c r="D350">
        <v>117</v>
      </c>
      <c r="E350">
        <v>3951</v>
      </c>
      <c r="F350" s="3">
        <v>212</v>
      </c>
      <c r="G350">
        <v>16</v>
      </c>
      <c r="H350">
        <v>5</v>
      </c>
      <c r="I350" s="5">
        <v>4.2735042735042701E-2</v>
      </c>
      <c r="J350" s="3">
        <v>398</v>
      </c>
      <c r="K350" s="1">
        <v>45606</v>
      </c>
      <c r="L350" t="s">
        <v>25</v>
      </c>
      <c r="M350" t="s">
        <v>26</v>
      </c>
      <c r="N350" t="s">
        <v>40</v>
      </c>
      <c r="O350" t="s">
        <v>28</v>
      </c>
      <c r="P350" t="s">
        <v>50</v>
      </c>
      <c r="Q350" s="6">
        <v>1.81213675213675</v>
      </c>
      <c r="R350">
        <v>2.96</v>
      </c>
      <c r="S350">
        <v>13.25</v>
      </c>
      <c r="T350">
        <v>42.4</v>
      </c>
      <c r="U350">
        <v>87.72</v>
      </c>
      <c r="V350">
        <v>79.599999999999994</v>
      </c>
      <c r="W350">
        <v>1.88</v>
      </c>
    </row>
    <row r="351" spans="1:23" x14ac:dyDescent="0.3">
      <c r="A351">
        <v>349</v>
      </c>
      <c r="B351" t="s">
        <v>394</v>
      </c>
      <c r="C351" t="s">
        <v>43</v>
      </c>
      <c r="D351">
        <v>198</v>
      </c>
      <c r="E351">
        <v>3405</v>
      </c>
      <c r="F351" s="3">
        <v>225</v>
      </c>
      <c r="G351">
        <v>13</v>
      </c>
      <c r="H351">
        <v>10</v>
      </c>
      <c r="I351" s="5">
        <v>5.0505050505050497E-2</v>
      </c>
      <c r="J351" s="3">
        <v>333</v>
      </c>
      <c r="K351" s="1">
        <v>45610</v>
      </c>
      <c r="L351" t="s">
        <v>25</v>
      </c>
      <c r="M351" t="s">
        <v>39</v>
      </c>
      <c r="N351" t="s">
        <v>44</v>
      </c>
      <c r="O351" t="s">
        <v>28</v>
      </c>
      <c r="P351" t="s">
        <v>54</v>
      </c>
      <c r="Q351" s="6">
        <v>1.1358585858585799</v>
      </c>
      <c r="R351">
        <v>5.81</v>
      </c>
      <c r="S351">
        <v>17.3</v>
      </c>
      <c r="T351">
        <v>22.49</v>
      </c>
      <c r="U351">
        <v>48.07</v>
      </c>
      <c r="V351">
        <v>33.299999999999997</v>
      </c>
      <c r="W351">
        <v>1.48</v>
      </c>
    </row>
    <row r="352" spans="1:23" x14ac:dyDescent="0.3">
      <c r="A352">
        <v>350</v>
      </c>
      <c r="B352" t="s">
        <v>395</v>
      </c>
      <c r="C352" t="s">
        <v>38</v>
      </c>
      <c r="D352">
        <v>160</v>
      </c>
      <c r="E352">
        <v>5367</v>
      </c>
      <c r="F352" s="3">
        <v>208</v>
      </c>
      <c r="G352">
        <v>20</v>
      </c>
      <c r="H352">
        <v>8</v>
      </c>
      <c r="I352" s="5">
        <v>0.05</v>
      </c>
      <c r="J352" s="3">
        <v>378</v>
      </c>
      <c r="K352" s="1">
        <v>45611</v>
      </c>
      <c r="L352" t="s">
        <v>25</v>
      </c>
      <c r="M352" t="s">
        <v>39</v>
      </c>
      <c r="N352" t="s">
        <v>32</v>
      </c>
      <c r="O352" t="s">
        <v>28</v>
      </c>
      <c r="P352" t="s">
        <v>45</v>
      </c>
      <c r="Q352" s="6">
        <v>1.3029375000000001</v>
      </c>
      <c r="R352">
        <v>2.98</v>
      </c>
      <c r="S352">
        <v>10.42</v>
      </c>
      <c r="T352">
        <v>26.06</v>
      </c>
      <c r="U352">
        <v>81.319999999999993</v>
      </c>
      <c r="V352">
        <v>47.25</v>
      </c>
      <c r="W352">
        <v>1.81</v>
      </c>
    </row>
    <row r="353" spans="1:23" x14ac:dyDescent="0.3">
      <c r="A353">
        <v>351</v>
      </c>
      <c r="B353" t="s">
        <v>396</v>
      </c>
      <c r="C353" t="s">
        <v>24</v>
      </c>
      <c r="D353">
        <v>137</v>
      </c>
      <c r="E353">
        <v>3602</v>
      </c>
      <c r="F353" s="3">
        <v>195</v>
      </c>
      <c r="G353">
        <v>23</v>
      </c>
      <c r="H353">
        <v>5</v>
      </c>
      <c r="I353" s="5">
        <v>3.6496350364963501E-2</v>
      </c>
      <c r="J353" s="3">
        <v>322</v>
      </c>
      <c r="K353" s="1">
        <v>45598</v>
      </c>
      <c r="L353" t="s">
        <v>25</v>
      </c>
      <c r="M353" t="s">
        <v>39</v>
      </c>
      <c r="N353" t="s">
        <v>32</v>
      </c>
      <c r="O353" t="s">
        <v>28</v>
      </c>
      <c r="P353" t="s">
        <v>29</v>
      </c>
      <c r="Q353" s="6">
        <v>1.4200729927007301</v>
      </c>
      <c r="R353">
        <v>3.8</v>
      </c>
      <c r="S353">
        <v>8.4600000000000009</v>
      </c>
      <c r="T353">
        <v>38.909999999999997</v>
      </c>
      <c r="U353">
        <v>65.510000000000005</v>
      </c>
      <c r="V353">
        <v>64.400000000000006</v>
      </c>
      <c r="W353">
        <v>1.66</v>
      </c>
    </row>
    <row r="354" spans="1:23" x14ac:dyDescent="0.3">
      <c r="A354">
        <v>352</v>
      </c>
      <c r="B354" t="s">
        <v>397</v>
      </c>
      <c r="C354" t="s">
        <v>35</v>
      </c>
      <c r="D354">
        <v>163</v>
      </c>
      <c r="E354">
        <v>3917</v>
      </c>
      <c r="F354" s="3">
        <v>209</v>
      </c>
      <c r="G354">
        <v>10</v>
      </c>
      <c r="H354">
        <v>3</v>
      </c>
      <c r="I354" s="5">
        <v>1.84049079754601E-2</v>
      </c>
      <c r="J354" s="3">
        <v>372</v>
      </c>
      <c r="K354" s="1">
        <v>45613</v>
      </c>
      <c r="L354" t="s">
        <v>25</v>
      </c>
      <c r="M354" t="s">
        <v>39</v>
      </c>
      <c r="N354" t="s">
        <v>40</v>
      </c>
      <c r="O354" t="s">
        <v>28</v>
      </c>
      <c r="P354" t="s">
        <v>50</v>
      </c>
      <c r="Q354" s="6">
        <v>1.2822699386503</v>
      </c>
      <c r="R354">
        <v>4.16</v>
      </c>
      <c r="S354">
        <v>20.9</v>
      </c>
      <c r="T354">
        <v>69.67</v>
      </c>
      <c r="U354">
        <v>77.98</v>
      </c>
      <c r="V354">
        <v>124</v>
      </c>
      <c r="W354">
        <v>1.78</v>
      </c>
    </row>
    <row r="355" spans="1:23" x14ac:dyDescent="0.3">
      <c r="A355">
        <v>353</v>
      </c>
      <c r="B355" t="s">
        <v>398</v>
      </c>
      <c r="C355" t="s">
        <v>43</v>
      </c>
      <c r="D355">
        <v>138</v>
      </c>
      <c r="E355">
        <v>5671</v>
      </c>
      <c r="F355" s="3">
        <v>244</v>
      </c>
      <c r="G355">
        <v>26</v>
      </c>
      <c r="H355">
        <v>3</v>
      </c>
      <c r="I355" s="5">
        <v>2.1739130434782601E-2</v>
      </c>
      <c r="J355" s="3">
        <v>140.142857142857</v>
      </c>
      <c r="K355" s="1">
        <v>45609</v>
      </c>
      <c r="L355" t="s">
        <v>25</v>
      </c>
      <c r="M355" t="s">
        <v>39</v>
      </c>
      <c r="N355" t="s">
        <v>49</v>
      </c>
      <c r="O355" t="s">
        <v>28</v>
      </c>
      <c r="P355" t="s">
        <v>33</v>
      </c>
      <c r="Q355" s="6">
        <v>1.76898550724637</v>
      </c>
      <c r="R355">
        <v>2.4300000000000002</v>
      </c>
      <c r="S355">
        <v>9.39</v>
      </c>
      <c r="T355">
        <v>81.37</v>
      </c>
      <c r="U355">
        <v>-42.59</v>
      </c>
      <c r="V355">
        <v>46.71</v>
      </c>
      <c r="W355">
        <v>0.56999999999999995</v>
      </c>
    </row>
    <row r="356" spans="1:23" x14ac:dyDescent="0.3">
      <c r="A356">
        <v>354</v>
      </c>
      <c r="B356" t="s">
        <v>399</v>
      </c>
      <c r="C356" t="s">
        <v>43</v>
      </c>
      <c r="D356">
        <v>194</v>
      </c>
      <c r="E356">
        <v>5019</v>
      </c>
      <c r="F356" s="3">
        <v>228</v>
      </c>
      <c r="G356">
        <v>28</v>
      </c>
      <c r="H356">
        <v>7</v>
      </c>
      <c r="I356" s="5">
        <v>3.60824742268041E-2</v>
      </c>
      <c r="J356" s="3">
        <v>208</v>
      </c>
      <c r="K356" s="1">
        <v>45618</v>
      </c>
      <c r="L356" t="s">
        <v>25</v>
      </c>
      <c r="M356" t="s">
        <v>31</v>
      </c>
      <c r="N356" t="s">
        <v>27</v>
      </c>
      <c r="O356" t="s">
        <v>28</v>
      </c>
      <c r="P356" t="s">
        <v>45</v>
      </c>
      <c r="Q356" s="6">
        <v>1.17355670103092</v>
      </c>
      <c r="R356">
        <v>3.87</v>
      </c>
      <c r="S356">
        <v>8.1300000000000008</v>
      </c>
      <c r="T356">
        <v>32.520000000000003</v>
      </c>
      <c r="U356">
        <v>-8.64</v>
      </c>
      <c r="V356">
        <v>29.71</v>
      </c>
      <c r="W356">
        <v>0.91</v>
      </c>
    </row>
    <row r="357" spans="1:23" x14ac:dyDescent="0.3">
      <c r="A357">
        <v>355</v>
      </c>
      <c r="B357" t="s">
        <v>400</v>
      </c>
      <c r="C357" t="s">
        <v>43</v>
      </c>
      <c r="D357">
        <v>177</v>
      </c>
      <c r="E357">
        <v>3569</v>
      </c>
      <c r="F357" s="3">
        <v>190</v>
      </c>
      <c r="G357">
        <v>13</v>
      </c>
      <c r="H357">
        <v>8</v>
      </c>
      <c r="I357" s="5">
        <v>4.5197740112994302E-2</v>
      </c>
      <c r="J357" s="3">
        <v>286</v>
      </c>
      <c r="K357" s="1">
        <v>45621</v>
      </c>
      <c r="L357" t="s">
        <v>25</v>
      </c>
      <c r="M357" t="s">
        <v>31</v>
      </c>
      <c r="N357" t="s">
        <v>44</v>
      </c>
      <c r="O357" t="s">
        <v>28</v>
      </c>
      <c r="P357" t="s">
        <v>59</v>
      </c>
      <c r="Q357" s="6">
        <v>1.07519774011299</v>
      </c>
      <c r="R357">
        <v>4.96</v>
      </c>
      <c r="S357">
        <v>14.64</v>
      </c>
      <c r="T357">
        <v>23.79</v>
      </c>
      <c r="U357">
        <v>50.28</v>
      </c>
      <c r="V357">
        <v>35.75</v>
      </c>
      <c r="W357">
        <v>1.5</v>
      </c>
    </row>
    <row r="358" spans="1:23" x14ac:dyDescent="0.3">
      <c r="A358">
        <v>356</v>
      </c>
      <c r="B358" t="s">
        <v>401</v>
      </c>
      <c r="C358" t="s">
        <v>24</v>
      </c>
      <c r="D358">
        <v>113</v>
      </c>
      <c r="E358">
        <v>3420</v>
      </c>
      <c r="F358" s="3">
        <v>223</v>
      </c>
      <c r="G358">
        <v>22</v>
      </c>
      <c r="H358">
        <v>10</v>
      </c>
      <c r="I358" s="5">
        <v>8.8495575221238895E-2</v>
      </c>
      <c r="J358" s="3">
        <v>232</v>
      </c>
      <c r="K358" s="1">
        <v>45619</v>
      </c>
      <c r="L358" t="s">
        <v>25</v>
      </c>
      <c r="M358" t="s">
        <v>31</v>
      </c>
      <c r="N358" t="s">
        <v>44</v>
      </c>
      <c r="O358" t="s">
        <v>28</v>
      </c>
      <c r="P358" t="s">
        <v>29</v>
      </c>
      <c r="Q358" s="6">
        <v>1.97769911504424</v>
      </c>
      <c r="R358">
        <v>3.3</v>
      </c>
      <c r="S358">
        <v>10.16</v>
      </c>
      <c r="T358">
        <v>22.35</v>
      </c>
      <c r="U358">
        <v>3.81</v>
      </c>
      <c r="V358">
        <v>23.2</v>
      </c>
      <c r="W358">
        <v>1.04</v>
      </c>
    </row>
    <row r="359" spans="1:23" x14ac:dyDescent="0.3">
      <c r="A359">
        <v>357</v>
      </c>
      <c r="B359" t="s">
        <v>402</v>
      </c>
      <c r="C359" t="s">
        <v>35</v>
      </c>
      <c r="D359">
        <v>133</v>
      </c>
      <c r="E359">
        <v>3064</v>
      </c>
      <c r="F359" s="3">
        <v>222</v>
      </c>
      <c r="G359">
        <v>22</v>
      </c>
      <c r="H359">
        <v>5</v>
      </c>
      <c r="I359" s="5">
        <v>3.7593984962405999E-2</v>
      </c>
      <c r="J359" s="3">
        <v>314</v>
      </c>
      <c r="K359" s="1">
        <v>45607</v>
      </c>
      <c r="L359" t="s">
        <v>25</v>
      </c>
      <c r="M359" t="s">
        <v>31</v>
      </c>
      <c r="N359" t="s">
        <v>27</v>
      </c>
      <c r="O359" t="s">
        <v>28</v>
      </c>
      <c r="P359" t="s">
        <v>59</v>
      </c>
      <c r="Q359" s="6">
        <v>1.6676691729323301</v>
      </c>
      <c r="R359">
        <v>4.34</v>
      </c>
      <c r="S359">
        <v>10.08</v>
      </c>
      <c r="T359">
        <v>44.36</v>
      </c>
      <c r="U359">
        <v>41.57</v>
      </c>
      <c r="V359">
        <v>62.8</v>
      </c>
      <c r="W359">
        <v>1.42</v>
      </c>
    </row>
    <row r="360" spans="1:23" x14ac:dyDescent="0.3">
      <c r="A360">
        <v>358</v>
      </c>
      <c r="B360" t="s">
        <v>403</v>
      </c>
      <c r="C360" t="s">
        <v>24</v>
      </c>
      <c r="D360">
        <v>118</v>
      </c>
      <c r="E360">
        <v>3730</v>
      </c>
      <c r="F360" s="3">
        <v>208</v>
      </c>
      <c r="G360">
        <v>25</v>
      </c>
      <c r="H360">
        <v>8</v>
      </c>
      <c r="I360" s="5">
        <v>6.7796610169491497E-2</v>
      </c>
      <c r="J360" s="3">
        <v>206</v>
      </c>
      <c r="K360" s="1">
        <v>45608</v>
      </c>
      <c r="L360" t="s">
        <v>25</v>
      </c>
      <c r="M360" t="s">
        <v>31</v>
      </c>
      <c r="N360" t="s">
        <v>40</v>
      </c>
      <c r="O360" t="s">
        <v>28</v>
      </c>
      <c r="P360" t="s">
        <v>41</v>
      </c>
      <c r="Q360" s="6">
        <v>1.75847457627118</v>
      </c>
      <c r="R360">
        <v>3.16</v>
      </c>
      <c r="S360">
        <v>8.3000000000000007</v>
      </c>
      <c r="T360">
        <v>25.94</v>
      </c>
      <c r="U360">
        <v>-0.72</v>
      </c>
      <c r="V360">
        <v>25.75</v>
      </c>
      <c r="W360">
        <v>0.99</v>
      </c>
    </row>
    <row r="361" spans="1:23" x14ac:dyDescent="0.3">
      <c r="A361">
        <v>359</v>
      </c>
      <c r="B361" t="s">
        <v>404</v>
      </c>
      <c r="C361" t="s">
        <v>38</v>
      </c>
      <c r="D361">
        <v>109</v>
      </c>
      <c r="E361">
        <v>5852</v>
      </c>
      <c r="F361" s="3">
        <v>235</v>
      </c>
      <c r="G361">
        <v>20</v>
      </c>
      <c r="H361">
        <v>5</v>
      </c>
      <c r="I361" s="5">
        <v>4.5871559633027498E-2</v>
      </c>
      <c r="J361" s="3">
        <v>397</v>
      </c>
      <c r="K361" s="1">
        <v>45610</v>
      </c>
      <c r="L361" t="s">
        <v>25</v>
      </c>
      <c r="M361" t="s">
        <v>26</v>
      </c>
      <c r="N361" t="s">
        <v>49</v>
      </c>
      <c r="O361" t="s">
        <v>28</v>
      </c>
      <c r="P361" t="s">
        <v>54</v>
      </c>
      <c r="Q361" s="6">
        <v>2.16</v>
      </c>
      <c r="R361">
        <v>1.86</v>
      </c>
      <c r="S361">
        <v>11.77</v>
      </c>
      <c r="T361">
        <v>47.09</v>
      </c>
      <c r="U361">
        <v>68.62</v>
      </c>
      <c r="V361">
        <v>79.400000000000006</v>
      </c>
      <c r="W361">
        <v>1.69</v>
      </c>
    </row>
    <row r="362" spans="1:23" x14ac:dyDescent="0.3">
      <c r="A362">
        <v>360</v>
      </c>
      <c r="B362" t="s">
        <v>405</v>
      </c>
      <c r="C362" t="s">
        <v>35</v>
      </c>
      <c r="D362">
        <v>109</v>
      </c>
      <c r="E362">
        <v>4011</v>
      </c>
      <c r="F362" s="3">
        <v>185</v>
      </c>
      <c r="G362">
        <v>13</v>
      </c>
      <c r="H362">
        <v>6</v>
      </c>
      <c r="I362" s="5">
        <v>5.5045871559633003E-2</v>
      </c>
      <c r="J362" s="3">
        <v>281</v>
      </c>
      <c r="K362" s="1">
        <v>45619</v>
      </c>
      <c r="L362" t="s">
        <v>25</v>
      </c>
      <c r="M362" t="s">
        <v>26</v>
      </c>
      <c r="N362" t="s">
        <v>36</v>
      </c>
      <c r="O362" t="s">
        <v>28</v>
      </c>
      <c r="P362" t="s">
        <v>29</v>
      </c>
      <c r="Q362" s="6">
        <v>1.69275229357798</v>
      </c>
      <c r="R362">
        <v>2.72</v>
      </c>
      <c r="S362">
        <v>14.19</v>
      </c>
      <c r="T362">
        <v>30.75</v>
      </c>
      <c r="U362">
        <v>52.3</v>
      </c>
      <c r="V362">
        <v>46.83</v>
      </c>
      <c r="W362">
        <v>1.52</v>
      </c>
    </row>
    <row r="363" spans="1:23" x14ac:dyDescent="0.3">
      <c r="A363">
        <v>361</v>
      </c>
      <c r="B363" t="s">
        <v>406</v>
      </c>
      <c r="C363" t="s">
        <v>38</v>
      </c>
      <c r="D363">
        <v>128</v>
      </c>
      <c r="E363">
        <v>4636</v>
      </c>
      <c r="F363" s="3">
        <v>244</v>
      </c>
      <c r="G363">
        <v>20</v>
      </c>
      <c r="H363">
        <v>10</v>
      </c>
      <c r="I363" s="5">
        <v>7.8125E-2</v>
      </c>
      <c r="J363" s="3">
        <v>396</v>
      </c>
      <c r="K363" s="1">
        <v>45598</v>
      </c>
      <c r="L363" t="s">
        <v>25</v>
      </c>
      <c r="M363" t="s">
        <v>31</v>
      </c>
      <c r="N363" t="s">
        <v>40</v>
      </c>
      <c r="O363" t="s">
        <v>28</v>
      </c>
      <c r="P363" t="s">
        <v>29</v>
      </c>
      <c r="Q363" s="6">
        <v>1.9049218750000001</v>
      </c>
      <c r="R363">
        <v>2.76</v>
      </c>
      <c r="S363">
        <v>12.19</v>
      </c>
      <c r="T363">
        <v>24.38</v>
      </c>
      <c r="U363">
        <v>62.41</v>
      </c>
      <c r="V363">
        <v>39.6</v>
      </c>
      <c r="W363">
        <v>1.62</v>
      </c>
    </row>
    <row r="364" spans="1:23" x14ac:dyDescent="0.3">
      <c r="A364">
        <v>362</v>
      </c>
      <c r="B364" t="s">
        <v>407</v>
      </c>
      <c r="C364" t="s">
        <v>43</v>
      </c>
      <c r="D364">
        <v>181</v>
      </c>
      <c r="E364">
        <v>3087</v>
      </c>
      <c r="F364" s="3">
        <v>201</v>
      </c>
      <c r="G364">
        <v>19</v>
      </c>
      <c r="H364">
        <v>10</v>
      </c>
      <c r="I364" s="5">
        <v>5.5248618784530301E-2</v>
      </c>
      <c r="J364" s="3">
        <v>467.142857142857</v>
      </c>
      <c r="K364" s="1">
        <v>45616</v>
      </c>
      <c r="L364" t="s">
        <v>25</v>
      </c>
      <c r="M364" t="s">
        <v>31</v>
      </c>
      <c r="N364" t="s">
        <v>36</v>
      </c>
      <c r="O364" t="s">
        <v>28</v>
      </c>
      <c r="P364" t="s">
        <v>33</v>
      </c>
      <c r="Q364" s="6">
        <v>1.11209944751381</v>
      </c>
      <c r="R364">
        <v>5.86</v>
      </c>
      <c r="S364">
        <v>10.59</v>
      </c>
      <c r="T364">
        <v>20.13</v>
      </c>
      <c r="U364">
        <v>132.07</v>
      </c>
      <c r="V364">
        <v>46.71</v>
      </c>
      <c r="W364">
        <v>2.3199999999999998</v>
      </c>
    </row>
    <row r="365" spans="1:23" x14ac:dyDescent="0.3">
      <c r="A365">
        <v>363</v>
      </c>
      <c r="B365" t="s">
        <v>408</v>
      </c>
      <c r="C365" t="s">
        <v>43</v>
      </c>
      <c r="D365">
        <v>89</v>
      </c>
      <c r="E365">
        <v>5872</v>
      </c>
      <c r="F365" s="3">
        <v>198</v>
      </c>
      <c r="G365">
        <v>14</v>
      </c>
      <c r="H365">
        <v>6</v>
      </c>
      <c r="I365" s="5">
        <v>6.7415730337078594E-2</v>
      </c>
      <c r="J365" s="3">
        <v>317</v>
      </c>
      <c r="K365" s="1">
        <v>45616</v>
      </c>
      <c r="L365" t="s">
        <v>25</v>
      </c>
      <c r="M365" t="s">
        <v>31</v>
      </c>
      <c r="N365" t="s">
        <v>44</v>
      </c>
      <c r="O365" t="s">
        <v>28</v>
      </c>
      <c r="P365" t="s">
        <v>33</v>
      </c>
      <c r="Q365" s="6">
        <v>2.22831460674157</v>
      </c>
      <c r="R365">
        <v>1.52</v>
      </c>
      <c r="S365">
        <v>14.17</v>
      </c>
      <c r="T365">
        <v>33.049999999999997</v>
      </c>
      <c r="U365">
        <v>59.84</v>
      </c>
      <c r="V365">
        <v>52.83</v>
      </c>
      <c r="W365">
        <v>1.6</v>
      </c>
    </row>
    <row r="366" spans="1:23" x14ac:dyDescent="0.3">
      <c r="A366">
        <v>364</v>
      </c>
      <c r="B366" t="s">
        <v>409</v>
      </c>
      <c r="C366" t="s">
        <v>43</v>
      </c>
      <c r="D366">
        <v>157</v>
      </c>
      <c r="E366">
        <v>5762</v>
      </c>
      <c r="F366" s="3">
        <v>248</v>
      </c>
      <c r="G366">
        <v>26</v>
      </c>
      <c r="H366">
        <v>4</v>
      </c>
      <c r="I366" s="5">
        <v>2.54777070063694E-2</v>
      </c>
      <c r="J366" s="3">
        <v>408</v>
      </c>
      <c r="K366" s="1">
        <v>45601</v>
      </c>
      <c r="L366" t="s">
        <v>25</v>
      </c>
      <c r="M366" t="s">
        <v>39</v>
      </c>
      <c r="N366" t="s">
        <v>36</v>
      </c>
      <c r="O366" t="s">
        <v>28</v>
      </c>
      <c r="P366" t="s">
        <v>41</v>
      </c>
      <c r="Q366" s="6">
        <v>1.5802547770700599</v>
      </c>
      <c r="R366">
        <v>2.72</v>
      </c>
      <c r="S366">
        <v>9.5399999999999991</v>
      </c>
      <c r="T366">
        <v>62.02</v>
      </c>
      <c r="U366">
        <v>64.45</v>
      </c>
      <c r="V366">
        <v>102</v>
      </c>
      <c r="W366">
        <v>1.64</v>
      </c>
    </row>
    <row r="367" spans="1:23" x14ac:dyDescent="0.3">
      <c r="A367">
        <v>365</v>
      </c>
      <c r="B367" t="s">
        <v>410</v>
      </c>
      <c r="C367" t="s">
        <v>24</v>
      </c>
      <c r="D367">
        <v>88</v>
      </c>
      <c r="E367">
        <v>3396</v>
      </c>
      <c r="F367" s="3">
        <v>194</v>
      </c>
      <c r="G367">
        <v>19</v>
      </c>
      <c r="H367">
        <v>5</v>
      </c>
      <c r="I367" s="5">
        <v>5.6818181818181802E-2</v>
      </c>
      <c r="J367" s="3">
        <v>380</v>
      </c>
      <c r="K367" s="1">
        <v>45614</v>
      </c>
      <c r="L367" t="s">
        <v>25</v>
      </c>
      <c r="M367" t="s">
        <v>31</v>
      </c>
      <c r="N367" t="s">
        <v>44</v>
      </c>
      <c r="O367" t="s">
        <v>28</v>
      </c>
      <c r="P367" t="s">
        <v>59</v>
      </c>
      <c r="Q367" s="6">
        <v>2.20215909090909</v>
      </c>
      <c r="R367">
        <v>2.59</v>
      </c>
      <c r="S367">
        <v>10.199999999999999</v>
      </c>
      <c r="T367">
        <v>38.76</v>
      </c>
      <c r="U367">
        <v>96.09</v>
      </c>
      <c r="V367">
        <v>76</v>
      </c>
      <c r="W367">
        <v>1.96</v>
      </c>
    </row>
    <row r="368" spans="1:23" x14ac:dyDescent="0.3">
      <c r="A368">
        <v>366</v>
      </c>
      <c r="B368" t="s">
        <v>411</v>
      </c>
      <c r="C368" t="s">
        <v>24</v>
      </c>
      <c r="D368">
        <v>130</v>
      </c>
      <c r="E368">
        <v>3092</v>
      </c>
      <c r="F368" s="3">
        <v>211</v>
      </c>
      <c r="G368">
        <v>28</v>
      </c>
      <c r="H368">
        <v>7</v>
      </c>
      <c r="I368" s="5">
        <v>5.3846153846153801E-2</v>
      </c>
      <c r="J368" s="3">
        <v>210</v>
      </c>
      <c r="K368" s="1">
        <v>45620</v>
      </c>
      <c r="L368" t="s">
        <v>25</v>
      </c>
      <c r="M368" t="s">
        <v>39</v>
      </c>
      <c r="N368" t="s">
        <v>32</v>
      </c>
      <c r="O368" t="s">
        <v>28</v>
      </c>
      <c r="P368" t="s">
        <v>50</v>
      </c>
      <c r="Q368" s="6">
        <v>1.6260769230769201</v>
      </c>
      <c r="R368">
        <v>4.2</v>
      </c>
      <c r="S368">
        <v>7.55</v>
      </c>
      <c r="T368">
        <v>30.2</v>
      </c>
      <c r="U368">
        <v>-0.66</v>
      </c>
      <c r="V368">
        <v>30</v>
      </c>
      <c r="W368">
        <v>0.99</v>
      </c>
    </row>
    <row r="369" spans="1:23" x14ac:dyDescent="0.3">
      <c r="A369">
        <v>367</v>
      </c>
      <c r="B369" t="s">
        <v>412</v>
      </c>
      <c r="C369" t="s">
        <v>35</v>
      </c>
      <c r="D369">
        <v>194</v>
      </c>
      <c r="E369">
        <v>4240</v>
      </c>
      <c r="F369" s="3">
        <v>213</v>
      </c>
      <c r="G369">
        <v>18</v>
      </c>
      <c r="H369">
        <v>4</v>
      </c>
      <c r="I369" s="5">
        <v>2.06185567010309E-2</v>
      </c>
      <c r="J369" s="3">
        <v>386</v>
      </c>
      <c r="K369" s="1">
        <v>45619</v>
      </c>
      <c r="L369" t="s">
        <v>25</v>
      </c>
      <c r="M369" t="s">
        <v>39</v>
      </c>
      <c r="N369" t="s">
        <v>36</v>
      </c>
      <c r="O369" t="s">
        <v>28</v>
      </c>
      <c r="P369" t="s">
        <v>29</v>
      </c>
      <c r="Q369" s="6">
        <v>1.1002577319587601</v>
      </c>
      <c r="R369">
        <v>4.58</v>
      </c>
      <c r="S369">
        <v>11.86</v>
      </c>
      <c r="T369">
        <v>53.36</v>
      </c>
      <c r="U369">
        <v>80.84</v>
      </c>
      <c r="V369">
        <v>96.5</v>
      </c>
      <c r="W369">
        <v>1.81</v>
      </c>
    </row>
    <row r="370" spans="1:23" x14ac:dyDescent="0.3">
      <c r="A370">
        <v>368</v>
      </c>
      <c r="B370" t="s">
        <v>413</v>
      </c>
      <c r="C370" t="s">
        <v>24</v>
      </c>
      <c r="D370">
        <v>180</v>
      </c>
      <c r="E370">
        <v>4297</v>
      </c>
      <c r="F370" s="3">
        <v>200</v>
      </c>
      <c r="G370">
        <v>24</v>
      </c>
      <c r="H370">
        <v>5</v>
      </c>
      <c r="I370" s="5">
        <v>2.77777777777777E-2</v>
      </c>
      <c r="J370" s="3">
        <v>214</v>
      </c>
      <c r="K370" s="1">
        <v>45614</v>
      </c>
      <c r="L370" t="s">
        <v>25</v>
      </c>
      <c r="M370" t="s">
        <v>31</v>
      </c>
      <c r="N370" t="s">
        <v>32</v>
      </c>
      <c r="O370" t="s">
        <v>28</v>
      </c>
      <c r="P370" t="s">
        <v>59</v>
      </c>
      <c r="Q370" s="6">
        <v>1.11133333333333</v>
      </c>
      <c r="R370">
        <v>4.1900000000000004</v>
      </c>
      <c r="S370">
        <v>8.33</v>
      </c>
      <c r="T370">
        <v>40.01</v>
      </c>
      <c r="U370">
        <v>6.98</v>
      </c>
      <c r="V370">
        <v>42.8</v>
      </c>
      <c r="W370">
        <v>1.07</v>
      </c>
    </row>
    <row r="371" spans="1:23" x14ac:dyDescent="0.3">
      <c r="A371">
        <v>369</v>
      </c>
      <c r="B371" t="s">
        <v>414</v>
      </c>
      <c r="C371" t="s">
        <v>24</v>
      </c>
      <c r="D371">
        <v>167</v>
      </c>
      <c r="E371">
        <v>5518</v>
      </c>
      <c r="F371" s="3">
        <v>244</v>
      </c>
      <c r="G371">
        <v>15</v>
      </c>
      <c r="H371">
        <v>10</v>
      </c>
      <c r="I371" s="5">
        <v>5.9880239520958001E-2</v>
      </c>
      <c r="J371" s="3">
        <v>380</v>
      </c>
      <c r="K371" s="1">
        <v>45618</v>
      </c>
      <c r="L371" t="s">
        <v>25</v>
      </c>
      <c r="M371" t="s">
        <v>31</v>
      </c>
      <c r="N371" t="s">
        <v>36</v>
      </c>
      <c r="O371" t="s">
        <v>28</v>
      </c>
      <c r="P371" t="s">
        <v>45</v>
      </c>
      <c r="Q371" s="6">
        <v>1.4600598802395199</v>
      </c>
      <c r="R371">
        <v>3.03</v>
      </c>
      <c r="S371">
        <v>16.260000000000002</v>
      </c>
      <c r="T371">
        <v>24.38</v>
      </c>
      <c r="U371">
        <v>55.85</v>
      </c>
      <c r="V371">
        <v>38</v>
      </c>
      <c r="W371">
        <v>1.56</v>
      </c>
    </row>
    <row r="372" spans="1:23" x14ac:dyDescent="0.3">
      <c r="A372">
        <v>370</v>
      </c>
      <c r="B372" t="s">
        <v>415</v>
      </c>
      <c r="C372" t="s">
        <v>43</v>
      </c>
      <c r="D372">
        <v>153</v>
      </c>
      <c r="E372">
        <v>5039</v>
      </c>
      <c r="F372" s="3">
        <v>235</v>
      </c>
      <c r="G372">
        <v>24</v>
      </c>
      <c r="H372">
        <v>7</v>
      </c>
      <c r="I372" s="5">
        <v>4.5751633986928102E-2</v>
      </c>
      <c r="J372" s="3">
        <v>375</v>
      </c>
      <c r="K372" s="1">
        <v>45604</v>
      </c>
      <c r="L372" t="s">
        <v>25</v>
      </c>
      <c r="M372" t="s">
        <v>26</v>
      </c>
      <c r="N372" t="s">
        <v>36</v>
      </c>
      <c r="O372" t="s">
        <v>28</v>
      </c>
      <c r="P372" t="s">
        <v>45</v>
      </c>
      <c r="Q372" s="6">
        <v>1.53882352941176</v>
      </c>
      <c r="R372">
        <v>3.04</v>
      </c>
      <c r="S372">
        <v>9.81</v>
      </c>
      <c r="T372">
        <v>33.630000000000003</v>
      </c>
      <c r="U372">
        <v>59.28</v>
      </c>
      <c r="V372">
        <v>53.57</v>
      </c>
      <c r="W372">
        <v>1.59</v>
      </c>
    </row>
    <row r="373" spans="1:23" x14ac:dyDescent="0.3">
      <c r="A373">
        <v>371</v>
      </c>
      <c r="B373" t="s">
        <v>416</v>
      </c>
      <c r="C373" t="s">
        <v>38</v>
      </c>
      <c r="D373">
        <v>109</v>
      </c>
      <c r="E373">
        <v>3596</v>
      </c>
      <c r="F373" s="3">
        <v>210</v>
      </c>
      <c r="G373">
        <v>23</v>
      </c>
      <c r="H373">
        <v>9</v>
      </c>
      <c r="I373" s="5">
        <v>8.2568807339449504E-2</v>
      </c>
      <c r="J373" s="3">
        <v>259</v>
      </c>
      <c r="K373" s="1">
        <v>45597</v>
      </c>
      <c r="L373" t="s">
        <v>25</v>
      </c>
      <c r="M373" t="s">
        <v>39</v>
      </c>
      <c r="N373" t="s">
        <v>44</v>
      </c>
      <c r="O373" t="s">
        <v>28</v>
      </c>
      <c r="P373" t="s">
        <v>45</v>
      </c>
      <c r="Q373" s="6">
        <v>1.9294495412843999</v>
      </c>
      <c r="R373">
        <v>3.03</v>
      </c>
      <c r="S373">
        <v>9.14</v>
      </c>
      <c r="T373">
        <v>23.37</v>
      </c>
      <c r="U373">
        <v>23.15</v>
      </c>
      <c r="V373">
        <v>28.78</v>
      </c>
      <c r="W373">
        <v>1.23</v>
      </c>
    </row>
    <row r="374" spans="1:23" x14ac:dyDescent="0.3">
      <c r="A374">
        <v>372</v>
      </c>
      <c r="B374" t="s">
        <v>417</v>
      </c>
      <c r="C374" t="s">
        <v>24</v>
      </c>
      <c r="D374">
        <v>118</v>
      </c>
      <c r="E374">
        <v>4845</v>
      </c>
      <c r="F374" s="3">
        <v>190</v>
      </c>
      <c r="G374">
        <v>11</v>
      </c>
      <c r="H374">
        <v>3</v>
      </c>
      <c r="I374" s="5">
        <v>2.5423728813559299E-2</v>
      </c>
      <c r="J374" s="3">
        <v>295</v>
      </c>
      <c r="K374" s="1">
        <v>45614</v>
      </c>
      <c r="L374" t="s">
        <v>25</v>
      </c>
      <c r="M374" t="s">
        <v>26</v>
      </c>
      <c r="N374" t="s">
        <v>49</v>
      </c>
      <c r="O374" t="s">
        <v>28</v>
      </c>
      <c r="P374" t="s">
        <v>59</v>
      </c>
      <c r="Q374" s="6">
        <v>1.6122881355932199</v>
      </c>
      <c r="R374">
        <v>2.44</v>
      </c>
      <c r="S374">
        <v>17.3</v>
      </c>
      <c r="T374">
        <v>63.42</v>
      </c>
      <c r="U374">
        <v>55.06</v>
      </c>
      <c r="V374">
        <v>98.33</v>
      </c>
      <c r="W374">
        <v>1.55</v>
      </c>
    </row>
    <row r="375" spans="1:23" x14ac:dyDescent="0.3">
      <c r="A375">
        <v>373</v>
      </c>
      <c r="B375" t="s">
        <v>418</v>
      </c>
      <c r="C375" t="s">
        <v>35</v>
      </c>
      <c r="D375">
        <v>101</v>
      </c>
      <c r="E375">
        <v>4883</v>
      </c>
      <c r="F375" s="3">
        <v>238</v>
      </c>
      <c r="G375">
        <v>11</v>
      </c>
      <c r="H375">
        <v>6</v>
      </c>
      <c r="I375" s="5">
        <v>5.9405940594059403E-2</v>
      </c>
      <c r="J375" s="3">
        <v>279</v>
      </c>
      <c r="K375" s="1">
        <v>45610</v>
      </c>
      <c r="L375" t="s">
        <v>25</v>
      </c>
      <c r="M375" t="s">
        <v>26</v>
      </c>
      <c r="N375" t="s">
        <v>49</v>
      </c>
      <c r="O375" t="s">
        <v>28</v>
      </c>
      <c r="P375" t="s">
        <v>54</v>
      </c>
      <c r="Q375" s="6">
        <v>2.3553465346534601</v>
      </c>
      <c r="R375">
        <v>2.0699999999999998</v>
      </c>
      <c r="S375">
        <v>21.63</v>
      </c>
      <c r="T375">
        <v>39.65</v>
      </c>
      <c r="U375">
        <v>17.28</v>
      </c>
      <c r="V375">
        <v>46.5</v>
      </c>
      <c r="W375">
        <v>1.17</v>
      </c>
    </row>
    <row r="376" spans="1:23" x14ac:dyDescent="0.3">
      <c r="A376">
        <v>374</v>
      </c>
      <c r="B376" t="s">
        <v>419</v>
      </c>
      <c r="C376" t="s">
        <v>43</v>
      </c>
      <c r="D376">
        <v>120</v>
      </c>
      <c r="E376">
        <v>4618</v>
      </c>
      <c r="F376" s="3">
        <v>201</v>
      </c>
      <c r="G376">
        <v>18</v>
      </c>
      <c r="H376">
        <v>7</v>
      </c>
      <c r="I376" s="5">
        <v>5.83333333333333E-2</v>
      </c>
      <c r="J376" s="3">
        <v>362</v>
      </c>
      <c r="K376" s="1">
        <v>45598</v>
      </c>
      <c r="L376" t="s">
        <v>25</v>
      </c>
      <c r="M376" t="s">
        <v>39</v>
      </c>
      <c r="N376" t="s">
        <v>36</v>
      </c>
      <c r="O376" t="s">
        <v>28</v>
      </c>
      <c r="P376" t="s">
        <v>29</v>
      </c>
      <c r="Q376" s="6">
        <v>1.67425</v>
      </c>
      <c r="R376">
        <v>2.6</v>
      </c>
      <c r="S376">
        <v>11.16</v>
      </c>
      <c r="T376">
        <v>28.7</v>
      </c>
      <c r="U376">
        <v>80.180000000000007</v>
      </c>
      <c r="V376">
        <v>51.71</v>
      </c>
      <c r="W376">
        <v>1.8</v>
      </c>
    </row>
    <row r="377" spans="1:23" x14ac:dyDescent="0.3">
      <c r="A377">
        <v>375</v>
      </c>
      <c r="B377" t="s">
        <v>420</v>
      </c>
      <c r="C377" t="s">
        <v>38</v>
      </c>
      <c r="D377">
        <v>194</v>
      </c>
      <c r="E377">
        <v>3941</v>
      </c>
      <c r="F377" s="3">
        <v>240</v>
      </c>
      <c r="G377">
        <v>27</v>
      </c>
      <c r="H377">
        <v>10</v>
      </c>
      <c r="I377" s="5">
        <v>5.1546391752577303E-2</v>
      </c>
      <c r="J377" s="3">
        <v>280</v>
      </c>
      <c r="K377" s="1">
        <v>45607</v>
      </c>
      <c r="L377" t="s">
        <v>25</v>
      </c>
      <c r="M377" t="s">
        <v>26</v>
      </c>
      <c r="N377" t="s">
        <v>32</v>
      </c>
      <c r="O377" t="s">
        <v>28</v>
      </c>
      <c r="P377" t="s">
        <v>59</v>
      </c>
      <c r="Q377" s="6">
        <v>1.2389175257731899</v>
      </c>
      <c r="R377">
        <v>4.92</v>
      </c>
      <c r="S377">
        <v>8.9</v>
      </c>
      <c r="T377">
        <v>24.04</v>
      </c>
      <c r="U377">
        <v>16.5</v>
      </c>
      <c r="V377">
        <v>28</v>
      </c>
      <c r="W377">
        <v>1.1599999999999999</v>
      </c>
    </row>
    <row r="378" spans="1:23" x14ac:dyDescent="0.3">
      <c r="A378">
        <v>376</v>
      </c>
      <c r="B378" t="s">
        <v>421</v>
      </c>
      <c r="C378" t="s">
        <v>38</v>
      </c>
      <c r="D378">
        <v>135</v>
      </c>
      <c r="E378">
        <v>5096</v>
      </c>
      <c r="F378" s="3">
        <v>230</v>
      </c>
      <c r="G378">
        <v>14</v>
      </c>
      <c r="H378">
        <v>4</v>
      </c>
      <c r="I378" s="5">
        <v>2.96296296296296E-2</v>
      </c>
      <c r="J378" s="3">
        <v>302</v>
      </c>
      <c r="K378" s="1">
        <v>45614</v>
      </c>
      <c r="L378" t="s">
        <v>25</v>
      </c>
      <c r="M378" t="s">
        <v>31</v>
      </c>
      <c r="N378" t="s">
        <v>40</v>
      </c>
      <c r="O378" t="s">
        <v>28</v>
      </c>
      <c r="P378" t="s">
        <v>59</v>
      </c>
      <c r="Q378" s="6">
        <v>1.7060740740740701</v>
      </c>
      <c r="R378">
        <v>2.65</v>
      </c>
      <c r="S378">
        <v>16.45</v>
      </c>
      <c r="T378">
        <v>57.58</v>
      </c>
      <c r="U378">
        <v>31.12</v>
      </c>
      <c r="V378">
        <v>75.5</v>
      </c>
      <c r="W378">
        <v>1.31</v>
      </c>
    </row>
    <row r="379" spans="1:23" x14ac:dyDescent="0.3">
      <c r="A379">
        <v>377</v>
      </c>
      <c r="B379" t="s">
        <v>422</v>
      </c>
      <c r="C379" t="s">
        <v>24</v>
      </c>
      <c r="D379">
        <v>190</v>
      </c>
      <c r="E379">
        <v>5537</v>
      </c>
      <c r="F379" s="3">
        <v>189</v>
      </c>
      <c r="G379">
        <v>20</v>
      </c>
      <c r="H379">
        <v>4</v>
      </c>
      <c r="I379" s="5">
        <v>2.1052631578947299E-2</v>
      </c>
      <c r="J379" s="3">
        <v>406</v>
      </c>
      <c r="K379" s="1">
        <v>45600</v>
      </c>
      <c r="L379" t="s">
        <v>25</v>
      </c>
      <c r="M379" t="s">
        <v>39</v>
      </c>
      <c r="N379" t="s">
        <v>27</v>
      </c>
      <c r="O379" t="s">
        <v>28</v>
      </c>
      <c r="P379" t="s">
        <v>59</v>
      </c>
      <c r="Q379" s="6">
        <v>0.99463157894736798</v>
      </c>
      <c r="R379">
        <v>3.43</v>
      </c>
      <c r="S379">
        <v>9.4499999999999993</v>
      </c>
      <c r="T379">
        <v>47.24</v>
      </c>
      <c r="U379">
        <v>114.84</v>
      </c>
      <c r="V379">
        <v>101.5</v>
      </c>
      <c r="W379">
        <v>2.15</v>
      </c>
    </row>
    <row r="380" spans="1:23" x14ac:dyDescent="0.3">
      <c r="A380">
        <v>378</v>
      </c>
      <c r="B380" t="s">
        <v>423</v>
      </c>
      <c r="C380" t="s">
        <v>38</v>
      </c>
      <c r="D380">
        <v>198</v>
      </c>
      <c r="E380">
        <v>4208</v>
      </c>
      <c r="F380" s="3">
        <v>180</v>
      </c>
      <c r="G380">
        <v>19</v>
      </c>
      <c r="H380">
        <v>8</v>
      </c>
      <c r="I380" s="5">
        <v>4.0404040404040401E-2</v>
      </c>
      <c r="J380" s="3">
        <v>298</v>
      </c>
      <c r="K380" s="1">
        <v>45604</v>
      </c>
      <c r="L380" t="s">
        <v>25</v>
      </c>
      <c r="M380" t="s">
        <v>31</v>
      </c>
      <c r="N380" t="s">
        <v>40</v>
      </c>
      <c r="O380" t="s">
        <v>28</v>
      </c>
      <c r="P380" t="s">
        <v>45</v>
      </c>
      <c r="Q380" s="6">
        <v>0.90939393939393898</v>
      </c>
      <c r="R380">
        <v>4.71</v>
      </c>
      <c r="S380">
        <v>9.48</v>
      </c>
      <c r="T380">
        <v>22.51</v>
      </c>
      <c r="U380">
        <v>65.5</v>
      </c>
      <c r="V380">
        <v>37.25</v>
      </c>
      <c r="W380">
        <v>1.66</v>
      </c>
    </row>
    <row r="381" spans="1:23" x14ac:dyDescent="0.3">
      <c r="A381">
        <v>379</v>
      </c>
      <c r="B381" t="s">
        <v>424</v>
      </c>
      <c r="C381" t="s">
        <v>35</v>
      </c>
      <c r="D381">
        <v>87</v>
      </c>
      <c r="E381">
        <v>5358</v>
      </c>
      <c r="F381" s="3">
        <v>237</v>
      </c>
      <c r="G381">
        <v>19</v>
      </c>
      <c r="H381">
        <v>5</v>
      </c>
      <c r="I381" s="5">
        <v>5.7471264367816001E-2</v>
      </c>
      <c r="J381" s="3">
        <v>233</v>
      </c>
      <c r="K381" s="1">
        <v>45598</v>
      </c>
      <c r="L381" t="s">
        <v>25</v>
      </c>
      <c r="M381" t="s">
        <v>39</v>
      </c>
      <c r="N381" t="s">
        <v>27</v>
      </c>
      <c r="O381" t="s">
        <v>28</v>
      </c>
      <c r="P381" t="s">
        <v>29</v>
      </c>
      <c r="Q381" s="6">
        <v>2.7191954022988498</v>
      </c>
      <c r="R381">
        <v>1.62</v>
      </c>
      <c r="S381">
        <v>12.45</v>
      </c>
      <c r="T381">
        <v>47.31</v>
      </c>
      <c r="U381">
        <v>-1.51</v>
      </c>
      <c r="V381">
        <v>46.6</v>
      </c>
      <c r="W381">
        <v>0.98</v>
      </c>
    </row>
    <row r="382" spans="1:23" x14ac:dyDescent="0.3">
      <c r="A382">
        <v>380</v>
      </c>
      <c r="B382" t="s">
        <v>425</v>
      </c>
      <c r="C382" t="s">
        <v>38</v>
      </c>
      <c r="D382">
        <v>106</v>
      </c>
      <c r="E382">
        <v>5583</v>
      </c>
      <c r="F382" s="3">
        <v>219</v>
      </c>
      <c r="G382">
        <v>13</v>
      </c>
      <c r="H382">
        <v>3</v>
      </c>
      <c r="I382" s="5">
        <v>2.83018867924528E-2</v>
      </c>
      <c r="J382" s="3">
        <v>214</v>
      </c>
      <c r="K382" s="1">
        <v>45611</v>
      </c>
      <c r="L382" t="s">
        <v>25</v>
      </c>
      <c r="M382" t="s">
        <v>26</v>
      </c>
      <c r="N382" t="s">
        <v>32</v>
      </c>
      <c r="O382" t="s">
        <v>28</v>
      </c>
      <c r="P382" t="s">
        <v>45</v>
      </c>
      <c r="Q382" s="6">
        <v>2.06424528301886</v>
      </c>
      <c r="R382">
        <v>1.9</v>
      </c>
      <c r="S382">
        <v>16.829999999999998</v>
      </c>
      <c r="T382">
        <v>72.94</v>
      </c>
      <c r="U382">
        <v>-2.2000000000000002</v>
      </c>
      <c r="V382">
        <v>71.33</v>
      </c>
      <c r="W382">
        <v>0.98</v>
      </c>
    </row>
    <row r="383" spans="1:23" x14ac:dyDescent="0.3">
      <c r="A383">
        <v>381</v>
      </c>
      <c r="B383" t="s">
        <v>426</v>
      </c>
      <c r="C383" t="s">
        <v>35</v>
      </c>
      <c r="D383">
        <v>169</v>
      </c>
      <c r="E383">
        <v>3069</v>
      </c>
      <c r="F383" s="3">
        <v>228</v>
      </c>
      <c r="G383">
        <v>12</v>
      </c>
      <c r="H383">
        <v>5</v>
      </c>
      <c r="I383" s="5">
        <v>2.9585798816568001E-2</v>
      </c>
      <c r="J383" s="3">
        <v>217</v>
      </c>
      <c r="K383" s="1">
        <v>45624</v>
      </c>
      <c r="L383" t="s">
        <v>25</v>
      </c>
      <c r="M383" t="s">
        <v>31</v>
      </c>
      <c r="N383" t="s">
        <v>32</v>
      </c>
      <c r="O383" t="s">
        <v>28</v>
      </c>
      <c r="P383" t="s">
        <v>54</v>
      </c>
      <c r="Q383" s="6">
        <v>1.3473372781065001</v>
      </c>
      <c r="R383">
        <v>5.51</v>
      </c>
      <c r="S383">
        <v>18.97</v>
      </c>
      <c r="T383">
        <v>45.54</v>
      </c>
      <c r="U383">
        <v>-4.7</v>
      </c>
      <c r="V383">
        <v>43.4</v>
      </c>
      <c r="W383">
        <v>0.95</v>
      </c>
    </row>
    <row r="384" spans="1:23" x14ac:dyDescent="0.3">
      <c r="A384">
        <v>382</v>
      </c>
      <c r="B384" t="s">
        <v>427</v>
      </c>
      <c r="C384" t="s">
        <v>35</v>
      </c>
      <c r="D384">
        <v>195</v>
      </c>
      <c r="E384">
        <v>3738</v>
      </c>
      <c r="F384" s="3">
        <v>202</v>
      </c>
      <c r="G384">
        <v>18</v>
      </c>
      <c r="H384">
        <v>7</v>
      </c>
      <c r="I384" s="5">
        <v>3.5897435897435798E-2</v>
      </c>
      <c r="J384" s="3">
        <v>336</v>
      </c>
      <c r="K384" s="1">
        <v>45612</v>
      </c>
      <c r="L384" t="s">
        <v>25</v>
      </c>
      <c r="M384" t="s">
        <v>39</v>
      </c>
      <c r="N384" t="s">
        <v>44</v>
      </c>
      <c r="O384" t="s">
        <v>28</v>
      </c>
      <c r="P384" t="s">
        <v>29</v>
      </c>
      <c r="Q384" s="6">
        <v>1.0363076923076899</v>
      </c>
      <c r="R384">
        <v>5.22</v>
      </c>
      <c r="S384">
        <v>11.23</v>
      </c>
      <c r="T384">
        <v>28.87</v>
      </c>
      <c r="U384">
        <v>66.27</v>
      </c>
      <c r="V384">
        <v>48</v>
      </c>
      <c r="W384">
        <v>1.66</v>
      </c>
    </row>
    <row r="385" spans="1:23" x14ac:dyDescent="0.3">
      <c r="A385">
        <v>383</v>
      </c>
      <c r="B385" t="s">
        <v>428</v>
      </c>
      <c r="C385" t="s">
        <v>35</v>
      </c>
      <c r="D385">
        <v>161</v>
      </c>
      <c r="E385">
        <v>4852</v>
      </c>
      <c r="F385" s="3">
        <v>235</v>
      </c>
      <c r="G385">
        <v>10</v>
      </c>
      <c r="H385">
        <v>8</v>
      </c>
      <c r="I385" s="5">
        <v>4.9689440993788803E-2</v>
      </c>
      <c r="J385" s="3">
        <v>355</v>
      </c>
      <c r="K385" s="1">
        <v>45620</v>
      </c>
      <c r="L385" t="s">
        <v>25</v>
      </c>
      <c r="M385" t="s">
        <v>26</v>
      </c>
      <c r="N385" t="s">
        <v>44</v>
      </c>
      <c r="O385" t="s">
        <v>28</v>
      </c>
      <c r="P385" t="s">
        <v>50</v>
      </c>
      <c r="Q385" s="6">
        <v>1.4602484472049599</v>
      </c>
      <c r="R385">
        <v>3.32</v>
      </c>
      <c r="S385">
        <v>23.51</v>
      </c>
      <c r="T385">
        <v>29.39</v>
      </c>
      <c r="U385">
        <v>51</v>
      </c>
      <c r="V385">
        <v>44.38</v>
      </c>
      <c r="W385">
        <v>1.51</v>
      </c>
    </row>
    <row r="386" spans="1:23" x14ac:dyDescent="0.3">
      <c r="A386">
        <v>384</v>
      </c>
      <c r="B386" t="s">
        <v>429</v>
      </c>
      <c r="C386" t="s">
        <v>35</v>
      </c>
      <c r="D386">
        <v>195</v>
      </c>
      <c r="E386">
        <v>5120</v>
      </c>
      <c r="F386" s="3">
        <v>250</v>
      </c>
      <c r="G386">
        <v>26</v>
      </c>
      <c r="H386">
        <v>3</v>
      </c>
      <c r="I386" s="5">
        <v>1.53846153846153E-2</v>
      </c>
      <c r="J386" s="3">
        <v>321</v>
      </c>
      <c r="K386" s="1">
        <v>45600</v>
      </c>
      <c r="L386" t="s">
        <v>25</v>
      </c>
      <c r="M386" t="s">
        <v>31</v>
      </c>
      <c r="N386" t="s">
        <v>40</v>
      </c>
      <c r="O386" t="s">
        <v>28</v>
      </c>
      <c r="P386" t="s">
        <v>59</v>
      </c>
      <c r="Q386" s="6">
        <v>1.28</v>
      </c>
      <c r="R386">
        <v>3.81</v>
      </c>
      <c r="S386">
        <v>9.6</v>
      </c>
      <c r="T386">
        <v>83.2</v>
      </c>
      <c r="U386">
        <v>28.61</v>
      </c>
      <c r="V386">
        <v>107</v>
      </c>
      <c r="W386">
        <v>1.29</v>
      </c>
    </row>
    <row r="387" spans="1:23" x14ac:dyDescent="0.3">
      <c r="A387">
        <v>385</v>
      </c>
      <c r="B387" t="s">
        <v>430</v>
      </c>
      <c r="C387" t="s">
        <v>38</v>
      </c>
      <c r="D387">
        <v>111</v>
      </c>
      <c r="E387">
        <v>3550</v>
      </c>
      <c r="F387" s="3">
        <v>232</v>
      </c>
      <c r="G387">
        <v>10</v>
      </c>
      <c r="H387">
        <v>9</v>
      </c>
      <c r="I387" s="5">
        <v>8.1081081081081002E-2</v>
      </c>
      <c r="J387" s="3">
        <v>298</v>
      </c>
      <c r="K387" s="1">
        <v>45622</v>
      </c>
      <c r="L387" t="s">
        <v>25</v>
      </c>
      <c r="M387" t="s">
        <v>31</v>
      </c>
      <c r="N387" t="s">
        <v>40</v>
      </c>
      <c r="O387" t="s">
        <v>28</v>
      </c>
      <c r="P387" t="s">
        <v>41</v>
      </c>
      <c r="Q387" s="6">
        <v>2.08837837837837</v>
      </c>
      <c r="R387">
        <v>3.13</v>
      </c>
      <c r="S387">
        <v>23.18</v>
      </c>
      <c r="T387">
        <v>25.76</v>
      </c>
      <c r="U387">
        <v>28.55</v>
      </c>
      <c r="V387">
        <v>33.11</v>
      </c>
      <c r="W387">
        <v>1.29</v>
      </c>
    </row>
    <row r="388" spans="1:23" x14ac:dyDescent="0.3">
      <c r="A388">
        <v>386</v>
      </c>
      <c r="B388" t="s">
        <v>431</v>
      </c>
      <c r="C388" t="s">
        <v>24</v>
      </c>
      <c r="D388">
        <v>124</v>
      </c>
      <c r="E388">
        <v>5618</v>
      </c>
      <c r="F388" s="3">
        <v>206</v>
      </c>
      <c r="G388">
        <v>25</v>
      </c>
      <c r="H388">
        <v>7</v>
      </c>
      <c r="I388" s="5">
        <v>5.6451612903225798E-2</v>
      </c>
      <c r="J388" s="3">
        <v>280</v>
      </c>
      <c r="K388" s="1">
        <v>45615</v>
      </c>
      <c r="L388" t="s">
        <v>25</v>
      </c>
      <c r="M388" t="s">
        <v>31</v>
      </c>
      <c r="N388" t="s">
        <v>32</v>
      </c>
      <c r="O388" t="s">
        <v>28</v>
      </c>
      <c r="P388" t="s">
        <v>41</v>
      </c>
      <c r="Q388" s="6">
        <v>1.66088709677419</v>
      </c>
      <c r="R388">
        <v>2.21</v>
      </c>
      <c r="S388">
        <v>8.24</v>
      </c>
      <c r="T388">
        <v>29.42</v>
      </c>
      <c r="U388">
        <v>35.96</v>
      </c>
      <c r="V388">
        <v>40</v>
      </c>
      <c r="W388">
        <v>1.36</v>
      </c>
    </row>
    <row r="389" spans="1:23" x14ac:dyDescent="0.3">
      <c r="A389">
        <v>387</v>
      </c>
      <c r="B389" t="s">
        <v>432</v>
      </c>
      <c r="C389" t="s">
        <v>43</v>
      </c>
      <c r="D389">
        <v>89</v>
      </c>
      <c r="E389">
        <v>4700</v>
      </c>
      <c r="F389" s="3">
        <v>220</v>
      </c>
      <c r="G389">
        <v>28</v>
      </c>
      <c r="H389">
        <v>6</v>
      </c>
      <c r="I389" s="5">
        <v>6.7415730337078594E-2</v>
      </c>
      <c r="J389" s="3">
        <v>305</v>
      </c>
      <c r="K389" s="1">
        <v>45615</v>
      </c>
      <c r="L389" t="s">
        <v>25</v>
      </c>
      <c r="M389" t="s">
        <v>31</v>
      </c>
      <c r="N389" t="s">
        <v>32</v>
      </c>
      <c r="O389" t="s">
        <v>28</v>
      </c>
      <c r="P389" t="s">
        <v>41</v>
      </c>
      <c r="Q389" s="6">
        <v>2.4713483146067401</v>
      </c>
      <c r="R389">
        <v>1.89</v>
      </c>
      <c r="S389">
        <v>7.86</v>
      </c>
      <c r="T389">
        <v>36.659999999999997</v>
      </c>
      <c r="U389">
        <v>38.67</v>
      </c>
      <c r="V389">
        <v>50.83</v>
      </c>
      <c r="W389">
        <v>1.39</v>
      </c>
    </row>
    <row r="390" spans="1:23" x14ac:dyDescent="0.3">
      <c r="A390">
        <v>388</v>
      </c>
      <c r="B390" t="s">
        <v>433</v>
      </c>
      <c r="C390" t="s">
        <v>43</v>
      </c>
      <c r="D390">
        <v>122</v>
      </c>
      <c r="E390">
        <v>5874</v>
      </c>
      <c r="F390" s="3">
        <v>201</v>
      </c>
      <c r="G390">
        <v>10</v>
      </c>
      <c r="H390">
        <v>7</v>
      </c>
      <c r="I390" s="5">
        <v>5.7377049180327801E-2</v>
      </c>
      <c r="J390" s="3">
        <v>276</v>
      </c>
      <c r="K390" s="1">
        <v>45626</v>
      </c>
      <c r="L390" t="s">
        <v>25</v>
      </c>
      <c r="M390" t="s">
        <v>26</v>
      </c>
      <c r="N390" t="s">
        <v>32</v>
      </c>
      <c r="O390" t="s">
        <v>28</v>
      </c>
      <c r="P390" t="s">
        <v>29</v>
      </c>
      <c r="Q390" s="6">
        <v>1.6478688524590099</v>
      </c>
      <c r="R390">
        <v>2.08</v>
      </c>
      <c r="S390">
        <v>20.100000000000001</v>
      </c>
      <c r="T390">
        <v>28.72</v>
      </c>
      <c r="U390">
        <v>37.29</v>
      </c>
      <c r="V390">
        <v>39.43</v>
      </c>
      <c r="W390">
        <v>1.37</v>
      </c>
    </row>
    <row r="391" spans="1:23" x14ac:dyDescent="0.3">
      <c r="A391">
        <v>389</v>
      </c>
      <c r="B391" t="s">
        <v>434</v>
      </c>
      <c r="C391" t="s">
        <v>24</v>
      </c>
      <c r="D391">
        <v>177</v>
      </c>
      <c r="E391">
        <v>5965</v>
      </c>
      <c r="F391" s="3">
        <v>200</v>
      </c>
      <c r="G391">
        <v>28</v>
      </c>
      <c r="H391">
        <v>3</v>
      </c>
      <c r="I391" s="5">
        <v>1.6949152542372801E-2</v>
      </c>
      <c r="J391" s="3">
        <v>222</v>
      </c>
      <c r="K391" s="1">
        <v>45609</v>
      </c>
      <c r="L391" t="s">
        <v>25</v>
      </c>
      <c r="M391" t="s">
        <v>31</v>
      </c>
      <c r="N391" t="s">
        <v>36</v>
      </c>
      <c r="O391" t="s">
        <v>28</v>
      </c>
      <c r="P391" t="s">
        <v>33</v>
      </c>
      <c r="Q391" s="6">
        <v>1.1282485875706201</v>
      </c>
      <c r="R391">
        <v>2.97</v>
      </c>
      <c r="S391">
        <v>7.13</v>
      </c>
      <c r="T391">
        <v>66.569999999999993</v>
      </c>
      <c r="U391">
        <v>11.17</v>
      </c>
      <c r="V391">
        <v>74</v>
      </c>
      <c r="W391">
        <v>1.1100000000000001</v>
      </c>
    </row>
    <row r="392" spans="1:23" x14ac:dyDescent="0.3">
      <c r="A392">
        <v>390</v>
      </c>
      <c r="B392" t="s">
        <v>435</v>
      </c>
      <c r="C392" t="s">
        <v>43</v>
      </c>
      <c r="D392">
        <v>163</v>
      </c>
      <c r="E392">
        <v>5774</v>
      </c>
      <c r="F392" s="3">
        <v>222</v>
      </c>
      <c r="G392">
        <v>29</v>
      </c>
      <c r="H392">
        <v>9</v>
      </c>
      <c r="I392" s="5">
        <v>5.5214723926380299E-2</v>
      </c>
      <c r="J392" s="3">
        <v>285</v>
      </c>
      <c r="K392" s="1">
        <v>45604</v>
      </c>
      <c r="L392" t="s">
        <v>25</v>
      </c>
      <c r="M392" t="s">
        <v>26</v>
      </c>
      <c r="N392" t="s">
        <v>27</v>
      </c>
      <c r="O392" t="s">
        <v>28</v>
      </c>
      <c r="P392" t="s">
        <v>45</v>
      </c>
      <c r="Q392" s="6">
        <v>1.3595705521472301</v>
      </c>
      <c r="R392">
        <v>2.82</v>
      </c>
      <c r="S392">
        <v>7.64</v>
      </c>
      <c r="T392">
        <v>24.62</v>
      </c>
      <c r="U392">
        <v>28.6</v>
      </c>
      <c r="V392">
        <v>31.67</v>
      </c>
      <c r="W392">
        <v>1.29</v>
      </c>
    </row>
    <row r="393" spans="1:23" x14ac:dyDescent="0.3">
      <c r="A393">
        <v>391</v>
      </c>
      <c r="B393" t="s">
        <v>436</v>
      </c>
      <c r="C393" t="s">
        <v>24</v>
      </c>
      <c r="D393">
        <v>124</v>
      </c>
      <c r="E393">
        <v>4079</v>
      </c>
      <c r="F393" s="3">
        <v>189</v>
      </c>
      <c r="G393">
        <v>18</v>
      </c>
      <c r="H393">
        <v>3</v>
      </c>
      <c r="I393" s="5">
        <v>2.4193548387096701E-2</v>
      </c>
      <c r="J393" s="3">
        <v>292</v>
      </c>
      <c r="K393" s="1">
        <v>45619</v>
      </c>
      <c r="L393" t="s">
        <v>25</v>
      </c>
      <c r="M393" t="s">
        <v>26</v>
      </c>
      <c r="N393" t="s">
        <v>32</v>
      </c>
      <c r="O393" t="s">
        <v>28</v>
      </c>
      <c r="P393" t="s">
        <v>29</v>
      </c>
      <c r="Q393" s="6">
        <v>1.5247580645161201</v>
      </c>
      <c r="R393">
        <v>3.04</v>
      </c>
      <c r="S393">
        <v>10.5</v>
      </c>
      <c r="T393">
        <v>63.02</v>
      </c>
      <c r="U393">
        <v>54.44</v>
      </c>
      <c r="V393">
        <v>97.33</v>
      </c>
      <c r="W393">
        <v>1.54</v>
      </c>
    </row>
    <row r="394" spans="1:23" x14ac:dyDescent="0.3">
      <c r="A394">
        <v>392</v>
      </c>
      <c r="B394" t="s">
        <v>437</v>
      </c>
      <c r="C394" t="s">
        <v>43</v>
      </c>
      <c r="D394">
        <v>105</v>
      </c>
      <c r="E394">
        <v>3670</v>
      </c>
      <c r="F394" s="3">
        <v>218</v>
      </c>
      <c r="G394">
        <v>25</v>
      </c>
      <c r="H394">
        <v>6</v>
      </c>
      <c r="I394" s="5">
        <v>5.7142857142857099E-2</v>
      </c>
      <c r="J394" s="3">
        <v>337</v>
      </c>
      <c r="K394" s="1">
        <v>45618</v>
      </c>
      <c r="L394" t="s">
        <v>25</v>
      </c>
      <c r="M394" t="s">
        <v>26</v>
      </c>
      <c r="N394" t="s">
        <v>44</v>
      </c>
      <c r="O394" t="s">
        <v>28</v>
      </c>
      <c r="P394" t="s">
        <v>45</v>
      </c>
      <c r="Q394" s="6">
        <v>2.0804761904761899</v>
      </c>
      <c r="R394">
        <v>2.86</v>
      </c>
      <c r="S394">
        <v>8.74</v>
      </c>
      <c r="T394">
        <v>36.409999999999997</v>
      </c>
      <c r="U394">
        <v>54.27</v>
      </c>
      <c r="V394">
        <v>56.17</v>
      </c>
      <c r="W394">
        <v>1.54</v>
      </c>
    </row>
    <row r="395" spans="1:23" x14ac:dyDescent="0.3">
      <c r="A395">
        <v>393</v>
      </c>
      <c r="B395" t="s">
        <v>438</v>
      </c>
      <c r="C395" t="s">
        <v>35</v>
      </c>
      <c r="D395">
        <v>122</v>
      </c>
      <c r="E395">
        <v>3394</v>
      </c>
      <c r="F395" s="3">
        <v>186</v>
      </c>
      <c r="G395">
        <v>20</v>
      </c>
      <c r="H395">
        <v>4</v>
      </c>
      <c r="I395" s="5">
        <v>3.2786885245901599E-2</v>
      </c>
      <c r="J395" s="3">
        <v>215</v>
      </c>
      <c r="K395" s="1">
        <v>45599</v>
      </c>
      <c r="L395" t="s">
        <v>25</v>
      </c>
      <c r="M395" t="s">
        <v>31</v>
      </c>
      <c r="N395" t="s">
        <v>36</v>
      </c>
      <c r="O395" t="s">
        <v>28</v>
      </c>
      <c r="P395" t="s">
        <v>50</v>
      </c>
      <c r="Q395" s="6">
        <v>1.5243795620437901</v>
      </c>
      <c r="R395">
        <v>3.59</v>
      </c>
      <c r="S395">
        <v>9.3000000000000007</v>
      </c>
      <c r="T395">
        <v>46.49</v>
      </c>
      <c r="U395">
        <v>15.61</v>
      </c>
      <c r="V395">
        <v>53.75</v>
      </c>
      <c r="W395">
        <v>1.1599999999999999</v>
      </c>
    </row>
    <row r="396" spans="1:23" x14ac:dyDescent="0.3">
      <c r="A396">
        <v>394</v>
      </c>
      <c r="B396" t="s">
        <v>439</v>
      </c>
      <c r="C396" t="s">
        <v>43</v>
      </c>
      <c r="D396">
        <v>166</v>
      </c>
      <c r="E396">
        <v>5730</v>
      </c>
      <c r="F396" s="3">
        <v>241</v>
      </c>
      <c r="G396">
        <v>16</v>
      </c>
      <c r="H396">
        <v>5</v>
      </c>
      <c r="I396" s="5">
        <v>3.0120481927710802E-2</v>
      </c>
      <c r="J396" s="3">
        <v>233.57142857142799</v>
      </c>
      <c r="K396" s="1">
        <v>45613</v>
      </c>
      <c r="L396" t="s">
        <v>25</v>
      </c>
      <c r="M396" t="s">
        <v>31</v>
      </c>
      <c r="N396" t="s">
        <v>36</v>
      </c>
      <c r="O396" t="s">
        <v>28</v>
      </c>
      <c r="P396" t="s">
        <v>50</v>
      </c>
      <c r="Q396" s="6">
        <v>1.4536144578313199</v>
      </c>
      <c r="R396">
        <v>2.9</v>
      </c>
      <c r="S396">
        <v>15.08</v>
      </c>
      <c r="T396">
        <v>48.26</v>
      </c>
      <c r="U396">
        <v>-3.2</v>
      </c>
      <c r="V396">
        <v>46.71</v>
      </c>
      <c r="W396">
        <v>0.97</v>
      </c>
    </row>
    <row r="397" spans="1:23" x14ac:dyDescent="0.3">
      <c r="A397">
        <v>395</v>
      </c>
      <c r="B397" t="s">
        <v>440</v>
      </c>
      <c r="C397" t="s">
        <v>38</v>
      </c>
      <c r="D397">
        <v>96</v>
      </c>
      <c r="E397">
        <v>3761</v>
      </c>
      <c r="F397" s="3">
        <v>196</v>
      </c>
      <c r="G397">
        <v>10</v>
      </c>
      <c r="H397">
        <v>5</v>
      </c>
      <c r="I397" s="5">
        <v>5.2083333333333301E-2</v>
      </c>
      <c r="J397" s="3">
        <v>310</v>
      </c>
      <c r="K397" s="1">
        <v>45626</v>
      </c>
      <c r="L397" t="s">
        <v>25</v>
      </c>
      <c r="M397" t="s">
        <v>39</v>
      </c>
      <c r="N397" t="s">
        <v>44</v>
      </c>
      <c r="O397" t="s">
        <v>28</v>
      </c>
      <c r="P397" t="s">
        <v>29</v>
      </c>
      <c r="Q397" s="6">
        <v>2.04635416666666</v>
      </c>
      <c r="R397">
        <v>2.5499999999999998</v>
      </c>
      <c r="S397">
        <v>19.64</v>
      </c>
      <c r="T397">
        <v>39.29</v>
      </c>
      <c r="U397">
        <v>57.8</v>
      </c>
      <c r="V397">
        <v>62</v>
      </c>
      <c r="W397">
        <v>1.58</v>
      </c>
    </row>
    <row r="398" spans="1:23" x14ac:dyDescent="0.3">
      <c r="A398">
        <v>396</v>
      </c>
      <c r="B398" t="s">
        <v>441</v>
      </c>
      <c r="C398" t="s">
        <v>35</v>
      </c>
      <c r="D398">
        <v>135</v>
      </c>
      <c r="E398">
        <v>4505</v>
      </c>
      <c r="F398" s="3">
        <v>215</v>
      </c>
      <c r="G398">
        <v>17</v>
      </c>
      <c r="H398">
        <v>9</v>
      </c>
      <c r="I398" s="5">
        <v>6.6666666666666596E-2</v>
      </c>
      <c r="J398" s="3">
        <v>306</v>
      </c>
      <c r="K398" s="1">
        <v>45602</v>
      </c>
      <c r="L398" t="s">
        <v>25</v>
      </c>
      <c r="M398" t="s">
        <v>31</v>
      </c>
      <c r="N398" t="s">
        <v>44</v>
      </c>
      <c r="O398" t="s">
        <v>28</v>
      </c>
      <c r="P398" t="s">
        <v>33</v>
      </c>
      <c r="Q398" s="6">
        <v>1.58992592592592</v>
      </c>
      <c r="R398">
        <v>3</v>
      </c>
      <c r="S398">
        <v>12.63</v>
      </c>
      <c r="T398">
        <v>23.85</v>
      </c>
      <c r="U398">
        <v>42.56</v>
      </c>
      <c r="V398">
        <v>34</v>
      </c>
      <c r="W398">
        <v>1.43</v>
      </c>
    </row>
    <row r="399" spans="1:23" x14ac:dyDescent="0.3">
      <c r="A399">
        <v>397</v>
      </c>
      <c r="B399" t="s">
        <v>442</v>
      </c>
      <c r="C399" t="s">
        <v>35</v>
      </c>
      <c r="D399">
        <v>179</v>
      </c>
      <c r="E399">
        <v>3975</v>
      </c>
      <c r="F399" s="3">
        <v>183</v>
      </c>
      <c r="G399">
        <v>14</v>
      </c>
      <c r="H399">
        <v>3</v>
      </c>
      <c r="I399" s="5">
        <v>1.67597765363128E-2</v>
      </c>
      <c r="J399" s="3">
        <v>140.142857142857</v>
      </c>
      <c r="K399" s="1">
        <v>45602</v>
      </c>
      <c r="L399" t="s">
        <v>25</v>
      </c>
      <c r="M399" t="s">
        <v>39</v>
      </c>
      <c r="N399" t="s">
        <v>32</v>
      </c>
      <c r="O399" t="s">
        <v>28</v>
      </c>
      <c r="P399" t="s">
        <v>33</v>
      </c>
      <c r="Q399" s="6">
        <v>1.0237430167597701</v>
      </c>
      <c r="R399">
        <v>4.5</v>
      </c>
      <c r="S399">
        <v>13.09</v>
      </c>
      <c r="T399">
        <v>61.08</v>
      </c>
      <c r="U399">
        <v>-23.52</v>
      </c>
      <c r="V399">
        <v>46.71</v>
      </c>
      <c r="W399">
        <v>0.76</v>
      </c>
    </row>
    <row r="400" spans="1:23" x14ac:dyDescent="0.3">
      <c r="A400">
        <v>398</v>
      </c>
      <c r="B400" t="s">
        <v>443</v>
      </c>
      <c r="C400" t="s">
        <v>38</v>
      </c>
      <c r="D400">
        <v>163</v>
      </c>
      <c r="E400">
        <v>5375</v>
      </c>
      <c r="F400" s="3">
        <v>206</v>
      </c>
      <c r="G400">
        <v>14</v>
      </c>
      <c r="H400">
        <v>3</v>
      </c>
      <c r="I400" s="5">
        <v>1.84049079754601E-2</v>
      </c>
      <c r="J400" s="3">
        <v>225</v>
      </c>
      <c r="K400" s="1">
        <v>45608</v>
      </c>
      <c r="L400" t="s">
        <v>25</v>
      </c>
      <c r="M400" t="s">
        <v>39</v>
      </c>
      <c r="N400" t="s">
        <v>27</v>
      </c>
      <c r="O400" t="s">
        <v>28</v>
      </c>
      <c r="P400" t="s">
        <v>41</v>
      </c>
      <c r="Q400" s="6">
        <v>1.26662576687116</v>
      </c>
      <c r="R400">
        <v>3.03</v>
      </c>
      <c r="S400">
        <v>14.75</v>
      </c>
      <c r="T400">
        <v>68.819999999999993</v>
      </c>
      <c r="U400">
        <v>8.98</v>
      </c>
      <c r="V400">
        <v>75</v>
      </c>
      <c r="W400">
        <v>1.0900000000000001</v>
      </c>
    </row>
    <row r="401" spans="1:23" x14ac:dyDescent="0.3">
      <c r="A401">
        <v>399</v>
      </c>
      <c r="B401" t="s">
        <v>444</v>
      </c>
      <c r="C401" t="s">
        <v>38</v>
      </c>
      <c r="D401">
        <v>198</v>
      </c>
      <c r="E401">
        <v>5883</v>
      </c>
      <c r="F401" s="3">
        <v>302</v>
      </c>
      <c r="G401">
        <v>19</v>
      </c>
      <c r="H401">
        <v>9</v>
      </c>
      <c r="I401" s="5">
        <v>4.54545454545454E-2</v>
      </c>
      <c r="J401" s="3">
        <v>241</v>
      </c>
      <c r="K401" s="1">
        <v>45623</v>
      </c>
      <c r="L401" t="s">
        <v>25</v>
      </c>
      <c r="M401" t="s">
        <v>31</v>
      </c>
      <c r="N401" t="s">
        <v>36</v>
      </c>
      <c r="O401" t="s">
        <v>28</v>
      </c>
      <c r="P401" t="s">
        <v>33</v>
      </c>
      <c r="Q401" s="6">
        <v>1.5243795620437901</v>
      </c>
      <c r="R401">
        <v>3.37</v>
      </c>
      <c r="S401">
        <v>15.89</v>
      </c>
      <c r="T401">
        <v>33.54</v>
      </c>
      <c r="U401">
        <v>-20.149999999999999</v>
      </c>
      <c r="V401">
        <v>26.78</v>
      </c>
      <c r="W401">
        <v>0.8</v>
      </c>
    </row>
    <row r="402" spans="1:23" x14ac:dyDescent="0.3">
      <c r="A402">
        <v>400</v>
      </c>
      <c r="B402" t="s">
        <v>445</v>
      </c>
      <c r="C402" t="s">
        <v>38</v>
      </c>
      <c r="D402">
        <v>86</v>
      </c>
      <c r="E402">
        <v>3555</v>
      </c>
      <c r="F402" s="3">
        <v>225</v>
      </c>
      <c r="G402">
        <v>11</v>
      </c>
      <c r="H402">
        <v>6</v>
      </c>
      <c r="I402" s="5">
        <v>6.9767441860465101E-2</v>
      </c>
      <c r="J402" s="3">
        <v>243</v>
      </c>
      <c r="K402" s="1">
        <v>45607</v>
      </c>
      <c r="L402" t="s">
        <v>25</v>
      </c>
      <c r="M402" t="s">
        <v>26</v>
      </c>
      <c r="N402" t="s">
        <v>40</v>
      </c>
      <c r="O402" t="s">
        <v>28</v>
      </c>
      <c r="P402" t="s">
        <v>59</v>
      </c>
      <c r="Q402" s="6">
        <v>2.6189534883720902</v>
      </c>
      <c r="R402">
        <v>2.42</v>
      </c>
      <c r="S402">
        <v>20.48</v>
      </c>
      <c r="T402">
        <v>37.54</v>
      </c>
      <c r="U402">
        <v>7.89</v>
      </c>
      <c r="V402">
        <v>40.5</v>
      </c>
      <c r="W402">
        <v>1.08</v>
      </c>
    </row>
    <row r="403" spans="1:23" x14ac:dyDescent="0.3">
      <c r="A403">
        <v>401</v>
      </c>
      <c r="B403" t="s">
        <v>446</v>
      </c>
      <c r="C403" t="s">
        <v>38</v>
      </c>
      <c r="D403">
        <v>89</v>
      </c>
      <c r="E403">
        <v>3760</v>
      </c>
      <c r="F403" s="3">
        <v>219</v>
      </c>
      <c r="G403">
        <v>21</v>
      </c>
      <c r="H403">
        <v>9</v>
      </c>
      <c r="I403" s="5">
        <v>0.101123595505617</v>
      </c>
      <c r="J403" s="3">
        <v>301</v>
      </c>
      <c r="K403" s="1">
        <v>45621</v>
      </c>
      <c r="L403" t="s">
        <v>25</v>
      </c>
      <c r="M403" t="s">
        <v>26</v>
      </c>
      <c r="N403" t="s">
        <v>27</v>
      </c>
      <c r="O403" t="s">
        <v>28</v>
      </c>
      <c r="P403" t="s">
        <v>59</v>
      </c>
      <c r="Q403" s="6">
        <v>2.4571910112359499</v>
      </c>
      <c r="R403">
        <v>2.37</v>
      </c>
      <c r="S403">
        <v>10.41</v>
      </c>
      <c r="T403">
        <v>24.3</v>
      </c>
      <c r="U403">
        <v>37.64</v>
      </c>
      <c r="V403">
        <v>33.44</v>
      </c>
      <c r="W403">
        <v>1.38</v>
      </c>
    </row>
    <row r="404" spans="1:23" x14ac:dyDescent="0.3">
      <c r="A404">
        <v>402</v>
      </c>
      <c r="B404" t="s">
        <v>447</v>
      </c>
      <c r="C404" t="s">
        <v>43</v>
      </c>
      <c r="D404">
        <v>118</v>
      </c>
      <c r="E404">
        <v>3596</v>
      </c>
      <c r="F404" s="3">
        <v>237</v>
      </c>
      <c r="G404">
        <v>29</v>
      </c>
      <c r="H404">
        <v>9</v>
      </c>
      <c r="I404" s="5">
        <v>7.6271186440677902E-2</v>
      </c>
      <c r="J404" s="3">
        <v>236</v>
      </c>
      <c r="K404" s="1">
        <v>45619</v>
      </c>
      <c r="L404" t="s">
        <v>25</v>
      </c>
      <c r="M404" t="s">
        <v>39</v>
      </c>
      <c r="N404" t="s">
        <v>32</v>
      </c>
      <c r="O404" t="s">
        <v>28</v>
      </c>
      <c r="P404" t="s">
        <v>29</v>
      </c>
      <c r="Q404" s="6">
        <v>2.0055932203389801</v>
      </c>
      <c r="R404">
        <v>3.28</v>
      </c>
      <c r="S404">
        <v>8.16</v>
      </c>
      <c r="T404">
        <v>26.3</v>
      </c>
      <c r="U404">
        <v>-0.28000000000000003</v>
      </c>
      <c r="V404">
        <v>26.22</v>
      </c>
      <c r="W404">
        <v>1</v>
      </c>
    </row>
    <row r="405" spans="1:23" x14ac:dyDescent="0.3">
      <c r="A405">
        <v>403</v>
      </c>
      <c r="B405" t="s">
        <v>448</v>
      </c>
      <c r="C405" t="s">
        <v>24</v>
      </c>
      <c r="D405">
        <v>98</v>
      </c>
      <c r="E405">
        <v>3217</v>
      </c>
      <c r="F405" s="3">
        <v>232</v>
      </c>
      <c r="G405">
        <v>21</v>
      </c>
      <c r="H405">
        <v>8</v>
      </c>
      <c r="I405" s="5">
        <v>8.16326530612244E-2</v>
      </c>
      <c r="J405" s="3">
        <v>352</v>
      </c>
      <c r="K405" s="1">
        <v>45617</v>
      </c>
      <c r="L405" t="s">
        <v>25</v>
      </c>
      <c r="M405" t="s">
        <v>31</v>
      </c>
      <c r="N405" t="s">
        <v>40</v>
      </c>
      <c r="O405" t="s">
        <v>28</v>
      </c>
      <c r="P405" t="s">
        <v>54</v>
      </c>
      <c r="Q405" s="6">
        <v>2.3688775510203999</v>
      </c>
      <c r="R405">
        <v>3.05</v>
      </c>
      <c r="S405">
        <v>11.05</v>
      </c>
      <c r="T405">
        <v>29.02</v>
      </c>
      <c r="U405">
        <v>51.63</v>
      </c>
      <c r="V405">
        <v>44</v>
      </c>
      <c r="W405">
        <v>1.52</v>
      </c>
    </row>
    <row r="406" spans="1:23" x14ac:dyDescent="0.3">
      <c r="A406">
        <v>404</v>
      </c>
      <c r="B406" t="s">
        <v>449</v>
      </c>
      <c r="C406" t="s">
        <v>38</v>
      </c>
      <c r="D406">
        <v>95</v>
      </c>
      <c r="E406">
        <v>5386</v>
      </c>
      <c r="F406" s="3">
        <v>185</v>
      </c>
      <c r="G406">
        <v>23</v>
      </c>
      <c r="H406">
        <v>8</v>
      </c>
      <c r="I406" s="5">
        <v>8.4210526315789402E-2</v>
      </c>
      <c r="J406" s="3">
        <v>213</v>
      </c>
      <c r="K406" s="1">
        <v>45616</v>
      </c>
      <c r="L406" t="s">
        <v>25</v>
      </c>
      <c r="M406" t="s">
        <v>26</v>
      </c>
      <c r="N406" t="s">
        <v>44</v>
      </c>
      <c r="O406" t="s">
        <v>28</v>
      </c>
      <c r="P406" t="s">
        <v>33</v>
      </c>
      <c r="Q406" s="6">
        <v>1.9469473684210501</v>
      </c>
      <c r="R406">
        <v>1.76</v>
      </c>
      <c r="S406">
        <v>8.0399999999999991</v>
      </c>
      <c r="T406">
        <v>23.12</v>
      </c>
      <c r="U406">
        <v>15.16</v>
      </c>
      <c r="V406">
        <v>26.62</v>
      </c>
      <c r="W406">
        <v>1.1499999999999999</v>
      </c>
    </row>
    <row r="407" spans="1:23" x14ac:dyDescent="0.3">
      <c r="A407">
        <v>405</v>
      </c>
      <c r="B407" t="s">
        <v>450</v>
      </c>
      <c r="C407" t="s">
        <v>35</v>
      </c>
      <c r="D407">
        <v>144</v>
      </c>
      <c r="E407">
        <v>5381</v>
      </c>
      <c r="F407" s="3">
        <v>199</v>
      </c>
      <c r="G407">
        <v>10</v>
      </c>
      <c r="H407">
        <v>10</v>
      </c>
      <c r="I407" s="5">
        <v>6.9444444444444406E-2</v>
      </c>
      <c r="J407" s="3">
        <v>221</v>
      </c>
      <c r="K407" s="1">
        <v>45605</v>
      </c>
      <c r="L407" t="s">
        <v>25</v>
      </c>
      <c r="M407" t="s">
        <v>26</v>
      </c>
      <c r="N407" t="s">
        <v>40</v>
      </c>
      <c r="O407" t="s">
        <v>28</v>
      </c>
      <c r="P407" t="s">
        <v>29</v>
      </c>
      <c r="Q407" s="6">
        <v>1.38493055555555</v>
      </c>
      <c r="R407">
        <v>2.68</v>
      </c>
      <c r="S407">
        <v>19.940000000000001</v>
      </c>
      <c r="T407">
        <v>19.940000000000001</v>
      </c>
      <c r="U407">
        <v>10.82</v>
      </c>
      <c r="V407">
        <v>22.1</v>
      </c>
      <c r="W407">
        <v>1.1100000000000001</v>
      </c>
    </row>
    <row r="408" spans="1:23" x14ac:dyDescent="0.3">
      <c r="A408">
        <v>406</v>
      </c>
      <c r="B408" t="s">
        <v>451</v>
      </c>
      <c r="C408" t="s">
        <v>38</v>
      </c>
      <c r="D408">
        <v>107</v>
      </c>
      <c r="E408">
        <v>5536</v>
      </c>
      <c r="F408" s="3">
        <v>239</v>
      </c>
      <c r="G408">
        <v>15</v>
      </c>
      <c r="H408">
        <v>3</v>
      </c>
      <c r="I408" s="5">
        <v>2.8037383177569999E-2</v>
      </c>
      <c r="J408" s="3">
        <v>372</v>
      </c>
      <c r="K408" s="1">
        <v>45613</v>
      </c>
      <c r="L408" t="s">
        <v>25</v>
      </c>
      <c r="M408" t="s">
        <v>31</v>
      </c>
      <c r="N408" t="s">
        <v>49</v>
      </c>
      <c r="O408" t="s">
        <v>28</v>
      </c>
      <c r="P408" t="s">
        <v>50</v>
      </c>
      <c r="Q408" s="6">
        <v>2.2313084112149499</v>
      </c>
      <c r="R408">
        <v>1.93</v>
      </c>
      <c r="S408">
        <v>15.92</v>
      </c>
      <c r="T408">
        <v>79.58</v>
      </c>
      <c r="U408">
        <v>55.81</v>
      </c>
      <c r="V408">
        <v>124</v>
      </c>
      <c r="W408">
        <v>1.56</v>
      </c>
    </row>
    <row r="409" spans="1:23" x14ac:dyDescent="0.3">
      <c r="A409">
        <v>407</v>
      </c>
      <c r="B409" t="s">
        <v>452</v>
      </c>
      <c r="C409" t="s">
        <v>43</v>
      </c>
      <c r="D409">
        <v>146</v>
      </c>
      <c r="E409">
        <v>3165</v>
      </c>
      <c r="F409" s="3">
        <v>211</v>
      </c>
      <c r="G409">
        <v>16</v>
      </c>
      <c r="H409">
        <v>7</v>
      </c>
      <c r="I409" s="5">
        <v>4.7945205479451997E-2</v>
      </c>
      <c r="J409" s="3">
        <v>348</v>
      </c>
      <c r="K409" s="1">
        <v>45604</v>
      </c>
      <c r="L409" t="s">
        <v>25</v>
      </c>
      <c r="M409" t="s">
        <v>31</v>
      </c>
      <c r="N409" t="s">
        <v>27</v>
      </c>
      <c r="O409" t="s">
        <v>28</v>
      </c>
      <c r="P409" t="s">
        <v>45</v>
      </c>
      <c r="Q409" s="6">
        <v>1.4458219178082099</v>
      </c>
      <c r="R409">
        <v>4.6100000000000003</v>
      </c>
      <c r="S409">
        <v>13.19</v>
      </c>
      <c r="T409">
        <v>30.16</v>
      </c>
      <c r="U409">
        <v>64.86</v>
      </c>
      <c r="V409">
        <v>49.71</v>
      </c>
      <c r="W409">
        <v>1.65</v>
      </c>
    </row>
    <row r="410" spans="1:23" x14ac:dyDescent="0.3">
      <c r="A410">
        <v>408</v>
      </c>
      <c r="B410" t="s">
        <v>453</v>
      </c>
      <c r="C410" t="s">
        <v>35</v>
      </c>
      <c r="D410">
        <v>114</v>
      </c>
      <c r="E410">
        <v>5217</v>
      </c>
      <c r="F410" s="3">
        <v>248</v>
      </c>
      <c r="G410">
        <v>11</v>
      </c>
      <c r="H410">
        <v>10</v>
      </c>
      <c r="I410" s="5">
        <v>8.7719298245614002E-2</v>
      </c>
      <c r="J410" s="3">
        <v>383</v>
      </c>
      <c r="K410" s="1">
        <v>45614</v>
      </c>
      <c r="L410" t="s">
        <v>25</v>
      </c>
      <c r="M410" t="s">
        <v>26</v>
      </c>
      <c r="N410" t="s">
        <v>36</v>
      </c>
      <c r="O410" t="s">
        <v>28</v>
      </c>
      <c r="P410" t="s">
        <v>59</v>
      </c>
      <c r="Q410" s="6">
        <v>2.1749122807017498</v>
      </c>
      <c r="R410">
        <v>2.19</v>
      </c>
      <c r="S410">
        <v>22.54</v>
      </c>
      <c r="T410">
        <v>24.79</v>
      </c>
      <c r="U410">
        <v>54.47</v>
      </c>
      <c r="V410">
        <v>38.299999999999997</v>
      </c>
      <c r="W410">
        <v>1.54</v>
      </c>
    </row>
    <row r="411" spans="1:23" x14ac:dyDescent="0.3">
      <c r="A411">
        <v>409</v>
      </c>
      <c r="B411" t="s">
        <v>454</v>
      </c>
      <c r="C411" t="s">
        <v>38</v>
      </c>
      <c r="D411">
        <v>162</v>
      </c>
      <c r="E411">
        <v>4301</v>
      </c>
      <c r="F411" s="3">
        <v>224</v>
      </c>
      <c r="G411">
        <v>21</v>
      </c>
      <c r="H411">
        <v>7</v>
      </c>
      <c r="I411" s="5">
        <v>4.3209876543209798E-2</v>
      </c>
      <c r="J411" s="3">
        <v>218</v>
      </c>
      <c r="K411" s="1">
        <v>45616</v>
      </c>
      <c r="L411" t="s">
        <v>25</v>
      </c>
      <c r="M411" t="s">
        <v>31</v>
      </c>
      <c r="N411" t="s">
        <v>27</v>
      </c>
      <c r="O411" t="s">
        <v>28</v>
      </c>
      <c r="P411" t="s">
        <v>33</v>
      </c>
      <c r="Q411" s="6">
        <v>1.38129629629629</v>
      </c>
      <c r="R411">
        <v>3.77</v>
      </c>
      <c r="S411">
        <v>10.66</v>
      </c>
      <c r="T411">
        <v>31.97</v>
      </c>
      <c r="U411">
        <v>-2.58</v>
      </c>
      <c r="V411">
        <v>31.14</v>
      </c>
      <c r="W411">
        <v>0.97</v>
      </c>
    </row>
    <row r="412" spans="1:23" x14ac:dyDescent="0.3">
      <c r="A412">
        <v>410</v>
      </c>
      <c r="B412" t="s">
        <v>455</v>
      </c>
      <c r="C412" t="s">
        <v>35</v>
      </c>
      <c r="D412">
        <v>95</v>
      </c>
      <c r="E412">
        <v>5971</v>
      </c>
      <c r="F412" s="3">
        <v>215</v>
      </c>
      <c r="G412">
        <v>29</v>
      </c>
      <c r="H412">
        <v>10</v>
      </c>
      <c r="I412" s="5">
        <v>0.105263157894736</v>
      </c>
      <c r="J412" s="3">
        <v>314</v>
      </c>
      <c r="K412" s="1">
        <v>45612</v>
      </c>
      <c r="L412" t="s">
        <v>25</v>
      </c>
      <c r="M412" t="s">
        <v>31</v>
      </c>
      <c r="N412" t="s">
        <v>49</v>
      </c>
      <c r="O412" t="s">
        <v>28</v>
      </c>
      <c r="P412" t="s">
        <v>29</v>
      </c>
      <c r="Q412" s="6">
        <v>2.2586315789473601</v>
      </c>
      <c r="R412">
        <v>1.59</v>
      </c>
      <c r="S412">
        <v>7.4</v>
      </c>
      <c r="T412">
        <v>21.46</v>
      </c>
      <c r="U412">
        <v>46.34</v>
      </c>
      <c r="V412">
        <v>31.4</v>
      </c>
      <c r="W412">
        <v>1.46</v>
      </c>
    </row>
    <row r="413" spans="1:23" x14ac:dyDescent="0.3">
      <c r="A413">
        <v>411</v>
      </c>
      <c r="B413" t="s">
        <v>456</v>
      </c>
      <c r="C413" t="s">
        <v>43</v>
      </c>
      <c r="D413">
        <v>163</v>
      </c>
      <c r="E413">
        <v>5160</v>
      </c>
      <c r="F413" s="3">
        <v>185</v>
      </c>
      <c r="G413">
        <v>19</v>
      </c>
      <c r="H413">
        <v>4</v>
      </c>
      <c r="I413" s="5">
        <v>2.45398773006134E-2</v>
      </c>
      <c r="J413" s="3">
        <v>362</v>
      </c>
      <c r="K413" s="1">
        <v>45619</v>
      </c>
      <c r="L413" t="s">
        <v>25</v>
      </c>
      <c r="M413" t="s">
        <v>26</v>
      </c>
      <c r="N413" t="s">
        <v>32</v>
      </c>
      <c r="O413" t="s">
        <v>28</v>
      </c>
      <c r="P413" t="s">
        <v>29</v>
      </c>
      <c r="Q413" s="6">
        <v>1.1339877300613399</v>
      </c>
      <c r="R413">
        <v>3.16</v>
      </c>
      <c r="S413">
        <v>9.73</v>
      </c>
      <c r="T413">
        <v>46.21</v>
      </c>
      <c r="U413">
        <v>95.85</v>
      </c>
      <c r="V413">
        <v>90.5</v>
      </c>
      <c r="W413">
        <v>1.96</v>
      </c>
    </row>
    <row r="414" spans="1:23" x14ac:dyDescent="0.3">
      <c r="A414">
        <v>412</v>
      </c>
      <c r="B414" t="s">
        <v>457</v>
      </c>
      <c r="C414" t="s">
        <v>35</v>
      </c>
      <c r="D414">
        <v>148</v>
      </c>
      <c r="E414">
        <v>5947</v>
      </c>
      <c r="F414" s="3">
        <v>212</v>
      </c>
      <c r="G414">
        <v>12</v>
      </c>
      <c r="H414">
        <v>4</v>
      </c>
      <c r="I414" s="5">
        <v>2.7027027027027001E-2</v>
      </c>
      <c r="J414" s="3">
        <v>264</v>
      </c>
      <c r="K414" s="1">
        <v>45620</v>
      </c>
      <c r="L414" t="s">
        <v>25</v>
      </c>
      <c r="M414" t="s">
        <v>31</v>
      </c>
      <c r="N414" t="s">
        <v>44</v>
      </c>
      <c r="O414" t="s">
        <v>28</v>
      </c>
      <c r="P414" t="s">
        <v>50</v>
      </c>
      <c r="Q414" s="6">
        <v>1.4350000000000001</v>
      </c>
      <c r="R414">
        <v>2.4900000000000002</v>
      </c>
      <c r="S414">
        <v>17.7</v>
      </c>
      <c r="T414">
        <v>53.1</v>
      </c>
      <c r="U414">
        <v>24.31</v>
      </c>
      <c r="V414">
        <v>66</v>
      </c>
      <c r="W414">
        <v>1.24</v>
      </c>
    </row>
    <row r="415" spans="1:23" x14ac:dyDescent="0.3">
      <c r="A415">
        <v>413</v>
      </c>
      <c r="B415" t="s">
        <v>458</v>
      </c>
      <c r="C415" t="s">
        <v>24</v>
      </c>
      <c r="D415">
        <v>156</v>
      </c>
      <c r="E415">
        <v>4150</v>
      </c>
      <c r="F415" s="3">
        <v>223</v>
      </c>
      <c r="G415">
        <v>20</v>
      </c>
      <c r="H415">
        <v>10</v>
      </c>
      <c r="I415" s="5">
        <v>6.4102564102564097E-2</v>
      </c>
      <c r="J415" s="3">
        <v>396</v>
      </c>
      <c r="K415" s="1">
        <v>45610</v>
      </c>
      <c r="L415" t="s">
        <v>25</v>
      </c>
      <c r="M415" t="s">
        <v>39</v>
      </c>
      <c r="N415" t="s">
        <v>27</v>
      </c>
      <c r="O415" t="s">
        <v>28</v>
      </c>
      <c r="P415" t="s">
        <v>54</v>
      </c>
      <c r="Q415" s="6">
        <v>1.4305769230769201</v>
      </c>
      <c r="R415">
        <v>3.76</v>
      </c>
      <c r="S415">
        <v>11.16</v>
      </c>
      <c r="T415">
        <v>22.32</v>
      </c>
      <c r="U415">
        <v>77.44</v>
      </c>
      <c r="V415">
        <v>39.6</v>
      </c>
      <c r="W415">
        <v>1.77</v>
      </c>
    </row>
    <row r="416" spans="1:23" x14ac:dyDescent="0.3">
      <c r="A416">
        <v>414</v>
      </c>
      <c r="B416" t="s">
        <v>459</v>
      </c>
      <c r="C416" t="s">
        <v>38</v>
      </c>
      <c r="D416">
        <v>99</v>
      </c>
      <c r="E416">
        <v>4040</v>
      </c>
      <c r="F416" s="3">
        <v>153</v>
      </c>
      <c r="G416">
        <v>13</v>
      </c>
      <c r="H416">
        <v>5</v>
      </c>
      <c r="I416" s="5">
        <v>5.0505050505050497E-2</v>
      </c>
      <c r="J416" s="3">
        <v>307</v>
      </c>
      <c r="K416" s="1">
        <v>45622</v>
      </c>
      <c r="L416" t="s">
        <v>25</v>
      </c>
      <c r="M416" t="s">
        <v>39</v>
      </c>
      <c r="N416" t="s">
        <v>44</v>
      </c>
      <c r="O416" t="s">
        <v>28</v>
      </c>
      <c r="P416" t="s">
        <v>41</v>
      </c>
      <c r="Q416" s="6">
        <v>1.5454545454545401</v>
      </c>
      <c r="R416">
        <v>2.4500000000000002</v>
      </c>
      <c r="S416">
        <v>11.77</v>
      </c>
      <c r="T416">
        <v>30.6</v>
      </c>
      <c r="U416">
        <v>100.65</v>
      </c>
      <c r="V416">
        <v>61.4</v>
      </c>
      <c r="W416">
        <v>2.0099999999999998</v>
      </c>
    </row>
    <row r="417" spans="1:23" x14ac:dyDescent="0.3">
      <c r="A417">
        <v>415</v>
      </c>
      <c r="B417" t="s">
        <v>460</v>
      </c>
      <c r="C417" t="s">
        <v>24</v>
      </c>
      <c r="D417">
        <v>124</v>
      </c>
      <c r="E417">
        <v>5956</v>
      </c>
      <c r="F417" s="3">
        <v>201</v>
      </c>
      <c r="G417">
        <v>12</v>
      </c>
      <c r="H417">
        <v>9</v>
      </c>
      <c r="I417" s="5">
        <v>7.25806451612903E-2</v>
      </c>
      <c r="J417" s="3">
        <v>326</v>
      </c>
      <c r="K417" s="1">
        <v>45620</v>
      </c>
      <c r="L417" t="s">
        <v>25</v>
      </c>
      <c r="M417" t="s">
        <v>39</v>
      </c>
      <c r="N417" t="s">
        <v>36</v>
      </c>
      <c r="O417" t="s">
        <v>28</v>
      </c>
      <c r="P417" t="s">
        <v>50</v>
      </c>
      <c r="Q417" s="6">
        <v>1.6245161290322501</v>
      </c>
      <c r="R417">
        <v>2.08</v>
      </c>
      <c r="S417">
        <v>16.79</v>
      </c>
      <c r="T417">
        <v>22.38</v>
      </c>
      <c r="U417">
        <v>61.83</v>
      </c>
      <c r="V417">
        <v>36.22</v>
      </c>
      <c r="W417">
        <v>1.62</v>
      </c>
    </row>
    <row r="418" spans="1:23" x14ac:dyDescent="0.3">
      <c r="A418">
        <v>416</v>
      </c>
      <c r="B418" t="s">
        <v>461</v>
      </c>
      <c r="C418" t="s">
        <v>43</v>
      </c>
      <c r="D418">
        <v>138</v>
      </c>
      <c r="E418">
        <v>4769</v>
      </c>
      <c r="F418" s="3">
        <v>229</v>
      </c>
      <c r="G418">
        <v>27</v>
      </c>
      <c r="H418">
        <v>8</v>
      </c>
      <c r="I418" s="5">
        <v>5.7971014492753603E-2</v>
      </c>
      <c r="J418" s="3">
        <v>373.71428571428498</v>
      </c>
      <c r="K418" s="1">
        <v>45615</v>
      </c>
      <c r="L418" t="s">
        <v>25</v>
      </c>
      <c r="M418" t="s">
        <v>31</v>
      </c>
      <c r="N418" t="s">
        <v>40</v>
      </c>
      <c r="O418" t="s">
        <v>28</v>
      </c>
      <c r="P418" t="s">
        <v>41</v>
      </c>
      <c r="Q418" s="6">
        <v>1.66260869565217</v>
      </c>
      <c r="R418">
        <v>2.89</v>
      </c>
      <c r="S418">
        <v>8.5</v>
      </c>
      <c r="T418">
        <v>28.68</v>
      </c>
      <c r="U418">
        <v>62.88</v>
      </c>
      <c r="V418">
        <v>46.71</v>
      </c>
      <c r="W418">
        <v>1.63</v>
      </c>
    </row>
    <row r="419" spans="1:23" x14ac:dyDescent="0.3">
      <c r="A419">
        <v>417</v>
      </c>
      <c r="B419" t="s">
        <v>462</v>
      </c>
      <c r="C419" t="s">
        <v>24</v>
      </c>
      <c r="D419">
        <v>140</v>
      </c>
      <c r="E419">
        <v>3822</v>
      </c>
      <c r="F419" s="3">
        <v>242</v>
      </c>
      <c r="G419">
        <v>30</v>
      </c>
      <c r="H419">
        <v>10</v>
      </c>
      <c r="I419" s="5">
        <v>7.1428571428571397E-2</v>
      </c>
      <c r="J419" s="3">
        <v>232</v>
      </c>
      <c r="K419" s="1">
        <v>45615</v>
      </c>
      <c r="L419" t="s">
        <v>25</v>
      </c>
      <c r="M419" t="s">
        <v>39</v>
      </c>
      <c r="N419" t="s">
        <v>32</v>
      </c>
      <c r="O419" t="s">
        <v>28</v>
      </c>
      <c r="P419" t="s">
        <v>41</v>
      </c>
      <c r="Q419" s="6">
        <v>1.72628571428571</v>
      </c>
      <c r="R419">
        <v>3.66</v>
      </c>
      <c r="S419">
        <v>8.06</v>
      </c>
      <c r="T419">
        <v>24.17</v>
      </c>
      <c r="U419">
        <v>-4.01</v>
      </c>
      <c r="V419">
        <v>23.2</v>
      </c>
      <c r="W419">
        <v>0.96</v>
      </c>
    </row>
    <row r="420" spans="1:23" x14ac:dyDescent="0.3">
      <c r="A420">
        <v>418</v>
      </c>
      <c r="B420" t="s">
        <v>463</v>
      </c>
      <c r="C420" t="s">
        <v>43</v>
      </c>
      <c r="D420">
        <v>81</v>
      </c>
      <c r="E420">
        <v>3147</v>
      </c>
      <c r="F420" s="3">
        <v>232</v>
      </c>
      <c r="G420">
        <v>30</v>
      </c>
      <c r="H420">
        <v>9</v>
      </c>
      <c r="I420" s="5">
        <v>0.11111111111111099</v>
      </c>
      <c r="J420" s="3">
        <v>218</v>
      </c>
      <c r="K420" s="1">
        <v>45625</v>
      </c>
      <c r="L420" t="s">
        <v>25</v>
      </c>
      <c r="M420" t="s">
        <v>31</v>
      </c>
      <c r="N420" t="s">
        <v>32</v>
      </c>
      <c r="O420" t="s">
        <v>28</v>
      </c>
      <c r="P420" t="s">
        <v>45</v>
      </c>
      <c r="Q420" s="6">
        <v>2.86666666666666</v>
      </c>
      <c r="R420">
        <v>2.57</v>
      </c>
      <c r="S420">
        <v>7.74</v>
      </c>
      <c r="T420">
        <v>25.8</v>
      </c>
      <c r="U420">
        <v>-6.12</v>
      </c>
      <c r="V420">
        <v>24.22</v>
      </c>
      <c r="W420">
        <v>0.94</v>
      </c>
    </row>
    <row r="421" spans="1:23" x14ac:dyDescent="0.3">
      <c r="A421">
        <v>419</v>
      </c>
      <c r="B421" t="s">
        <v>464</v>
      </c>
      <c r="C421" t="s">
        <v>24</v>
      </c>
      <c r="D421">
        <v>165</v>
      </c>
      <c r="E421">
        <v>4613</v>
      </c>
      <c r="F421" s="3">
        <v>247</v>
      </c>
      <c r="G421">
        <v>19</v>
      </c>
      <c r="H421">
        <v>3</v>
      </c>
      <c r="I421" s="5">
        <v>1.8181818181818101E-2</v>
      </c>
      <c r="J421" s="3">
        <v>215</v>
      </c>
      <c r="K421" s="1">
        <v>45607</v>
      </c>
      <c r="L421" t="s">
        <v>25</v>
      </c>
      <c r="M421" t="s">
        <v>39</v>
      </c>
      <c r="N421" t="s">
        <v>40</v>
      </c>
      <c r="O421" t="s">
        <v>28</v>
      </c>
      <c r="P421" t="s">
        <v>59</v>
      </c>
      <c r="Q421" s="6">
        <v>1.49527272727272</v>
      </c>
      <c r="R421">
        <v>3.58</v>
      </c>
      <c r="S421">
        <v>12.99</v>
      </c>
      <c r="T421">
        <v>82.24</v>
      </c>
      <c r="U421">
        <v>-12.86</v>
      </c>
      <c r="V421">
        <v>71.67</v>
      </c>
      <c r="W421">
        <v>0.87</v>
      </c>
    </row>
    <row r="422" spans="1:23" x14ac:dyDescent="0.3">
      <c r="A422">
        <v>420</v>
      </c>
      <c r="B422" t="s">
        <v>465</v>
      </c>
      <c r="C422" t="s">
        <v>38</v>
      </c>
      <c r="D422">
        <v>193</v>
      </c>
      <c r="E422">
        <v>4919</v>
      </c>
      <c r="F422" s="3">
        <v>247</v>
      </c>
      <c r="G422">
        <v>19</v>
      </c>
      <c r="H422">
        <v>4</v>
      </c>
      <c r="I422" s="5">
        <v>2.0725388601036201E-2</v>
      </c>
      <c r="J422" s="3">
        <v>394</v>
      </c>
      <c r="K422" s="1">
        <v>45621</v>
      </c>
      <c r="L422" t="s">
        <v>25</v>
      </c>
      <c r="M422" t="s">
        <v>26</v>
      </c>
      <c r="N422" t="s">
        <v>36</v>
      </c>
      <c r="O422" t="s">
        <v>28</v>
      </c>
      <c r="P422" t="s">
        <v>59</v>
      </c>
      <c r="Q422" s="6">
        <v>1.2810362694300499</v>
      </c>
      <c r="R422">
        <v>3.92</v>
      </c>
      <c r="S422">
        <v>13.01</v>
      </c>
      <c r="T422">
        <v>61.81</v>
      </c>
      <c r="U422">
        <v>59.36</v>
      </c>
      <c r="V422">
        <v>98.5</v>
      </c>
      <c r="W422">
        <v>1.59</v>
      </c>
    </row>
    <row r="423" spans="1:23" x14ac:dyDescent="0.3">
      <c r="A423">
        <v>421</v>
      </c>
      <c r="B423" t="s">
        <v>466</v>
      </c>
      <c r="C423" t="s">
        <v>35</v>
      </c>
      <c r="D423">
        <v>149</v>
      </c>
      <c r="E423">
        <v>5205</v>
      </c>
      <c r="F423" s="3">
        <v>218</v>
      </c>
      <c r="G423">
        <v>20</v>
      </c>
      <c r="H423">
        <v>4</v>
      </c>
      <c r="I423" s="5">
        <v>2.68456375838926E-2</v>
      </c>
      <c r="J423" s="3">
        <v>218</v>
      </c>
      <c r="K423" s="1">
        <v>45624</v>
      </c>
      <c r="L423" t="s">
        <v>25</v>
      </c>
      <c r="M423" t="s">
        <v>31</v>
      </c>
      <c r="N423" t="s">
        <v>44</v>
      </c>
      <c r="O423" t="s">
        <v>28</v>
      </c>
      <c r="P423" t="s">
        <v>54</v>
      </c>
      <c r="Q423" s="6">
        <v>1.4659060402684501</v>
      </c>
      <c r="R423">
        <v>2.86</v>
      </c>
      <c r="S423">
        <v>10.92</v>
      </c>
      <c r="T423">
        <v>54.6</v>
      </c>
      <c r="U423">
        <v>-0.19</v>
      </c>
      <c r="V423">
        <v>54.5</v>
      </c>
      <c r="W423">
        <v>1</v>
      </c>
    </row>
    <row r="424" spans="1:23" x14ac:dyDescent="0.3">
      <c r="A424">
        <v>422</v>
      </c>
      <c r="B424" t="s">
        <v>467</v>
      </c>
      <c r="C424" t="s">
        <v>43</v>
      </c>
      <c r="D424">
        <v>81</v>
      </c>
      <c r="E424">
        <v>3497</v>
      </c>
      <c r="F424" s="3">
        <v>227</v>
      </c>
      <c r="G424">
        <v>11</v>
      </c>
      <c r="H424">
        <v>6</v>
      </c>
      <c r="I424" s="5">
        <v>7.4074074074074001E-2</v>
      </c>
      <c r="J424" s="3">
        <v>214</v>
      </c>
      <c r="K424" s="1">
        <v>45615</v>
      </c>
      <c r="L424" t="s">
        <v>25</v>
      </c>
      <c r="M424" t="s">
        <v>31</v>
      </c>
      <c r="N424" t="s">
        <v>36</v>
      </c>
      <c r="O424" t="s">
        <v>28</v>
      </c>
      <c r="P424" t="s">
        <v>41</v>
      </c>
      <c r="Q424" s="6">
        <v>2.7982716049382699</v>
      </c>
      <c r="R424">
        <v>2.3199999999999998</v>
      </c>
      <c r="S424">
        <v>20.61</v>
      </c>
      <c r="T424">
        <v>37.78</v>
      </c>
      <c r="U424">
        <v>-5.59</v>
      </c>
      <c r="V424">
        <v>35.67</v>
      </c>
      <c r="W424">
        <v>0.94</v>
      </c>
    </row>
    <row r="425" spans="1:23" x14ac:dyDescent="0.3">
      <c r="A425">
        <v>423</v>
      </c>
      <c r="B425" t="s">
        <v>468</v>
      </c>
      <c r="C425" t="s">
        <v>24</v>
      </c>
      <c r="D425">
        <v>153</v>
      </c>
      <c r="E425">
        <v>4057</v>
      </c>
      <c r="F425" s="3">
        <v>198</v>
      </c>
      <c r="G425">
        <v>23</v>
      </c>
      <c r="H425">
        <v>5</v>
      </c>
      <c r="I425" s="5">
        <v>3.2679738562091498E-2</v>
      </c>
      <c r="J425" s="3">
        <v>393</v>
      </c>
      <c r="K425" s="1">
        <v>45618</v>
      </c>
      <c r="L425" t="s">
        <v>25</v>
      </c>
      <c r="M425" t="s">
        <v>39</v>
      </c>
      <c r="N425" t="s">
        <v>36</v>
      </c>
      <c r="O425" t="s">
        <v>28</v>
      </c>
      <c r="P425" t="s">
        <v>45</v>
      </c>
      <c r="Q425" s="6">
        <v>1.29111111111111</v>
      </c>
      <c r="R425">
        <v>3.77</v>
      </c>
      <c r="S425">
        <v>8.59</v>
      </c>
      <c r="T425">
        <v>39.51</v>
      </c>
      <c r="U425">
        <v>98.95</v>
      </c>
      <c r="V425">
        <v>78.599999999999994</v>
      </c>
      <c r="W425">
        <v>1.99</v>
      </c>
    </row>
    <row r="426" spans="1:23" x14ac:dyDescent="0.3">
      <c r="A426">
        <v>424</v>
      </c>
      <c r="B426" t="s">
        <v>469</v>
      </c>
      <c r="C426" t="s">
        <v>24</v>
      </c>
      <c r="D426">
        <v>127</v>
      </c>
      <c r="E426">
        <v>5018</v>
      </c>
      <c r="F426" s="3">
        <v>194</v>
      </c>
      <c r="G426">
        <v>17</v>
      </c>
      <c r="H426">
        <v>8</v>
      </c>
      <c r="I426" s="5">
        <v>6.2992125984251898E-2</v>
      </c>
      <c r="J426" s="3">
        <v>276</v>
      </c>
      <c r="K426" s="1">
        <v>45617</v>
      </c>
      <c r="L426" t="s">
        <v>25</v>
      </c>
      <c r="M426" t="s">
        <v>31</v>
      </c>
      <c r="N426" t="s">
        <v>36</v>
      </c>
      <c r="O426" t="s">
        <v>28</v>
      </c>
      <c r="P426" t="s">
        <v>54</v>
      </c>
      <c r="Q426" s="6">
        <v>1.5295275590551101</v>
      </c>
      <c r="R426">
        <v>2.5299999999999998</v>
      </c>
      <c r="S426">
        <v>11.43</v>
      </c>
      <c r="T426">
        <v>24.28</v>
      </c>
      <c r="U426">
        <v>42.08</v>
      </c>
      <c r="V426">
        <v>34.5</v>
      </c>
      <c r="W426">
        <v>1.42</v>
      </c>
    </row>
    <row r="427" spans="1:23" x14ac:dyDescent="0.3">
      <c r="A427">
        <v>425</v>
      </c>
      <c r="B427" t="s">
        <v>470</v>
      </c>
      <c r="C427" t="s">
        <v>24</v>
      </c>
      <c r="D427">
        <v>99</v>
      </c>
      <c r="E427">
        <v>4012</v>
      </c>
      <c r="F427" s="3">
        <v>221</v>
      </c>
      <c r="G427">
        <v>14</v>
      </c>
      <c r="H427">
        <v>4</v>
      </c>
      <c r="I427" s="5">
        <v>4.0404040404040401E-2</v>
      </c>
      <c r="J427" s="3">
        <v>347</v>
      </c>
      <c r="K427" s="1">
        <v>45608</v>
      </c>
      <c r="L427" t="s">
        <v>25</v>
      </c>
      <c r="M427" t="s">
        <v>39</v>
      </c>
      <c r="N427" t="s">
        <v>40</v>
      </c>
      <c r="O427" t="s">
        <v>28</v>
      </c>
      <c r="P427" t="s">
        <v>41</v>
      </c>
      <c r="Q427" s="6">
        <v>2.2298989898989898</v>
      </c>
      <c r="R427">
        <v>2.4700000000000002</v>
      </c>
      <c r="S427">
        <v>15.77</v>
      </c>
      <c r="T427">
        <v>55.19</v>
      </c>
      <c r="U427">
        <v>57.18</v>
      </c>
      <c r="V427">
        <v>86.75</v>
      </c>
      <c r="W427">
        <v>1.57</v>
      </c>
    </row>
    <row r="428" spans="1:23" x14ac:dyDescent="0.3">
      <c r="A428">
        <v>426</v>
      </c>
      <c r="B428" t="s">
        <v>471</v>
      </c>
      <c r="C428" t="s">
        <v>24</v>
      </c>
      <c r="D428">
        <v>104</v>
      </c>
      <c r="E428">
        <v>3013</v>
      </c>
      <c r="F428" s="3">
        <v>204</v>
      </c>
      <c r="G428">
        <v>12</v>
      </c>
      <c r="H428">
        <v>3</v>
      </c>
      <c r="I428" s="5">
        <v>2.8846153846153799E-2</v>
      </c>
      <c r="J428" s="3">
        <v>207</v>
      </c>
      <c r="K428" s="1">
        <v>45616</v>
      </c>
      <c r="L428" t="s">
        <v>25</v>
      </c>
      <c r="M428" t="s">
        <v>31</v>
      </c>
      <c r="N428" t="s">
        <v>27</v>
      </c>
      <c r="O428" t="s">
        <v>28</v>
      </c>
      <c r="P428" t="s">
        <v>33</v>
      </c>
      <c r="Q428" s="6">
        <v>1.96221153846153</v>
      </c>
      <c r="R428">
        <v>3.45</v>
      </c>
      <c r="S428">
        <v>17.010000000000002</v>
      </c>
      <c r="T428">
        <v>68.02</v>
      </c>
      <c r="U428">
        <v>1.44</v>
      </c>
      <c r="V428">
        <v>69</v>
      </c>
      <c r="W428">
        <v>1.01</v>
      </c>
    </row>
    <row r="429" spans="1:23" x14ac:dyDescent="0.3">
      <c r="A429">
        <v>427</v>
      </c>
      <c r="B429" t="s">
        <v>472</v>
      </c>
      <c r="C429" t="s">
        <v>38</v>
      </c>
      <c r="D429">
        <v>118</v>
      </c>
      <c r="E429">
        <v>3824</v>
      </c>
      <c r="F429" s="3">
        <v>185</v>
      </c>
      <c r="G429">
        <v>16</v>
      </c>
      <c r="H429">
        <v>5</v>
      </c>
      <c r="I429" s="5">
        <v>4.2372881355932202E-2</v>
      </c>
      <c r="J429" s="3">
        <v>371</v>
      </c>
      <c r="K429" s="1">
        <v>45615</v>
      </c>
      <c r="L429" t="s">
        <v>25</v>
      </c>
      <c r="M429" t="s">
        <v>26</v>
      </c>
      <c r="N429" t="s">
        <v>27</v>
      </c>
      <c r="O429" t="s">
        <v>28</v>
      </c>
      <c r="P429" t="s">
        <v>41</v>
      </c>
      <c r="Q429" s="6">
        <v>1.56610169491525</v>
      </c>
      <c r="R429">
        <v>3.09</v>
      </c>
      <c r="S429">
        <v>11.55</v>
      </c>
      <c r="T429">
        <v>36.96</v>
      </c>
      <c r="U429">
        <v>100.76</v>
      </c>
      <c r="V429">
        <v>74.2</v>
      </c>
      <c r="W429">
        <v>2.0099999999999998</v>
      </c>
    </row>
    <row r="430" spans="1:23" x14ac:dyDescent="0.3">
      <c r="A430">
        <v>428</v>
      </c>
      <c r="B430" t="s">
        <v>473</v>
      </c>
      <c r="C430" t="s">
        <v>35</v>
      </c>
      <c r="D430">
        <v>148</v>
      </c>
      <c r="E430">
        <v>5000</v>
      </c>
      <c r="F430" s="3">
        <v>224</v>
      </c>
      <c r="G430">
        <v>11</v>
      </c>
      <c r="H430">
        <v>3</v>
      </c>
      <c r="I430" s="5">
        <v>2.0270270270270199E-2</v>
      </c>
      <c r="J430" s="3">
        <v>304</v>
      </c>
      <c r="K430" s="1">
        <v>45626</v>
      </c>
      <c r="L430" t="s">
        <v>25</v>
      </c>
      <c r="M430" t="s">
        <v>31</v>
      </c>
      <c r="N430" t="s">
        <v>44</v>
      </c>
      <c r="O430" t="s">
        <v>28</v>
      </c>
      <c r="P430" t="s">
        <v>29</v>
      </c>
      <c r="Q430" s="6">
        <v>1.5162837837837799</v>
      </c>
      <c r="R430">
        <v>2.96</v>
      </c>
      <c r="S430">
        <v>20.399999999999999</v>
      </c>
      <c r="T430">
        <v>74.8</v>
      </c>
      <c r="U430">
        <v>35.47</v>
      </c>
      <c r="V430">
        <v>101.33</v>
      </c>
      <c r="W430">
        <v>1.35</v>
      </c>
    </row>
    <row r="431" spans="1:23" x14ac:dyDescent="0.3">
      <c r="A431">
        <v>429</v>
      </c>
      <c r="B431" t="s">
        <v>474</v>
      </c>
      <c r="C431" t="s">
        <v>43</v>
      </c>
      <c r="D431">
        <v>88</v>
      </c>
      <c r="E431">
        <v>3804</v>
      </c>
      <c r="F431" s="3">
        <v>249</v>
      </c>
      <c r="G431">
        <v>10</v>
      </c>
      <c r="H431">
        <v>8</v>
      </c>
      <c r="I431" s="5">
        <v>9.0909090909090898E-2</v>
      </c>
      <c r="J431" s="3">
        <v>213</v>
      </c>
      <c r="K431" s="1">
        <v>45605</v>
      </c>
      <c r="L431" t="s">
        <v>25</v>
      </c>
      <c r="M431" t="s">
        <v>39</v>
      </c>
      <c r="N431" t="s">
        <v>40</v>
      </c>
      <c r="O431" t="s">
        <v>28</v>
      </c>
      <c r="P431" t="s">
        <v>29</v>
      </c>
      <c r="Q431" s="6">
        <v>2.8318181818181798</v>
      </c>
      <c r="R431">
        <v>2.31</v>
      </c>
      <c r="S431">
        <v>24.92</v>
      </c>
      <c r="T431">
        <v>31.15</v>
      </c>
      <c r="U431">
        <v>-14.53</v>
      </c>
      <c r="V431">
        <v>26.62</v>
      </c>
      <c r="W431">
        <v>0.85</v>
      </c>
    </row>
    <row r="432" spans="1:23" x14ac:dyDescent="0.3">
      <c r="A432">
        <v>430</v>
      </c>
      <c r="B432" t="s">
        <v>475</v>
      </c>
      <c r="C432" t="s">
        <v>38</v>
      </c>
      <c r="D432">
        <v>142</v>
      </c>
      <c r="E432">
        <v>3791</v>
      </c>
      <c r="F432" s="3">
        <v>208</v>
      </c>
      <c r="G432">
        <v>23</v>
      </c>
      <c r="H432">
        <v>4</v>
      </c>
      <c r="I432" s="5">
        <v>2.8169014084507001E-2</v>
      </c>
      <c r="J432" s="3">
        <v>219</v>
      </c>
      <c r="K432" s="1">
        <v>45616</v>
      </c>
      <c r="L432" t="s">
        <v>25</v>
      </c>
      <c r="M432" t="s">
        <v>39</v>
      </c>
      <c r="N432" t="s">
        <v>36</v>
      </c>
      <c r="O432" t="s">
        <v>28</v>
      </c>
      <c r="P432" t="s">
        <v>33</v>
      </c>
      <c r="Q432" s="6">
        <v>1.4638028169013999</v>
      </c>
      <c r="R432">
        <v>3.75</v>
      </c>
      <c r="S432">
        <v>9.0399999999999991</v>
      </c>
      <c r="T432">
        <v>51.96</v>
      </c>
      <c r="U432">
        <v>5.36</v>
      </c>
      <c r="V432">
        <v>54.75</v>
      </c>
      <c r="W432">
        <v>1.05</v>
      </c>
    </row>
    <row r="433" spans="1:23" x14ac:dyDescent="0.3">
      <c r="A433">
        <v>431</v>
      </c>
      <c r="B433" t="s">
        <v>476</v>
      </c>
      <c r="C433" t="s">
        <v>43</v>
      </c>
      <c r="D433">
        <v>127</v>
      </c>
      <c r="E433">
        <v>5198</v>
      </c>
      <c r="F433" s="3">
        <v>243</v>
      </c>
      <c r="G433">
        <v>26</v>
      </c>
      <c r="H433">
        <v>6</v>
      </c>
      <c r="I433" s="5">
        <v>4.7244094488188899E-2</v>
      </c>
      <c r="J433" s="3">
        <v>382</v>
      </c>
      <c r="K433" s="1">
        <v>45612</v>
      </c>
      <c r="L433" t="s">
        <v>25</v>
      </c>
      <c r="M433" t="s">
        <v>39</v>
      </c>
      <c r="N433" t="s">
        <v>27</v>
      </c>
      <c r="O433" t="s">
        <v>28</v>
      </c>
      <c r="P433" t="s">
        <v>29</v>
      </c>
      <c r="Q433" s="6">
        <v>1.9099212598425099</v>
      </c>
      <c r="R433">
        <v>2.44</v>
      </c>
      <c r="S433">
        <v>9.33</v>
      </c>
      <c r="T433">
        <v>40.43</v>
      </c>
      <c r="U433">
        <v>57.49</v>
      </c>
      <c r="V433">
        <v>63.67</v>
      </c>
      <c r="W433">
        <v>1.57</v>
      </c>
    </row>
    <row r="434" spans="1:23" x14ac:dyDescent="0.3">
      <c r="A434">
        <v>432</v>
      </c>
      <c r="B434" t="s">
        <v>477</v>
      </c>
      <c r="C434" t="s">
        <v>38</v>
      </c>
      <c r="D434">
        <v>117</v>
      </c>
      <c r="E434">
        <v>5329</v>
      </c>
      <c r="F434" s="3">
        <v>212</v>
      </c>
      <c r="G434">
        <v>14</v>
      </c>
      <c r="H434">
        <v>5</v>
      </c>
      <c r="I434" s="5">
        <v>4.2735042735042701E-2</v>
      </c>
      <c r="J434" s="3">
        <v>385</v>
      </c>
      <c r="K434" s="1">
        <v>45599</v>
      </c>
      <c r="L434" t="s">
        <v>25</v>
      </c>
      <c r="M434" t="s">
        <v>31</v>
      </c>
      <c r="N434" t="s">
        <v>32</v>
      </c>
      <c r="O434" t="s">
        <v>28</v>
      </c>
      <c r="P434" t="s">
        <v>50</v>
      </c>
      <c r="Q434" s="6">
        <v>1.81615384615384</v>
      </c>
      <c r="R434">
        <v>2.2000000000000002</v>
      </c>
      <c r="S434">
        <v>15.18</v>
      </c>
      <c r="T434">
        <v>42.5</v>
      </c>
      <c r="U434">
        <v>81.180000000000007</v>
      </c>
      <c r="V434">
        <v>77</v>
      </c>
      <c r="W434">
        <v>1.81</v>
      </c>
    </row>
    <row r="435" spans="1:23" x14ac:dyDescent="0.3">
      <c r="A435">
        <v>433</v>
      </c>
      <c r="B435" t="s">
        <v>478</v>
      </c>
      <c r="C435" t="s">
        <v>35</v>
      </c>
      <c r="D435">
        <v>125</v>
      </c>
      <c r="E435">
        <v>5435</v>
      </c>
      <c r="F435" s="3">
        <v>203</v>
      </c>
      <c r="G435">
        <v>25</v>
      </c>
      <c r="H435">
        <v>5</v>
      </c>
      <c r="I435" s="5">
        <v>0.04</v>
      </c>
      <c r="J435" s="3">
        <v>361</v>
      </c>
      <c r="K435" s="1">
        <v>45619</v>
      </c>
      <c r="L435" t="s">
        <v>25</v>
      </c>
      <c r="M435" t="s">
        <v>26</v>
      </c>
      <c r="N435" t="s">
        <v>44</v>
      </c>
      <c r="O435" t="s">
        <v>28</v>
      </c>
      <c r="P435" t="s">
        <v>29</v>
      </c>
      <c r="Q435" s="6">
        <v>1.6212</v>
      </c>
      <c r="R435">
        <v>2.2999999999999998</v>
      </c>
      <c r="S435">
        <v>8.11</v>
      </c>
      <c r="T435">
        <v>40.53</v>
      </c>
      <c r="U435">
        <v>78.14</v>
      </c>
      <c r="V435">
        <v>72.2</v>
      </c>
      <c r="W435">
        <v>1.78</v>
      </c>
    </row>
    <row r="436" spans="1:23" x14ac:dyDescent="0.3">
      <c r="A436">
        <v>434</v>
      </c>
      <c r="B436" t="s">
        <v>479</v>
      </c>
      <c r="C436" t="s">
        <v>43</v>
      </c>
      <c r="D436">
        <v>92</v>
      </c>
      <c r="E436">
        <v>4977</v>
      </c>
      <c r="F436" s="3">
        <v>210</v>
      </c>
      <c r="G436">
        <v>26</v>
      </c>
      <c r="H436">
        <v>3</v>
      </c>
      <c r="I436" s="5">
        <v>3.2608695652173898E-2</v>
      </c>
      <c r="J436" s="3">
        <v>374</v>
      </c>
      <c r="K436" s="1">
        <v>45608</v>
      </c>
      <c r="L436" t="s">
        <v>25</v>
      </c>
      <c r="M436" t="s">
        <v>39</v>
      </c>
      <c r="N436" t="s">
        <v>27</v>
      </c>
      <c r="O436" t="s">
        <v>28</v>
      </c>
      <c r="P436" t="s">
        <v>41</v>
      </c>
      <c r="Q436" s="6">
        <v>2.28021739130434</v>
      </c>
      <c r="R436">
        <v>1.85</v>
      </c>
      <c r="S436">
        <v>8.07</v>
      </c>
      <c r="T436">
        <v>69.930000000000007</v>
      </c>
      <c r="U436">
        <v>78.28</v>
      </c>
      <c r="V436">
        <v>124.67</v>
      </c>
      <c r="W436">
        <v>1.78</v>
      </c>
    </row>
    <row r="437" spans="1:23" x14ac:dyDescent="0.3">
      <c r="A437">
        <v>435</v>
      </c>
      <c r="B437" t="s">
        <v>480</v>
      </c>
      <c r="C437" t="s">
        <v>35</v>
      </c>
      <c r="D437">
        <v>112</v>
      </c>
      <c r="E437">
        <v>3850</v>
      </c>
      <c r="F437" s="3">
        <v>234</v>
      </c>
      <c r="G437">
        <v>14</v>
      </c>
      <c r="H437">
        <v>8</v>
      </c>
      <c r="I437" s="5">
        <v>7.1428571428571397E-2</v>
      </c>
      <c r="J437" s="3">
        <v>359</v>
      </c>
      <c r="K437" s="1">
        <v>45618</v>
      </c>
      <c r="L437" t="s">
        <v>25</v>
      </c>
      <c r="M437" t="s">
        <v>26</v>
      </c>
      <c r="N437" t="s">
        <v>32</v>
      </c>
      <c r="O437" t="s">
        <v>28</v>
      </c>
      <c r="P437" t="s">
        <v>45</v>
      </c>
      <c r="Q437" s="6">
        <v>2.085</v>
      </c>
      <c r="R437">
        <v>2.91</v>
      </c>
      <c r="S437">
        <v>16.68</v>
      </c>
      <c r="T437">
        <v>29.19</v>
      </c>
      <c r="U437">
        <v>53.73</v>
      </c>
      <c r="V437">
        <v>44.88</v>
      </c>
      <c r="W437">
        <v>1.54</v>
      </c>
    </row>
    <row r="438" spans="1:23" x14ac:dyDescent="0.3">
      <c r="A438">
        <v>436</v>
      </c>
      <c r="B438" t="s">
        <v>481</v>
      </c>
      <c r="C438" t="s">
        <v>24</v>
      </c>
      <c r="D438">
        <v>144</v>
      </c>
      <c r="E438">
        <v>5976</v>
      </c>
      <c r="F438" s="3">
        <v>198</v>
      </c>
      <c r="G438">
        <v>13</v>
      </c>
      <c r="H438">
        <v>9</v>
      </c>
      <c r="I438" s="5">
        <v>6.25E-2</v>
      </c>
      <c r="J438" s="3">
        <v>356</v>
      </c>
      <c r="K438" s="1">
        <v>45618</v>
      </c>
      <c r="L438" t="s">
        <v>25</v>
      </c>
      <c r="M438" t="s">
        <v>31</v>
      </c>
      <c r="N438" t="s">
        <v>32</v>
      </c>
      <c r="O438" t="s">
        <v>28</v>
      </c>
      <c r="P438" t="s">
        <v>45</v>
      </c>
      <c r="Q438" s="6">
        <v>1.3725694444444401</v>
      </c>
      <c r="R438">
        <v>2.41</v>
      </c>
      <c r="S438">
        <v>15.2</v>
      </c>
      <c r="T438">
        <v>21.96</v>
      </c>
      <c r="U438">
        <v>80.12</v>
      </c>
      <c r="V438">
        <v>39.56</v>
      </c>
      <c r="W438">
        <v>1.8</v>
      </c>
    </row>
    <row r="439" spans="1:23" x14ac:dyDescent="0.3">
      <c r="A439">
        <v>437</v>
      </c>
      <c r="B439" t="s">
        <v>482</v>
      </c>
      <c r="C439" t="s">
        <v>38</v>
      </c>
      <c r="D439">
        <v>103</v>
      </c>
      <c r="E439">
        <v>4693</v>
      </c>
      <c r="F439" s="3">
        <v>219</v>
      </c>
      <c r="G439">
        <v>14</v>
      </c>
      <c r="H439">
        <v>10</v>
      </c>
      <c r="I439" s="5">
        <v>9.7087378640776698E-2</v>
      </c>
      <c r="J439" s="3">
        <v>284</v>
      </c>
      <c r="K439" s="1">
        <v>45605</v>
      </c>
      <c r="L439" t="s">
        <v>25</v>
      </c>
      <c r="M439" t="s">
        <v>31</v>
      </c>
      <c r="N439" t="s">
        <v>27</v>
      </c>
      <c r="O439" t="s">
        <v>28</v>
      </c>
      <c r="P439" t="s">
        <v>29</v>
      </c>
      <c r="Q439" s="6">
        <v>2.1230097087378601</v>
      </c>
      <c r="R439">
        <v>2.19</v>
      </c>
      <c r="S439">
        <v>15.62</v>
      </c>
      <c r="T439">
        <v>21.87</v>
      </c>
      <c r="U439">
        <v>29.88</v>
      </c>
      <c r="V439">
        <v>28.4</v>
      </c>
      <c r="W439">
        <v>1.3</v>
      </c>
    </row>
    <row r="440" spans="1:23" x14ac:dyDescent="0.3">
      <c r="A440">
        <v>438</v>
      </c>
      <c r="B440" t="s">
        <v>483</v>
      </c>
      <c r="C440" t="s">
        <v>24</v>
      </c>
      <c r="D440">
        <v>117</v>
      </c>
      <c r="E440">
        <v>4367</v>
      </c>
      <c r="F440" s="3">
        <v>233</v>
      </c>
      <c r="G440">
        <v>24</v>
      </c>
      <c r="H440">
        <v>3</v>
      </c>
      <c r="I440" s="5">
        <v>2.5641025641025599E-2</v>
      </c>
      <c r="J440" s="3">
        <v>253</v>
      </c>
      <c r="K440" s="1">
        <v>45620</v>
      </c>
      <c r="L440" t="s">
        <v>25</v>
      </c>
      <c r="M440" t="s">
        <v>39</v>
      </c>
      <c r="N440" t="s">
        <v>27</v>
      </c>
      <c r="O440" t="s">
        <v>28</v>
      </c>
      <c r="P440" t="s">
        <v>50</v>
      </c>
      <c r="Q440" s="6">
        <v>1.9937606837606801</v>
      </c>
      <c r="R440">
        <v>2.68</v>
      </c>
      <c r="S440">
        <v>9.7200000000000006</v>
      </c>
      <c r="T440">
        <v>77.760000000000005</v>
      </c>
      <c r="U440">
        <v>8.4600000000000009</v>
      </c>
      <c r="V440">
        <v>84.33</v>
      </c>
      <c r="W440">
        <v>1.08</v>
      </c>
    </row>
    <row r="441" spans="1:23" x14ac:dyDescent="0.3">
      <c r="A441">
        <v>439</v>
      </c>
      <c r="B441" t="s">
        <v>484</v>
      </c>
      <c r="C441" t="s">
        <v>43</v>
      </c>
      <c r="D441">
        <v>100</v>
      </c>
      <c r="E441">
        <v>5481</v>
      </c>
      <c r="F441" s="3">
        <v>181</v>
      </c>
      <c r="G441">
        <v>14</v>
      </c>
      <c r="H441">
        <v>7</v>
      </c>
      <c r="I441" s="5">
        <v>7.0000000000000007E-2</v>
      </c>
      <c r="J441" s="3">
        <v>242</v>
      </c>
      <c r="K441" s="1">
        <v>45598</v>
      </c>
      <c r="L441" t="s">
        <v>25</v>
      </c>
      <c r="M441" t="s">
        <v>26</v>
      </c>
      <c r="N441" t="s">
        <v>49</v>
      </c>
      <c r="O441" t="s">
        <v>28</v>
      </c>
      <c r="P441" t="s">
        <v>29</v>
      </c>
      <c r="Q441" s="6">
        <v>1.8071999999999999</v>
      </c>
      <c r="R441">
        <v>1.82</v>
      </c>
      <c r="S441">
        <v>12.91</v>
      </c>
      <c r="T441">
        <v>25.82</v>
      </c>
      <c r="U441">
        <v>33.909999999999997</v>
      </c>
      <c r="V441">
        <v>34.57</v>
      </c>
      <c r="W441">
        <v>1.34</v>
      </c>
    </row>
    <row r="442" spans="1:23" x14ac:dyDescent="0.3">
      <c r="A442">
        <v>440</v>
      </c>
      <c r="B442" t="s">
        <v>485</v>
      </c>
      <c r="C442" t="s">
        <v>35</v>
      </c>
      <c r="D442">
        <v>179</v>
      </c>
      <c r="E442">
        <v>4109</v>
      </c>
      <c r="F442" s="3">
        <v>192</v>
      </c>
      <c r="G442">
        <v>19</v>
      </c>
      <c r="H442">
        <v>4</v>
      </c>
      <c r="I442" s="5">
        <v>2.23463687150838E-2</v>
      </c>
      <c r="J442" s="3">
        <v>400</v>
      </c>
      <c r="K442" s="1">
        <v>45598</v>
      </c>
      <c r="L442" t="s">
        <v>25</v>
      </c>
      <c r="M442" t="s">
        <v>39</v>
      </c>
      <c r="N442" t="s">
        <v>44</v>
      </c>
      <c r="O442" t="s">
        <v>28</v>
      </c>
      <c r="P442" t="s">
        <v>29</v>
      </c>
      <c r="Q442" s="6">
        <v>1.07173184357541</v>
      </c>
      <c r="R442">
        <v>4.3600000000000003</v>
      </c>
      <c r="S442">
        <v>10.1</v>
      </c>
      <c r="T442">
        <v>47.96</v>
      </c>
      <c r="U442">
        <v>108.51</v>
      </c>
      <c r="V442">
        <v>100</v>
      </c>
      <c r="W442">
        <v>2.09</v>
      </c>
    </row>
    <row r="443" spans="1:23" x14ac:dyDescent="0.3">
      <c r="A443">
        <v>441</v>
      </c>
      <c r="B443" t="s">
        <v>486</v>
      </c>
      <c r="C443" t="s">
        <v>35</v>
      </c>
      <c r="D443">
        <v>180</v>
      </c>
      <c r="E443">
        <v>3887</v>
      </c>
      <c r="F443" s="3">
        <v>186</v>
      </c>
      <c r="G443">
        <v>18</v>
      </c>
      <c r="H443">
        <v>6</v>
      </c>
      <c r="I443" s="5">
        <v>3.3333333333333298E-2</v>
      </c>
      <c r="J443" s="3">
        <v>214</v>
      </c>
      <c r="K443" s="1">
        <v>45601</v>
      </c>
      <c r="L443" t="s">
        <v>25</v>
      </c>
      <c r="M443" t="s">
        <v>26</v>
      </c>
      <c r="N443" t="s">
        <v>32</v>
      </c>
      <c r="O443" t="s">
        <v>28</v>
      </c>
      <c r="P443" t="s">
        <v>41</v>
      </c>
      <c r="Q443" s="6">
        <v>1.03477777777777</v>
      </c>
      <c r="R443">
        <v>4.63</v>
      </c>
      <c r="S443">
        <v>10.35</v>
      </c>
      <c r="T443">
        <v>31.04</v>
      </c>
      <c r="U443">
        <v>14.89</v>
      </c>
      <c r="V443">
        <v>35.67</v>
      </c>
      <c r="W443">
        <v>1.1499999999999999</v>
      </c>
    </row>
    <row r="444" spans="1:23" x14ac:dyDescent="0.3">
      <c r="A444">
        <v>442</v>
      </c>
      <c r="B444" t="s">
        <v>487</v>
      </c>
      <c r="C444" t="s">
        <v>38</v>
      </c>
      <c r="D444">
        <v>146</v>
      </c>
      <c r="E444">
        <v>4633</v>
      </c>
      <c r="F444" s="3">
        <v>186</v>
      </c>
      <c r="G444">
        <v>26</v>
      </c>
      <c r="H444">
        <v>3</v>
      </c>
      <c r="I444" s="5">
        <v>2.0547945205479399E-2</v>
      </c>
      <c r="J444" s="3">
        <v>215</v>
      </c>
      <c r="K444" s="1">
        <v>45621</v>
      </c>
      <c r="L444" t="s">
        <v>25</v>
      </c>
      <c r="M444" t="s">
        <v>26</v>
      </c>
      <c r="N444" t="s">
        <v>40</v>
      </c>
      <c r="O444" t="s">
        <v>28</v>
      </c>
      <c r="P444" t="s">
        <v>59</v>
      </c>
      <c r="Q444" s="6">
        <v>1.27445205479452</v>
      </c>
      <c r="R444">
        <v>3.15</v>
      </c>
      <c r="S444">
        <v>7.16</v>
      </c>
      <c r="T444">
        <v>62.02</v>
      </c>
      <c r="U444">
        <v>15.55</v>
      </c>
      <c r="V444">
        <v>71.67</v>
      </c>
      <c r="W444">
        <v>1.1599999999999999</v>
      </c>
    </row>
    <row r="445" spans="1:23" x14ac:dyDescent="0.3">
      <c r="A445">
        <v>443</v>
      </c>
      <c r="B445" t="s">
        <v>488</v>
      </c>
      <c r="C445" t="s">
        <v>24</v>
      </c>
      <c r="D445">
        <v>124</v>
      </c>
      <c r="E445">
        <v>5353</v>
      </c>
      <c r="F445" s="3">
        <v>240</v>
      </c>
      <c r="G445">
        <v>13</v>
      </c>
      <c r="H445">
        <v>4</v>
      </c>
      <c r="I445" s="5">
        <v>3.2258064516128997E-2</v>
      </c>
      <c r="J445" s="3">
        <v>305</v>
      </c>
      <c r="K445" s="1">
        <v>45615</v>
      </c>
      <c r="L445" t="s">
        <v>25</v>
      </c>
      <c r="M445" t="s">
        <v>26</v>
      </c>
      <c r="N445" t="s">
        <v>27</v>
      </c>
      <c r="O445" t="s">
        <v>28</v>
      </c>
      <c r="P445" t="s">
        <v>41</v>
      </c>
      <c r="Q445" s="6">
        <v>1.93298387096774</v>
      </c>
      <c r="R445">
        <v>2.3199999999999998</v>
      </c>
      <c r="S445">
        <v>18.440000000000001</v>
      </c>
      <c r="T445">
        <v>59.92</v>
      </c>
      <c r="U445">
        <v>27.25</v>
      </c>
      <c r="V445">
        <v>76.25</v>
      </c>
      <c r="W445">
        <v>1.27</v>
      </c>
    </row>
    <row r="446" spans="1:23" x14ac:dyDescent="0.3">
      <c r="A446">
        <v>444</v>
      </c>
      <c r="B446" t="s">
        <v>489</v>
      </c>
      <c r="C446" t="s">
        <v>35</v>
      </c>
      <c r="D446">
        <v>169</v>
      </c>
      <c r="E446">
        <v>5380</v>
      </c>
      <c r="F446" s="3">
        <v>200</v>
      </c>
      <c r="G446">
        <v>27</v>
      </c>
      <c r="H446">
        <v>6</v>
      </c>
      <c r="I446" s="5">
        <v>3.5502958579881602E-2</v>
      </c>
      <c r="J446" s="3">
        <v>216</v>
      </c>
      <c r="K446" s="1">
        <v>45599</v>
      </c>
      <c r="L446" t="s">
        <v>25</v>
      </c>
      <c r="M446" t="s">
        <v>26</v>
      </c>
      <c r="N446" t="s">
        <v>40</v>
      </c>
      <c r="O446" t="s">
        <v>28</v>
      </c>
      <c r="P446" t="s">
        <v>50</v>
      </c>
      <c r="Q446" s="6">
        <v>1.1814201183431901</v>
      </c>
      <c r="R446">
        <v>3.14</v>
      </c>
      <c r="S446">
        <v>7.39</v>
      </c>
      <c r="T446">
        <v>33.28</v>
      </c>
      <c r="U446">
        <v>8.18</v>
      </c>
      <c r="V446">
        <v>36</v>
      </c>
      <c r="W446">
        <v>1.08</v>
      </c>
    </row>
    <row r="447" spans="1:23" x14ac:dyDescent="0.3">
      <c r="A447">
        <v>445</v>
      </c>
      <c r="B447" t="s">
        <v>490</v>
      </c>
      <c r="C447" t="s">
        <v>24</v>
      </c>
      <c r="D447">
        <v>91</v>
      </c>
      <c r="E447">
        <v>5104</v>
      </c>
      <c r="F447" s="3">
        <v>212</v>
      </c>
      <c r="G447">
        <v>29</v>
      </c>
      <c r="H447">
        <v>9</v>
      </c>
      <c r="I447" s="5">
        <v>9.8901098901098897E-2</v>
      </c>
      <c r="J447" s="3">
        <v>267</v>
      </c>
      <c r="K447" s="1">
        <v>45612</v>
      </c>
      <c r="L447" t="s">
        <v>25</v>
      </c>
      <c r="M447" t="s">
        <v>39</v>
      </c>
      <c r="N447" t="s">
        <v>32</v>
      </c>
      <c r="O447" t="s">
        <v>28</v>
      </c>
      <c r="P447" t="s">
        <v>29</v>
      </c>
      <c r="Q447" s="6">
        <v>2.3280219780219702</v>
      </c>
      <c r="R447">
        <v>1.78</v>
      </c>
      <c r="S447">
        <v>7.31</v>
      </c>
      <c r="T447">
        <v>23.54</v>
      </c>
      <c r="U447">
        <v>26.03</v>
      </c>
      <c r="V447">
        <v>29.67</v>
      </c>
      <c r="W447">
        <v>1.26</v>
      </c>
    </row>
    <row r="448" spans="1:23" x14ac:dyDescent="0.3">
      <c r="A448">
        <v>446</v>
      </c>
      <c r="B448" t="s">
        <v>491</v>
      </c>
      <c r="C448" t="s">
        <v>38</v>
      </c>
      <c r="D448">
        <v>145</v>
      </c>
      <c r="E448">
        <v>4782</v>
      </c>
      <c r="F448" s="3">
        <v>236</v>
      </c>
      <c r="G448">
        <v>24</v>
      </c>
      <c r="H448">
        <v>8</v>
      </c>
      <c r="I448" s="5">
        <v>5.5172413793103399E-2</v>
      </c>
      <c r="J448" s="3">
        <v>249</v>
      </c>
      <c r="K448" s="1">
        <v>45613</v>
      </c>
      <c r="L448" t="s">
        <v>25</v>
      </c>
      <c r="M448" t="s">
        <v>26</v>
      </c>
      <c r="N448" t="s">
        <v>44</v>
      </c>
      <c r="O448" t="s">
        <v>28</v>
      </c>
      <c r="P448" t="s">
        <v>50</v>
      </c>
      <c r="Q448" s="6">
        <v>1.62779310344827</v>
      </c>
      <c r="R448">
        <v>3.03</v>
      </c>
      <c r="S448">
        <v>9.83</v>
      </c>
      <c r="T448">
        <v>29.5</v>
      </c>
      <c r="U448">
        <v>5.5</v>
      </c>
      <c r="V448">
        <v>31.12</v>
      </c>
      <c r="W448">
        <v>1.05</v>
      </c>
    </row>
    <row r="449" spans="1:23" x14ac:dyDescent="0.3">
      <c r="A449">
        <v>447</v>
      </c>
      <c r="B449" t="s">
        <v>492</v>
      </c>
      <c r="C449" t="s">
        <v>38</v>
      </c>
      <c r="D449">
        <v>115</v>
      </c>
      <c r="E449">
        <v>4345</v>
      </c>
      <c r="F449" s="3">
        <v>230</v>
      </c>
      <c r="G449">
        <v>15</v>
      </c>
      <c r="H449">
        <v>4</v>
      </c>
      <c r="I449" s="5">
        <v>3.4782608695652098E-2</v>
      </c>
      <c r="J449" s="3">
        <v>299</v>
      </c>
      <c r="K449" s="1">
        <v>45622</v>
      </c>
      <c r="L449" t="s">
        <v>25</v>
      </c>
      <c r="M449" t="s">
        <v>31</v>
      </c>
      <c r="N449" t="s">
        <v>32</v>
      </c>
      <c r="O449" t="s">
        <v>28</v>
      </c>
      <c r="P449" t="s">
        <v>41</v>
      </c>
      <c r="Q449" s="6">
        <v>1.99747826086956</v>
      </c>
      <c r="R449">
        <v>2.65</v>
      </c>
      <c r="S449">
        <v>15.31</v>
      </c>
      <c r="T449">
        <v>57.43</v>
      </c>
      <c r="U449">
        <v>30.16</v>
      </c>
      <c r="V449">
        <v>74.75</v>
      </c>
      <c r="W449">
        <v>1.3</v>
      </c>
    </row>
    <row r="450" spans="1:23" x14ac:dyDescent="0.3">
      <c r="A450">
        <v>448</v>
      </c>
      <c r="B450" t="s">
        <v>493</v>
      </c>
      <c r="C450" t="s">
        <v>35</v>
      </c>
      <c r="D450">
        <v>123</v>
      </c>
      <c r="E450">
        <v>3527</v>
      </c>
      <c r="F450" s="3">
        <v>239</v>
      </c>
      <c r="G450">
        <v>21</v>
      </c>
      <c r="H450">
        <v>3</v>
      </c>
      <c r="I450" s="5">
        <v>2.4390243902439001E-2</v>
      </c>
      <c r="J450" s="3">
        <v>313</v>
      </c>
      <c r="K450" s="1">
        <v>45600</v>
      </c>
      <c r="L450" t="s">
        <v>25</v>
      </c>
      <c r="M450" t="s">
        <v>39</v>
      </c>
      <c r="N450" t="s">
        <v>49</v>
      </c>
      <c r="O450" t="s">
        <v>28</v>
      </c>
      <c r="P450" t="s">
        <v>59</v>
      </c>
      <c r="Q450" s="6">
        <v>1.94560975609756</v>
      </c>
      <c r="R450">
        <v>3.49</v>
      </c>
      <c r="S450">
        <v>11.4</v>
      </c>
      <c r="T450">
        <v>79.77</v>
      </c>
      <c r="U450">
        <v>30.79</v>
      </c>
      <c r="V450">
        <v>104.33</v>
      </c>
      <c r="W450">
        <v>1.31</v>
      </c>
    </row>
    <row r="451" spans="1:23" x14ac:dyDescent="0.3">
      <c r="A451">
        <v>449</v>
      </c>
      <c r="B451" t="s">
        <v>494</v>
      </c>
      <c r="C451" t="s">
        <v>43</v>
      </c>
      <c r="D451">
        <v>101</v>
      </c>
      <c r="E451">
        <v>3330</v>
      </c>
      <c r="F451" s="3">
        <v>210</v>
      </c>
      <c r="G451">
        <v>19</v>
      </c>
      <c r="H451">
        <v>10</v>
      </c>
      <c r="I451" s="5">
        <v>9.9009900990099001E-2</v>
      </c>
      <c r="J451" s="3">
        <v>264</v>
      </c>
      <c r="K451" s="1">
        <v>45610</v>
      </c>
      <c r="L451" t="s">
        <v>25</v>
      </c>
      <c r="M451" t="s">
        <v>31</v>
      </c>
      <c r="N451" t="s">
        <v>40</v>
      </c>
      <c r="O451" t="s">
        <v>28</v>
      </c>
      <c r="P451" t="s">
        <v>54</v>
      </c>
      <c r="Q451" s="6">
        <v>2.0772277227722702</v>
      </c>
      <c r="R451">
        <v>3.03</v>
      </c>
      <c r="S451">
        <v>11.04</v>
      </c>
      <c r="T451">
        <v>20.98</v>
      </c>
      <c r="U451">
        <v>25.83</v>
      </c>
      <c r="V451">
        <v>26.4</v>
      </c>
      <c r="W451">
        <v>1.26</v>
      </c>
    </row>
    <row r="452" spans="1:23" x14ac:dyDescent="0.3">
      <c r="A452">
        <v>450</v>
      </c>
      <c r="B452" t="s">
        <v>495</v>
      </c>
      <c r="C452" t="s">
        <v>24</v>
      </c>
      <c r="D452">
        <v>141</v>
      </c>
      <c r="E452">
        <v>3913</v>
      </c>
      <c r="F452" s="3">
        <v>245</v>
      </c>
      <c r="G452">
        <v>21</v>
      </c>
      <c r="H452">
        <v>3</v>
      </c>
      <c r="I452" s="5">
        <v>2.1276595744680799E-2</v>
      </c>
      <c r="J452" s="3">
        <v>389</v>
      </c>
      <c r="K452" s="1">
        <v>45611</v>
      </c>
      <c r="L452" t="s">
        <v>25</v>
      </c>
      <c r="M452" t="s">
        <v>26</v>
      </c>
      <c r="N452" t="s">
        <v>49</v>
      </c>
      <c r="O452" t="s">
        <v>28</v>
      </c>
      <c r="P452" t="s">
        <v>45</v>
      </c>
      <c r="Q452" s="6">
        <v>1.7398581560283599</v>
      </c>
      <c r="R452">
        <v>3.6</v>
      </c>
      <c r="S452">
        <v>11.68</v>
      </c>
      <c r="T452">
        <v>81.77</v>
      </c>
      <c r="U452">
        <v>58.57</v>
      </c>
      <c r="V452">
        <v>129.66999999999999</v>
      </c>
      <c r="W452">
        <v>1.59</v>
      </c>
    </row>
    <row r="453" spans="1:23" x14ac:dyDescent="0.3">
      <c r="A453">
        <v>451</v>
      </c>
      <c r="B453" t="s">
        <v>496</v>
      </c>
      <c r="C453" t="s">
        <v>35</v>
      </c>
      <c r="D453">
        <v>160</v>
      </c>
      <c r="E453">
        <v>4597</v>
      </c>
      <c r="F453" s="3">
        <v>212</v>
      </c>
      <c r="G453">
        <v>21</v>
      </c>
      <c r="H453">
        <v>4</v>
      </c>
      <c r="I453" s="5">
        <v>2.5000000000000001E-2</v>
      </c>
      <c r="J453" s="3">
        <v>186.85714285714201</v>
      </c>
      <c r="K453" s="1">
        <v>45617</v>
      </c>
      <c r="L453" t="s">
        <v>25</v>
      </c>
      <c r="M453" t="s">
        <v>26</v>
      </c>
      <c r="N453" t="s">
        <v>40</v>
      </c>
      <c r="O453" t="s">
        <v>28</v>
      </c>
      <c r="P453" t="s">
        <v>54</v>
      </c>
      <c r="Q453" s="6">
        <v>1.3242499999999999</v>
      </c>
      <c r="R453">
        <v>3.48</v>
      </c>
      <c r="S453">
        <v>10.09</v>
      </c>
      <c r="T453">
        <v>52.97</v>
      </c>
      <c r="U453">
        <v>-11.81</v>
      </c>
      <c r="V453">
        <v>46.71</v>
      </c>
      <c r="W453">
        <v>0.88</v>
      </c>
    </row>
    <row r="454" spans="1:23" x14ac:dyDescent="0.3">
      <c r="A454">
        <v>452</v>
      </c>
      <c r="B454" t="s">
        <v>497</v>
      </c>
      <c r="C454" t="s">
        <v>24</v>
      </c>
      <c r="D454">
        <v>105</v>
      </c>
      <c r="E454">
        <v>3008</v>
      </c>
      <c r="F454" s="3">
        <v>207</v>
      </c>
      <c r="G454">
        <v>21</v>
      </c>
      <c r="H454">
        <v>4</v>
      </c>
      <c r="I454" s="5">
        <v>3.8095238095238099E-2</v>
      </c>
      <c r="J454" s="3">
        <v>206</v>
      </c>
      <c r="K454" s="1">
        <v>45606</v>
      </c>
      <c r="L454" t="s">
        <v>25</v>
      </c>
      <c r="M454" t="s">
        <v>26</v>
      </c>
      <c r="N454" t="s">
        <v>44</v>
      </c>
      <c r="O454" t="s">
        <v>28</v>
      </c>
      <c r="P454" t="s">
        <v>50</v>
      </c>
      <c r="Q454" s="6">
        <v>1.97057142857142</v>
      </c>
      <c r="R454">
        <v>3.49</v>
      </c>
      <c r="S454">
        <v>9.85</v>
      </c>
      <c r="T454">
        <v>51.73</v>
      </c>
      <c r="U454">
        <v>-0.44</v>
      </c>
      <c r="V454">
        <v>51.5</v>
      </c>
      <c r="W454">
        <v>1</v>
      </c>
    </row>
    <row r="455" spans="1:23" x14ac:dyDescent="0.3">
      <c r="A455">
        <v>453</v>
      </c>
      <c r="B455" t="s">
        <v>498</v>
      </c>
      <c r="C455" t="s">
        <v>38</v>
      </c>
      <c r="D455">
        <v>178</v>
      </c>
      <c r="E455">
        <v>5318</v>
      </c>
      <c r="F455" s="3">
        <v>207</v>
      </c>
      <c r="G455">
        <v>18</v>
      </c>
      <c r="H455">
        <v>4</v>
      </c>
      <c r="I455" s="5">
        <v>2.2471910112359501E-2</v>
      </c>
      <c r="J455" s="3">
        <v>290</v>
      </c>
      <c r="K455" s="1">
        <v>45616</v>
      </c>
      <c r="L455" t="s">
        <v>25</v>
      </c>
      <c r="M455" t="s">
        <v>26</v>
      </c>
      <c r="N455" t="s">
        <v>36</v>
      </c>
      <c r="O455" t="s">
        <v>28</v>
      </c>
      <c r="P455" t="s">
        <v>33</v>
      </c>
      <c r="Q455" s="6">
        <v>1.16320224719101</v>
      </c>
      <c r="R455">
        <v>3.35</v>
      </c>
      <c r="S455">
        <v>11.5</v>
      </c>
      <c r="T455">
        <v>51.76</v>
      </c>
      <c r="U455">
        <v>40.06</v>
      </c>
      <c r="V455">
        <v>72.5</v>
      </c>
      <c r="W455">
        <v>1.4</v>
      </c>
    </row>
    <row r="456" spans="1:23" x14ac:dyDescent="0.3">
      <c r="A456">
        <v>454</v>
      </c>
      <c r="B456" t="s">
        <v>499</v>
      </c>
      <c r="C456" t="s">
        <v>38</v>
      </c>
      <c r="D456">
        <v>189</v>
      </c>
      <c r="E456">
        <v>5244</v>
      </c>
      <c r="F456" s="3">
        <v>242</v>
      </c>
      <c r="G456">
        <v>29</v>
      </c>
      <c r="H456">
        <v>3</v>
      </c>
      <c r="I456" s="5">
        <v>1.5873015873015799E-2</v>
      </c>
      <c r="J456" s="3">
        <v>220</v>
      </c>
      <c r="K456" s="1">
        <v>45603</v>
      </c>
      <c r="L456" t="s">
        <v>25</v>
      </c>
      <c r="M456" t="s">
        <v>31</v>
      </c>
      <c r="N456" t="s">
        <v>49</v>
      </c>
      <c r="O456" t="s">
        <v>28</v>
      </c>
      <c r="P456" t="s">
        <v>54</v>
      </c>
      <c r="Q456" s="6">
        <v>1.2813756613756599</v>
      </c>
      <c r="R456">
        <v>3.6</v>
      </c>
      <c r="S456">
        <v>8.35</v>
      </c>
      <c r="T456">
        <v>80.73</v>
      </c>
      <c r="U456">
        <v>-9.16</v>
      </c>
      <c r="V456">
        <v>73.33</v>
      </c>
      <c r="W456">
        <v>0.91</v>
      </c>
    </row>
    <row r="457" spans="1:23" x14ac:dyDescent="0.3">
      <c r="A457">
        <v>455</v>
      </c>
      <c r="B457" t="s">
        <v>500</v>
      </c>
      <c r="C457" t="s">
        <v>24</v>
      </c>
      <c r="D457">
        <v>114</v>
      </c>
      <c r="E457">
        <v>4804</v>
      </c>
      <c r="F457" s="3">
        <v>249</v>
      </c>
      <c r="G457">
        <v>14</v>
      </c>
      <c r="H457">
        <v>6</v>
      </c>
      <c r="I457" s="5">
        <v>5.2631578947368397E-2</v>
      </c>
      <c r="J457" s="3">
        <v>383</v>
      </c>
      <c r="K457" s="1">
        <v>45601</v>
      </c>
      <c r="L457" t="s">
        <v>25</v>
      </c>
      <c r="M457" t="s">
        <v>31</v>
      </c>
      <c r="N457" t="s">
        <v>32</v>
      </c>
      <c r="O457" t="s">
        <v>28</v>
      </c>
      <c r="P457" t="s">
        <v>41</v>
      </c>
      <c r="Q457" s="6">
        <v>2.18710526315789</v>
      </c>
      <c r="R457">
        <v>2.37</v>
      </c>
      <c r="S457">
        <v>17.809999999999999</v>
      </c>
      <c r="T457">
        <v>41.56</v>
      </c>
      <c r="U457">
        <v>53.61</v>
      </c>
      <c r="V457">
        <v>63.83</v>
      </c>
      <c r="W457">
        <v>1.54</v>
      </c>
    </row>
    <row r="458" spans="1:23" x14ac:dyDescent="0.3">
      <c r="A458">
        <v>456</v>
      </c>
      <c r="B458" t="s">
        <v>501</v>
      </c>
      <c r="C458" t="s">
        <v>35</v>
      </c>
      <c r="D458">
        <v>160</v>
      </c>
      <c r="E458">
        <v>5920</v>
      </c>
      <c r="F458" s="3">
        <v>201</v>
      </c>
      <c r="G458">
        <v>30</v>
      </c>
      <c r="H458">
        <v>7</v>
      </c>
      <c r="I458" s="5">
        <v>4.3749999999999997E-2</v>
      </c>
      <c r="J458" s="3">
        <v>220</v>
      </c>
      <c r="K458" s="1">
        <v>45614</v>
      </c>
      <c r="L458" t="s">
        <v>25</v>
      </c>
      <c r="M458" t="s">
        <v>39</v>
      </c>
      <c r="N458" t="s">
        <v>32</v>
      </c>
      <c r="O458" t="s">
        <v>28</v>
      </c>
      <c r="P458" t="s">
        <v>59</v>
      </c>
      <c r="Q458" s="6">
        <v>1.2581249999999999</v>
      </c>
      <c r="R458">
        <v>2.7</v>
      </c>
      <c r="S458">
        <v>6.71</v>
      </c>
      <c r="T458">
        <v>28.76</v>
      </c>
      <c r="U458">
        <v>9.2899999999999991</v>
      </c>
      <c r="V458">
        <v>31.43</v>
      </c>
      <c r="W458">
        <v>1.0900000000000001</v>
      </c>
    </row>
    <row r="459" spans="1:23" x14ac:dyDescent="0.3">
      <c r="A459">
        <v>457</v>
      </c>
      <c r="B459" t="s">
        <v>502</v>
      </c>
      <c r="C459" t="s">
        <v>43</v>
      </c>
      <c r="D459">
        <v>101</v>
      </c>
      <c r="E459">
        <v>5280</v>
      </c>
      <c r="F459" s="3">
        <v>235</v>
      </c>
      <c r="G459">
        <v>18</v>
      </c>
      <c r="H459">
        <v>9</v>
      </c>
      <c r="I459" s="5">
        <v>8.9108910891089105E-2</v>
      </c>
      <c r="J459" s="3">
        <v>213</v>
      </c>
      <c r="K459" s="1">
        <v>45623</v>
      </c>
      <c r="L459" t="s">
        <v>25</v>
      </c>
      <c r="M459" t="s">
        <v>39</v>
      </c>
      <c r="N459" t="s">
        <v>32</v>
      </c>
      <c r="O459" t="s">
        <v>28</v>
      </c>
      <c r="P459" t="s">
        <v>33</v>
      </c>
      <c r="Q459" s="6">
        <v>2.3239603960395998</v>
      </c>
      <c r="R459">
        <v>1.91</v>
      </c>
      <c r="S459">
        <v>13.04</v>
      </c>
      <c r="T459">
        <v>26.08</v>
      </c>
      <c r="U459">
        <v>-9.25</v>
      </c>
      <c r="V459">
        <v>23.67</v>
      </c>
      <c r="W459">
        <v>0.91</v>
      </c>
    </row>
    <row r="460" spans="1:23" x14ac:dyDescent="0.3">
      <c r="A460">
        <v>458</v>
      </c>
      <c r="B460" t="s">
        <v>503</v>
      </c>
      <c r="C460" t="s">
        <v>43</v>
      </c>
      <c r="D460">
        <v>146</v>
      </c>
      <c r="E460">
        <v>3887</v>
      </c>
      <c r="F460" s="3">
        <v>207</v>
      </c>
      <c r="G460">
        <v>26</v>
      </c>
      <c r="H460">
        <v>9</v>
      </c>
      <c r="I460" s="5">
        <v>6.1643835616438297E-2</v>
      </c>
      <c r="J460" s="3">
        <v>213</v>
      </c>
      <c r="K460" s="1">
        <v>45603</v>
      </c>
      <c r="L460" t="s">
        <v>25</v>
      </c>
      <c r="M460" t="s">
        <v>26</v>
      </c>
      <c r="N460" t="s">
        <v>44</v>
      </c>
      <c r="O460" t="s">
        <v>28</v>
      </c>
      <c r="P460" t="s">
        <v>54</v>
      </c>
      <c r="Q460" s="6">
        <v>1.415</v>
      </c>
      <c r="R460">
        <v>3.76</v>
      </c>
      <c r="S460">
        <v>7.95</v>
      </c>
      <c r="T460">
        <v>22.95</v>
      </c>
      <c r="U460">
        <v>3.1</v>
      </c>
      <c r="V460">
        <v>23.67</v>
      </c>
      <c r="W460">
        <v>1.03</v>
      </c>
    </row>
    <row r="461" spans="1:23" x14ac:dyDescent="0.3">
      <c r="A461">
        <v>459</v>
      </c>
      <c r="B461" t="s">
        <v>504</v>
      </c>
      <c r="C461" t="s">
        <v>38</v>
      </c>
      <c r="D461">
        <v>128</v>
      </c>
      <c r="E461">
        <v>4532</v>
      </c>
      <c r="F461" s="3">
        <v>183</v>
      </c>
      <c r="G461">
        <v>11</v>
      </c>
      <c r="H461">
        <v>6</v>
      </c>
      <c r="I461" s="5">
        <v>4.6875E-2</v>
      </c>
      <c r="J461" s="3">
        <v>321</v>
      </c>
      <c r="K461" s="1">
        <v>45621</v>
      </c>
      <c r="L461" t="s">
        <v>25</v>
      </c>
      <c r="M461" t="s">
        <v>26</v>
      </c>
      <c r="N461" t="s">
        <v>40</v>
      </c>
      <c r="O461" t="s">
        <v>28</v>
      </c>
      <c r="P461" t="s">
        <v>59</v>
      </c>
      <c r="Q461" s="6">
        <v>1.431875</v>
      </c>
      <c r="R461">
        <v>2.82</v>
      </c>
      <c r="S461">
        <v>16.66</v>
      </c>
      <c r="T461">
        <v>30.55</v>
      </c>
      <c r="U461">
        <v>75.14</v>
      </c>
      <c r="V461">
        <v>53.5</v>
      </c>
      <c r="W461">
        <v>1.75</v>
      </c>
    </row>
    <row r="462" spans="1:23" x14ac:dyDescent="0.3">
      <c r="A462">
        <v>460</v>
      </c>
      <c r="B462" t="s">
        <v>505</v>
      </c>
      <c r="C462" t="s">
        <v>24</v>
      </c>
      <c r="D462">
        <v>163</v>
      </c>
      <c r="E462">
        <v>4125</v>
      </c>
      <c r="F462" s="3">
        <v>246</v>
      </c>
      <c r="G462">
        <v>27</v>
      </c>
      <c r="H462">
        <v>5</v>
      </c>
      <c r="I462" s="5">
        <v>3.0674846625766802E-2</v>
      </c>
      <c r="J462" s="3">
        <v>390</v>
      </c>
      <c r="K462" s="1">
        <v>45623</v>
      </c>
      <c r="L462" t="s">
        <v>25</v>
      </c>
      <c r="M462" t="s">
        <v>31</v>
      </c>
      <c r="N462" t="s">
        <v>27</v>
      </c>
      <c r="O462" t="s">
        <v>28</v>
      </c>
      <c r="P462" t="s">
        <v>33</v>
      </c>
      <c r="Q462" s="6">
        <v>1.50975460122699</v>
      </c>
      <c r="R462">
        <v>3.95</v>
      </c>
      <c r="S462">
        <v>9.11</v>
      </c>
      <c r="T462">
        <v>49.22</v>
      </c>
      <c r="U462">
        <v>58.48</v>
      </c>
      <c r="V462">
        <v>78</v>
      </c>
      <c r="W462">
        <v>1.58</v>
      </c>
    </row>
    <row r="463" spans="1:23" x14ac:dyDescent="0.3">
      <c r="A463">
        <v>461</v>
      </c>
      <c r="B463" t="s">
        <v>506</v>
      </c>
      <c r="C463" t="s">
        <v>38</v>
      </c>
      <c r="D463">
        <v>193</v>
      </c>
      <c r="E463">
        <v>5571</v>
      </c>
      <c r="F463" s="3">
        <v>214</v>
      </c>
      <c r="G463">
        <v>19</v>
      </c>
      <c r="H463">
        <v>8</v>
      </c>
      <c r="I463" s="5">
        <v>4.1450777202072499E-2</v>
      </c>
      <c r="J463" s="3">
        <v>358</v>
      </c>
      <c r="K463" s="1">
        <v>45624</v>
      </c>
      <c r="L463" t="s">
        <v>25</v>
      </c>
      <c r="M463" t="s">
        <v>31</v>
      </c>
      <c r="N463" t="s">
        <v>49</v>
      </c>
      <c r="O463" t="s">
        <v>28</v>
      </c>
      <c r="P463" t="s">
        <v>54</v>
      </c>
      <c r="Q463" s="6">
        <v>1.1062176165803099</v>
      </c>
      <c r="R463">
        <v>3.46</v>
      </c>
      <c r="S463">
        <v>11.24</v>
      </c>
      <c r="T463">
        <v>26.69</v>
      </c>
      <c r="U463">
        <v>67.680000000000007</v>
      </c>
      <c r="V463">
        <v>44.75</v>
      </c>
      <c r="W463">
        <v>1.68</v>
      </c>
    </row>
    <row r="464" spans="1:23" x14ac:dyDescent="0.3">
      <c r="A464">
        <v>462</v>
      </c>
      <c r="B464" t="s">
        <v>507</v>
      </c>
      <c r="C464" t="s">
        <v>43</v>
      </c>
      <c r="D464">
        <v>179</v>
      </c>
      <c r="E464">
        <v>4309</v>
      </c>
      <c r="F464" s="3">
        <v>238</v>
      </c>
      <c r="G464">
        <v>21</v>
      </c>
      <c r="H464">
        <v>7</v>
      </c>
      <c r="I464" s="5">
        <v>3.91061452513966E-2</v>
      </c>
      <c r="J464" s="3">
        <v>351</v>
      </c>
      <c r="K464" s="1">
        <v>45610</v>
      </c>
      <c r="L464" t="s">
        <v>25</v>
      </c>
      <c r="M464" t="s">
        <v>31</v>
      </c>
      <c r="N464" t="s">
        <v>32</v>
      </c>
      <c r="O464" t="s">
        <v>28</v>
      </c>
      <c r="P464" t="s">
        <v>54</v>
      </c>
      <c r="Q464" s="6">
        <v>1.32748603351955</v>
      </c>
      <c r="R464">
        <v>4.1500000000000004</v>
      </c>
      <c r="S464">
        <v>11.32</v>
      </c>
      <c r="T464">
        <v>33.950000000000003</v>
      </c>
      <c r="U464">
        <v>47.71</v>
      </c>
      <c r="V464">
        <v>50.14</v>
      </c>
      <c r="W464">
        <v>1.48</v>
      </c>
    </row>
    <row r="465" spans="1:23" x14ac:dyDescent="0.3">
      <c r="A465">
        <v>463</v>
      </c>
      <c r="B465" t="s">
        <v>508</v>
      </c>
      <c r="C465" t="s">
        <v>24</v>
      </c>
      <c r="D465">
        <v>86</v>
      </c>
      <c r="E465">
        <v>5538</v>
      </c>
      <c r="F465" s="3">
        <v>223</v>
      </c>
      <c r="G465">
        <v>22</v>
      </c>
      <c r="H465">
        <v>7</v>
      </c>
      <c r="I465" s="5">
        <v>8.1395348837209294E-2</v>
      </c>
      <c r="J465" s="3">
        <v>315</v>
      </c>
      <c r="K465" s="1">
        <v>45626</v>
      </c>
      <c r="L465" t="s">
        <v>25</v>
      </c>
      <c r="M465" t="s">
        <v>39</v>
      </c>
      <c r="N465" t="s">
        <v>40</v>
      </c>
      <c r="O465" t="s">
        <v>28</v>
      </c>
      <c r="P465" t="s">
        <v>29</v>
      </c>
      <c r="Q465" s="6">
        <v>2.5945348837209301</v>
      </c>
      <c r="R465">
        <v>1.55</v>
      </c>
      <c r="S465">
        <v>10.14</v>
      </c>
      <c r="T465">
        <v>31.88</v>
      </c>
      <c r="U465">
        <v>41.17</v>
      </c>
      <c r="V465">
        <v>45</v>
      </c>
      <c r="W465">
        <v>1.41</v>
      </c>
    </row>
    <row r="466" spans="1:23" x14ac:dyDescent="0.3">
      <c r="A466">
        <v>464</v>
      </c>
      <c r="B466" t="s">
        <v>509</v>
      </c>
      <c r="C466" t="s">
        <v>24</v>
      </c>
      <c r="D466">
        <v>92</v>
      </c>
      <c r="E466">
        <v>3162</v>
      </c>
      <c r="F466" s="3">
        <v>203</v>
      </c>
      <c r="G466">
        <v>25</v>
      </c>
      <c r="H466">
        <v>5</v>
      </c>
      <c r="I466" s="5">
        <v>5.4347826086956499E-2</v>
      </c>
      <c r="J466" s="3">
        <v>322</v>
      </c>
      <c r="K466" s="1">
        <v>45597</v>
      </c>
      <c r="L466" t="s">
        <v>25</v>
      </c>
      <c r="M466" t="s">
        <v>31</v>
      </c>
      <c r="N466" t="s">
        <v>40</v>
      </c>
      <c r="O466" t="s">
        <v>28</v>
      </c>
      <c r="P466" t="s">
        <v>45</v>
      </c>
      <c r="Q466" s="6">
        <v>2.2039130434782601</v>
      </c>
      <c r="R466">
        <v>2.91</v>
      </c>
      <c r="S466">
        <v>8.11</v>
      </c>
      <c r="T466">
        <v>40.549999999999997</v>
      </c>
      <c r="U466">
        <v>58.81</v>
      </c>
      <c r="V466">
        <v>64.400000000000006</v>
      </c>
      <c r="W466">
        <v>1.59</v>
      </c>
    </row>
    <row r="467" spans="1:23" x14ac:dyDescent="0.3">
      <c r="A467">
        <v>465</v>
      </c>
      <c r="B467" t="s">
        <v>510</v>
      </c>
      <c r="C467" t="s">
        <v>24</v>
      </c>
      <c r="D467">
        <v>125</v>
      </c>
      <c r="E467">
        <v>5811</v>
      </c>
      <c r="F467" s="3">
        <v>195</v>
      </c>
      <c r="G467">
        <v>14</v>
      </c>
      <c r="H467">
        <v>6</v>
      </c>
      <c r="I467" s="5">
        <v>4.8000000000000001E-2</v>
      </c>
      <c r="J467" s="3">
        <v>273.71651785714198</v>
      </c>
      <c r="K467" s="1">
        <v>45618</v>
      </c>
      <c r="L467" t="s">
        <v>25</v>
      </c>
      <c r="M467" t="s">
        <v>39</v>
      </c>
      <c r="N467" t="s">
        <v>40</v>
      </c>
      <c r="O467" t="s">
        <v>28</v>
      </c>
      <c r="P467" t="s">
        <v>45</v>
      </c>
      <c r="Q467" s="6">
        <v>1.5593599999999901</v>
      </c>
      <c r="R467">
        <v>2.15</v>
      </c>
      <c r="S467">
        <v>13.92</v>
      </c>
      <c r="T467">
        <v>32.49</v>
      </c>
      <c r="U467">
        <v>40.43</v>
      </c>
      <c r="V467">
        <v>45.62</v>
      </c>
      <c r="W467">
        <v>1.4</v>
      </c>
    </row>
    <row r="468" spans="1:23" x14ac:dyDescent="0.3">
      <c r="A468">
        <v>466</v>
      </c>
      <c r="B468" t="s">
        <v>511</v>
      </c>
      <c r="C468" t="s">
        <v>38</v>
      </c>
      <c r="D468">
        <v>147</v>
      </c>
      <c r="E468">
        <v>3112</v>
      </c>
      <c r="F468" s="3">
        <v>207</v>
      </c>
      <c r="G468">
        <v>12</v>
      </c>
      <c r="H468">
        <v>8</v>
      </c>
      <c r="I468" s="5">
        <v>5.4421768707482901E-2</v>
      </c>
      <c r="J468" s="3">
        <v>370</v>
      </c>
      <c r="K468" s="1">
        <v>45614</v>
      </c>
      <c r="L468" t="s">
        <v>25</v>
      </c>
      <c r="M468" t="s">
        <v>31</v>
      </c>
      <c r="N468" t="s">
        <v>32</v>
      </c>
      <c r="O468" t="s">
        <v>28</v>
      </c>
      <c r="P468" t="s">
        <v>59</v>
      </c>
      <c r="Q468" s="6">
        <v>1.4063945578231201</v>
      </c>
      <c r="R468">
        <v>4.72</v>
      </c>
      <c r="S468">
        <v>17.23</v>
      </c>
      <c r="T468">
        <v>25.84</v>
      </c>
      <c r="U468">
        <v>78.97</v>
      </c>
      <c r="V468">
        <v>46.25</v>
      </c>
      <c r="W468">
        <v>1.79</v>
      </c>
    </row>
    <row r="469" spans="1:23" x14ac:dyDescent="0.3">
      <c r="A469">
        <v>467</v>
      </c>
      <c r="B469" t="s">
        <v>512</v>
      </c>
      <c r="C469" t="s">
        <v>43</v>
      </c>
      <c r="D469">
        <v>143</v>
      </c>
      <c r="E469">
        <v>4492</v>
      </c>
      <c r="F469" s="3">
        <v>189</v>
      </c>
      <c r="G469">
        <v>13</v>
      </c>
      <c r="H469">
        <v>3</v>
      </c>
      <c r="I469" s="5">
        <v>2.09790209790209E-2</v>
      </c>
      <c r="J469" s="3">
        <v>140.142857142857</v>
      </c>
      <c r="K469" s="1">
        <v>45605</v>
      </c>
      <c r="L469" t="s">
        <v>25</v>
      </c>
      <c r="M469" t="s">
        <v>31</v>
      </c>
      <c r="N469" t="s">
        <v>44</v>
      </c>
      <c r="O469" t="s">
        <v>28</v>
      </c>
      <c r="P469" t="s">
        <v>29</v>
      </c>
      <c r="Q469" s="6">
        <v>1.32153846153846</v>
      </c>
      <c r="R469">
        <v>3.18</v>
      </c>
      <c r="S469">
        <v>14.54</v>
      </c>
      <c r="T469">
        <v>62.99</v>
      </c>
      <c r="U469">
        <v>-25.84</v>
      </c>
      <c r="V469">
        <v>46.71</v>
      </c>
      <c r="W469">
        <v>0.74</v>
      </c>
    </row>
    <row r="470" spans="1:23" x14ac:dyDescent="0.3">
      <c r="A470">
        <v>468</v>
      </c>
      <c r="B470" t="s">
        <v>513</v>
      </c>
      <c r="C470" t="s">
        <v>24</v>
      </c>
      <c r="D470">
        <v>181</v>
      </c>
      <c r="E470">
        <v>5969</v>
      </c>
      <c r="F470" s="3">
        <v>208</v>
      </c>
      <c r="G470">
        <v>22</v>
      </c>
      <c r="H470">
        <v>8</v>
      </c>
      <c r="I470" s="5">
        <v>4.4198895027624301E-2</v>
      </c>
      <c r="J470" s="3">
        <v>394</v>
      </c>
      <c r="K470" s="1">
        <v>45601</v>
      </c>
      <c r="L470" t="s">
        <v>25</v>
      </c>
      <c r="M470" t="s">
        <v>39</v>
      </c>
      <c r="N470" t="s">
        <v>44</v>
      </c>
      <c r="O470" t="s">
        <v>28</v>
      </c>
      <c r="P470" t="s">
        <v>41</v>
      </c>
      <c r="Q470" s="6">
        <v>1.15099447513812</v>
      </c>
      <c r="R470">
        <v>3.03</v>
      </c>
      <c r="S470">
        <v>9.4700000000000006</v>
      </c>
      <c r="T470">
        <v>26.04</v>
      </c>
      <c r="U470">
        <v>89.12</v>
      </c>
      <c r="V470">
        <v>49.25</v>
      </c>
      <c r="W470">
        <v>1.89</v>
      </c>
    </row>
    <row r="471" spans="1:23" x14ac:dyDescent="0.3">
      <c r="A471">
        <v>469</v>
      </c>
      <c r="B471" t="s">
        <v>514</v>
      </c>
      <c r="C471" t="s">
        <v>38</v>
      </c>
      <c r="D471">
        <v>164</v>
      </c>
      <c r="E471">
        <v>3872</v>
      </c>
      <c r="F471" s="3">
        <v>211</v>
      </c>
      <c r="G471">
        <v>12</v>
      </c>
      <c r="H471">
        <v>5</v>
      </c>
      <c r="I471" s="5">
        <v>3.04878048780487E-2</v>
      </c>
      <c r="J471" s="3">
        <v>313</v>
      </c>
      <c r="K471" s="1">
        <v>45608</v>
      </c>
      <c r="L471" t="s">
        <v>25</v>
      </c>
      <c r="M471" t="s">
        <v>39</v>
      </c>
      <c r="N471" t="s">
        <v>36</v>
      </c>
      <c r="O471" t="s">
        <v>28</v>
      </c>
      <c r="P471" t="s">
        <v>41</v>
      </c>
      <c r="Q471" s="6">
        <v>1.2837195121951199</v>
      </c>
      <c r="R471">
        <v>4.24</v>
      </c>
      <c r="S471">
        <v>17.54</v>
      </c>
      <c r="T471">
        <v>42.11</v>
      </c>
      <c r="U471">
        <v>48.67</v>
      </c>
      <c r="V471">
        <v>62.6</v>
      </c>
      <c r="W471">
        <v>1.49</v>
      </c>
    </row>
    <row r="472" spans="1:23" x14ac:dyDescent="0.3">
      <c r="A472">
        <v>470</v>
      </c>
      <c r="B472" t="s">
        <v>515</v>
      </c>
      <c r="C472" t="s">
        <v>38</v>
      </c>
      <c r="D472">
        <v>199</v>
      </c>
      <c r="E472">
        <v>4255</v>
      </c>
      <c r="F472" s="3">
        <v>213</v>
      </c>
      <c r="G472">
        <v>14</v>
      </c>
      <c r="H472">
        <v>6</v>
      </c>
      <c r="I472" s="5">
        <v>3.0150753768844199E-2</v>
      </c>
      <c r="J472" s="3">
        <v>230</v>
      </c>
      <c r="K472" s="1">
        <v>45618</v>
      </c>
      <c r="L472" t="s">
        <v>25</v>
      </c>
      <c r="M472" t="s">
        <v>26</v>
      </c>
      <c r="N472" t="s">
        <v>27</v>
      </c>
      <c r="O472" t="s">
        <v>28</v>
      </c>
      <c r="P472" t="s">
        <v>45</v>
      </c>
      <c r="Q472" s="6">
        <v>1.06954773869346</v>
      </c>
      <c r="R472">
        <v>4.68</v>
      </c>
      <c r="S472">
        <v>15.2</v>
      </c>
      <c r="T472">
        <v>35.47</v>
      </c>
      <c r="U472">
        <v>8.06</v>
      </c>
      <c r="V472">
        <v>38.33</v>
      </c>
      <c r="W472">
        <v>1.08</v>
      </c>
    </row>
    <row r="473" spans="1:23" x14ac:dyDescent="0.3">
      <c r="A473">
        <v>471</v>
      </c>
      <c r="B473" t="s">
        <v>516</v>
      </c>
      <c r="C473" t="s">
        <v>35</v>
      </c>
      <c r="D473">
        <v>83</v>
      </c>
      <c r="E473">
        <v>2737</v>
      </c>
      <c r="F473" s="3">
        <v>230</v>
      </c>
      <c r="G473">
        <v>12</v>
      </c>
      <c r="H473">
        <v>8</v>
      </c>
      <c r="I473" s="5">
        <v>9.6385542168674704E-2</v>
      </c>
      <c r="J473" s="3">
        <v>408</v>
      </c>
      <c r="K473" s="1">
        <v>45626</v>
      </c>
      <c r="L473" t="s">
        <v>25</v>
      </c>
      <c r="M473" t="s">
        <v>26</v>
      </c>
      <c r="N473" t="s">
        <v>49</v>
      </c>
      <c r="O473" t="s">
        <v>28</v>
      </c>
      <c r="P473" t="s">
        <v>29</v>
      </c>
      <c r="Q473" s="6">
        <v>2.7707228915662601</v>
      </c>
      <c r="R473">
        <v>3.03</v>
      </c>
      <c r="S473">
        <v>19.16</v>
      </c>
      <c r="T473">
        <v>28.75</v>
      </c>
      <c r="U473">
        <v>77.41</v>
      </c>
      <c r="V473">
        <v>51</v>
      </c>
      <c r="W473">
        <v>1.77</v>
      </c>
    </row>
    <row r="474" spans="1:23" x14ac:dyDescent="0.3">
      <c r="A474">
        <v>472</v>
      </c>
      <c r="B474" t="s">
        <v>517</v>
      </c>
      <c r="C474" t="s">
        <v>38</v>
      </c>
      <c r="D474">
        <v>150</v>
      </c>
      <c r="E474">
        <v>5619</v>
      </c>
      <c r="F474" s="3">
        <v>192</v>
      </c>
      <c r="G474">
        <v>23</v>
      </c>
      <c r="H474">
        <v>6</v>
      </c>
      <c r="I474" s="5">
        <v>0.04</v>
      </c>
      <c r="J474" s="3">
        <v>354</v>
      </c>
      <c r="K474" s="1">
        <v>45615</v>
      </c>
      <c r="L474" t="s">
        <v>25</v>
      </c>
      <c r="M474" t="s">
        <v>26</v>
      </c>
      <c r="N474" t="s">
        <v>40</v>
      </c>
      <c r="O474" t="s">
        <v>28</v>
      </c>
      <c r="P474" t="s">
        <v>41</v>
      </c>
      <c r="Q474" s="6">
        <v>1.2792666666666599</v>
      </c>
      <c r="R474">
        <v>2.67</v>
      </c>
      <c r="S474">
        <v>8.34</v>
      </c>
      <c r="T474">
        <v>31.98</v>
      </c>
      <c r="U474">
        <v>84.48</v>
      </c>
      <c r="V474">
        <v>59</v>
      </c>
      <c r="W474">
        <v>1.84</v>
      </c>
    </row>
    <row r="475" spans="1:23" x14ac:dyDescent="0.3">
      <c r="A475">
        <v>473</v>
      </c>
      <c r="B475" t="s">
        <v>518</v>
      </c>
      <c r="C475" t="s">
        <v>38</v>
      </c>
      <c r="D475">
        <v>171</v>
      </c>
      <c r="E475">
        <v>5157</v>
      </c>
      <c r="F475" s="3">
        <v>183</v>
      </c>
      <c r="G475">
        <v>24</v>
      </c>
      <c r="H475">
        <v>9</v>
      </c>
      <c r="I475" s="5">
        <v>5.2631578947368397E-2</v>
      </c>
      <c r="J475" s="3">
        <v>292</v>
      </c>
      <c r="K475" s="1">
        <v>45605</v>
      </c>
      <c r="L475" t="s">
        <v>25</v>
      </c>
      <c r="M475" t="s">
        <v>26</v>
      </c>
      <c r="N475" t="s">
        <v>36</v>
      </c>
      <c r="O475" t="s">
        <v>28</v>
      </c>
      <c r="P475" t="s">
        <v>29</v>
      </c>
      <c r="Q475" s="6">
        <v>1.07169590643274</v>
      </c>
      <c r="R475">
        <v>3.32</v>
      </c>
      <c r="S475">
        <v>7.64</v>
      </c>
      <c r="T475">
        <v>20.36</v>
      </c>
      <c r="U475">
        <v>59.34</v>
      </c>
      <c r="V475">
        <v>32.44</v>
      </c>
      <c r="W475">
        <v>1.59</v>
      </c>
    </row>
    <row r="476" spans="1:23" x14ac:dyDescent="0.3">
      <c r="A476">
        <v>474</v>
      </c>
      <c r="B476" t="s">
        <v>519</v>
      </c>
      <c r="C476" t="s">
        <v>38</v>
      </c>
      <c r="D476">
        <v>139</v>
      </c>
      <c r="E476">
        <v>4871</v>
      </c>
      <c r="F476" s="3">
        <v>211</v>
      </c>
      <c r="G476">
        <v>25</v>
      </c>
      <c r="H476">
        <v>9</v>
      </c>
      <c r="I476" s="5">
        <v>6.4748201438848907E-2</v>
      </c>
      <c r="J476" s="3">
        <v>254</v>
      </c>
      <c r="K476" s="1">
        <v>45625</v>
      </c>
      <c r="L476" t="s">
        <v>25</v>
      </c>
      <c r="M476" t="s">
        <v>31</v>
      </c>
      <c r="N476" t="s">
        <v>40</v>
      </c>
      <c r="O476" t="s">
        <v>28</v>
      </c>
      <c r="P476" t="s">
        <v>45</v>
      </c>
      <c r="Q476" s="6">
        <v>1.5208633093525099</v>
      </c>
      <c r="R476">
        <v>2.85</v>
      </c>
      <c r="S476">
        <v>8.4600000000000009</v>
      </c>
      <c r="T476">
        <v>23.49</v>
      </c>
      <c r="U476">
        <v>20.149999999999999</v>
      </c>
      <c r="V476">
        <v>28.22</v>
      </c>
      <c r="W476">
        <v>1.2</v>
      </c>
    </row>
    <row r="477" spans="1:23" x14ac:dyDescent="0.3">
      <c r="A477">
        <v>475</v>
      </c>
      <c r="B477" t="s">
        <v>520</v>
      </c>
      <c r="C477" t="s">
        <v>35</v>
      </c>
      <c r="D477">
        <v>117</v>
      </c>
      <c r="E477">
        <v>5863</v>
      </c>
      <c r="F477" s="3">
        <v>225</v>
      </c>
      <c r="G477">
        <v>24</v>
      </c>
      <c r="H477">
        <v>10</v>
      </c>
      <c r="I477" s="5">
        <v>8.5470085470085402E-2</v>
      </c>
      <c r="J477" s="3">
        <v>322</v>
      </c>
      <c r="K477" s="1">
        <v>45612</v>
      </c>
      <c r="L477" t="s">
        <v>25</v>
      </c>
      <c r="M477" t="s">
        <v>31</v>
      </c>
      <c r="N477" t="s">
        <v>36</v>
      </c>
      <c r="O477" t="s">
        <v>28</v>
      </c>
      <c r="P477" t="s">
        <v>29</v>
      </c>
      <c r="Q477" s="6">
        <v>1.9204273504273499</v>
      </c>
      <c r="R477">
        <v>2</v>
      </c>
      <c r="S477">
        <v>9.36</v>
      </c>
      <c r="T477">
        <v>22.47</v>
      </c>
      <c r="U477">
        <v>43.31</v>
      </c>
      <c r="V477">
        <v>32.200000000000003</v>
      </c>
      <c r="W477">
        <v>1.43</v>
      </c>
    </row>
    <row r="478" spans="1:23" x14ac:dyDescent="0.3">
      <c r="A478">
        <v>476</v>
      </c>
      <c r="B478" t="s">
        <v>521</v>
      </c>
      <c r="C478" t="s">
        <v>38</v>
      </c>
      <c r="D478">
        <v>196</v>
      </c>
      <c r="E478">
        <v>3205</v>
      </c>
      <c r="F478" s="3">
        <v>189</v>
      </c>
      <c r="G478">
        <v>24</v>
      </c>
      <c r="H478">
        <v>8</v>
      </c>
      <c r="I478" s="5">
        <v>4.08163265306122E-2</v>
      </c>
      <c r="J478" s="3">
        <v>375</v>
      </c>
      <c r="K478" s="1">
        <v>45620</v>
      </c>
      <c r="L478" t="s">
        <v>25</v>
      </c>
      <c r="M478" t="s">
        <v>26</v>
      </c>
      <c r="N478" t="s">
        <v>32</v>
      </c>
      <c r="O478" t="s">
        <v>28</v>
      </c>
      <c r="P478" t="s">
        <v>50</v>
      </c>
      <c r="Q478" s="6">
        <v>0.96336734693877502</v>
      </c>
      <c r="R478">
        <v>6.12</v>
      </c>
      <c r="S478">
        <v>7.87</v>
      </c>
      <c r="T478">
        <v>23.6</v>
      </c>
      <c r="U478">
        <v>98.6</v>
      </c>
      <c r="V478">
        <v>46.88</v>
      </c>
      <c r="W478">
        <v>1.99</v>
      </c>
    </row>
    <row r="479" spans="1:23" x14ac:dyDescent="0.3">
      <c r="A479">
        <v>477</v>
      </c>
      <c r="B479" t="s">
        <v>522</v>
      </c>
      <c r="C479" t="s">
        <v>43</v>
      </c>
      <c r="D479">
        <v>184</v>
      </c>
      <c r="E479">
        <v>5463</v>
      </c>
      <c r="F479" s="3">
        <v>225</v>
      </c>
      <c r="G479">
        <v>30</v>
      </c>
      <c r="H479">
        <v>6</v>
      </c>
      <c r="I479" s="5">
        <v>3.2608695652173898E-2</v>
      </c>
      <c r="J479" s="3">
        <v>319</v>
      </c>
      <c r="K479" s="1">
        <v>45622</v>
      </c>
      <c r="L479" t="s">
        <v>25</v>
      </c>
      <c r="M479" t="s">
        <v>39</v>
      </c>
      <c r="N479" t="s">
        <v>40</v>
      </c>
      <c r="O479" t="s">
        <v>28</v>
      </c>
      <c r="P479" t="s">
        <v>41</v>
      </c>
      <c r="Q479" s="6">
        <v>1.22054347826086</v>
      </c>
      <c r="R479">
        <v>3.37</v>
      </c>
      <c r="S479">
        <v>7.49</v>
      </c>
      <c r="T479">
        <v>37.43</v>
      </c>
      <c r="U479">
        <v>42.04</v>
      </c>
      <c r="V479">
        <v>53.17</v>
      </c>
      <c r="W479">
        <v>1.42</v>
      </c>
    </row>
    <row r="480" spans="1:23" x14ac:dyDescent="0.3">
      <c r="A480">
        <v>478</v>
      </c>
      <c r="B480" t="s">
        <v>523</v>
      </c>
      <c r="C480" t="s">
        <v>35</v>
      </c>
      <c r="D480">
        <v>103</v>
      </c>
      <c r="E480">
        <v>5667</v>
      </c>
      <c r="F480" s="3">
        <v>232</v>
      </c>
      <c r="G480">
        <v>26</v>
      </c>
      <c r="H480">
        <v>8</v>
      </c>
      <c r="I480" s="5">
        <v>7.7669902912621297E-2</v>
      </c>
      <c r="J480" s="3">
        <v>385</v>
      </c>
      <c r="K480" s="1">
        <v>45612</v>
      </c>
      <c r="L480" t="s">
        <v>25</v>
      </c>
      <c r="M480" t="s">
        <v>39</v>
      </c>
      <c r="N480" t="s">
        <v>27</v>
      </c>
      <c r="O480" t="s">
        <v>28</v>
      </c>
      <c r="P480" t="s">
        <v>29</v>
      </c>
      <c r="Q480" s="6">
        <v>2.2570873786407701</v>
      </c>
      <c r="R480">
        <v>1.82</v>
      </c>
      <c r="S480">
        <v>8.94</v>
      </c>
      <c r="T480">
        <v>29.06</v>
      </c>
      <c r="U480">
        <v>65.61</v>
      </c>
      <c r="V480">
        <v>48.12</v>
      </c>
      <c r="W480">
        <v>1.66</v>
      </c>
    </row>
    <row r="481" spans="1:23" x14ac:dyDescent="0.3">
      <c r="A481">
        <v>479</v>
      </c>
      <c r="B481" t="s">
        <v>524</v>
      </c>
      <c r="C481" t="s">
        <v>35</v>
      </c>
      <c r="D481">
        <v>120</v>
      </c>
      <c r="E481">
        <v>4666</v>
      </c>
      <c r="F481" s="3">
        <v>181</v>
      </c>
      <c r="G481">
        <v>30</v>
      </c>
      <c r="H481">
        <v>3</v>
      </c>
      <c r="I481" s="5">
        <v>2.5000000000000001E-2</v>
      </c>
      <c r="J481" s="3">
        <v>332</v>
      </c>
      <c r="K481" s="1">
        <v>45620</v>
      </c>
      <c r="L481" t="s">
        <v>25</v>
      </c>
      <c r="M481" t="s">
        <v>31</v>
      </c>
      <c r="N481" t="s">
        <v>49</v>
      </c>
      <c r="O481" t="s">
        <v>28</v>
      </c>
      <c r="P481" t="s">
        <v>50</v>
      </c>
      <c r="Q481" s="6">
        <v>1.506</v>
      </c>
      <c r="R481">
        <v>2.57</v>
      </c>
      <c r="S481">
        <v>6.02</v>
      </c>
      <c r="T481">
        <v>60.24</v>
      </c>
      <c r="U481">
        <v>83.71</v>
      </c>
      <c r="V481">
        <v>110.67</v>
      </c>
      <c r="W481">
        <v>1.84</v>
      </c>
    </row>
    <row r="482" spans="1:23" x14ac:dyDescent="0.3">
      <c r="A482">
        <v>480</v>
      </c>
      <c r="B482" t="s">
        <v>525</v>
      </c>
      <c r="C482" t="s">
        <v>43</v>
      </c>
      <c r="D482">
        <v>148</v>
      </c>
      <c r="E482">
        <v>3632</v>
      </c>
      <c r="F482" s="3">
        <v>214</v>
      </c>
      <c r="G482">
        <v>28</v>
      </c>
      <c r="H482">
        <v>10</v>
      </c>
      <c r="I482" s="5">
        <v>6.7567567567567502E-2</v>
      </c>
      <c r="J482" s="3">
        <v>324</v>
      </c>
      <c r="K482" s="1">
        <v>45614</v>
      </c>
      <c r="L482" t="s">
        <v>25</v>
      </c>
      <c r="M482" t="s">
        <v>31</v>
      </c>
      <c r="N482" t="s">
        <v>40</v>
      </c>
      <c r="O482" t="s">
        <v>28</v>
      </c>
      <c r="P482" t="s">
        <v>59</v>
      </c>
      <c r="Q482" s="6">
        <v>1.44905405405405</v>
      </c>
      <c r="R482">
        <v>4.07</v>
      </c>
      <c r="S482">
        <v>7.66</v>
      </c>
      <c r="T482">
        <v>21.45</v>
      </c>
      <c r="U482">
        <v>51.08</v>
      </c>
      <c r="V482">
        <v>32.4</v>
      </c>
      <c r="W482">
        <v>1.51</v>
      </c>
    </row>
    <row r="483" spans="1:23" x14ac:dyDescent="0.3">
      <c r="A483">
        <v>481</v>
      </c>
      <c r="B483" t="s">
        <v>526</v>
      </c>
      <c r="C483" t="s">
        <v>24</v>
      </c>
      <c r="D483">
        <v>80</v>
      </c>
      <c r="E483">
        <v>3834</v>
      </c>
      <c r="F483" s="3">
        <v>181</v>
      </c>
      <c r="G483">
        <v>15</v>
      </c>
      <c r="H483">
        <v>3</v>
      </c>
      <c r="I483" s="5">
        <v>3.7499999999999999E-2</v>
      </c>
      <c r="J483" s="3">
        <v>259</v>
      </c>
      <c r="K483" s="1">
        <v>45618</v>
      </c>
      <c r="L483" t="s">
        <v>25</v>
      </c>
      <c r="M483" t="s">
        <v>39</v>
      </c>
      <c r="N483" t="s">
        <v>27</v>
      </c>
      <c r="O483" t="s">
        <v>28</v>
      </c>
      <c r="P483" t="s">
        <v>45</v>
      </c>
      <c r="Q483" s="6">
        <v>2.26525</v>
      </c>
      <c r="R483">
        <v>2.09</v>
      </c>
      <c r="S483">
        <v>12.08</v>
      </c>
      <c r="T483">
        <v>60.41</v>
      </c>
      <c r="U483">
        <v>42.92</v>
      </c>
      <c r="V483">
        <v>86.33</v>
      </c>
      <c r="W483">
        <v>1.43</v>
      </c>
    </row>
    <row r="484" spans="1:23" x14ac:dyDescent="0.3">
      <c r="A484">
        <v>482</v>
      </c>
      <c r="B484" t="s">
        <v>527</v>
      </c>
      <c r="C484" t="s">
        <v>43</v>
      </c>
      <c r="D484">
        <v>168</v>
      </c>
      <c r="E484">
        <v>3934</v>
      </c>
      <c r="F484" s="3">
        <v>246</v>
      </c>
      <c r="G484">
        <v>24</v>
      </c>
      <c r="H484">
        <v>6</v>
      </c>
      <c r="I484" s="5">
        <v>3.5714285714285698E-2</v>
      </c>
      <c r="J484" s="3">
        <v>325</v>
      </c>
      <c r="K484" s="1">
        <v>45620</v>
      </c>
      <c r="L484" t="s">
        <v>25</v>
      </c>
      <c r="M484" t="s">
        <v>39</v>
      </c>
      <c r="N484" t="s">
        <v>36</v>
      </c>
      <c r="O484" t="s">
        <v>28</v>
      </c>
      <c r="P484" t="s">
        <v>50</v>
      </c>
      <c r="Q484" s="6">
        <v>1.4648214285714201</v>
      </c>
      <c r="R484">
        <v>4.2699999999999996</v>
      </c>
      <c r="S484">
        <v>10.25</v>
      </c>
      <c r="T484">
        <v>41.02</v>
      </c>
      <c r="U484">
        <v>32.07</v>
      </c>
      <c r="V484">
        <v>54.17</v>
      </c>
      <c r="W484">
        <v>1.32</v>
      </c>
    </row>
    <row r="485" spans="1:23" x14ac:dyDescent="0.3">
      <c r="A485">
        <v>483</v>
      </c>
      <c r="B485" t="s">
        <v>528</v>
      </c>
      <c r="C485" t="s">
        <v>38</v>
      </c>
      <c r="D485">
        <v>136</v>
      </c>
      <c r="E485">
        <v>5724</v>
      </c>
      <c r="F485" s="3">
        <v>218</v>
      </c>
      <c r="G485">
        <v>25</v>
      </c>
      <c r="H485">
        <v>10</v>
      </c>
      <c r="I485" s="5">
        <v>7.3529411764705802E-2</v>
      </c>
      <c r="J485" s="3">
        <v>259</v>
      </c>
      <c r="K485" s="1">
        <v>45614</v>
      </c>
      <c r="L485" t="s">
        <v>25</v>
      </c>
      <c r="M485" t="s">
        <v>26</v>
      </c>
      <c r="N485" t="s">
        <v>32</v>
      </c>
      <c r="O485" t="s">
        <v>28</v>
      </c>
      <c r="P485" t="s">
        <v>59</v>
      </c>
      <c r="Q485" s="6">
        <v>1.60566176470588</v>
      </c>
      <c r="R485">
        <v>2.38</v>
      </c>
      <c r="S485">
        <v>8.73</v>
      </c>
      <c r="T485">
        <v>21.84</v>
      </c>
      <c r="U485">
        <v>18.61</v>
      </c>
      <c r="V485">
        <v>25.9</v>
      </c>
      <c r="W485">
        <v>1.19</v>
      </c>
    </row>
    <row r="486" spans="1:23" x14ac:dyDescent="0.3">
      <c r="A486">
        <v>484</v>
      </c>
      <c r="B486" t="s">
        <v>529</v>
      </c>
      <c r="C486" t="s">
        <v>43</v>
      </c>
      <c r="D486">
        <v>86</v>
      </c>
      <c r="E486">
        <v>4763</v>
      </c>
      <c r="F486" s="3">
        <v>244</v>
      </c>
      <c r="G486">
        <v>11</v>
      </c>
      <c r="H486">
        <v>8</v>
      </c>
      <c r="I486" s="5">
        <v>9.3023255813953404E-2</v>
      </c>
      <c r="J486" s="3">
        <v>361</v>
      </c>
      <c r="K486" s="1">
        <v>45609</v>
      </c>
      <c r="L486" t="s">
        <v>25</v>
      </c>
      <c r="M486" t="s">
        <v>31</v>
      </c>
      <c r="N486" t="s">
        <v>27</v>
      </c>
      <c r="O486" t="s">
        <v>28</v>
      </c>
      <c r="P486" t="s">
        <v>33</v>
      </c>
      <c r="Q486" s="6">
        <v>2.8346511627906898</v>
      </c>
      <c r="R486">
        <v>1.81</v>
      </c>
      <c r="S486">
        <v>22.16</v>
      </c>
      <c r="T486">
        <v>30.47</v>
      </c>
      <c r="U486">
        <v>48.08</v>
      </c>
      <c r="V486">
        <v>45.12</v>
      </c>
      <c r="W486">
        <v>1.48</v>
      </c>
    </row>
    <row r="487" spans="1:23" x14ac:dyDescent="0.3">
      <c r="A487">
        <v>485</v>
      </c>
      <c r="B487" t="s">
        <v>530</v>
      </c>
      <c r="C487" t="s">
        <v>24</v>
      </c>
      <c r="D487">
        <v>175</v>
      </c>
      <c r="E487">
        <v>3095</v>
      </c>
      <c r="F487" s="3">
        <v>237</v>
      </c>
      <c r="G487">
        <v>22</v>
      </c>
      <c r="H487">
        <v>4</v>
      </c>
      <c r="I487" s="5">
        <v>2.2857142857142802E-2</v>
      </c>
      <c r="J487" s="3">
        <v>330</v>
      </c>
      <c r="K487" s="1">
        <v>45616</v>
      </c>
      <c r="L487" t="s">
        <v>25</v>
      </c>
      <c r="M487" t="s">
        <v>31</v>
      </c>
      <c r="N487" t="s">
        <v>49</v>
      </c>
      <c r="O487" t="s">
        <v>28</v>
      </c>
      <c r="P487" t="s">
        <v>33</v>
      </c>
      <c r="Q487" s="6">
        <v>1.35348571428571</v>
      </c>
      <c r="R487">
        <v>5.65</v>
      </c>
      <c r="S487">
        <v>10.77</v>
      </c>
      <c r="T487">
        <v>59.22</v>
      </c>
      <c r="U487">
        <v>39.32</v>
      </c>
      <c r="V487">
        <v>82.5</v>
      </c>
      <c r="W487">
        <v>1.39</v>
      </c>
    </row>
    <row r="488" spans="1:23" x14ac:dyDescent="0.3">
      <c r="A488">
        <v>486</v>
      </c>
      <c r="B488" t="s">
        <v>531</v>
      </c>
      <c r="C488" t="s">
        <v>43</v>
      </c>
      <c r="D488">
        <v>173</v>
      </c>
      <c r="E488">
        <v>5554</v>
      </c>
      <c r="F488" s="3">
        <v>185</v>
      </c>
      <c r="G488">
        <v>22</v>
      </c>
      <c r="H488">
        <v>4</v>
      </c>
      <c r="I488" s="5">
        <v>2.3121387283236899E-2</v>
      </c>
      <c r="J488" s="3">
        <v>204</v>
      </c>
      <c r="K488" s="1">
        <v>45597</v>
      </c>
      <c r="L488" t="s">
        <v>25</v>
      </c>
      <c r="M488" t="s">
        <v>26</v>
      </c>
      <c r="N488" t="s">
        <v>32</v>
      </c>
      <c r="O488" t="s">
        <v>28</v>
      </c>
      <c r="P488" t="s">
        <v>45</v>
      </c>
      <c r="Q488" s="6">
        <v>1.06988439306358</v>
      </c>
      <c r="R488">
        <v>3.11</v>
      </c>
      <c r="S488">
        <v>8.41</v>
      </c>
      <c r="T488">
        <v>46.27</v>
      </c>
      <c r="U488">
        <v>10.220000000000001</v>
      </c>
      <c r="V488">
        <v>51</v>
      </c>
      <c r="W488">
        <v>1.1000000000000001</v>
      </c>
    </row>
    <row r="489" spans="1:23" x14ac:dyDescent="0.3">
      <c r="A489">
        <v>487</v>
      </c>
      <c r="B489" t="s">
        <v>532</v>
      </c>
      <c r="C489" t="s">
        <v>43</v>
      </c>
      <c r="D489">
        <v>192</v>
      </c>
      <c r="E489">
        <v>3407</v>
      </c>
      <c r="F489" s="3">
        <v>223</v>
      </c>
      <c r="G489">
        <v>29</v>
      </c>
      <c r="H489">
        <v>9</v>
      </c>
      <c r="I489" s="5">
        <v>4.6875E-2</v>
      </c>
      <c r="J489" s="3">
        <v>314</v>
      </c>
      <c r="K489" s="1">
        <v>45621</v>
      </c>
      <c r="L489" t="s">
        <v>25</v>
      </c>
      <c r="M489" t="s">
        <v>39</v>
      </c>
      <c r="N489" t="s">
        <v>40</v>
      </c>
      <c r="O489" t="s">
        <v>28</v>
      </c>
      <c r="P489" t="s">
        <v>59</v>
      </c>
      <c r="Q489" s="6">
        <v>1.1629687499999899</v>
      </c>
      <c r="R489">
        <v>5.64</v>
      </c>
      <c r="S489">
        <v>7.7</v>
      </c>
      <c r="T489">
        <v>24.81</v>
      </c>
      <c r="U489">
        <v>40.619999999999997</v>
      </c>
      <c r="V489">
        <v>34.89</v>
      </c>
      <c r="W489">
        <v>1.41</v>
      </c>
    </row>
    <row r="490" spans="1:23" x14ac:dyDescent="0.3">
      <c r="A490">
        <v>488</v>
      </c>
      <c r="B490" t="s">
        <v>533</v>
      </c>
      <c r="C490" t="s">
        <v>35</v>
      </c>
      <c r="D490">
        <v>190</v>
      </c>
      <c r="E490">
        <v>4465</v>
      </c>
      <c r="F490" s="3">
        <v>241</v>
      </c>
      <c r="G490">
        <v>28</v>
      </c>
      <c r="H490">
        <v>5</v>
      </c>
      <c r="I490" s="5">
        <v>2.6315789473684199E-2</v>
      </c>
      <c r="J490" s="3">
        <v>390</v>
      </c>
      <c r="K490" s="1">
        <v>45600</v>
      </c>
      <c r="L490" t="s">
        <v>25</v>
      </c>
      <c r="M490" t="s">
        <v>26</v>
      </c>
      <c r="N490" t="s">
        <v>49</v>
      </c>
      <c r="O490" t="s">
        <v>28</v>
      </c>
      <c r="P490" t="s">
        <v>59</v>
      </c>
      <c r="Q490" s="6">
        <v>1.27042105263157</v>
      </c>
      <c r="R490">
        <v>4.26</v>
      </c>
      <c r="S490">
        <v>8.6199999999999992</v>
      </c>
      <c r="T490">
        <v>48.28</v>
      </c>
      <c r="U490">
        <v>61.57</v>
      </c>
      <c r="V490">
        <v>78</v>
      </c>
      <c r="W490">
        <v>1.62</v>
      </c>
    </row>
    <row r="491" spans="1:23" x14ac:dyDescent="0.3">
      <c r="A491">
        <v>489</v>
      </c>
      <c r="B491" t="s">
        <v>534</v>
      </c>
      <c r="C491" t="s">
        <v>35</v>
      </c>
      <c r="D491">
        <v>161</v>
      </c>
      <c r="E491">
        <v>3311</v>
      </c>
      <c r="F491" s="3">
        <v>222</v>
      </c>
      <c r="G491">
        <v>16</v>
      </c>
      <c r="H491">
        <v>5</v>
      </c>
      <c r="I491" s="5">
        <v>3.1055900621118002E-2</v>
      </c>
      <c r="J491" s="3">
        <v>205</v>
      </c>
      <c r="K491" s="1">
        <v>45598</v>
      </c>
      <c r="L491" t="s">
        <v>25</v>
      </c>
      <c r="M491" t="s">
        <v>39</v>
      </c>
      <c r="N491" t="s">
        <v>44</v>
      </c>
      <c r="O491" t="s">
        <v>28</v>
      </c>
      <c r="P491" t="s">
        <v>29</v>
      </c>
      <c r="Q491" s="6">
        <v>1.37664596273291</v>
      </c>
      <c r="R491">
        <v>4.8600000000000003</v>
      </c>
      <c r="S491">
        <v>13.85</v>
      </c>
      <c r="T491">
        <v>44.33</v>
      </c>
      <c r="U491">
        <v>-7.51</v>
      </c>
      <c r="V491">
        <v>41</v>
      </c>
      <c r="W491">
        <v>0.92</v>
      </c>
    </row>
    <row r="492" spans="1:23" x14ac:dyDescent="0.3">
      <c r="A492">
        <v>490</v>
      </c>
      <c r="B492" t="s">
        <v>535</v>
      </c>
      <c r="C492" t="s">
        <v>43</v>
      </c>
      <c r="D492">
        <v>197</v>
      </c>
      <c r="E492">
        <v>3265</v>
      </c>
      <c r="F492" s="3">
        <v>200</v>
      </c>
      <c r="G492">
        <v>15</v>
      </c>
      <c r="H492">
        <v>3</v>
      </c>
      <c r="I492" s="5">
        <v>1.5228426395939E-2</v>
      </c>
      <c r="J492" s="3">
        <v>384</v>
      </c>
      <c r="K492" s="1">
        <v>45597</v>
      </c>
      <c r="L492" t="s">
        <v>25</v>
      </c>
      <c r="M492" t="s">
        <v>31</v>
      </c>
      <c r="N492" t="s">
        <v>27</v>
      </c>
      <c r="O492" t="s">
        <v>28</v>
      </c>
      <c r="P492" t="s">
        <v>45</v>
      </c>
      <c r="Q492" s="6">
        <v>1.0172588832487299</v>
      </c>
      <c r="R492">
        <v>6.03</v>
      </c>
      <c r="S492">
        <v>13.36</v>
      </c>
      <c r="T492">
        <v>66.8</v>
      </c>
      <c r="U492">
        <v>91.62</v>
      </c>
      <c r="V492">
        <v>128</v>
      </c>
      <c r="W492">
        <v>1.92</v>
      </c>
    </row>
    <row r="493" spans="1:23" x14ac:dyDescent="0.3">
      <c r="A493">
        <v>491</v>
      </c>
      <c r="B493" t="s">
        <v>536</v>
      </c>
      <c r="C493" t="s">
        <v>35</v>
      </c>
      <c r="D493">
        <v>80</v>
      </c>
      <c r="E493">
        <v>4969</v>
      </c>
      <c r="F493" s="3">
        <v>211</v>
      </c>
      <c r="G493">
        <v>25</v>
      </c>
      <c r="H493">
        <v>3</v>
      </c>
      <c r="I493" s="5">
        <v>3.7499999999999999E-2</v>
      </c>
      <c r="J493" s="3">
        <v>234</v>
      </c>
      <c r="K493" s="1">
        <v>45601</v>
      </c>
      <c r="L493" t="s">
        <v>25</v>
      </c>
      <c r="M493" t="s">
        <v>39</v>
      </c>
      <c r="N493" t="s">
        <v>49</v>
      </c>
      <c r="O493" t="s">
        <v>28</v>
      </c>
      <c r="P493" t="s">
        <v>41</v>
      </c>
      <c r="Q493" s="6">
        <v>2.63375</v>
      </c>
      <c r="R493">
        <v>1.61</v>
      </c>
      <c r="S493">
        <v>8.43</v>
      </c>
      <c r="T493">
        <v>70.23</v>
      </c>
      <c r="U493">
        <v>11.06</v>
      </c>
      <c r="V493">
        <v>78</v>
      </c>
      <c r="W493">
        <v>1.1100000000000001</v>
      </c>
    </row>
    <row r="494" spans="1:23" x14ac:dyDescent="0.3">
      <c r="A494">
        <v>492</v>
      </c>
      <c r="B494" t="s">
        <v>537</v>
      </c>
      <c r="C494" t="s">
        <v>38</v>
      </c>
      <c r="D494">
        <v>145</v>
      </c>
      <c r="E494">
        <v>5368</v>
      </c>
      <c r="F494" s="3">
        <v>201</v>
      </c>
      <c r="G494">
        <v>14</v>
      </c>
      <c r="H494">
        <v>4</v>
      </c>
      <c r="I494" s="5">
        <v>2.7586206896551699E-2</v>
      </c>
      <c r="J494" s="3">
        <v>230</v>
      </c>
      <c r="K494" s="1">
        <v>45623</v>
      </c>
      <c r="L494" t="s">
        <v>25</v>
      </c>
      <c r="M494" t="s">
        <v>39</v>
      </c>
      <c r="N494" t="s">
        <v>27</v>
      </c>
      <c r="O494" t="s">
        <v>28</v>
      </c>
      <c r="P494" t="s">
        <v>33</v>
      </c>
      <c r="Q494" s="6">
        <v>1.38537931034482</v>
      </c>
      <c r="R494">
        <v>2.7</v>
      </c>
      <c r="S494">
        <v>14.35</v>
      </c>
      <c r="T494">
        <v>50.22</v>
      </c>
      <c r="U494">
        <v>14.5</v>
      </c>
      <c r="V494">
        <v>57.5</v>
      </c>
      <c r="W494">
        <v>1.1399999999999999</v>
      </c>
    </row>
    <row r="495" spans="1:23" x14ac:dyDescent="0.3">
      <c r="A495">
        <v>493</v>
      </c>
      <c r="B495" t="s">
        <v>538</v>
      </c>
      <c r="C495" t="s">
        <v>35</v>
      </c>
      <c r="D495">
        <v>90</v>
      </c>
      <c r="E495">
        <v>5851</v>
      </c>
      <c r="F495" s="3">
        <v>233</v>
      </c>
      <c r="G495">
        <v>22</v>
      </c>
      <c r="H495">
        <v>8</v>
      </c>
      <c r="I495" s="5">
        <v>8.8888888888888795E-2</v>
      </c>
      <c r="J495" s="3">
        <v>290</v>
      </c>
      <c r="K495" s="1">
        <v>45624</v>
      </c>
      <c r="L495" t="s">
        <v>25</v>
      </c>
      <c r="M495" t="s">
        <v>26</v>
      </c>
      <c r="N495" t="s">
        <v>27</v>
      </c>
      <c r="O495" t="s">
        <v>28</v>
      </c>
      <c r="P495" t="s">
        <v>54</v>
      </c>
      <c r="Q495" s="6">
        <v>2.5882222222222202</v>
      </c>
      <c r="R495">
        <v>1.54</v>
      </c>
      <c r="S495">
        <v>10.59</v>
      </c>
      <c r="T495">
        <v>29.12</v>
      </c>
      <c r="U495">
        <v>24.5</v>
      </c>
      <c r="V495">
        <v>36.25</v>
      </c>
      <c r="W495">
        <v>1.24</v>
      </c>
    </row>
    <row r="496" spans="1:23" x14ac:dyDescent="0.3">
      <c r="A496">
        <v>494</v>
      </c>
      <c r="B496" t="s">
        <v>539</v>
      </c>
      <c r="C496" t="s">
        <v>38</v>
      </c>
      <c r="D496">
        <v>109</v>
      </c>
      <c r="E496">
        <v>4884</v>
      </c>
      <c r="F496" s="3">
        <v>228</v>
      </c>
      <c r="G496">
        <v>11</v>
      </c>
      <c r="H496">
        <v>8</v>
      </c>
      <c r="I496" s="5">
        <v>7.3394495412843999E-2</v>
      </c>
      <c r="J496" s="3">
        <v>343</v>
      </c>
      <c r="K496" s="1">
        <v>45611</v>
      </c>
      <c r="L496" t="s">
        <v>25</v>
      </c>
      <c r="M496" t="s">
        <v>26</v>
      </c>
      <c r="N496" t="s">
        <v>40</v>
      </c>
      <c r="O496" t="s">
        <v>28</v>
      </c>
      <c r="P496" t="s">
        <v>45</v>
      </c>
      <c r="Q496" s="6">
        <v>2.0929357798165098</v>
      </c>
      <c r="R496">
        <v>2.23</v>
      </c>
      <c r="S496">
        <v>20.74</v>
      </c>
      <c r="T496">
        <v>28.52</v>
      </c>
      <c r="U496">
        <v>50.35</v>
      </c>
      <c r="V496">
        <v>42.88</v>
      </c>
      <c r="W496">
        <v>1.5</v>
      </c>
    </row>
    <row r="497" spans="1:23" x14ac:dyDescent="0.3">
      <c r="A497">
        <v>495</v>
      </c>
      <c r="B497" t="s">
        <v>540</v>
      </c>
      <c r="C497" t="s">
        <v>43</v>
      </c>
      <c r="D497">
        <v>130</v>
      </c>
      <c r="E497">
        <v>5719</v>
      </c>
      <c r="F497" s="3">
        <v>204</v>
      </c>
      <c r="G497">
        <v>10</v>
      </c>
      <c r="H497">
        <v>5</v>
      </c>
      <c r="I497" s="5">
        <v>3.8461538461538401E-2</v>
      </c>
      <c r="J497" s="3">
        <v>247</v>
      </c>
      <c r="K497" s="1">
        <v>45619</v>
      </c>
      <c r="L497" t="s">
        <v>25</v>
      </c>
      <c r="M497" t="s">
        <v>26</v>
      </c>
      <c r="N497" t="s">
        <v>49</v>
      </c>
      <c r="O497" t="s">
        <v>28</v>
      </c>
      <c r="P497" t="s">
        <v>29</v>
      </c>
      <c r="Q497" s="6">
        <v>1.56753061615001</v>
      </c>
      <c r="R497">
        <v>2.27</v>
      </c>
      <c r="S497">
        <v>20.38</v>
      </c>
      <c r="T497">
        <v>40.76</v>
      </c>
      <c r="U497">
        <v>21.21</v>
      </c>
      <c r="V497">
        <v>49.4</v>
      </c>
      <c r="W497">
        <v>1.21</v>
      </c>
    </row>
    <row r="498" spans="1:23" x14ac:dyDescent="0.3">
      <c r="A498">
        <v>496</v>
      </c>
      <c r="B498" t="s">
        <v>541</v>
      </c>
      <c r="C498" t="s">
        <v>38</v>
      </c>
      <c r="D498">
        <v>179</v>
      </c>
      <c r="E498">
        <v>5828</v>
      </c>
      <c r="F498" s="3">
        <v>248</v>
      </c>
      <c r="G498">
        <v>15</v>
      </c>
      <c r="H498">
        <v>4</v>
      </c>
      <c r="I498" s="5">
        <v>2.23463687150838E-2</v>
      </c>
      <c r="J498" s="3">
        <v>230</v>
      </c>
      <c r="K498" s="1">
        <v>45610</v>
      </c>
      <c r="L498" t="s">
        <v>25</v>
      </c>
      <c r="M498" t="s">
        <v>31</v>
      </c>
      <c r="N498" t="s">
        <v>49</v>
      </c>
      <c r="O498" t="s">
        <v>28</v>
      </c>
      <c r="P498" t="s">
        <v>54</v>
      </c>
      <c r="Q498" s="6">
        <v>1.3845810055865899</v>
      </c>
      <c r="R498">
        <v>3.07</v>
      </c>
      <c r="S498">
        <v>16.52</v>
      </c>
      <c r="T498">
        <v>61.96</v>
      </c>
      <c r="U498">
        <v>-7.2</v>
      </c>
      <c r="V498">
        <v>57.5</v>
      </c>
      <c r="W498">
        <v>0.93</v>
      </c>
    </row>
    <row r="499" spans="1:23" x14ac:dyDescent="0.3">
      <c r="A499">
        <v>497</v>
      </c>
      <c r="B499" t="s">
        <v>542</v>
      </c>
      <c r="C499" t="s">
        <v>43</v>
      </c>
      <c r="D499">
        <v>181</v>
      </c>
      <c r="E499">
        <v>4935</v>
      </c>
      <c r="F499" s="3">
        <v>239</v>
      </c>
      <c r="G499">
        <v>15</v>
      </c>
      <c r="H499">
        <v>5</v>
      </c>
      <c r="I499" s="5">
        <v>2.7624309392265099E-2</v>
      </c>
      <c r="J499" s="3">
        <v>306</v>
      </c>
      <c r="K499" s="1">
        <v>45605</v>
      </c>
      <c r="L499" t="s">
        <v>25</v>
      </c>
      <c r="M499" t="s">
        <v>26</v>
      </c>
      <c r="N499" t="s">
        <v>40</v>
      </c>
      <c r="O499" t="s">
        <v>28</v>
      </c>
      <c r="P499" t="s">
        <v>29</v>
      </c>
      <c r="Q499" s="6">
        <v>1.32204419889502</v>
      </c>
      <c r="R499">
        <v>3.67</v>
      </c>
      <c r="S499">
        <v>15.95</v>
      </c>
      <c r="T499">
        <v>47.86</v>
      </c>
      <c r="U499">
        <v>27.88</v>
      </c>
      <c r="V499">
        <v>61.2</v>
      </c>
      <c r="W499">
        <v>1.28</v>
      </c>
    </row>
    <row r="500" spans="1:23" x14ac:dyDescent="0.3">
      <c r="A500">
        <v>498</v>
      </c>
      <c r="B500" t="s">
        <v>543</v>
      </c>
      <c r="C500" t="s">
        <v>24</v>
      </c>
      <c r="D500">
        <v>188</v>
      </c>
      <c r="E500">
        <v>4491</v>
      </c>
      <c r="F500" s="3">
        <v>202</v>
      </c>
      <c r="G500">
        <v>24</v>
      </c>
      <c r="H500">
        <v>7</v>
      </c>
      <c r="I500" s="5">
        <v>3.7234042553191397E-2</v>
      </c>
      <c r="J500" s="3">
        <v>389</v>
      </c>
      <c r="K500" s="1">
        <v>45617</v>
      </c>
      <c r="L500" t="s">
        <v>25</v>
      </c>
      <c r="M500" t="s">
        <v>31</v>
      </c>
      <c r="N500" t="s">
        <v>44</v>
      </c>
      <c r="O500" t="s">
        <v>28</v>
      </c>
      <c r="P500" t="s">
        <v>54</v>
      </c>
      <c r="Q500" s="6">
        <v>1.0730319148936101</v>
      </c>
      <c r="R500">
        <v>4.1900000000000004</v>
      </c>
      <c r="S500">
        <v>8.41</v>
      </c>
      <c r="T500">
        <v>28.82</v>
      </c>
      <c r="U500">
        <v>92.83</v>
      </c>
      <c r="V500">
        <v>55.57</v>
      </c>
      <c r="W500">
        <v>1.93</v>
      </c>
    </row>
    <row r="501" spans="1:23" x14ac:dyDescent="0.3">
      <c r="A501">
        <v>499</v>
      </c>
      <c r="B501" t="s">
        <v>544</v>
      </c>
      <c r="C501" t="s">
        <v>43</v>
      </c>
      <c r="D501">
        <v>139</v>
      </c>
      <c r="E501">
        <v>3659</v>
      </c>
      <c r="F501" s="3">
        <v>189</v>
      </c>
      <c r="G501">
        <v>16</v>
      </c>
      <c r="H501">
        <v>4</v>
      </c>
      <c r="I501" s="5">
        <v>2.8776978417266098E-2</v>
      </c>
      <c r="J501" s="3">
        <v>386</v>
      </c>
      <c r="K501" s="1">
        <v>45625</v>
      </c>
      <c r="L501" t="s">
        <v>25</v>
      </c>
      <c r="M501" t="s">
        <v>26</v>
      </c>
      <c r="N501" t="s">
        <v>40</v>
      </c>
      <c r="O501" t="s">
        <v>28</v>
      </c>
      <c r="P501" t="s">
        <v>45</v>
      </c>
      <c r="Q501" s="6">
        <v>1.36035971223021</v>
      </c>
      <c r="R501">
        <v>3.8</v>
      </c>
      <c r="S501">
        <v>11.82</v>
      </c>
      <c r="T501">
        <v>47.27</v>
      </c>
      <c r="U501">
        <v>104.14</v>
      </c>
      <c r="V501">
        <v>96.5</v>
      </c>
      <c r="W501">
        <v>2.04</v>
      </c>
    </row>
    <row r="502" spans="1:23" x14ac:dyDescent="0.3">
      <c r="A502">
        <v>500</v>
      </c>
      <c r="B502" t="s">
        <v>545</v>
      </c>
      <c r="C502" t="s">
        <v>35</v>
      </c>
      <c r="D502">
        <v>99</v>
      </c>
      <c r="E502">
        <v>4809</v>
      </c>
      <c r="F502" s="3">
        <v>211</v>
      </c>
      <c r="G502">
        <v>24</v>
      </c>
      <c r="H502">
        <v>8</v>
      </c>
      <c r="I502" s="5">
        <v>8.0808080808080801E-2</v>
      </c>
      <c r="J502" s="3">
        <v>373.71428571428498</v>
      </c>
      <c r="K502" s="1">
        <v>45609</v>
      </c>
      <c r="L502" t="s">
        <v>25</v>
      </c>
      <c r="M502" t="s">
        <v>31</v>
      </c>
      <c r="N502" t="s">
        <v>32</v>
      </c>
      <c r="O502" t="s">
        <v>28</v>
      </c>
      <c r="P502" t="s">
        <v>33</v>
      </c>
      <c r="Q502" s="6">
        <v>2.1272727272727199</v>
      </c>
      <c r="R502">
        <v>2.06</v>
      </c>
      <c r="S502">
        <v>8.7799999999999994</v>
      </c>
      <c r="T502">
        <v>26.32</v>
      </c>
      <c r="U502">
        <v>77.45</v>
      </c>
      <c r="V502">
        <v>46.71</v>
      </c>
      <c r="W502">
        <v>1.77</v>
      </c>
    </row>
    <row r="503" spans="1:23" x14ac:dyDescent="0.3">
      <c r="A503">
        <v>501</v>
      </c>
      <c r="B503" t="s">
        <v>546</v>
      </c>
      <c r="C503" t="s">
        <v>43</v>
      </c>
      <c r="D503">
        <v>95</v>
      </c>
      <c r="E503">
        <v>5844</v>
      </c>
      <c r="F503" s="3">
        <v>212</v>
      </c>
      <c r="G503">
        <v>10</v>
      </c>
      <c r="H503">
        <v>9</v>
      </c>
      <c r="I503" s="5">
        <v>9.4736842105263105E-2</v>
      </c>
      <c r="J503" s="3">
        <v>295</v>
      </c>
      <c r="K503" s="1">
        <v>45604</v>
      </c>
      <c r="L503" t="s">
        <v>25</v>
      </c>
      <c r="M503" t="s">
        <v>39</v>
      </c>
      <c r="N503" t="s">
        <v>27</v>
      </c>
      <c r="O503" t="s">
        <v>28</v>
      </c>
      <c r="P503" t="s">
        <v>45</v>
      </c>
      <c r="Q503" s="6">
        <v>2.2310526315789398</v>
      </c>
      <c r="R503">
        <v>1.63</v>
      </c>
      <c r="S503">
        <v>21.2</v>
      </c>
      <c r="T503">
        <v>23.55</v>
      </c>
      <c r="U503">
        <v>39.18</v>
      </c>
      <c r="V503">
        <v>32.78</v>
      </c>
      <c r="W503">
        <v>1.39</v>
      </c>
    </row>
    <row r="504" spans="1:23" x14ac:dyDescent="0.3">
      <c r="A504">
        <v>502</v>
      </c>
      <c r="B504" t="s">
        <v>547</v>
      </c>
      <c r="C504" t="s">
        <v>24</v>
      </c>
      <c r="D504">
        <v>131</v>
      </c>
      <c r="E504">
        <v>5559</v>
      </c>
      <c r="F504" s="3">
        <v>205</v>
      </c>
      <c r="G504">
        <v>28</v>
      </c>
      <c r="H504">
        <v>5</v>
      </c>
      <c r="I504" s="5">
        <v>3.8167938931297697E-2</v>
      </c>
      <c r="J504" s="3">
        <v>327</v>
      </c>
      <c r="K504" s="1">
        <v>45625</v>
      </c>
      <c r="L504" t="s">
        <v>25</v>
      </c>
      <c r="M504" t="s">
        <v>26</v>
      </c>
      <c r="N504" t="s">
        <v>49</v>
      </c>
      <c r="O504" t="s">
        <v>28</v>
      </c>
      <c r="P504" t="s">
        <v>45</v>
      </c>
      <c r="Q504" s="6">
        <v>1.56753061615001</v>
      </c>
      <c r="R504">
        <v>2.36</v>
      </c>
      <c r="S504">
        <v>7.33</v>
      </c>
      <c r="T504">
        <v>41.07</v>
      </c>
      <c r="U504">
        <v>59.24</v>
      </c>
      <c r="V504">
        <v>65.400000000000006</v>
      </c>
      <c r="W504">
        <v>1.59</v>
      </c>
    </row>
    <row r="505" spans="1:23" x14ac:dyDescent="0.3">
      <c r="A505">
        <v>503</v>
      </c>
      <c r="B505" t="s">
        <v>548</v>
      </c>
      <c r="C505" t="s">
        <v>35</v>
      </c>
      <c r="D505">
        <v>190</v>
      </c>
      <c r="E505">
        <v>4630</v>
      </c>
      <c r="F505" s="3">
        <v>218</v>
      </c>
      <c r="G505">
        <v>27</v>
      </c>
      <c r="H505">
        <v>4</v>
      </c>
      <c r="I505" s="5">
        <v>2.1052631578947299E-2</v>
      </c>
      <c r="J505" s="3">
        <v>388</v>
      </c>
      <c r="K505" s="1">
        <v>45619</v>
      </c>
      <c r="L505" t="s">
        <v>25</v>
      </c>
      <c r="M505" t="s">
        <v>39</v>
      </c>
      <c r="N505" t="s">
        <v>40</v>
      </c>
      <c r="O505" t="s">
        <v>28</v>
      </c>
      <c r="P505" t="s">
        <v>29</v>
      </c>
      <c r="Q505" s="6">
        <v>1.1452631578947301</v>
      </c>
      <c r="R505">
        <v>4.0999999999999996</v>
      </c>
      <c r="S505">
        <v>8.06</v>
      </c>
      <c r="T505">
        <v>54.4</v>
      </c>
      <c r="U505">
        <v>78.31</v>
      </c>
      <c r="V505">
        <v>97</v>
      </c>
      <c r="W505">
        <v>1.78</v>
      </c>
    </row>
    <row r="506" spans="1:23" x14ac:dyDescent="0.3">
      <c r="A506">
        <v>504</v>
      </c>
      <c r="B506" t="s">
        <v>549</v>
      </c>
      <c r="C506" t="s">
        <v>38</v>
      </c>
      <c r="D506">
        <v>123</v>
      </c>
      <c r="E506">
        <v>3340</v>
      </c>
      <c r="F506" s="3">
        <v>225</v>
      </c>
      <c r="G506">
        <v>23</v>
      </c>
      <c r="H506">
        <v>8</v>
      </c>
      <c r="I506" s="5">
        <v>6.5040650406504003E-2</v>
      </c>
      <c r="J506" s="3">
        <v>319</v>
      </c>
      <c r="K506" s="1">
        <v>45622</v>
      </c>
      <c r="L506" t="s">
        <v>25</v>
      </c>
      <c r="M506" t="s">
        <v>31</v>
      </c>
      <c r="N506" t="s">
        <v>44</v>
      </c>
      <c r="O506" t="s">
        <v>28</v>
      </c>
      <c r="P506" t="s">
        <v>41</v>
      </c>
      <c r="Q506" s="6">
        <v>1.83056910569105</v>
      </c>
      <c r="R506">
        <v>3.68</v>
      </c>
      <c r="S506">
        <v>9.7899999999999991</v>
      </c>
      <c r="T506">
        <v>28.14</v>
      </c>
      <c r="U506">
        <v>41.68</v>
      </c>
      <c r="V506">
        <v>39.880000000000003</v>
      </c>
      <c r="W506">
        <v>1.42</v>
      </c>
    </row>
    <row r="507" spans="1:23" x14ac:dyDescent="0.3">
      <c r="A507">
        <v>505</v>
      </c>
      <c r="B507" t="s">
        <v>550</v>
      </c>
      <c r="C507" t="s">
        <v>24</v>
      </c>
      <c r="D507">
        <v>97</v>
      </c>
      <c r="E507">
        <v>3330</v>
      </c>
      <c r="F507" s="3">
        <v>183</v>
      </c>
      <c r="G507">
        <v>15</v>
      </c>
      <c r="H507">
        <v>3</v>
      </c>
      <c r="I507" s="5">
        <v>3.0927835051546299E-2</v>
      </c>
      <c r="J507" s="3">
        <v>225</v>
      </c>
      <c r="K507" s="1">
        <v>45610</v>
      </c>
      <c r="L507" t="s">
        <v>25</v>
      </c>
      <c r="M507" t="s">
        <v>39</v>
      </c>
      <c r="N507" t="s">
        <v>36</v>
      </c>
      <c r="O507" t="s">
        <v>28</v>
      </c>
      <c r="P507" t="s">
        <v>54</v>
      </c>
      <c r="Q507" s="6">
        <v>1.88639175257731</v>
      </c>
      <c r="R507">
        <v>2.91</v>
      </c>
      <c r="S507">
        <v>12.2</v>
      </c>
      <c r="T507">
        <v>60.99</v>
      </c>
      <c r="U507">
        <v>22.96</v>
      </c>
      <c r="V507">
        <v>75</v>
      </c>
      <c r="W507">
        <v>1.23</v>
      </c>
    </row>
    <row r="508" spans="1:23" x14ac:dyDescent="0.3">
      <c r="A508">
        <v>506</v>
      </c>
      <c r="B508" t="s">
        <v>551</v>
      </c>
      <c r="C508" t="s">
        <v>38</v>
      </c>
      <c r="D508">
        <v>164</v>
      </c>
      <c r="E508">
        <v>3117</v>
      </c>
      <c r="F508" s="3">
        <v>199</v>
      </c>
      <c r="G508">
        <v>25</v>
      </c>
      <c r="H508">
        <v>5</v>
      </c>
      <c r="I508" s="5">
        <v>3.04878048780487E-2</v>
      </c>
      <c r="J508" s="3">
        <v>357</v>
      </c>
      <c r="K508" s="1">
        <v>45625</v>
      </c>
      <c r="L508" t="s">
        <v>25</v>
      </c>
      <c r="M508" t="s">
        <v>31</v>
      </c>
      <c r="N508" t="s">
        <v>49</v>
      </c>
      <c r="O508" t="s">
        <v>28</v>
      </c>
      <c r="P508" t="s">
        <v>45</v>
      </c>
      <c r="Q508" s="6">
        <v>1.2105487804877999</v>
      </c>
      <c r="R508">
        <v>5.26</v>
      </c>
      <c r="S508">
        <v>7.94</v>
      </c>
      <c r="T508">
        <v>39.71</v>
      </c>
      <c r="U508">
        <v>79.819999999999993</v>
      </c>
      <c r="V508">
        <v>71.400000000000006</v>
      </c>
      <c r="W508">
        <v>1.8</v>
      </c>
    </row>
    <row r="509" spans="1:23" x14ac:dyDescent="0.3">
      <c r="A509">
        <v>507</v>
      </c>
      <c r="B509" t="s">
        <v>552</v>
      </c>
      <c r="C509" t="s">
        <v>24</v>
      </c>
      <c r="D509">
        <v>134</v>
      </c>
      <c r="E509">
        <v>3562</v>
      </c>
      <c r="F509" s="3">
        <v>248</v>
      </c>
      <c r="G509">
        <v>24</v>
      </c>
      <c r="H509">
        <v>10</v>
      </c>
      <c r="I509" s="5">
        <v>7.4626865671641701E-2</v>
      </c>
      <c r="J509" s="3">
        <v>264</v>
      </c>
      <c r="K509" s="1">
        <v>45597</v>
      </c>
      <c r="L509" t="s">
        <v>25</v>
      </c>
      <c r="M509" t="s">
        <v>39</v>
      </c>
      <c r="N509" t="s">
        <v>49</v>
      </c>
      <c r="O509" t="s">
        <v>28</v>
      </c>
      <c r="P509" t="s">
        <v>45</v>
      </c>
      <c r="Q509" s="6">
        <v>1.84768656716417</v>
      </c>
      <c r="R509">
        <v>3.76</v>
      </c>
      <c r="S509">
        <v>10.32</v>
      </c>
      <c r="T509">
        <v>24.76</v>
      </c>
      <c r="U509">
        <v>6.63</v>
      </c>
      <c r="V509">
        <v>26.4</v>
      </c>
      <c r="W509">
        <v>1.07</v>
      </c>
    </row>
    <row r="510" spans="1:23" x14ac:dyDescent="0.3">
      <c r="A510">
        <v>508</v>
      </c>
      <c r="B510" t="s">
        <v>553</v>
      </c>
      <c r="C510" t="s">
        <v>24</v>
      </c>
      <c r="D510">
        <v>117</v>
      </c>
      <c r="E510">
        <v>5144</v>
      </c>
      <c r="F510" s="3">
        <v>222</v>
      </c>
      <c r="G510">
        <v>23</v>
      </c>
      <c r="H510">
        <v>3</v>
      </c>
      <c r="I510" s="5">
        <v>2.5641025641025599E-2</v>
      </c>
      <c r="J510" s="3">
        <v>273</v>
      </c>
      <c r="K510" s="1">
        <v>45607</v>
      </c>
      <c r="L510" t="s">
        <v>25</v>
      </c>
      <c r="M510" t="s">
        <v>31</v>
      </c>
      <c r="N510" t="s">
        <v>49</v>
      </c>
      <c r="O510" t="s">
        <v>28</v>
      </c>
      <c r="P510" t="s">
        <v>59</v>
      </c>
      <c r="Q510" s="6">
        <v>1.8953846153846099</v>
      </c>
      <c r="R510">
        <v>2.27</v>
      </c>
      <c r="S510">
        <v>9.64</v>
      </c>
      <c r="T510">
        <v>73.92</v>
      </c>
      <c r="U510">
        <v>23.11</v>
      </c>
      <c r="V510">
        <v>91</v>
      </c>
      <c r="W510">
        <v>1.23</v>
      </c>
    </row>
    <row r="511" spans="1:23" x14ac:dyDescent="0.3">
      <c r="A511">
        <v>509</v>
      </c>
      <c r="B511" t="s">
        <v>554</v>
      </c>
      <c r="C511" t="s">
        <v>24</v>
      </c>
      <c r="D511">
        <v>168</v>
      </c>
      <c r="E511">
        <v>4375</v>
      </c>
      <c r="F511" s="3">
        <v>256</v>
      </c>
      <c r="G511">
        <v>19</v>
      </c>
      <c r="H511">
        <v>8</v>
      </c>
      <c r="I511" s="5">
        <v>4.7619047619047603E-2</v>
      </c>
      <c r="J511" s="3">
        <v>259</v>
      </c>
      <c r="K511" s="1">
        <v>45602</v>
      </c>
      <c r="L511" t="s">
        <v>25</v>
      </c>
      <c r="M511" t="s">
        <v>31</v>
      </c>
      <c r="N511" t="s">
        <v>44</v>
      </c>
      <c r="O511" t="s">
        <v>28</v>
      </c>
      <c r="P511" t="s">
        <v>33</v>
      </c>
      <c r="Q511" s="6">
        <v>1.5243795620437901</v>
      </c>
      <c r="R511">
        <v>3.84</v>
      </c>
      <c r="S511">
        <v>13.48</v>
      </c>
      <c r="T511">
        <v>32.01</v>
      </c>
      <c r="U511">
        <v>1.1299999999999999</v>
      </c>
      <c r="V511">
        <v>32.380000000000003</v>
      </c>
      <c r="W511">
        <v>1.01</v>
      </c>
    </row>
    <row r="512" spans="1:23" x14ac:dyDescent="0.3">
      <c r="A512">
        <v>510</v>
      </c>
      <c r="B512" t="s">
        <v>555</v>
      </c>
      <c r="C512" t="s">
        <v>38</v>
      </c>
      <c r="D512">
        <v>173</v>
      </c>
      <c r="E512">
        <v>3328</v>
      </c>
      <c r="F512" s="3">
        <v>224</v>
      </c>
      <c r="G512">
        <v>15</v>
      </c>
      <c r="H512">
        <v>10</v>
      </c>
      <c r="I512" s="5">
        <v>5.7803468208092401E-2</v>
      </c>
      <c r="J512" s="3">
        <v>389</v>
      </c>
      <c r="K512" s="1">
        <v>45624</v>
      </c>
      <c r="L512" t="s">
        <v>25</v>
      </c>
      <c r="M512" t="s">
        <v>31</v>
      </c>
      <c r="N512" t="s">
        <v>44</v>
      </c>
      <c r="O512" t="s">
        <v>28</v>
      </c>
      <c r="P512" t="s">
        <v>54</v>
      </c>
      <c r="Q512" s="6">
        <v>1.2957803468208</v>
      </c>
      <c r="R512">
        <v>5.2</v>
      </c>
      <c r="S512">
        <v>14.94</v>
      </c>
      <c r="T512">
        <v>22.42</v>
      </c>
      <c r="U512">
        <v>73.53</v>
      </c>
      <c r="V512">
        <v>38.9</v>
      </c>
      <c r="W512">
        <v>1.74</v>
      </c>
    </row>
    <row r="513" spans="1:23" x14ac:dyDescent="0.3">
      <c r="A513">
        <v>511</v>
      </c>
      <c r="B513" t="s">
        <v>556</v>
      </c>
      <c r="C513" t="s">
        <v>35</v>
      </c>
      <c r="D513">
        <v>158</v>
      </c>
      <c r="E513">
        <v>4336</v>
      </c>
      <c r="F513" s="3">
        <v>238</v>
      </c>
      <c r="G513">
        <v>26</v>
      </c>
      <c r="H513">
        <v>9</v>
      </c>
      <c r="I513" s="5">
        <v>5.6962025316455597E-2</v>
      </c>
      <c r="J513" s="3">
        <v>254</v>
      </c>
      <c r="K513" s="1">
        <v>45626</v>
      </c>
      <c r="L513" t="s">
        <v>25</v>
      </c>
      <c r="M513" t="s">
        <v>39</v>
      </c>
      <c r="N513" t="s">
        <v>44</v>
      </c>
      <c r="O513" t="s">
        <v>28</v>
      </c>
      <c r="P513" t="s">
        <v>29</v>
      </c>
      <c r="Q513" s="6">
        <v>1.5081645569620199</v>
      </c>
      <c r="R513">
        <v>3.64</v>
      </c>
      <c r="S513">
        <v>9.16</v>
      </c>
      <c r="T513">
        <v>26.48</v>
      </c>
      <c r="U513">
        <v>6.59</v>
      </c>
      <c r="V513">
        <v>28.22</v>
      </c>
      <c r="W513">
        <v>1.07</v>
      </c>
    </row>
    <row r="514" spans="1:23" x14ac:dyDescent="0.3">
      <c r="A514">
        <v>512</v>
      </c>
      <c r="B514" t="s">
        <v>557</v>
      </c>
      <c r="C514" t="s">
        <v>38</v>
      </c>
      <c r="D514">
        <v>135</v>
      </c>
      <c r="E514">
        <v>5063</v>
      </c>
      <c r="F514" s="3">
        <v>196</v>
      </c>
      <c r="G514">
        <v>22</v>
      </c>
      <c r="H514">
        <v>6</v>
      </c>
      <c r="I514" s="5">
        <v>4.4444444444444398E-2</v>
      </c>
      <c r="J514" s="3">
        <v>280.28571428571399</v>
      </c>
      <c r="K514" s="1">
        <v>45625</v>
      </c>
      <c r="L514" t="s">
        <v>25</v>
      </c>
      <c r="M514" t="s">
        <v>39</v>
      </c>
      <c r="N514" t="s">
        <v>27</v>
      </c>
      <c r="O514" t="s">
        <v>28</v>
      </c>
      <c r="P514" t="s">
        <v>45</v>
      </c>
      <c r="Q514" s="6">
        <v>1.44874074074074</v>
      </c>
      <c r="R514">
        <v>2.67</v>
      </c>
      <c r="S514">
        <v>8.89</v>
      </c>
      <c r="T514">
        <v>32.6</v>
      </c>
      <c r="U514">
        <v>43.31</v>
      </c>
      <c r="V514">
        <v>46.71</v>
      </c>
      <c r="W514">
        <v>1.43</v>
      </c>
    </row>
    <row r="515" spans="1:23" x14ac:dyDescent="0.3">
      <c r="A515">
        <v>513</v>
      </c>
      <c r="B515" t="s">
        <v>558</v>
      </c>
      <c r="C515" t="s">
        <v>24</v>
      </c>
      <c r="D515">
        <v>182</v>
      </c>
      <c r="E515">
        <v>5993</v>
      </c>
      <c r="F515" s="3">
        <v>285</v>
      </c>
      <c r="G515">
        <v>19</v>
      </c>
      <c r="H515">
        <v>3</v>
      </c>
      <c r="I515" s="5">
        <v>1.6483516483516401E-2</v>
      </c>
      <c r="J515" s="3">
        <v>256</v>
      </c>
      <c r="K515" s="1">
        <v>45615</v>
      </c>
      <c r="L515" t="s">
        <v>25</v>
      </c>
      <c r="M515" t="s">
        <v>26</v>
      </c>
      <c r="N515" t="s">
        <v>40</v>
      </c>
      <c r="O515" t="s">
        <v>28</v>
      </c>
      <c r="P515" t="s">
        <v>41</v>
      </c>
      <c r="Q515" s="6">
        <v>1.56753061615001</v>
      </c>
      <c r="R515">
        <v>3.04</v>
      </c>
      <c r="S515">
        <v>15.02</v>
      </c>
      <c r="T515">
        <v>95.1</v>
      </c>
      <c r="U515">
        <v>-10.27</v>
      </c>
      <c r="V515">
        <v>85.33</v>
      </c>
      <c r="W515">
        <v>0.9</v>
      </c>
    </row>
    <row r="516" spans="1:23" x14ac:dyDescent="0.3">
      <c r="A516">
        <v>514</v>
      </c>
      <c r="B516" t="s">
        <v>559</v>
      </c>
      <c r="C516" t="s">
        <v>35</v>
      </c>
      <c r="D516">
        <v>83</v>
      </c>
      <c r="E516">
        <v>3926</v>
      </c>
      <c r="F516" s="3">
        <v>237</v>
      </c>
      <c r="G516">
        <v>22</v>
      </c>
      <c r="H516">
        <v>5</v>
      </c>
      <c r="I516" s="5">
        <v>6.0240963855421603E-2</v>
      </c>
      <c r="J516" s="3">
        <v>340</v>
      </c>
      <c r="K516" s="1">
        <v>45603</v>
      </c>
      <c r="L516" t="s">
        <v>25</v>
      </c>
      <c r="M516" t="s">
        <v>31</v>
      </c>
      <c r="N516" t="s">
        <v>49</v>
      </c>
      <c r="O516" t="s">
        <v>28</v>
      </c>
      <c r="P516" t="s">
        <v>54</v>
      </c>
      <c r="Q516" s="6">
        <v>2.8562650602409598</v>
      </c>
      <c r="R516">
        <v>2.11</v>
      </c>
      <c r="S516">
        <v>10.78</v>
      </c>
      <c r="T516">
        <v>47.41</v>
      </c>
      <c r="U516">
        <v>43.42</v>
      </c>
      <c r="V516">
        <v>68</v>
      </c>
      <c r="W516">
        <v>1.43</v>
      </c>
    </row>
    <row r="517" spans="1:23" x14ac:dyDescent="0.3">
      <c r="A517">
        <v>515</v>
      </c>
      <c r="B517" t="s">
        <v>560</v>
      </c>
      <c r="C517" t="s">
        <v>24</v>
      </c>
      <c r="D517">
        <v>85</v>
      </c>
      <c r="E517">
        <v>5570</v>
      </c>
      <c r="F517" s="3">
        <v>222</v>
      </c>
      <c r="G517">
        <v>14</v>
      </c>
      <c r="H517">
        <v>7</v>
      </c>
      <c r="I517" s="5">
        <v>8.2352941176470504E-2</v>
      </c>
      <c r="J517" s="3">
        <v>264</v>
      </c>
      <c r="K517" s="1">
        <v>45625</v>
      </c>
      <c r="L517" t="s">
        <v>25</v>
      </c>
      <c r="M517" t="s">
        <v>39</v>
      </c>
      <c r="N517" t="s">
        <v>36</v>
      </c>
      <c r="O517" t="s">
        <v>28</v>
      </c>
      <c r="P517" t="s">
        <v>45</v>
      </c>
      <c r="Q517" s="6">
        <v>2.6085882352941101</v>
      </c>
      <c r="R517">
        <v>1.53</v>
      </c>
      <c r="S517">
        <v>15.84</v>
      </c>
      <c r="T517">
        <v>31.68</v>
      </c>
      <c r="U517">
        <v>19.059999999999999</v>
      </c>
      <c r="V517">
        <v>37.71</v>
      </c>
      <c r="W517">
        <v>1.19</v>
      </c>
    </row>
    <row r="518" spans="1:23" x14ac:dyDescent="0.3">
      <c r="A518">
        <v>516</v>
      </c>
      <c r="B518" t="s">
        <v>561</v>
      </c>
      <c r="C518" t="s">
        <v>35</v>
      </c>
      <c r="D518">
        <v>98</v>
      </c>
      <c r="E518">
        <v>5571</v>
      </c>
      <c r="F518" s="3">
        <v>208</v>
      </c>
      <c r="G518">
        <v>15</v>
      </c>
      <c r="H518">
        <v>7</v>
      </c>
      <c r="I518" s="5">
        <v>7.1428571428571397E-2</v>
      </c>
      <c r="J518" s="3">
        <v>386</v>
      </c>
      <c r="K518" s="1">
        <v>45610</v>
      </c>
      <c r="L518" t="s">
        <v>25</v>
      </c>
      <c r="M518" t="s">
        <v>26</v>
      </c>
      <c r="N518" t="s">
        <v>49</v>
      </c>
      <c r="O518" t="s">
        <v>28</v>
      </c>
      <c r="P518" t="s">
        <v>54</v>
      </c>
      <c r="Q518" s="6">
        <v>2.1265306122448902</v>
      </c>
      <c r="R518">
        <v>1.76</v>
      </c>
      <c r="S518">
        <v>13.89</v>
      </c>
      <c r="T518">
        <v>29.77</v>
      </c>
      <c r="U518">
        <v>85.22</v>
      </c>
      <c r="V518">
        <v>55.14</v>
      </c>
      <c r="W518">
        <v>1.85</v>
      </c>
    </row>
    <row r="519" spans="1:23" x14ac:dyDescent="0.3">
      <c r="A519">
        <v>517</v>
      </c>
      <c r="B519" t="s">
        <v>562</v>
      </c>
      <c r="C519" t="s">
        <v>35</v>
      </c>
      <c r="D519">
        <v>151</v>
      </c>
      <c r="E519">
        <v>5700</v>
      </c>
      <c r="F519" s="3">
        <v>182</v>
      </c>
      <c r="G519">
        <v>13</v>
      </c>
      <c r="H519">
        <v>3</v>
      </c>
      <c r="I519" s="5">
        <v>1.98675496688741E-2</v>
      </c>
      <c r="J519" s="3">
        <v>256</v>
      </c>
      <c r="K519" s="1">
        <v>45619</v>
      </c>
      <c r="L519" t="s">
        <v>25</v>
      </c>
      <c r="M519" t="s">
        <v>31</v>
      </c>
      <c r="N519" t="s">
        <v>32</v>
      </c>
      <c r="O519" t="s">
        <v>28</v>
      </c>
      <c r="P519" t="s">
        <v>29</v>
      </c>
      <c r="Q519" s="6">
        <v>1.20708609271523</v>
      </c>
      <c r="R519">
        <v>2.65</v>
      </c>
      <c r="S519">
        <v>14.02</v>
      </c>
      <c r="T519">
        <v>60.76</v>
      </c>
      <c r="U519">
        <v>40.450000000000003</v>
      </c>
      <c r="V519">
        <v>85.33</v>
      </c>
      <c r="W519">
        <v>1.4</v>
      </c>
    </row>
    <row r="520" spans="1:23" x14ac:dyDescent="0.3">
      <c r="A520">
        <v>518</v>
      </c>
      <c r="B520" t="s">
        <v>563</v>
      </c>
      <c r="C520" t="s">
        <v>43</v>
      </c>
      <c r="D520">
        <v>122</v>
      </c>
      <c r="E520">
        <v>4441</v>
      </c>
      <c r="F520" s="3">
        <v>244</v>
      </c>
      <c r="G520">
        <v>25</v>
      </c>
      <c r="H520">
        <v>6</v>
      </c>
      <c r="I520" s="5">
        <v>4.9180327868852403E-2</v>
      </c>
      <c r="J520" s="3">
        <v>280.28571428571399</v>
      </c>
      <c r="K520" s="1">
        <v>45598</v>
      </c>
      <c r="L520" t="s">
        <v>25</v>
      </c>
      <c r="M520" t="s">
        <v>26</v>
      </c>
      <c r="N520" t="s">
        <v>49</v>
      </c>
      <c r="O520" t="s">
        <v>28</v>
      </c>
      <c r="P520" t="s">
        <v>29</v>
      </c>
      <c r="Q520" s="6">
        <v>2.0031147540983598</v>
      </c>
      <c r="R520">
        <v>2.75</v>
      </c>
      <c r="S520">
        <v>9.7799999999999994</v>
      </c>
      <c r="T520">
        <v>40.729999999999997</v>
      </c>
      <c r="U520">
        <v>14.69</v>
      </c>
      <c r="V520">
        <v>46.71</v>
      </c>
      <c r="W520">
        <v>1.1499999999999999</v>
      </c>
    </row>
    <row r="521" spans="1:23" x14ac:dyDescent="0.3">
      <c r="A521">
        <v>519</v>
      </c>
      <c r="B521" t="s">
        <v>564</v>
      </c>
      <c r="C521" t="s">
        <v>38</v>
      </c>
      <c r="D521">
        <v>84</v>
      </c>
      <c r="E521">
        <v>4646</v>
      </c>
      <c r="F521" s="3">
        <v>226</v>
      </c>
      <c r="G521">
        <v>11</v>
      </c>
      <c r="H521">
        <v>7</v>
      </c>
      <c r="I521" s="5">
        <v>8.3333333333333301E-2</v>
      </c>
      <c r="J521" s="3">
        <v>326</v>
      </c>
      <c r="K521" s="1">
        <v>45626</v>
      </c>
      <c r="L521" t="s">
        <v>25</v>
      </c>
      <c r="M521" t="s">
        <v>39</v>
      </c>
      <c r="N521" t="s">
        <v>49</v>
      </c>
      <c r="O521" t="s">
        <v>28</v>
      </c>
      <c r="P521" t="s">
        <v>29</v>
      </c>
      <c r="Q521" s="6">
        <v>2.69428571428571</v>
      </c>
      <c r="R521">
        <v>1.81</v>
      </c>
      <c r="S521">
        <v>20.57</v>
      </c>
      <c r="T521">
        <v>32.33</v>
      </c>
      <c r="U521">
        <v>44.04</v>
      </c>
      <c r="V521">
        <v>46.57</v>
      </c>
      <c r="W521">
        <v>1.44</v>
      </c>
    </row>
    <row r="522" spans="1:23" x14ac:dyDescent="0.3">
      <c r="A522">
        <v>520</v>
      </c>
      <c r="B522" t="s">
        <v>565</v>
      </c>
      <c r="C522" t="s">
        <v>38</v>
      </c>
      <c r="D522">
        <v>127</v>
      </c>
      <c r="E522">
        <v>5964</v>
      </c>
      <c r="F522" s="3">
        <v>182</v>
      </c>
      <c r="G522">
        <v>26</v>
      </c>
      <c r="H522">
        <v>6</v>
      </c>
      <c r="I522" s="5">
        <v>4.7244094488188899E-2</v>
      </c>
      <c r="J522" s="3">
        <v>304</v>
      </c>
      <c r="K522" s="1">
        <v>45621</v>
      </c>
      <c r="L522" t="s">
        <v>25</v>
      </c>
      <c r="M522" t="s">
        <v>26</v>
      </c>
      <c r="N522" t="s">
        <v>32</v>
      </c>
      <c r="O522" t="s">
        <v>28</v>
      </c>
      <c r="P522" t="s">
        <v>59</v>
      </c>
      <c r="Q522" s="6">
        <v>1.43314960629921</v>
      </c>
      <c r="R522">
        <v>2.13</v>
      </c>
      <c r="S522">
        <v>7</v>
      </c>
      <c r="T522">
        <v>30.33</v>
      </c>
      <c r="U522">
        <v>67.02</v>
      </c>
      <c r="V522">
        <v>50.67</v>
      </c>
      <c r="W522">
        <v>1.67</v>
      </c>
    </row>
    <row r="523" spans="1:23" x14ac:dyDescent="0.3">
      <c r="A523">
        <v>521</v>
      </c>
      <c r="B523" t="s">
        <v>566</v>
      </c>
      <c r="C523" t="s">
        <v>38</v>
      </c>
      <c r="D523">
        <v>148</v>
      </c>
      <c r="E523">
        <v>4725</v>
      </c>
      <c r="F523" s="3">
        <v>187</v>
      </c>
      <c r="G523">
        <v>25</v>
      </c>
      <c r="H523">
        <v>3</v>
      </c>
      <c r="I523" s="5">
        <v>2.0270270270270199E-2</v>
      </c>
      <c r="J523" s="3">
        <v>324</v>
      </c>
      <c r="K523" s="1">
        <v>45611</v>
      </c>
      <c r="L523" t="s">
        <v>25</v>
      </c>
      <c r="M523" t="s">
        <v>31</v>
      </c>
      <c r="N523" t="s">
        <v>27</v>
      </c>
      <c r="O523" t="s">
        <v>28</v>
      </c>
      <c r="P523" t="s">
        <v>45</v>
      </c>
      <c r="Q523" s="6">
        <v>1.26364864864864</v>
      </c>
      <c r="R523">
        <v>3.13</v>
      </c>
      <c r="S523">
        <v>7.48</v>
      </c>
      <c r="T523">
        <v>62.34</v>
      </c>
      <c r="U523">
        <v>73.239999999999995</v>
      </c>
      <c r="V523">
        <v>108</v>
      </c>
      <c r="W523">
        <v>1.73</v>
      </c>
    </row>
    <row r="524" spans="1:23" x14ac:dyDescent="0.3">
      <c r="A524">
        <v>522</v>
      </c>
      <c r="B524" t="s">
        <v>567</v>
      </c>
      <c r="C524" t="s">
        <v>24</v>
      </c>
      <c r="D524">
        <v>85</v>
      </c>
      <c r="E524">
        <v>4230</v>
      </c>
      <c r="F524" s="3">
        <v>234</v>
      </c>
      <c r="G524">
        <v>18</v>
      </c>
      <c r="H524">
        <v>8</v>
      </c>
      <c r="I524" s="5">
        <v>9.41176470588235E-2</v>
      </c>
      <c r="J524" s="3">
        <v>408</v>
      </c>
      <c r="K524" s="1">
        <v>45604</v>
      </c>
      <c r="L524" t="s">
        <v>25</v>
      </c>
      <c r="M524" t="s">
        <v>39</v>
      </c>
      <c r="N524" t="s">
        <v>32</v>
      </c>
      <c r="O524" t="s">
        <v>28</v>
      </c>
      <c r="P524" t="s">
        <v>45</v>
      </c>
      <c r="Q524" s="6">
        <v>2.7497647058823498</v>
      </c>
      <c r="R524">
        <v>2.0099999999999998</v>
      </c>
      <c r="S524">
        <v>12.98</v>
      </c>
      <c r="T524">
        <v>29.22</v>
      </c>
      <c r="U524">
        <v>74.56</v>
      </c>
      <c r="V524">
        <v>51</v>
      </c>
      <c r="W524">
        <v>1.75</v>
      </c>
    </row>
    <row r="525" spans="1:23" x14ac:dyDescent="0.3">
      <c r="A525">
        <v>523</v>
      </c>
      <c r="B525" t="s">
        <v>568</v>
      </c>
      <c r="C525" t="s">
        <v>38</v>
      </c>
      <c r="D525">
        <v>105</v>
      </c>
      <c r="E525">
        <v>3880</v>
      </c>
      <c r="F525" s="3">
        <v>247</v>
      </c>
      <c r="G525">
        <v>19</v>
      </c>
      <c r="H525">
        <v>8</v>
      </c>
      <c r="I525" s="5">
        <v>7.6190476190476197E-2</v>
      </c>
      <c r="J525" s="3">
        <v>326</v>
      </c>
      <c r="K525" s="1">
        <v>45609</v>
      </c>
      <c r="L525" t="s">
        <v>25</v>
      </c>
      <c r="M525" t="s">
        <v>31</v>
      </c>
      <c r="N525" t="s">
        <v>40</v>
      </c>
      <c r="O525" t="s">
        <v>28</v>
      </c>
      <c r="P525" t="s">
        <v>33</v>
      </c>
      <c r="Q525" s="6">
        <v>2.3488571428571401</v>
      </c>
      <c r="R525">
        <v>2.71</v>
      </c>
      <c r="S525">
        <v>12.98</v>
      </c>
      <c r="T525">
        <v>30.83</v>
      </c>
      <c r="U525">
        <v>32.18</v>
      </c>
      <c r="V525">
        <v>40.75</v>
      </c>
      <c r="W525">
        <v>1.32</v>
      </c>
    </row>
    <row r="526" spans="1:23" x14ac:dyDescent="0.3">
      <c r="A526">
        <v>524</v>
      </c>
      <c r="B526" t="s">
        <v>569</v>
      </c>
      <c r="C526" t="s">
        <v>24</v>
      </c>
      <c r="D526">
        <v>187</v>
      </c>
      <c r="E526">
        <v>3842</v>
      </c>
      <c r="F526" s="3">
        <v>214</v>
      </c>
      <c r="G526">
        <v>28</v>
      </c>
      <c r="H526">
        <v>5</v>
      </c>
      <c r="I526" s="5">
        <v>2.6737967914438499E-2</v>
      </c>
      <c r="J526" s="3">
        <v>326</v>
      </c>
      <c r="K526" s="1">
        <v>45609</v>
      </c>
      <c r="L526" t="s">
        <v>25</v>
      </c>
      <c r="M526" t="s">
        <v>31</v>
      </c>
      <c r="N526" t="s">
        <v>44</v>
      </c>
      <c r="O526" t="s">
        <v>28</v>
      </c>
      <c r="P526" t="s">
        <v>33</v>
      </c>
      <c r="Q526" s="6">
        <v>1.1462566844919699</v>
      </c>
      <c r="R526">
        <v>4.87</v>
      </c>
      <c r="S526">
        <v>7.66</v>
      </c>
      <c r="T526">
        <v>42.87</v>
      </c>
      <c r="U526">
        <v>52.09</v>
      </c>
      <c r="V526">
        <v>65.2</v>
      </c>
      <c r="W526">
        <v>1.52</v>
      </c>
    </row>
    <row r="527" spans="1:23" x14ac:dyDescent="0.3">
      <c r="A527">
        <v>525</v>
      </c>
      <c r="B527" t="s">
        <v>570</v>
      </c>
      <c r="C527" t="s">
        <v>38</v>
      </c>
      <c r="D527">
        <v>153</v>
      </c>
      <c r="E527">
        <v>3143</v>
      </c>
      <c r="F527" s="3">
        <v>245</v>
      </c>
      <c r="G527">
        <v>12</v>
      </c>
      <c r="H527">
        <v>10</v>
      </c>
      <c r="I527" s="5">
        <v>6.5359477124182996E-2</v>
      </c>
      <c r="J527" s="3">
        <v>279</v>
      </c>
      <c r="K527" s="1">
        <v>45611</v>
      </c>
      <c r="L527" t="s">
        <v>25</v>
      </c>
      <c r="M527" t="s">
        <v>31</v>
      </c>
      <c r="N527" t="s">
        <v>44</v>
      </c>
      <c r="O527" t="s">
        <v>28</v>
      </c>
      <c r="P527" t="s">
        <v>45</v>
      </c>
      <c r="Q527" s="6">
        <v>1.59954248366013</v>
      </c>
      <c r="R527">
        <v>4.87</v>
      </c>
      <c r="S527">
        <v>20.39</v>
      </c>
      <c r="T527">
        <v>24.47</v>
      </c>
      <c r="U527">
        <v>14</v>
      </c>
      <c r="V527">
        <v>27.9</v>
      </c>
      <c r="W527">
        <v>1.1399999999999999</v>
      </c>
    </row>
    <row r="528" spans="1:23" x14ac:dyDescent="0.3">
      <c r="A528">
        <v>526</v>
      </c>
      <c r="B528" t="s">
        <v>571</v>
      </c>
      <c r="C528" t="s">
        <v>43</v>
      </c>
      <c r="D528">
        <v>143</v>
      </c>
      <c r="E528">
        <v>5781</v>
      </c>
      <c r="F528" s="3">
        <v>209</v>
      </c>
      <c r="G528">
        <v>21</v>
      </c>
      <c r="H528">
        <v>9</v>
      </c>
      <c r="I528" s="5">
        <v>6.2937062937062901E-2</v>
      </c>
      <c r="J528" s="3">
        <v>294</v>
      </c>
      <c r="K528" s="1">
        <v>45622</v>
      </c>
      <c r="L528" t="s">
        <v>25</v>
      </c>
      <c r="M528" t="s">
        <v>31</v>
      </c>
      <c r="N528" t="s">
        <v>36</v>
      </c>
      <c r="O528" t="s">
        <v>28</v>
      </c>
      <c r="P528" t="s">
        <v>41</v>
      </c>
      <c r="Q528" s="6">
        <v>1.45895104895104</v>
      </c>
      <c r="R528">
        <v>2.4700000000000002</v>
      </c>
      <c r="S528">
        <v>9.93</v>
      </c>
      <c r="T528">
        <v>23.18</v>
      </c>
      <c r="U528">
        <v>40.92</v>
      </c>
      <c r="V528">
        <v>32.67</v>
      </c>
      <c r="W528">
        <v>1.41</v>
      </c>
    </row>
    <row r="529" spans="1:23" x14ac:dyDescent="0.3">
      <c r="A529">
        <v>527</v>
      </c>
      <c r="B529" t="s">
        <v>572</v>
      </c>
      <c r="C529" t="s">
        <v>35</v>
      </c>
      <c r="D529">
        <v>183</v>
      </c>
      <c r="E529">
        <v>3790</v>
      </c>
      <c r="F529" s="3">
        <v>202</v>
      </c>
      <c r="G529">
        <v>21</v>
      </c>
      <c r="H529">
        <v>8</v>
      </c>
      <c r="I529" s="5">
        <v>4.3715846994535498E-2</v>
      </c>
      <c r="J529" s="3">
        <v>248</v>
      </c>
      <c r="K529" s="1">
        <v>45622</v>
      </c>
      <c r="L529" t="s">
        <v>25</v>
      </c>
      <c r="M529" t="s">
        <v>26</v>
      </c>
      <c r="N529" t="s">
        <v>40</v>
      </c>
      <c r="O529" t="s">
        <v>28</v>
      </c>
      <c r="P529" t="s">
        <v>41</v>
      </c>
      <c r="Q529" s="6">
        <v>1.10644808743169</v>
      </c>
      <c r="R529">
        <v>4.83</v>
      </c>
      <c r="S529">
        <v>9.64</v>
      </c>
      <c r="T529">
        <v>25.31</v>
      </c>
      <c r="U529">
        <v>22.48</v>
      </c>
      <c r="V529">
        <v>31</v>
      </c>
      <c r="W529">
        <v>1.22</v>
      </c>
    </row>
    <row r="530" spans="1:23" x14ac:dyDescent="0.3">
      <c r="A530">
        <v>528</v>
      </c>
      <c r="B530" t="s">
        <v>573</v>
      </c>
      <c r="C530" t="s">
        <v>24</v>
      </c>
      <c r="D530">
        <v>172</v>
      </c>
      <c r="E530">
        <v>4250</v>
      </c>
      <c r="F530" s="3">
        <v>235</v>
      </c>
      <c r="G530">
        <v>28</v>
      </c>
      <c r="H530">
        <v>7</v>
      </c>
      <c r="I530" s="5">
        <v>4.0697674418604599E-2</v>
      </c>
      <c r="J530" s="3">
        <v>211</v>
      </c>
      <c r="K530" s="1">
        <v>45602</v>
      </c>
      <c r="L530" t="s">
        <v>25</v>
      </c>
      <c r="M530" t="s">
        <v>31</v>
      </c>
      <c r="N530" t="s">
        <v>27</v>
      </c>
      <c r="O530" t="s">
        <v>28</v>
      </c>
      <c r="P530" t="s">
        <v>33</v>
      </c>
      <c r="Q530" s="6">
        <v>1.36744186046511</v>
      </c>
      <c r="R530">
        <v>4.05</v>
      </c>
      <c r="S530">
        <v>8.4</v>
      </c>
      <c r="T530">
        <v>33.6</v>
      </c>
      <c r="U530">
        <v>-10.29</v>
      </c>
      <c r="V530">
        <v>30.14</v>
      </c>
      <c r="W530">
        <v>0.9</v>
      </c>
    </row>
    <row r="531" spans="1:23" x14ac:dyDescent="0.3">
      <c r="A531">
        <v>529</v>
      </c>
      <c r="B531" t="s">
        <v>574</v>
      </c>
      <c r="C531" t="s">
        <v>43</v>
      </c>
      <c r="D531">
        <v>98</v>
      </c>
      <c r="E531">
        <v>3800</v>
      </c>
      <c r="F531" s="3">
        <v>240</v>
      </c>
      <c r="G531">
        <v>16</v>
      </c>
      <c r="H531">
        <v>3</v>
      </c>
      <c r="I531" s="5">
        <v>3.06122448979591E-2</v>
      </c>
      <c r="J531" s="3">
        <v>347</v>
      </c>
      <c r="K531" s="1">
        <v>45597</v>
      </c>
      <c r="L531" t="s">
        <v>25</v>
      </c>
      <c r="M531" t="s">
        <v>26</v>
      </c>
      <c r="N531" t="s">
        <v>32</v>
      </c>
      <c r="O531" t="s">
        <v>28</v>
      </c>
      <c r="P531" t="s">
        <v>45</v>
      </c>
      <c r="Q531" s="6">
        <v>2.4535714285714199</v>
      </c>
      <c r="R531">
        <v>2.58</v>
      </c>
      <c r="S531">
        <v>15.03</v>
      </c>
      <c r="T531">
        <v>80.150000000000006</v>
      </c>
      <c r="U531">
        <v>44.31</v>
      </c>
      <c r="V531">
        <v>115.67</v>
      </c>
      <c r="W531">
        <v>1.44</v>
      </c>
    </row>
    <row r="532" spans="1:23" x14ac:dyDescent="0.3">
      <c r="A532">
        <v>530</v>
      </c>
      <c r="B532" t="s">
        <v>575</v>
      </c>
      <c r="C532" t="s">
        <v>43</v>
      </c>
      <c r="D532">
        <v>87</v>
      </c>
      <c r="E532">
        <v>4675</v>
      </c>
      <c r="F532" s="3">
        <v>201</v>
      </c>
      <c r="G532">
        <v>28</v>
      </c>
      <c r="H532">
        <v>6</v>
      </c>
      <c r="I532" s="5">
        <v>6.8965517241379296E-2</v>
      </c>
      <c r="J532" s="3">
        <v>291</v>
      </c>
      <c r="K532" s="1">
        <v>45616</v>
      </c>
      <c r="L532" t="s">
        <v>25</v>
      </c>
      <c r="M532" t="s">
        <v>31</v>
      </c>
      <c r="N532" t="s">
        <v>49</v>
      </c>
      <c r="O532" t="s">
        <v>28</v>
      </c>
      <c r="P532" t="s">
        <v>33</v>
      </c>
      <c r="Q532" s="6">
        <v>2.3070114942528699</v>
      </c>
      <c r="R532">
        <v>1.86</v>
      </c>
      <c r="S532">
        <v>7.17</v>
      </c>
      <c r="T532">
        <v>33.450000000000003</v>
      </c>
      <c r="U532">
        <v>44.99</v>
      </c>
      <c r="V532">
        <v>48.5</v>
      </c>
      <c r="W532">
        <v>1.45</v>
      </c>
    </row>
    <row r="533" spans="1:23" x14ac:dyDescent="0.3">
      <c r="A533">
        <v>531</v>
      </c>
      <c r="B533" t="s">
        <v>576</v>
      </c>
      <c r="C533" t="s">
        <v>35</v>
      </c>
      <c r="D533">
        <v>84</v>
      </c>
      <c r="E533">
        <v>5711</v>
      </c>
      <c r="F533" s="3">
        <v>216</v>
      </c>
      <c r="G533">
        <v>13</v>
      </c>
      <c r="H533">
        <v>6</v>
      </c>
      <c r="I533" s="5">
        <v>7.1428571428571397E-2</v>
      </c>
      <c r="J533" s="3">
        <v>338</v>
      </c>
      <c r="K533" s="1">
        <v>45613</v>
      </c>
      <c r="L533" t="s">
        <v>25</v>
      </c>
      <c r="M533" t="s">
        <v>26</v>
      </c>
      <c r="N533" t="s">
        <v>40</v>
      </c>
      <c r="O533" t="s">
        <v>28</v>
      </c>
      <c r="P533" t="s">
        <v>50</v>
      </c>
      <c r="Q533" s="6">
        <v>2.5716666666666601</v>
      </c>
      <c r="R533">
        <v>1.47</v>
      </c>
      <c r="S533">
        <v>16.62</v>
      </c>
      <c r="T533">
        <v>36</v>
      </c>
      <c r="U533">
        <v>56.47</v>
      </c>
      <c r="V533">
        <v>56.33</v>
      </c>
      <c r="W533">
        <v>1.56</v>
      </c>
    </row>
    <row r="534" spans="1:23" x14ac:dyDescent="0.3">
      <c r="A534">
        <v>532</v>
      </c>
      <c r="B534" t="s">
        <v>577</v>
      </c>
      <c r="C534" t="s">
        <v>38</v>
      </c>
      <c r="D534">
        <v>151</v>
      </c>
      <c r="E534">
        <v>3022</v>
      </c>
      <c r="F534" s="3">
        <v>191</v>
      </c>
      <c r="G534">
        <v>13</v>
      </c>
      <c r="H534">
        <v>4</v>
      </c>
      <c r="I534" s="5">
        <v>2.64900662251655E-2</v>
      </c>
      <c r="J534" s="3">
        <v>231</v>
      </c>
      <c r="K534" s="1">
        <v>45614</v>
      </c>
      <c r="L534" t="s">
        <v>25</v>
      </c>
      <c r="M534" t="s">
        <v>31</v>
      </c>
      <c r="N534" t="s">
        <v>27</v>
      </c>
      <c r="O534" t="s">
        <v>28</v>
      </c>
      <c r="P534" t="s">
        <v>59</v>
      </c>
      <c r="Q534" s="6">
        <v>1.2672185430463501</v>
      </c>
      <c r="R534">
        <v>5</v>
      </c>
      <c r="S534">
        <v>14.72</v>
      </c>
      <c r="T534">
        <v>47.84</v>
      </c>
      <c r="U534">
        <v>20.72</v>
      </c>
      <c r="V534">
        <v>57.75</v>
      </c>
      <c r="W534">
        <v>1.21</v>
      </c>
    </row>
    <row r="535" spans="1:23" x14ac:dyDescent="0.3">
      <c r="A535">
        <v>533</v>
      </c>
      <c r="B535" t="s">
        <v>578</v>
      </c>
      <c r="C535" t="s">
        <v>35</v>
      </c>
      <c r="D535">
        <v>113</v>
      </c>
      <c r="E535">
        <v>5407</v>
      </c>
      <c r="F535" s="3">
        <v>203</v>
      </c>
      <c r="G535">
        <v>15</v>
      </c>
      <c r="H535">
        <v>9</v>
      </c>
      <c r="I535" s="5">
        <v>7.9646017699115002E-2</v>
      </c>
      <c r="J535" s="3">
        <v>356</v>
      </c>
      <c r="K535" s="1">
        <v>45612</v>
      </c>
      <c r="L535" t="s">
        <v>25</v>
      </c>
      <c r="M535" t="s">
        <v>26</v>
      </c>
      <c r="N535" t="s">
        <v>40</v>
      </c>
      <c r="O535" t="s">
        <v>28</v>
      </c>
      <c r="P535" t="s">
        <v>29</v>
      </c>
      <c r="Q535" s="6">
        <v>1.7984955752212299</v>
      </c>
      <c r="R535">
        <v>2.09</v>
      </c>
      <c r="S535">
        <v>13.55</v>
      </c>
      <c r="T535">
        <v>22.58</v>
      </c>
      <c r="U535">
        <v>75.17</v>
      </c>
      <c r="V535">
        <v>39.56</v>
      </c>
      <c r="W535">
        <v>1.75</v>
      </c>
    </row>
    <row r="536" spans="1:23" x14ac:dyDescent="0.3">
      <c r="A536">
        <v>534</v>
      </c>
      <c r="B536" t="s">
        <v>579</v>
      </c>
      <c r="C536" t="s">
        <v>43</v>
      </c>
      <c r="D536">
        <v>89</v>
      </c>
      <c r="E536">
        <v>5095</v>
      </c>
      <c r="F536" s="3">
        <v>202</v>
      </c>
      <c r="G536">
        <v>22</v>
      </c>
      <c r="H536">
        <v>4</v>
      </c>
      <c r="I536" s="5">
        <v>4.49438202247191E-2</v>
      </c>
      <c r="J536" s="3">
        <v>217</v>
      </c>
      <c r="K536" s="1">
        <v>45603</v>
      </c>
      <c r="L536" t="s">
        <v>25</v>
      </c>
      <c r="M536" t="s">
        <v>39</v>
      </c>
      <c r="N536" t="s">
        <v>32</v>
      </c>
      <c r="O536" t="s">
        <v>28</v>
      </c>
      <c r="P536" t="s">
        <v>54</v>
      </c>
      <c r="Q536" s="6">
        <v>2.2720224719101099</v>
      </c>
      <c r="R536">
        <v>1.75</v>
      </c>
      <c r="S536">
        <v>9.19</v>
      </c>
      <c r="T536">
        <v>50.55</v>
      </c>
      <c r="U536">
        <v>7.31</v>
      </c>
      <c r="V536">
        <v>54.25</v>
      </c>
      <c r="W536">
        <v>1.07</v>
      </c>
    </row>
    <row r="537" spans="1:23" x14ac:dyDescent="0.3">
      <c r="A537">
        <v>535</v>
      </c>
      <c r="B537" t="s">
        <v>580</v>
      </c>
      <c r="C537" t="s">
        <v>38</v>
      </c>
      <c r="D537">
        <v>174</v>
      </c>
      <c r="E537">
        <v>3587</v>
      </c>
      <c r="F537" s="3">
        <v>218</v>
      </c>
      <c r="G537">
        <v>10</v>
      </c>
      <c r="H537">
        <v>7</v>
      </c>
      <c r="I537" s="5">
        <v>4.0229885057471201E-2</v>
      </c>
      <c r="J537" s="3">
        <v>250</v>
      </c>
      <c r="K537" s="1">
        <v>45618</v>
      </c>
      <c r="L537" t="s">
        <v>25</v>
      </c>
      <c r="M537" t="s">
        <v>31</v>
      </c>
      <c r="N537" t="s">
        <v>40</v>
      </c>
      <c r="O537" t="s">
        <v>28</v>
      </c>
      <c r="P537" t="s">
        <v>45</v>
      </c>
      <c r="Q537" s="6">
        <v>1.25097701149425</v>
      </c>
      <c r="R537">
        <v>4.8499999999999996</v>
      </c>
      <c r="S537">
        <v>21.77</v>
      </c>
      <c r="T537">
        <v>31.1</v>
      </c>
      <c r="U537">
        <v>14.85</v>
      </c>
      <c r="V537">
        <v>35.71</v>
      </c>
      <c r="W537">
        <v>1.1499999999999999</v>
      </c>
    </row>
    <row r="538" spans="1:23" x14ac:dyDescent="0.3">
      <c r="A538">
        <v>536</v>
      </c>
      <c r="B538" t="s">
        <v>581</v>
      </c>
      <c r="C538" t="s">
        <v>24</v>
      </c>
      <c r="D538">
        <v>166</v>
      </c>
      <c r="E538">
        <v>5524</v>
      </c>
      <c r="F538" s="3">
        <v>206</v>
      </c>
      <c r="G538">
        <v>25</v>
      </c>
      <c r="H538">
        <v>7</v>
      </c>
      <c r="I538" s="5">
        <v>4.2168674698795101E-2</v>
      </c>
      <c r="J538" s="3">
        <v>253</v>
      </c>
      <c r="K538" s="1">
        <v>45620</v>
      </c>
      <c r="L538" t="s">
        <v>25</v>
      </c>
      <c r="M538" t="s">
        <v>31</v>
      </c>
      <c r="N538" t="s">
        <v>49</v>
      </c>
      <c r="O538" t="s">
        <v>28</v>
      </c>
      <c r="P538" t="s">
        <v>50</v>
      </c>
      <c r="Q538" s="6">
        <v>1.23813253012048</v>
      </c>
      <c r="R538">
        <v>3.01</v>
      </c>
      <c r="S538">
        <v>8.2200000000000006</v>
      </c>
      <c r="T538">
        <v>29.36</v>
      </c>
      <c r="U538">
        <v>23.1</v>
      </c>
      <c r="V538">
        <v>36.14</v>
      </c>
      <c r="W538">
        <v>1.23</v>
      </c>
    </row>
    <row r="539" spans="1:23" x14ac:dyDescent="0.3">
      <c r="A539">
        <v>537</v>
      </c>
      <c r="B539" t="s">
        <v>582</v>
      </c>
      <c r="C539" t="s">
        <v>38</v>
      </c>
      <c r="D539">
        <v>196</v>
      </c>
      <c r="E539">
        <v>3777</v>
      </c>
      <c r="F539" s="3">
        <v>247</v>
      </c>
      <c r="G539">
        <v>28</v>
      </c>
      <c r="H539">
        <v>5</v>
      </c>
      <c r="I539" s="5">
        <v>2.5510204081632602E-2</v>
      </c>
      <c r="J539" s="3">
        <v>237</v>
      </c>
      <c r="K539" s="1">
        <v>45611</v>
      </c>
      <c r="L539" t="s">
        <v>25</v>
      </c>
      <c r="M539" t="s">
        <v>26</v>
      </c>
      <c r="N539" t="s">
        <v>32</v>
      </c>
      <c r="O539" t="s">
        <v>28</v>
      </c>
      <c r="P539" t="s">
        <v>45</v>
      </c>
      <c r="Q539" s="6">
        <v>1.25775510204081</v>
      </c>
      <c r="R539">
        <v>5.19</v>
      </c>
      <c r="S539">
        <v>8.8000000000000007</v>
      </c>
      <c r="T539">
        <v>49.3</v>
      </c>
      <c r="U539">
        <v>-3.86</v>
      </c>
      <c r="V539">
        <v>47.4</v>
      </c>
      <c r="W539">
        <v>0.96</v>
      </c>
    </row>
    <row r="540" spans="1:23" x14ac:dyDescent="0.3">
      <c r="A540">
        <v>538</v>
      </c>
      <c r="B540" t="s">
        <v>583</v>
      </c>
      <c r="C540" t="s">
        <v>35</v>
      </c>
      <c r="D540">
        <v>97</v>
      </c>
      <c r="E540">
        <v>3480</v>
      </c>
      <c r="F540" s="3">
        <v>233</v>
      </c>
      <c r="G540">
        <v>22</v>
      </c>
      <c r="H540">
        <v>3</v>
      </c>
      <c r="I540" s="5">
        <v>3.0927835051546299E-2</v>
      </c>
      <c r="J540" s="3">
        <v>206</v>
      </c>
      <c r="K540" s="1">
        <v>45624</v>
      </c>
      <c r="L540" t="s">
        <v>25</v>
      </c>
      <c r="M540" t="s">
        <v>26</v>
      </c>
      <c r="N540" t="s">
        <v>36</v>
      </c>
      <c r="O540" t="s">
        <v>28</v>
      </c>
      <c r="P540" t="s">
        <v>54</v>
      </c>
      <c r="Q540" s="6">
        <v>2.4053608247422602</v>
      </c>
      <c r="R540">
        <v>2.79</v>
      </c>
      <c r="S540">
        <v>10.61</v>
      </c>
      <c r="T540">
        <v>77.77</v>
      </c>
      <c r="U540">
        <v>-11.71</v>
      </c>
      <c r="V540">
        <v>68.67</v>
      </c>
      <c r="W540">
        <v>0.88</v>
      </c>
    </row>
    <row r="541" spans="1:23" x14ac:dyDescent="0.3">
      <c r="A541">
        <v>539</v>
      </c>
      <c r="B541" t="s">
        <v>584</v>
      </c>
      <c r="C541" t="s">
        <v>35</v>
      </c>
      <c r="D541">
        <v>89</v>
      </c>
      <c r="E541">
        <v>4200</v>
      </c>
      <c r="F541" s="3">
        <v>201</v>
      </c>
      <c r="G541">
        <v>23</v>
      </c>
      <c r="H541">
        <v>8</v>
      </c>
      <c r="I541" s="5">
        <v>8.98876404494382E-2</v>
      </c>
      <c r="J541" s="3">
        <v>301</v>
      </c>
      <c r="K541" s="1">
        <v>45619</v>
      </c>
      <c r="L541" t="s">
        <v>25</v>
      </c>
      <c r="M541" t="s">
        <v>31</v>
      </c>
      <c r="N541" t="s">
        <v>32</v>
      </c>
      <c r="O541" t="s">
        <v>28</v>
      </c>
      <c r="P541" t="s">
        <v>29</v>
      </c>
      <c r="Q541" s="6">
        <v>2.2582022471910101</v>
      </c>
      <c r="R541">
        <v>2.12</v>
      </c>
      <c r="S541">
        <v>8.74</v>
      </c>
      <c r="T541">
        <v>25.12</v>
      </c>
      <c r="U541">
        <v>49.77</v>
      </c>
      <c r="V541">
        <v>37.619999999999997</v>
      </c>
      <c r="W541">
        <v>1.5</v>
      </c>
    </row>
    <row r="542" spans="1:23" x14ac:dyDescent="0.3">
      <c r="A542">
        <v>540</v>
      </c>
      <c r="B542" t="s">
        <v>585</v>
      </c>
      <c r="C542" t="s">
        <v>38</v>
      </c>
      <c r="D542">
        <v>130</v>
      </c>
      <c r="E542">
        <v>5384</v>
      </c>
      <c r="F542" s="3">
        <v>219</v>
      </c>
      <c r="G542">
        <v>24</v>
      </c>
      <c r="H542">
        <v>8</v>
      </c>
      <c r="I542" s="5">
        <v>6.15384615384615E-2</v>
      </c>
      <c r="J542" s="3">
        <v>397</v>
      </c>
      <c r="K542" s="1">
        <v>45624</v>
      </c>
      <c r="L542" t="s">
        <v>25</v>
      </c>
      <c r="M542" t="s">
        <v>31</v>
      </c>
      <c r="N542" t="s">
        <v>27</v>
      </c>
      <c r="O542" t="s">
        <v>28</v>
      </c>
      <c r="P542" t="s">
        <v>54</v>
      </c>
      <c r="Q542" s="6">
        <v>1.6815384615384601</v>
      </c>
      <c r="R542">
        <v>2.41</v>
      </c>
      <c r="S542">
        <v>9.11</v>
      </c>
      <c r="T542">
        <v>27.32</v>
      </c>
      <c r="U542">
        <v>81.61</v>
      </c>
      <c r="V542">
        <v>49.62</v>
      </c>
      <c r="W542">
        <v>1.82</v>
      </c>
    </row>
    <row r="543" spans="1:23" x14ac:dyDescent="0.3">
      <c r="A543">
        <v>541</v>
      </c>
      <c r="B543" t="s">
        <v>586</v>
      </c>
      <c r="C543" t="s">
        <v>43</v>
      </c>
      <c r="D543">
        <v>103</v>
      </c>
      <c r="E543">
        <v>4766</v>
      </c>
      <c r="F543" s="3">
        <v>245</v>
      </c>
      <c r="G543">
        <v>11</v>
      </c>
      <c r="H543">
        <v>8</v>
      </c>
      <c r="I543" s="5">
        <v>7.7669902912621297E-2</v>
      </c>
      <c r="J543" s="3">
        <v>304</v>
      </c>
      <c r="K543" s="1">
        <v>45604</v>
      </c>
      <c r="L543" t="s">
        <v>25</v>
      </c>
      <c r="M543" t="s">
        <v>26</v>
      </c>
      <c r="N543" t="s">
        <v>49</v>
      </c>
      <c r="O543" t="s">
        <v>28</v>
      </c>
      <c r="P543" t="s">
        <v>45</v>
      </c>
      <c r="Q543" s="6">
        <v>2.3819417475728102</v>
      </c>
      <c r="R543">
        <v>2.16</v>
      </c>
      <c r="S543">
        <v>22.3</v>
      </c>
      <c r="T543">
        <v>30.67</v>
      </c>
      <c r="U543">
        <v>23.91</v>
      </c>
      <c r="V543">
        <v>38</v>
      </c>
      <c r="W543">
        <v>1.24</v>
      </c>
    </row>
    <row r="544" spans="1:23" x14ac:dyDescent="0.3">
      <c r="A544">
        <v>542</v>
      </c>
      <c r="B544" t="s">
        <v>587</v>
      </c>
      <c r="C544" t="s">
        <v>43</v>
      </c>
      <c r="D544">
        <v>138</v>
      </c>
      <c r="E544">
        <v>3322</v>
      </c>
      <c r="F544" s="3">
        <v>197</v>
      </c>
      <c r="G544">
        <v>17</v>
      </c>
      <c r="H544">
        <v>8</v>
      </c>
      <c r="I544" s="5">
        <v>5.7971014492753603E-2</v>
      </c>
      <c r="J544" s="3">
        <v>373.71428571428498</v>
      </c>
      <c r="K544" s="1">
        <v>45597</v>
      </c>
      <c r="L544" t="s">
        <v>25</v>
      </c>
      <c r="M544" t="s">
        <v>26</v>
      </c>
      <c r="N544" t="s">
        <v>44</v>
      </c>
      <c r="O544" t="s">
        <v>28</v>
      </c>
      <c r="P544" t="s">
        <v>45</v>
      </c>
      <c r="Q544" s="6">
        <v>1.42630434782608</v>
      </c>
      <c r="R544">
        <v>4.1500000000000004</v>
      </c>
      <c r="S544">
        <v>11.58</v>
      </c>
      <c r="T544">
        <v>24.6</v>
      </c>
      <c r="U544">
        <v>89.87</v>
      </c>
      <c r="V544">
        <v>46.71</v>
      </c>
      <c r="W544">
        <v>1.9</v>
      </c>
    </row>
    <row r="545" spans="1:23" x14ac:dyDescent="0.3">
      <c r="A545">
        <v>543</v>
      </c>
      <c r="B545" t="s">
        <v>588</v>
      </c>
      <c r="C545" t="s">
        <v>24</v>
      </c>
      <c r="D545">
        <v>127</v>
      </c>
      <c r="E545">
        <v>4625</v>
      </c>
      <c r="F545" s="3">
        <v>208</v>
      </c>
      <c r="G545">
        <v>17</v>
      </c>
      <c r="H545">
        <v>3</v>
      </c>
      <c r="I545" s="5">
        <v>2.3622047244094401E-2</v>
      </c>
      <c r="J545" s="3">
        <v>370</v>
      </c>
      <c r="K545" s="1">
        <v>45613</v>
      </c>
      <c r="L545" t="s">
        <v>25</v>
      </c>
      <c r="M545" t="s">
        <v>26</v>
      </c>
      <c r="N545" t="s">
        <v>27</v>
      </c>
      <c r="O545" t="s">
        <v>28</v>
      </c>
      <c r="P545" t="s">
        <v>50</v>
      </c>
      <c r="Q545" s="6">
        <v>1.63480314960629</v>
      </c>
      <c r="R545">
        <v>2.75</v>
      </c>
      <c r="S545">
        <v>12.21</v>
      </c>
      <c r="T545">
        <v>69.209999999999994</v>
      </c>
      <c r="U545">
        <v>78.209999999999994</v>
      </c>
      <c r="V545">
        <v>123.33</v>
      </c>
      <c r="W545">
        <v>1.78</v>
      </c>
    </row>
    <row r="546" spans="1:23" x14ac:dyDescent="0.3">
      <c r="A546">
        <v>544</v>
      </c>
      <c r="B546" t="s">
        <v>589</v>
      </c>
      <c r="C546" t="s">
        <v>35</v>
      </c>
      <c r="D546">
        <v>170</v>
      </c>
      <c r="E546">
        <v>4689</v>
      </c>
      <c r="F546" s="3">
        <v>196</v>
      </c>
      <c r="G546">
        <v>26</v>
      </c>
      <c r="H546">
        <v>6</v>
      </c>
      <c r="I546" s="5">
        <v>3.5294117647058802E-2</v>
      </c>
      <c r="J546" s="3">
        <v>382</v>
      </c>
      <c r="K546" s="1">
        <v>45610</v>
      </c>
      <c r="L546" t="s">
        <v>25</v>
      </c>
      <c r="M546" t="s">
        <v>26</v>
      </c>
      <c r="N546" t="s">
        <v>36</v>
      </c>
      <c r="O546" t="s">
        <v>28</v>
      </c>
      <c r="P546" t="s">
        <v>54</v>
      </c>
      <c r="Q546" s="6">
        <v>1.1528235294117599</v>
      </c>
      <c r="R546">
        <v>3.63</v>
      </c>
      <c r="S546">
        <v>7.54</v>
      </c>
      <c r="T546">
        <v>32.659999999999997</v>
      </c>
      <c r="U546">
        <v>94.92</v>
      </c>
      <c r="V546">
        <v>63.67</v>
      </c>
      <c r="W546">
        <v>1.95</v>
      </c>
    </row>
    <row r="547" spans="1:23" x14ac:dyDescent="0.3">
      <c r="A547">
        <v>545</v>
      </c>
      <c r="B547" t="s">
        <v>590</v>
      </c>
      <c r="C547" t="s">
        <v>24</v>
      </c>
      <c r="D547">
        <v>115</v>
      </c>
      <c r="E547">
        <v>3764</v>
      </c>
      <c r="F547" s="3">
        <v>197</v>
      </c>
      <c r="G547">
        <v>20</v>
      </c>
      <c r="H547">
        <v>5</v>
      </c>
      <c r="I547" s="5">
        <v>4.3478260869565202E-2</v>
      </c>
      <c r="J547" s="3">
        <v>398</v>
      </c>
      <c r="K547" s="1">
        <v>45623</v>
      </c>
      <c r="L547" t="s">
        <v>25</v>
      </c>
      <c r="M547" t="s">
        <v>26</v>
      </c>
      <c r="N547" t="s">
        <v>27</v>
      </c>
      <c r="O547" t="s">
        <v>28</v>
      </c>
      <c r="P547" t="s">
        <v>33</v>
      </c>
      <c r="Q547" s="6">
        <v>1.7171304347826</v>
      </c>
      <c r="R547">
        <v>3.06</v>
      </c>
      <c r="S547">
        <v>9.8699999999999992</v>
      </c>
      <c r="T547">
        <v>39.49</v>
      </c>
      <c r="U547">
        <v>101.55</v>
      </c>
      <c r="V547">
        <v>79.599999999999994</v>
      </c>
      <c r="W547">
        <v>2.02</v>
      </c>
    </row>
    <row r="548" spans="1:23" x14ac:dyDescent="0.3">
      <c r="A548">
        <v>546</v>
      </c>
      <c r="B548" t="s">
        <v>591</v>
      </c>
      <c r="C548" t="s">
        <v>38</v>
      </c>
      <c r="D548">
        <v>132</v>
      </c>
      <c r="E548">
        <v>3365</v>
      </c>
      <c r="F548" s="3">
        <v>198</v>
      </c>
      <c r="G548">
        <v>17</v>
      </c>
      <c r="H548">
        <v>9</v>
      </c>
      <c r="I548" s="5">
        <v>6.8181818181818094E-2</v>
      </c>
      <c r="J548" s="3">
        <v>237</v>
      </c>
      <c r="K548" s="1">
        <v>45610</v>
      </c>
      <c r="L548" t="s">
        <v>25</v>
      </c>
      <c r="M548" t="s">
        <v>26</v>
      </c>
      <c r="N548" t="s">
        <v>49</v>
      </c>
      <c r="O548" t="s">
        <v>28</v>
      </c>
      <c r="P548" t="s">
        <v>54</v>
      </c>
      <c r="Q548" s="6">
        <v>1.50007575757575</v>
      </c>
      <c r="R548">
        <v>3.92</v>
      </c>
      <c r="S548">
        <v>11.65</v>
      </c>
      <c r="T548">
        <v>22</v>
      </c>
      <c r="U548">
        <v>19.690000000000001</v>
      </c>
      <c r="V548">
        <v>26.33</v>
      </c>
      <c r="W548">
        <v>1.2</v>
      </c>
    </row>
    <row r="549" spans="1:23" x14ac:dyDescent="0.3">
      <c r="A549">
        <v>547</v>
      </c>
      <c r="B549" t="s">
        <v>592</v>
      </c>
      <c r="C549" t="s">
        <v>43</v>
      </c>
      <c r="D549">
        <v>168</v>
      </c>
      <c r="E549">
        <v>3392</v>
      </c>
      <c r="F549" s="3">
        <v>231</v>
      </c>
      <c r="G549">
        <v>15</v>
      </c>
      <c r="H549">
        <v>9</v>
      </c>
      <c r="I549" s="5">
        <v>5.3571428571428499E-2</v>
      </c>
      <c r="J549" s="3">
        <v>307</v>
      </c>
      <c r="K549" s="1">
        <v>45607</v>
      </c>
      <c r="L549" t="s">
        <v>25</v>
      </c>
      <c r="M549" t="s">
        <v>31</v>
      </c>
      <c r="N549" t="s">
        <v>44</v>
      </c>
      <c r="O549" t="s">
        <v>28</v>
      </c>
      <c r="P549" t="s">
        <v>59</v>
      </c>
      <c r="Q549" s="6">
        <v>1.37363095238095</v>
      </c>
      <c r="R549">
        <v>4.95</v>
      </c>
      <c r="S549">
        <v>15.38</v>
      </c>
      <c r="T549">
        <v>25.64</v>
      </c>
      <c r="U549">
        <v>33.03</v>
      </c>
      <c r="V549">
        <v>34.11</v>
      </c>
      <c r="W549">
        <v>1.33</v>
      </c>
    </row>
    <row r="550" spans="1:23" x14ac:dyDescent="0.3">
      <c r="A550">
        <v>548</v>
      </c>
      <c r="B550" t="s">
        <v>593</v>
      </c>
      <c r="C550" t="s">
        <v>35</v>
      </c>
      <c r="D550">
        <v>145</v>
      </c>
      <c r="E550">
        <v>5978</v>
      </c>
      <c r="F550" s="3">
        <v>223</v>
      </c>
      <c r="G550">
        <v>30</v>
      </c>
      <c r="H550">
        <v>10</v>
      </c>
      <c r="I550" s="5">
        <v>6.8965517241379296E-2</v>
      </c>
      <c r="J550" s="3">
        <v>379</v>
      </c>
      <c r="K550" s="1">
        <v>45616</v>
      </c>
      <c r="L550" t="s">
        <v>25</v>
      </c>
      <c r="M550" t="s">
        <v>31</v>
      </c>
      <c r="N550" t="s">
        <v>44</v>
      </c>
      <c r="O550" t="s">
        <v>28</v>
      </c>
      <c r="P550" t="s">
        <v>33</v>
      </c>
      <c r="Q550" s="6">
        <v>1.54</v>
      </c>
      <c r="R550">
        <v>2.4300000000000002</v>
      </c>
      <c r="S550">
        <v>7.44</v>
      </c>
      <c r="T550">
        <v>22.33</v>
      </c>
      <c r="U550">
        <v>69.73</v>
      </c>
      <c r="V550">
        <v>37.9</v>
      </c>
      <c r="W550">
        <v>1.7</v>
      </c>
    </row>
    <row r="551" spans="1:23" x14ac:dyDescent="0.3">
      <c r="A551">
        <v>549</v>
      </c>
      <c r="B551" t="s">
        <v>594</v>
      </c>
      <c r="C551" t="s">
        <v>35</v>
      </c>
      <c r="D551">
        <v>163</v>
      </c>
      <c r="E551">
        <v>3340</v>
      </c>
      <c r="F551" s="3">
        <v>217</v>
      </c>
      <c r="G551">
        <v>26</v>
      </c>
      <c r="H551">
        <v>7</v>
      </c>
      <c r="I551" s="5">
        <v>4.2944785276073601E-2</v>
      </c>
      <c r="J551" s="3">
        <v>357</v>
      </c>
      <c r="K551" s="1">
        <v>45620</v>
      </c>
      <c r="L551" t="s">
        <v>25</v>
      </c>
      <c r="M551" t="s">
        <v>39</v>
      </c>
      <c r="N551" t="s">
        <v>40</v>
      </c>
      <c r="O551" t="s">
        <v>28</v>
      </c>
      <c r="P551" t="s">
        <v>50</v>
      </c>
      <c r="Q551" s="6">
        <v>1.3334355828220801</v>
      </c>
      <c r="R551">
        <v>4.88</v>
      </c>
      <c r="S551">
        <v>8.36</v>
      </c>
      <c r="T551">
        <v>31.05</v>
      </c>
      <c r="U551">
        <v>64.25</v>
      </c>
      <c r="V551">
        <v>51</v>
      </c>
      <c r="W551">
        <v>1.64</v>
      </c>
    </row>
    <row r="552" spans="1:23" x14ac:dyDescent="0.3">
      <c r="A552">
        <v>550</v>
      </c>
      <c r="B552" t="s">
        <v>595</v>
      </c>
      <c r="C552" t="s">
        <v>43</v>
      </c>
      <c r="D552">
        <v>84</v>
      </c>
      <c r="E552">
        <v>4407</v>
      </c>
      <c r="F552" s="3">
        <v>193</v>
      </c>
      <c r="G552">
        <v>19</v>
      </c>
      <c r="H552">
        <v>10</v>
      </c>
      <c r="I552" s="5">
        <v>0.119047619047619</v>
      </c>
      <c r="J552" s="3">
        <v>249</v>
      </c>
      <c r="K552" s="1">
        <v>45599</v>
      </c>
      <c r="L552" t="s">
        <v>25</v>
      </c>
      <c r="M552" t="s">
        <v>39</v>
      </c>
      <c r="N552" t="s">
        <v>27</v>
      </c>
      <c r="O552" t="s">
        <v>28</v>
      </c>
      <c r="P552" t="s">
        <v>50</v>
      </c>
      <c r="Q552" s="6">
        <v>2.2919047619047599</v>
      </c>
      <c r="R552">
        <v>1.91</v>
      </c>
      <c r="S552">
        <v>10.130000000000001</v>
      </c>
      <c r="T552">
        <v>19.25</v>
      </c>
      <c r="U552">
        <v>29.34</v>
      </c>
      <c r="V552">
        <v>24.9</v>
      </c>
      <c r="W552">
        <v>1.29</v>
      </c>
    </row>
    <row r="553" spans="1:23" x14ac:dyDescent="0.3">
      <c r="A553">
        <v>551</v>
      </c>
      <c r="B553" t="s">
        <v>596</v>
      </c>
      <c r="C553" t="s">
        <v>35</v>
      </c>
      <c r="D553">
        <v>124</v>
      </c>
      <c r="E553">
        <v>3180</v>
      </c>
      <c r="F553" s="3">
        <v>181</v>
      </c>
      <c r="G553">
        <v>17</v>
      </c>
      <c r="H553">
        <v>6</v>
      </c>
      <c r="I553" s="5">
        <v>4.8387096774193498E-2</v>
      </c>
      <c r="J553" s="3">
        <v>372</v>
      </c>
      <c r="K553" s="1">
        <v>45607</v>
      </c>
      <c r="L553" t="s">
        <v>25</v>
      </c>
      <c r="M553" t="s">
        <v>31</v>
      </c>
      <c r="N553" t="s">
        <v>44</v>
      </c>
      <c r="O553" t="s">
        <v>28</v>
      </c>
      <c r="P553" t="s">
        <v>59</v>
      </c>
      <c r="Q553" s="6">
        <v>1.45806451612903</v>
      </c>
      <c r="R553">
        <v>3.9</v>
      </c>
      <c r="S553">
        <v>10.64</v>
      </c>
      <c r="T553">
        <v>30.13</v>
      </c>
      <c r="U553">
        <v>105.75</v>
      </c>
      <c r="V553">
        <v>62</v>
      </c>
      <c r="W553">
        <v>2.06</v>
      </c>
    </row>
    <row r="554" spans="1:23" x14ac:dyDescent="0.3">
      <c r="A554">
        <v>552</v>
      </c>
      <c r="B554" t="s">
        <v>597</v>
      </c>
      <c r="C554" t="s">
        <v>43</v>
      </c>
      <c r="D554">
        <v>162</v>
      </c>
      <c r="E554">
        <v>4947</v>
      </c>
      <c r="F554" s="3">
        <v>234</v>
      </c>
      <c r="G554">
        <v>23</v>
      </c>
      <c r="H554">
        <v>6</v>
      </c>
      <c r="I554" s="5">
        <v>3.7037037037037E-2</v>
      </c>
      <c r="J554" s="3">
        <v>403</v>
      </c>
      <c r="K554" s="1">
        <v>45611</v>
      </c>
      <c r="L554" t="s">
        <v>25</v>
      </c>
      <c r="M554" t="s">
        <v>39</v>
      </c>
      <c r="N554" t="s">
        <v>32</v>
      </c>
      <c r="O554" t="s">
        <v>28</v>
      </c>
      <c r="P554" t="s">
        <v>45</v>
      </c>
      <c r="Q554" s="6">
        <v>1.4429629629629599</v>
      </c>
      <c r="R554">
        <v>3.27</v>
      </c>
      <c r="S554">
        <v>10.16</v>
      </c>
      <c r="T554">
        <v>38.96</v>
      </c>
      <c r="U554">
        <v>72.400000000000006</v>
      </c>
      <c r="V554">
        <v>67.17</v>
      </c>
      <c r="W554">
        <v>1.72</v>
      </c>
    </row>
    <row r="555" spans="1:23" x14ac:dyDescent="0.3">
      <c r="A555">
        <v>553</v>
      </c>
      <c r="B555" t="s">
        <v>598</v>
      </c>
      <c r="C555" t="s">
        <v>24</v>
      </c>
      <c r="D555">
        <v>119</v>
      </c>
      <c r="E555">
        <v>4480</v>
      </c>
      <c r="F555" s="3">
        <v>184</v>
      </c>
      <c r="G555">
        <v>20</v>
      </c>
      <c r="H555">
        <v>3</v>
      </c>
      <c r="I555" s="5">
        <v>2.5210084033613401E-2</v>
      </c>
      <c r="J555" s="3">
        <v>405</v>
      </c>
      <c r="K555" s="1">
        <v>45618</v>
      </c>
      <c r="L555" t="s">
        <v>25</v>
      </c>
      <c r="M555" t="s">
        <v>31</v>
      </c>
      <c r="N555" t="s">
        <v>44</v>
      </c>
      <c r="O555" t="s">
        <v>28</v>
      </c>
      <c r="P555" t="s">
        <v>45</v>
      </c>
      <c r="Q555" s="6">
        <v>1.54831932773109</v>
      </c>
      <c r="R555">
        <v>2.66</v>
      </c>
      <c r="S555">
        <v>9.2100000000000009</v>
      </c>
      <c r="T555">
        <v>61.42</v>
      </c>
      <c r="U555">
        <v>119.81</v>
      </c>
      <c r="V555">
        <v>135</v>
      </c>
      <c r="W555">
        <v>2.2000000000000002</v>
      </c>
    </row>
    <row r="556" spans="1:23" x14ac:dyDescent="0.3">
      <c r="A556">
        <v>554</v>
      </c>
      <c r="B556" t="s">
        <v>599</v>
      </c>
      <c r="C556" t="s">
        <v>35</v>
      </c>
      <c r="D556">
        <v>151</v>
      </c>
      <c r="E556">
        <v>5595</v>
      </c>
      <c r="F556" s="3">
        <v>247</v>
      </c>
      <c r="G556">
        <v>24</v>
      </c>
      <c r="H556">
        <v>4</v>
      </c>
      <c r="I556" s="5">
        <v>2.64900662251655E-2</v>
      </c>
      <c r="J556" s="3">
        <v>392</v>
      </c>
      <c r="K556" s="1">
        <v>45625</v>
      </c>
      <c r="L556" t="s">
        <v>25</v>
      </c>
      <c r="M556" t="s">
        <v>26</v>
      </c>
      <c r="N556" t="s">
        <v>27</v>
      </c>
      <c r="O556" t="s">
        <v>28</v>
      </c>
      <c r="P556" t="s">
        <v>45</v>
      </c>
      <c r="Q556" s="6">
        <v>1.63350993377483</v>
      </c>
      <c r="R556">
        <v>2.7</v>
      </c>
      <c r="S556">
        <v>10.28</v>
      </c>
      <c r="T556">
        <v>61.66</v>
      </c>
      <c r="U556">
        <v>58.92</v>
      </c>
      <c r="V556">
        <v>98</v>
      </c>
      <c r="W556">
        <v>1.59</v>
      </c>
    </row>
    <row r="557" spans="1:23" x14ac:dyDescent="0.3">
      <c r="A557">
        <v>555</v>
      </c>
      <c r="B557" t="s">
        <v>600</v>
      </c>
      <c r="C557" t="s">
        <v>24</v>
      </c>
      <c r="D557">
        <v>190</v>
      </c>
      <c r="E557">
        <v>4808</v>
      </c>
      <c r="F557" s="3">
        <v>200</v>
      </c>
      <c r="G557">
        <v>16</v>
      </c>
      <c r="H557">
        <v>6</v>
      </c>
      <c r="I557" s="5">
        <v>3.1578947368420998E-2</v>
      </c>
      <c r="J557" s="3">
        <v>297</v>
      </c>
      <c r="K557" s="1">
        <v>45599</v>
      </c>
      <c r="L557" t="s">
        <v>25</v>
      </c>
      <c r="M557" t="s">
        <v>26</v>
      </c>
      <c r="N557" t="s">
        <v>36</v>
      </c>
      <c r="O557" t="s">
        <v>28</v>
      </c>
      <c r="P557" t="s">
        <v>50</v>
      </c>
      <c r="Q557" s="6">
        <v>1.0523157894736801</v>
      </c>
      <c r="R557">
        <v>3.95</v>
      </c>
      <c r="S557">
        <v>12.5</v>
      </c>
      <c r="T557">
        <v>33.32</v>
      </c>
      <c r="U557">
        <v>48.54</v>
      </c>
      <c r="V557">
        <v>49.5</v>
      </c>
      <c r="W557">
        <v>1.49</v>
      </c>
    </row>
    <row r="558" spans="1:23" x14ac:dyDescent="0.3">
      <c r="A558">
        <v>556</v>
      </c>
      <c r="B558" t="s">
        <v>601</v>
      </c>
      <c r="C558" t="s">
        <v>43</v>
      </c>
      <c r="D558">
        <v>138</v>
      </c>
      <c r="E558">
        <v>3382</v>
      </c>
      <c r="F558" s="3">
        <v>204</v>
      </c>
      <c r="G558">
        <v>27</v>
      </c>
      <c r="H558">
        <v>7</v>
      </c>
      <c r="I558" s="5">
        <v>5.0724637681159403E-2</v>
      </c>
      <c r="J558" s="3">
        <v>283</v>
      </c>
      <c r="K558" s="1">
        <v>45601</v>
      </c>
      <c r="L558" t="s">
        <v>25</v>
      </c>
      <c r="M558" t="s">
        <v>39</v>
      </c>
      <c r="N558" t="s">
        <v>27</v>
      </c>
      <c r="O558" t="s">
        <v>28</v>
      </c>
      <c r="P558" t="s">
        <v>41</v>
      </c>
      <c r="Q558" s="6">
        <v>1.4791304347826</v>
      </c>
      <c r="R558">
        <v>4.08</v>
      </c>
      <c r="S558">
        <v>7.56</v>
      </c>
      <c r="T558">
        <v>29.16</v>
      </c>
      <c r="U558">
        <v>38.64</v>
      </c>
      <c r="V558">
        <v>40.43</v>
      </c>
      <c r="W558">
        <v>1.39</v>
      </c>
    </row>
    <row r="559" spans="1:23" x14ac:dyDescent="0.3">
      <c r="A559">
        <v>557</v>
      </c>
      <c r="B559" t="s">
        <v>602</v>
      </c>
      <c r="C559" t="s">
        <v>35</v>
      </c>
      <c r="D559">
        <v>100</v>
      </c>
      <c r="E559">
        <v>4643</v>
      </c>
      <c r="F559" s="3">
        <v>214</v>
      </c>
      <c r="G559">
        <v>16</v>
      </c>
      <c r="H559">
        <v>9</v>
      </c>
      <c r="I559" s="5">
        <v>0.09</v>
      </c>
      <c r="J559" s="3">
        <v>241</v>
      </c>
      <c r="K559" s="1">
        <v>45599</v>
      </c>
      <c r="L559" t="s">
        <v>25</v>
      </c>
      <c r="M559" t="s">
        <v>39</v>
      </c>
      <c r="N559" t="s">
        <v>44</v>
      </c>
      <c r="O559" t="s">
        <v>28</v>
      </c>
      <c r="P559" t="s">
        <v>50</v>
      </c>
      <c r="Q559" s="6">
        <v>2.1446000000000001</v>
      </c>
      <c r="R559">
        <v>2.15</v>
      </c>
      <c r="S559">
        <v>13.4</v>
      </c>
      <c r="T559">
        <v>23.83</v>
      </c>
      <c r="U559">
        <v>12.38</v>
      </c>
      <c r="V559">
        <v>26.78</v>
      </c>
      <c r="W559">
        <v>1.1200000000000001</v>
      </c>
    </row>
    <row r="560" spans="1:23" x14ac:dyDescent="0.3">
      <c r="A560">
        <v>558</v>
      </c>
      <c r="B560" t="s">
        <v>603</v>
      </c>
      <c r="C560" t="s">
        <v>24</v>
      </c>
      <c r="D560">
        <v>187</v>
      </c>
      <c r="E560">
        <v>5400</v>
      </c>
      <c r="F560" s="3">
        <v>210</v>
      </c>
      <c r="G560">
        <v>14</v>
      </c>
      <c r="H560">
        <v>7</v>
      </c>
      <c r="I560" s="5">
        <v>3.7433155080213901E-2</v>
      </c>
      <c r="J560" s="3">
        <v>397</v>
      </c>
      <c r="K560" s="1">
        <v>45611</v>
      </c>
      <c r="L560" t="s">
        <v>25</v>
      </c>
      <c r="M560" t="s">
        <v>26</v>
      </c>
      <c r="N560" t="s">
        <v>49</v>
      </c>
      <c r="O560" t="s">
        <v>28</v>
      </c>
      <c r="P560" t="s">
        <v>45</v>
      </c>
      <c r="Q560" s="6">
        <v>1.1229946524064101</v>
      </c>
      <c r="R560">
        <v>3.46</v>
      </c>
      <c r="S560">
        <v>15</v>
      </c>
      <c r="T560">
        <v>30</v>
      </c>
      <c r="U560">
        <v>89.05</v>
      </c>
      <c r="V560">
        <v>56.71</v>
      </c>
      <c r="W560">
        <v>1.89</v>
      </c>
    </row>
    <row r="561" spans="1:23" x14ac:dyDescent="0.3">
      <c r="A561">
        <v>559</v>
      </c>
      <c r="B561" t="s">
        <v>604</v>
      </c>
      <c r="C561" t="s">
        <v>38</v>
      </c>
      <c r="D561">
        <v>176</v>
      </c>
      <c r="E561">
        <v>3400</v>
      </c>
      <c r="F561" s="3">
        <v>192</v>
      </c>
      <c r="G561">
        <v>29</v>
      </c>
      <c r="H561">
        <v>3</v>
      </c>
      <c r="I561" s="5">
        <v>1.7045454545454499E-2</v>
      </c>
      <c r="J561" s="3">
        <v>292</v>
      </c>
      <c r="K561" s="1">
        <v>45624</v>
      </c>
      <c r="L561" t="s">
        <v>25</v>
      </c>
      <c r="M561" t="s">
        <v>31</v>
      </c>
      <c r="N561" t="s">
        <v>44</v>
      </c>
      <c r="O561" t="s">
        <v>28</v>
      </c>
      <c r="P561" t="s">
        <v>54</v>
      </c>
      <c r="Q561" s="6">
        <v>1.0880681818181801</v>
      </c>
      <c r="R561">
        <v>5.18</v>
      </c>
      <c r="S561">
        <v>6.6</v>
      </c>
      <c r="T561">
        <v>63.83</v>
      </c>
      <c r="U561">
        <v>52.48</v>
      </c>
      <c r="V561">
        <v>97.33</v>
      </c>
      <c r="W561">
        <v>1.52</v>
      </c>
    </row>
    <row r="562" spans="1:23" x14ac:dyDescent="0.3">
      <c r="A562">
        <v>560</v>
      </c>
      <c r="B562" t="s">
        <v>605</v>
      </c>
      <c r="C562" t="s">
        <v>43</v>
      </c>
      <c r="D562">
        <v>117</v>
      </c>
      <c r="E562">
        <v>4223</v>
      </c>
      <c r="F562" s="3">
        <v>178</v>
      </c>
      <c r="G562">
        <v>28</v>
      </c>
      <c r="H562">
        <v>6</v>
      </c>
      <c r="I562" s="5">
        <v>5.1282051282051197E-2</v>
      </c>
      <c r="J562" s="3">
        <v>304</v>
      </c>
      <c r="K562" s="1">
        <v>45606</v>
      </c>
      <c r="L562" t="s">
        <v>25</v>
      </c>
      <c r="M562" t="s">
        <v>31</v>
      </c>
      <c r="N562" t="s">
        <v>40</v>
      </c>
      <c r="O562" t="s">
        <v>28</v>
      </c>
      <c r="P562" t="s">
        <v>50</v>
      </c>
      <c r="Q562" s="6">
        <v>1.5243795620437901</v>
      </c>
      <c r="R562">
        <v>2.77</v>
      </c>
      <c r="S562">
        <v>6.37</v>
      </c>
      <c r="T562">
        <v>29.73</v>
      </c>
      <c r="U562">
        <v>70.45</v>
      </c>
      <c r="V562">
        <v>50.67</v>
      </c>
      <c r="W562">
        <v>1.7</v>
      </c>
    </row>
    <row r="563" spans="1:23" x14ac:dyDescent="0.3">
      <c r="A563">
        <v>561</v>
      </c>
      <c r="B563" t="s">
        <v>606</v>
      </c>
      <c r="C563" t="s">
        <v>35</v>
      </c>
      <c r="D563">
        <v>196</v>
      </c>
      <c r="E563">
        <v>6464</v>
      </c>
      <c r="F563" s="3">
        <v>206</v>
      </c>
      <c r="G563">
        <v>24</v>
      </c>
      <c r="H563">
        <v>8</v>
      </c>
      <c r="I563" s="5">
        <v>4.08163265306122E-2</v>
      </c>
      <c r="J563" s="3">
        <v>291</v>
      </c>
      <c r="K563" s="1">
        <v>45619</v>
      </c>
      <c r="L563" t="s">
        <v>25</v>
      </c>
      <c r="M563" t="s">
        <v>39</v>
      </c>
      <c r="N563" t="s">
        <v>36</v>
      </c>
      <c r="O563" t="s">
        <v>28</v>
      </c>
      <c r="P563" t="s">
        <v>29</v>
      </c>
      <c r="Q563" s="6">
        <v>1.0526020408163199</v>
      </c>
      <c r="R563">
        <v>3.03</v>
      </c>
      <c r="S563">
        <v>8.6</v>
      </c>
      <c r="T563">
        <v>25.79</v>
      </c>
      <c r="U563">
        <v>41.05</v>
      </c>
      <c r="V563">
        <v>36.380000000000003</v>
      </c>
      <c r="W563">
        <v>1.41</v>
      </c>
    </row>
    <row r="564" spans="1:23" x14ac:dyDescent="0.3">
      <c r="A564">
        <v>562</v>
      </c>
      <c r="B564" t="s">
        <v>607</v>
      </c>
      <c r="C564" t="s">
        <v>24</v>
      </c>
      <c r="D564">
        <v>155</v>
      </c>
      <c r="E564">
        <v>3864</v>
      </c>
      <c r="F564" s="3">
        <v>222</v>
      </c>
      <c r="G564">
        <v>12</v>
      </c>
      <c r="H564">
        <v>3</v>
      </c>
      <c r="I564" s="5">
        <v>1.9354838709677399E-2</v>
      </c>
      <c r="J564" s="3">
        <v>287</v>
      </c>
      <c r="K564" s="1">
        <v>45617</v>
      </c>
      <c r="L564" t="s">
        <v>25</v>
      </c>
      <c r="M564" t="s">
        <v>31</v>
      </c>
      <c r="N564" t="s">
        <v>40</v>
      </c>
      <c r="O564" t="s">
        <v>28</v>
      </c>
      <c r="P564" t="s">
        <v>54</v>
      </c>
      <c r="Q564" s="6">
        <v>1.43335483870967</v>
      </c>
      <c r="R564">
        <v>4.01</v>
      </c>
      <c r="S564">
        <v>18.510000000000002</v>
      </c>
      <c r="T564">
        <v>74.06</v>
      </c>
      <c r="U564">
        <v>29.18</v>
      </c>
      <c r="V564">
        <v>95.67</v>
      </c>
      <c r="W564">
        <v>1.29</v>
      </c>
    </row>
    <row r="565" spans="1:23" x14ac:dyDescent="0.3">
      <c r="A565">
        <v>563</v>
      </c>
      <c r="B565" t="s">
        <v>608</v>
      </c>
      <c r="C565" t="s">
        <v>24</v>
      </c>
      <c r="D565">
        <v>188</v>
      </c>
      <c r="E565">
        <v>3838</v>
      </c>
      <c r="F565" s="3">
        <v>241</v>
      </c>
      <c r="G565">
        <v>15</v>
      </c>
      <c r="H565">
        <v>3</v>
      </c>
      <c r="I565" s="5">
        <v>1.5957446808510599E-2</v>
      </c>
      <c r="J565" s="3">
        <v>398</v>
      </c>
      <c r="K565" s="1">
        <v>45606</v>
      </c>
      <c r="L565" t="s">
        <v>25</v>
      </c>
      <c r="M565" t="s">
        <v>31</v>
      </c>
      <c r="N565" t="s">
        <v>32</v>
      </c>
      <c r="O565" t="s">
        <v>28</v>
      </c>
      <c r="P565" t="s">
        <v>50</v>
      </c>
      <c r="Q565" s="6">
        <v>1.2818617021276499</v>
      </c>
      <c r="R565">
        <v>4.9000000000000004</v>
      </c>
      <c r="S565">
        <v>16.07</v>
      </c>
      <c r="T565">
        <v>80.33</v>
      </c>
      <c r="U565">
        <v>65.150000000000006</v>
      </c>
      <c r="V565">
        <v>132.66999999999999</v>
      </c>
      <c r="W565">
        <v>1.65</v>
      </c>
    </row>
    <row r="566" spans="1:23" x14ac:dyDescent="0.3">
      <c r="A566">
        <v>564</v>
      </c>
      <c r="B566" t="s">
        <v>609</v>
      </c>
      <c r="C566" t="s">
        <v>38</v>
      </c>
      <c r="D566">
        <v>81</v>
      </c>
      <c r="E566">
        <v>5659</v>
      </c>
      <c r="F566" s="3">
        <v>223</v>
      </c>
      <c r="G566">
        <v>25</v>
      </c>
      <c r="H566">
        <v>4</v>
      </c>
      <c r="I566" s="5">
        <v>4.9382716049382699E-2</v>
      </c>
      <c r="J566" s="3">
        <v>338</v>
      </c>
      <c r="K566" s="1">
        <v>45615</v>
      </c>
      <c r="L566" t="s">
        <v>25</v>
      </c>
      <c r="M566" t="s">
        <v>39</v>
      </c>
      <c r="N566" t="s">
        <v>36</v>
      </c>
      <c r="O566" t="s">
        <v>28</v>
      </c>
      <c r="P566" t="s">
        <v>41</v>
      </c>
      <c r="Q566" s="6">
        <v>2.7528395061728301</v>
      </c>
      <c r="R566">
        <v>1.43</v>
      </c>
      <c r="S566">
        <v>8.92</v>
      </c>
      <c r="T566">
        <v>55.74</v>
      </c>
      <c r="U566">
        <v>51.58</v>
      </c>
      <c r="V566">
        <v>84.5</v>
      </c>
      <c r="W566">
        <v>1.52</v>
      </c>
    </row>
    <row r="567" spans="1:23" x14ac:dyDescent="0.3">
      <c r="A567">
        <v>565</v>
      </c>
      <c r="B567" t="s">
        <v>610</v>
      </c>
      <c r="C567" t="s">
        <v>43</v>
      </c>
      <c r="D567">
        <v>125</v>
      </c>
      <c r="E567">
        <v>4794</v>
      </c>
      <c r="F567" s="3">
        <v>196</v>
      </c>
      <c r="G567">
        <v>28</v>
      </c>
      <c r="H567">
        <v>7</v>
      </c>
      <c r="I567" s="5">
        <v>5.6000000000000001E-2</v>
      </c>
      <c r="J567" s="3">
        <v>297</v>
      </c>
      <c r="K567" s="1">
        <v>45618</v>
      </c>
      <c r="L567" t="s">
        <v>25</v>
      </c>
      <c r="M567" t="s">
        <v>26</v>
      </c>
      <c r="N567" t="s">
        <v>36</v>
      </c>
      <c r="O567" t="s">
        <v>28</v>
      </c>
      <c r="P567" t="s">
        <v>45</v>
      </c>
      <c r="Q567" s="6">
        <v>1.56753061615001</v>
      </c>
      <c r="R567">
        <v>2.61</v>
      </c>
      <c r="S567">
        <v>7</v>
      </c>
      <c r="T567">
        <v>27.99</v>
      </c>
      <c r="U567">
        <v>51.58</v>
      </c>
      <c r="V567">
        <v>42.43</v>
      </c>
      <c r="W567">
        <v>1.52</v>
      </c>
    </row>
    <row r="568" spans="1:23" x14ac:dyDescent="0.3">
      <c r="A568">
        <v>566</v>
      </c>
      <c r="B568" t="s">
        <v>611</v>
      </c>
      <c r="C568" t="s">
        <v>43</v>
      </c>
      <c r="D568">
        <v>158</v>
      </c>
      <c r="E568">
        <v>5214</v>
      </c>
      <c r="F568" s="3">
        <v>222</v>
      </c>
      <c r="G568">
        <v>21</v>
      </c>
      <c r="H568">
        <v>3</v>
      </c>
      <c r="I568" s="5">
        <v>1.8987341772151899E-2</v>
      </c>
      <c r="J568" s="3">
        <v>333</v>
      </c>
      <c r="K568" s="1">
        <v>45599</v>
      </c>
      <c r="L568" t="s">
        <v>25</v>
      </c>
      <c r="M568" t="s">
        <v>26</v>
      </c>
      <c r="N568" t="s">
        <v>32</v>
      </c>
      <c r="O568" t="s">
        <v>28</v>
      </c>
      <c r="P568" t="s">
        <v>50</v>
      </c>
      <c r="Q568" s="6">
        <v>1.4068354430379699</v>
      </c>
      <c r="R568">
        <v>3.03</v>
      </c>
      <c r="S568">
        <v>10.58</v>
      </c>
      <c r="T568">
        <v>74.09</v>
      </c>
      <c r="U568">
        <v>49.81</v>
      </c>
      <c r="V568">
        <v>111</v>
      </c>
      <c r="W568">
        <v>1.5</v>
      </c>
    </row>
    <row r="569" spans="1:23" x14ac:dyDescent="0.3">
      <c r="A569">
        <v>567</v>
      </c>
      <c r="B569" t="s">
        <v>612</v>
      </c>
      <c r="C569" t="s">
        <v>43</v>
      </c>
      <c r="D569">
        <v>133</v>
      </c>
      <c r="E569">
        <v>5762</v>
      </c>
      <c r="F569" s="3">
        <v>196</v>
      </c>
      <c r="G569">
        <v>10</v>
      </c>
      <c r="H569">
        <v>5</v>
      </c>
      <c r="I569" s="5">
        <v>3.7593984962405999E-2</v>
      </c>
      <c r="J569" s="3">
        <v>233.57142857142799</v>
      </c>
      <c r="K569" s="1">
        <v>45599</v>
      </c>
      <c r="L569" t="s">
        <v>25</v>
      </c>
      <c r="M569" t="s">
        <v>39</v>
      </c>
      <c r="N569" t="s">
        <v>32</v>
      </c>
      <c r="O569" t="s">
        <v>28</v>
      </c>
      <c r="P569" t="s">
        <v>50</v>
      </c>
      <c r="Q569" s="6">
        <v>1.4738345864661599</v>
      </c>
      <c r="R569">
        <v>2.31</v>
      </c>
      <c r="S569">
        <v>19.600000000000001</v>
      </c>
      <c r="T569">
        <v>39.200000000000003</v>
      </c>
      <c r="U569">
        <v>19.16</v>
      </c>
      <c r="V569">
        <v>46.71</v>
      </c>
      <c r="W569">
        <v>1.19</v>
      </c>
    </row>
    <row r="570" spans="1:23" x14ac:dyDescent="0.3">
      <c r="A570">
        <v>568</v>
      </c>
      <c r="B570" t="s">
        <v>613</v>
      </c>
      <c r="C570" t="s">
        <v>38</v>
      </c>
      <c r="D570">
        <v>128</v>
      </c>
      <c r="E570">
        <v>5026</v>
      </c>
      <c r="F570" s="3">
        <v>240</v>
      </c>
      <c r="G570">
        <v>15</v>
      </c>
      <c r="H570">
        <v>9</v>
      </c>
      <c r="I570" s="5">
        <v>7.03125E-2</v>
      </c>
      <c r="J570" s="3">
        <v>356</v>
      </c>
      <c r="K570" s="1">
        <v>45621</v>
      </c>
      <c r="L570" t="s">
        <v>25</v>
      </c>
      <c r="M570" t="s">
        <v>31</v>
      </c>
      <c r="N570" t="s">
        <v>49</v>
      </c>
      <c r="O570" t="s">
        <v>28</v>
      </c>
      <c r="P570" t="s">
        <v>59</v>
      </c>
      <c r="Q570" s="6">
        <v>1.8740625</v>
      </c>
      <c r="R570">
        <v>2.5499999999999998</v>
      </c>
      <c r="S570">
        <v>15.99</v>
      </c>
      <c r="T570">
        <v>26.65</v>
      </c>
      <c r="U570">
        <v>48.41</v>
      </c>
      <c r="V570">
        <v>39.56</v>
      </c>
      <c r="W570">
        <v>1.48</v>
      </c>
    </row>
    <row r="571" spans="1:23" x14ac:dyDescent="0.3">
      <c r="A571">
        <v>569</v>
      </c>
      <c r="B571" t="s">
        <v>614</v>
      </c>
      <c r="C571" t="s">
        <v>38</v>
      </c>
      <c r="D571">
        <v>148</v>
      </c>
      <c r="E571">
        <v>3883</v>
      </c>
      <c r="F571" s="3">
        <v>181</v>
      </c>
      <c r="G571">
        <v>30</v>
      </c>
      <c r="H571">
        <v>4</v>
      </c>
      <c r="I571" s="5">
        <v>2.7027027027027001E-2</v>
      </c>
      <c r="J571" s="3">
        <v>401</v>
      </c>
      <c r="K571" s="1">
        <v>45612</v>
      </c>
      <c r="L571" t="s">
        <v>25</v>
      </c>
      <c r="M571" t="s">
        <v>26</v>
      </c>
      <c r="N571" t="s">
        <v>49</v>
      </c>
      <c r="O571" t="s">
        <v>28</v>
      </c>
      <c r="P571" t="s">
        <v>29</v>
      </c>
      <c r="Q571" s="6">
        <v>1.2256756756756699</v>
      </c>
      <c r="R571">
        <v>3.81</v>
      </c>
      <c r="S571">
        <v>6.05</v>
      </c>
      <c r="T571">
        <v>45.35</v>
      </c>
      <c r="U571">
        <v>121.06</v>
      </c>
      <c r="V571">
        <v>100.25</v>
      </c>
      <c r="W571">
        <v>2.21</v>
      </c>
    </row>
    <row r="572" spans="1:23" x14ac:dyDescent="0.3">
      <c r="A572">
        <v>570</v>
      </c>
      <c r="B572" t="s">
        <v>615</v>
      </c>
      <c r="C572" t="s">
        <v>24</v>
      </c>
      <c r="D572">
        <v>92</v>
      </c>
      <c r="E572">
        <v>4605</v>
      </c>
      <c r="F572" s="3">
        <v>235</v>
      </c>
      <c r="G572">
        <v>29</v>
      </c>
      <c r="H572">
        <v>3</v>
      </c>
      <c r="I572" s="5">
        <v>3.2608695652173898E-2</v>
      </c>
      <c r="J572" s="3">
        <v>258</v>
      </c>
      <c r="K572" s="1">
        <v>45626</v>
      </c>
      <c r="L572" t="s">
        <v>25</v>
      </c>
      <c r="M572" t="s">
        <v>31</v>
      </c>
      <c r="N572" t="s">
        <v>40</v>
      </c>
      <c r="O572" t="s">
        <v>28</v>
      </c>
      <c r="P572" t="s">
        <v>29</v>
      </c>
      <c r="Q572" s="6">
        <v>2.5509782608695599</v>
      </c>
      <c r="R572">
        <v>2</v>
      </c>
      <c r="S572">
        <v>8.09</v>
      </c>
      <c r="T572">
        <v>78.23</v>
      </c>
      <c r="U572">
        <v>9.93</v>
      </c>
      <c r="V572">
        <v>86</v>
      </c>
      <c r="W572">
        <v>1.1000000000000001</v>
      </c>
    </row>
    <row r="573" spans="1:23" x14ac:dyDescent="0.3">
      <c r="A573">
        <v>571</v>
      </c>
      <c r="B573" t="s">
        <v>616</v>
      </c>
      <c r="C573" t="s">
        <v>35</v>
      </c>
      <c r="D573">
        <v>147</v>
      </c>
      <c r="E573">
        <v>4848</v>
      </c>
      <c r="F573" s="3">
        <v>206</v>
      </c>
      <c r="G573">
        <v>25</v>
      </c>
      <c r="H573">
        <v>8</v>
      </c>
      <c r="I573" s="5">
        <v>5.4421768707482901E-2</v>
      </c>
      <c r="J573" s="3">
        <v>353</v>
      </c>
      <c r="K573" s="1">
        <v>45598</v>
      </c>
      <c r="L573" t="s">
        <v>25</v>
      </c>
      <c r="M573" t="s">
        <v>26</v>
      </c>
      <c r="N573" t="s">
        <v>32</v>
      </c>
      <c r="O573" t="s">
        <v>28</v>
      </c>
      <c r="P573" t="s">
        <v>29</v>
      </c>
      <c r="Q573" s="6">
        <v>1.40020408163265</v>
      </c>
      <c r="R573">
        <v>3.03</v>
      </c>
      <c r="S573">
        <v>8.23</v>
      </c>
      <c r="T573">
        <v>25.73</v>
      </c>
      <c r="U573">
        <v>71.5</v>
      </c>
      <c r="V573">
        <v>44.12</v>
      </c>
      <c r="W573">
        <v>1.72</v>
      </c>
    </row>
    <row r="574" spans="1:23" x14ac:dyDescent="0.3">
      <c r="A574">
        <v>572</v>
      </c>
      <c r="B574" t="s">
        <v>617</v>
      </c>
      <c r="C574" t="s">
        <v>35</v>
      </c>
      <c r="D574">
        <v>136</v>
      </c>
      <c r="E574">
        <v>5454</v>
      </c>
      <c r="F574" s="3">
        <v>248</v>
      </c>
      <c r="G574">
        <v>13</v>
      </c>
      <c r="H574">
        <v>6</v>
      </c>
      <c r="I574" s="5">
        <v>4.4117647058823498E-2</v>
      </c>
      <c r="J574" s="3">
        <v>344</v>
      </c>
      <c r="K574" s="1">
        <v>45602</v>
      </c>
      <c r="L574" t="s">
        <v>25</v>
      </c>
      <c r="M574" t="s">
        <v>31</v>
      </c>
      <c r="N574" t="s">
        <v>36</v>
      </c>
      <c r="O574" t="s">
        <v>28</v>
      </c>
      <c r="P574" t="s">
        <v>33</v>
      </c>
      <c r="Q574" s="6">
        <v>1.82132352941176</v>
      </c>
      <c r="R574">
        <v>2.4900000000000002</v>
      </c>
      <c r="S574">
        <v>19.05</v>
      </c>
      <c r="T574">
        <v>41.28</v>
      </c>
      <c r="U574">
        <v>38.880000000000003</v>
      </c>
      <c r="V574">
        <v>57.33</v>
      </c>
      <c r="W574">
        <v>1.39</v>
      </c>
    </row>
    <row r="575" spans="1:23" x14ac:dyDescent="0.3">
      <c r="A575">
        <v>573</v>
      </c>
      <c r="B575" t="s">
        <v>618</v>
      </c>
      <c r="C575" t="s">
        <v>35</v>
      </c>
      <c r="D575">
        <v>132</v>
      </c>
      <c r="E575">
        <v>4957</v>
      </c>
      <c r="F575" s="3">
        <v>220</v>
      </c>
      <c r="G575">
        <v>28</v>
      </c>
      <c r="H575">
        <v>6</v>
      </c>
      <c r="I575" s="5">
        <v>4.54545454545454E-2</v>
      </c>
      <c r="J575" s="3">
        <v>249</v>
      </c>
      <c r="K575" s="1">
        <v>45599</v>
      </c>
      <c r="L575" t="s">
        <v>25</v>
      </c>
      <c r="M575" t="s">
        <v>31</v>
      </c>
      <c r="N575" t="s">
        <v>44</v>
      </c>
      <c r="O575" t="s">
        <v>28</v>
      </c>
      <c r="P575" t="s">
        <v>50</v>
      </c>
      <c r="Q575" s="6">
        <v>1.66992424242424</v>
      </c>
      <c r="R575">
        <v>2.66</v>
      </c>
      <c r="S575">
        <v>7.87</v>
      </c>
      <c r="T575">
        <v>36.74</v>
      </c>
      <c r="U575">
        <v>12.96</v>
      </c>
      <c r="V575">
        <v>41.5</v>
      </c>
      <c r="W575">
        <v>1.1299999999999999</v>
      </c>
    </row>
    <row r="576" spans="1:23" x14ac:dyDescent="0.3">
      <c r="A576">
        <v>574</v>
      </c>
      <c r="B576" t="s">
        <v>619</v>
      </c>
      <c r="C576" t="s">
        <v>24</v>
      </c>
      <c r="D576">
        <v>173</v>
      </c>
      <c r="E576">
        <v>5705</v>
      </c>
      <c r="F576" s="3">
        <v>242</v>
      </c>
      <c r="G576">
        <v>28</v>
      </c>
      <c r="H576">
        <v>3</v>
      </c>
      <c r="I576" s="5">
        <v>1.7341040462427699E-2</v>
      </c>
      <c r="J576" s="3">
        <v>243</v>
      </c>
      <c r="K576" s="1">
        <v>45609</v>
      </c>
      <c r="L576" t="s">
        <v>25</v>
      </c>
      <c r="M576" t="s">
        <v>39</v>
      </c>
      <c r="N576" t="s">
        <v>27</v>
      </c>
      <c r="O576" t="s">
        <v>28</v>
      </c>
      <c r="P576" t="s">
        <v>33</v>
      </c>
      <c r="Q576" s="6">
        <v>1.3965895953757199</v>
      </c>
      <c r="R576">
        <v>3.03</v>
      </c>
      <c r="S576">
        <v>8.6300000000000008</v>
      </c>
      <c r="T576">
        <v>80.540000000000006</v>
      </c>
      <c r="U576">
        <v>0.57999999999999996</v>
      </c>
      <c r="V576">
        <v>81</v>
      </c>
      <c r="W576">
        <v>1.01</v>
      </c>
    </row>
    <row r="577" spans="1:23" x14ac:dyDescent="0.3">
      <c r="A577">
        <v>575</v>
      </c>
      <c r="B577" t="s">
        <v>620</v>
      </c>
      <c r="C577" t="s">
        <v>35</v>
      </c>
      <c r="D577">
        <v>85</v>
      </c>
      <c r="E577">
        <v>4747</v>
      </c>
      <c r="F577" s="3">
        <v>224</v>
      </c>
      <c r="G577">
        <v>26</v>
      </c>
      <c r="H577">
        <v>5</v>
      </c>
      <c r="I577" s="5">
        <v>5.8823529411764698E-2</v>
      </c>
      <c r="J577" s="3">
        <v>222</v>
      </c>
      <c r="K577" s="1">
        <v>45597</v>
      </c>
      <c r="L577" t="s">
        <v>25</v>
      </c>
      <c r="M577" t="s">
        <v>39</v>
      </c>
      <c r="N577" t="s">
        <v>32</v>
      </c>
      <c r="O577" t="s">
        <v>28</v>
      </c>
      <c r="P577" t="s">
        <v>45</v>
      </c>
      <c r="Q577" s="6">
        <v>2.6394117647058799</v>
      </c>
      <c r="R577">
        <v>1.79</v>
      </c>
      <c r="S577">
        <v>8.6300000000000008</v>
      </c>
      <c r="T577">
        <v>44.87</v>
      </c>
      <c r="U577">
        <v>-1.05</v>
      </c>
      <c r="V577">
        <v>44.4</v>
      </c>
      <c r="W577">
        <v>0.99</v>
      </c>
    </row>
    <row r="578" spans="1:23" x14ac:dyDescent="0.3">
      <c r="A578">
        <v>576</v>
      </c>
      <c r="B578" t="s">
        <v>621</v>
      </c>
      <c r="C578" t="s">
        <v>38</v>
      </c>
      <c r="D578">
        <v>129</v>
      </c>
      <c r="E578">
        <v>5874</v>
      </c>
      <c r="F578" s="3">
        <v>200</v>
      </c>
      <c r="G578">
        <v>12</v>
      </c>
      <c r="H578">
        <v>5</v>
      </c>
      <c r="I578" s="5">
        <v>3.8759689922480599E-2</v>
      </c>
      <c r="J578" s="3">
        <v>287</v>
      </c>
      <c r="K578" s="1">
        <v>45625</v>
      </c>
      <c r="L578" t="s">
        <v>25</v>
      </c>
      <c r="M578" t="s">
        <v>39</v>
      </c>
      <c r="N578" t="s">
        <v>44</v>
      </c>
      <c r="O578" t="s">
        <v>28</v>
      </c>
      <c r="P578" t="s">
        <v>45</v>
      </c>
      <c r="Q578" s="6">
        <v>1.5517054263565799</v>
      </c>
      <c r="R578">
        <v>2.2000000000000002</v>
      </c>
      <c r="S578">
        <v>16.68</v>
      </c>
      <c r="T578">
        <v>40.03</v>
      </c>
      <c r="U578">
        <v>43.38</v>
      </c>
      <c r="V578">
        <v>57.4</v>
      </c>
      <c r="W578">
        <v>1.43</v>
      </c>
    </row>
    <row r="579" spans="1:23" x14ac:dyDescent="0.3">
      <c r="A579">
        <v>577</v>
      </c>
      <c r="B579" t="s">
        <v>622</v>
      </c>
      <c r="C579" t="s">
        <v>43</v>
      </c>
      <c r="D579">
        <v>181</v>
      </c>
      <c r="E579">
        <v>4730</v>
      </c>
      <c r="F579" s="3">
        <v>243</v>
      </c>
      <c r="G579">
        <v>16</v>
      </c>
      <c r="H579">
        <v>4</v>
      </c>
      <c r="I579" s="5">
        <v>2.2099447513812098E-2</v>
      </c>
      <c r="J579" s="3">
        <v>403</v>
      </c>
      <c r="K579" s="1">
        <v>45616</v>
      </c>
      <c r="L579" t="s">
        <v>25</v>
      </c>
      <c r="M579" t="s">
        <v>31</v>
      </c>
      <c r="N579" t="s">
        <v>44</v>
      </c>
      <c r="O579" t="s">
        <v>28</v>
      </c>
      <c r="P579" t="s">
        <v>33</v>
      </c>
      <c r="Q579" s="6">
        <v>1.3444751381215401</v>
      </c>
      <c r="R579">
        <v>3.83</v>
      </c>
      <c r="S579">
        <v>15.21</v>
      </c>
      <c r="T579">
        <v>60.84</v>
      </c>
      <c r="U579">
        <v>65.61</v>
      </c>
      <c r="V579">
        <v>100.75</v>
      </c>
      <c r="W579">
        <v>1.66</v>
      </c>
    </row>
    <row r="580" spans="1:23" x14ac:dyDescent="0.3">
      <c r="A580">
        <v>578</v>
      </c>
      <c r="B580" t="s">
        <v>623</v>
      </c>
      <c r="C580" t="s">
        <v>38</v>
      </c>
      <c r="D580">
        <v>85</v>
      </c>
      <c r="E580">
        <v>5341</v>
      </c>
      <c r="F580" s="3">
        <v>250</v>
      </c>
      <c r="G580">
        <v>21</v>
      </c>
      <c r="H580">
        <v>6</v>
      </c>
      <c r="I580" s="5">
        <v>7.0588235294117604E-2</v>
      </c>
      <c r="J580" s="3">
        <v>283</v>
      </c>
      <c r="K580" s="1">
        <v>45606</v>
      </c>
      <c r="L580" t="s">
        <v>25</v>
      </c>
      <c r="M580" t="s">
        <v>31</v>
      </c>
      <c r="N580" t="s">
        <v>44</v>
      </c>
      <c r="O580" t="s">
        <v>28</v>
      </c>
      <c r="P580" t="s">
        <v>50</v>
      </c>
      <c r="Q580" s="6">
        <v>2.93694117647058</v>
      </c>
      <c r="R580">
        <v>1.59</v>
      </c>
      <c r="S580">
        <v>11.89</v>
      </c>
      <c r="T580">
        <v>41.61</v>
      </c>
      <c r="U580">
        <v>13.36</v>
      </c>
      <c r="V580">
        <v>47.17</v>
      </c>
      <c r="W580">
        <v>1.1299999999999999</v>
      </c>
    </row>
    <row r="581" spans="1:23" x14ac:dyDescent="0.3">
      <c r="A581">
        <v>579</v>
      </c>
      <c r="B581" t="s">
        <v>624</v>
      </c>
      <c r="C581" t="s">
        <v>38</v>
      </c>
      <c r="D581">
        <v>92</v>
      </c>
      <c r="E581">
        <v>4327</v>
      </c>
      <c r="F581" s="3">
        <v>189</v>
      </c>
      <c r="G581">
        <v>14</v>
      </c>
      <c r="H581">
        <v>7</v>
      </c>
      <c r="I581" s="5">
        <v>7.6086956521739094E-2</v>
      </c>
      <c r="J581" s="3">
        <v>233</v>
      </c>
      <c r="K581" s="1">
        <v>45618</v>
      </c>
      <c r="L581" t="s">
        <v>25</v>
      </c>
      <c r="M581" t="s">
        <v>39</v>
      </c>
      <c r="N581" t="s">
        <v>40</v>
      </c>
      <c r="O581" t="s">
        <v>28</v>
      </c>
      <c r="P581" t="s">
        <v>45</v>
      </c>
      <c r="Q581" s="6">
        <v>2.0499999999999998</v>
      </c>
      <c r="R581">
        <v>2.13</v>
      </c>
      <c r="S581">
        <v>13.47</v>
      </c>
      <c r="T581">
        <v>26.94</v>
      </c>
      <c r="U581">
        <v>23.54</v>
      </c>
      <c r="V581">
        <v>33.29</v>
      </c>
      <c r="W581">
        <v>1.24</v>
      </c>
    </row>
    <row r="582" spans="1:23" x14ac:dyDescent="0.3">
      <c r="A582">
        <v>580</v>
      </c>
      <c r="B582" t="s">
        <v>625</v>
      </c>
      <c r="C582" t="s">
        <v>43</v>
      </c>
      <c r="D582">
        <v>192</v>
      </c>
      <c r="E582">
        <v>6332</v>
      </c>
      <c r="F582" s="3">
        <v>181</v>
      </c>
      <c r="G582">
        <v>27</v>
      </c>
      <c r="H582">
        <v>4</v>
      </c>
      <c r="I582" s="5">
        <v>2.0833333333333301E-2</v>
      </c>
      <c r="J582" s="3">
        <v>377</v>
      </c>
      <c r="K582" s="1">
        <v>45605</v>
      </c>
      <c r="L582" t="s">
        <v>25</v>
      </c>
      <c r="M582" t="s">
        <v>31</v>
      </c>
      <c r="N582" t="s">
        <v>40</v>
      </c>
      <c r="O582" t="s">
        <v>28</v>
      </c>
      <c r="P582" t="s">
        <v>29</v>
      </c>
      <c r="Q582" s="6">
        <v>0.941770833333333</v>
      </c>
      <c r="R582">
        <v>3.03</v>
      </c>
      <c r="S582">
        <v>6.7</v>
      </c>
      <c r="T582">
        <v>45.2</v>
      </c>
      <c r="U582">
        <v>108.49</v>
      </c>
      <c r="V582">
        <v>94.25</v>
      </c>
      <c r="W582">
        <v>2.08</v>
      </c>
    </row>
    <row r="583" spans="1:23" x14ac:dyDescent="0.3">
      <c r="A583">
        <v>581</v>
      </c>
      <c r="B583" t="s">
        <v>626</v>
      </c>
      <c r="C583" t="s">
        <v>38</v>
      </c>
      <c r="D583">
        <v>146</v>
      </c>
      <c r="E583">
        <v>4484</v>
      </c>
      <c r="F583" s="3">
        <v>195</v>
      </c>
      <c r="G583">
        <v>27</v>
      </c>
      <c r="H583">
        <v>9</v>
      </c>
      <c r="I583" s="5">
        <v>6.1643835616438297E-2</v>
      </c>
      <c r="J583" s="3">
        <v>252</v>
      </c>
      <c r="K583" s="1">
        <v>45598</v>
      </c>
      <c r="L583" t="s">
        <v>25</v>
      </c>
      <c r="M583" t="s">
        <v>39</v>
      </c>
      <c r="N583" t="s">
        <v>40</v>
      </c>
      <c r="O583" t="s">
        <v>28</v>
      </c>
      <c r="P583" t="s">
        <v>29</v>
      </c>
      <c r="Q583" s="6">
        <v>1.3333561643835601</v>
      </c>
      <c r="R583">
        <v>3.26</v>
      </c>
      <c r="S583">
        <v>7.21</v>
      </c>
      <c r="T583">
        <v>21.63</v>
      </c>
      <c r="U583">
        <v>29.45</v>
      </c>
      <c r="V583">
        <v>28</v>
      </c>
      <c r="W583">
        <v>1.29</v>
      </c>
    </row>
    <row r="584" spans="1:23" x14ac:dyDescent="0.3">
      <c r="A584">
        <v>582</v>
      </c>
      <c r="B584" t="s">
        <v>627</v>
      </c>
      <c r="C584" t="s">
        <v>35</v>
      </c>
      <c r="D584">
        <v>178</v>
      </c>
      <c r="E584">
        <v>4311</v>
      </c>
      <c r="F584" s="3">
        <v>205</v>
      </c>
      <c r="G584">
        <v>18</v>
      </c>
      <c r="H584">
        <v>4</v>
      </c>
      <c r="I584" s="5">
        <v>2.2471910112359501E-2</v>
      </c>
      <c r="J584" s="3">
        <v>341</v>
      </c>
      <c r="K584" s="1">
        <v>45614</v>
      </c>
      <c r="L584" t="s">
        <v>25</v>
      </c>
      <c r="M584" t="s">
        <v>39</v>
      </c>
      <c r="N584" t="s">
        <v>49</v>
      </c>
      <c r="O584" t="s">
        <v>28</v>
      </c>
      <c r="P584" t="s">
        <v>59</v>
      </c>
      <c r="Q584" s="6">
        <v>1.15426966292134</v>
      </c>
      <c r="R584">
        <v>4.13</v>
      </c>
      <c r="S584">
        <v>11.41</v>
      </c>
      <c r="T584">
        <v>51.36</v>
      </c>
      <c r="U584">
        <v>65.97</v>
      </c>
      <c r="V584">
        <v>85.25</v>
      </c>
      <c r="W584">
        <v>1.66</v>
      </c>
    </row>
    <row r="585" spans="1:23" x14ac:dyDescent="0.3">
      <c r="A585">
        <v>583</v>
      </c>
      <c r="B585" t="s">
        <v>628</v>
      </c>
      <c r="C585" t="s">
        <v>24</v>
      </c>
      <c r="D585">
        <v>197</v>
      </c>
      <c r="E585">
        <v>3009</v>
      </c>
      <c r="F585" s="3">
        <v>233</v>
      </c>
      <c r="G585">
        <v>22</v>
      </c>
      <c r="H585">
        <v>9</v>
      </c>
      <c r="I585" s="5">
        <v>4.5685279187817202E-2</v>
      </c>
      <c r="J585" s="3">
        <v>280</v>
      </c>
      <c r="K585" s="1">
        <v>45614</v>
      </c>
      <c r="L585" t="s">
        <v>25</v>
      </c>
      <c r="M585" t="s">
        <v>39</v>
      </c>
      <c r="N585" t="s">
        <v>49</v>
      </c>
      <c r="O585" t="s">
        <v>28</v>
      </c>
      <c r="P585" t="s">
        <v>59</v>
      </c>
      <c r="Q585" s="6">
        <v>1.18497461928934</v>
      </c>
      <c r="R585">
        <v>6.55</v>
      </c>
      <c r="S585">
        <v>10.61</v>
      </c>
      <c r="T585">
        <v>25.94</v>
      </c>
      <c r="U585">
        <v>19.95</v>
      </c>
      <c r="V585">
        <v>31.11</v>
      </c>
      <c r="W585">
        <v>1.2</v>
      </c>
    </row>
    <row r="586" spans="1:23" x14ac:dyDescent="0.3">
      <c r="A586">
        <v>584</v>
      </c>
      <c r="B586" t="s">
        <v>629</v>
      </c>
      <c r="C586" t="s">
        <v>35</v>
      </c>
      <c r="D586">
        <v>176</v>
      </c>
      <c r="E586">
        <v>3110</v>
      </c>
      <c r="F586" s="3">
        <v>205</v>
      </c>
      <c r="G586">
        <v>23</v>
      </c>
      <c r="H586">
        <v>5</v>
      </c>
      <c r="I586" s="5">
        <v>2.8409090909090901E-2</v>
      </c>
      <c r="J586" s="3">
        <v>356</v>
      </c>
      <c r="K586" s="1">
        <v>45615</v>
      </c>
      <c r="L586" t="s">
        <v>25</v>
      </c>
      <c r="M586" t="s">
        <v>26</v>
      </c>
      <c r="N586" t="s">
        <v>44</v>
      </c>
      <c r="O586" t="s">
        <v>28</v>
      </c>
      <c r="P586" t="s">
        <v>41</v>
      </c>
      <c r="Q586" s="6">
        <v>1.1660795454545401</v>
      </c>
      <c r="R586">
        <v>5.66</v>
      </c>
      <c r="S586">
        <v>8.92</v>
      </c>
      <c r="T586">
        <v>41.05</v>
      </c>
      <c r="U586">
        <v>73.459999999999994</v>
      </c>
      <c r="V586">
        <v>71.2</v>
      </c>
      <c r="W586">
        <v>1.73</v>
      </c>
    </row>
    <row r="587" spans="1:23" x14ac:dyDescent="0.3">
      <c r="A587">
        <v>585</v>
      </c>
      <c r="B587" t="s">
        <v>630</v>
      </c>
      <c r="C587" t="s">
        <v>24</v>
      </c>
      <c r="D587">
        <v>98</v>
      </c>
      <c r="E587">
        <v>3365</v>
      </c>
      <c r="F587" s="3">
        <v>224</v>
      </c>
      <c r="G587">
        <v>27</v>
      </c>
      <c r="H587">
        <v>9</v>
      </c>
      <c r="I587" s="5">
        <v>9.18367346938775E-2</v>
      </c>
      <c r="J587" s="3">
        <v>226</v>
      </c>
      <c r="K587" s="1">
        <v>45623</v>
      </c>
      <c r="L587" t="s">
        <v>25</v>
      </c>
      <c r="M587" t="s">
        <v>26</v>
      </c>
      <c r="N587" t="s">
        <v>40</v>
      </c>
      <c r="O587" t="s">
        <v>28</v>
      </c>
      <c r="P587" t="s">
        <v>33</v>
      </c>
      <c r="Q587" s="6">
        <v>2.2885714285714198</v>
      </c>
      <c r="R587">
        <v>2.91</v>
      </c>
      <c r="S587">
        <v>8.31</v>
      </c>
      <c r="T587">
        <v>24.92</v>
      </c>
      <c r="U587">
        <v>0.77</v>
      </c>
      <c r="V587">
        <v>25.11</v>
      </c>
      <c r="W587">
        <v>1.01</v>
      </c>
    </row>
    <row r="588" spans="1:23" x14ac:dyDescent="0.3">
      <c r="A588">
        <v>586</v>
      </c>
      <c r="B588" t="s">
        <v>631</v>
      </c>
      <c r="C588" t="s">
        <v>24</v>
      </c>
      <c r="D588">
        <v>105</v>
      </c>
      <c r="E588">
        <v>3274</v>
      </c>
      <c r="F588" s="3">
        <v>188</v>
      </c>
      <c r="G588">
        <v>24</v>
      </c>
      <c r="H588">
        <v>4</v>
      </c>
      <c r="I588" s="5">
        <v>3.8095238095238099E-2</v>
      </c>
      <c r="J588" s="3">
        <v>278</v>
      </c>
      <c r="K588" s="1">
        <v>45605</v>
      </c>
      <c r="L588" t="s">
        <v>25</v>
      </c>
      <c r="M588" t="s">
        <v>26</v>
      </c>
      <c r="N588" t="s">
        <v>27</v>
      </c>
      <c r="O588" t="s">
        <v>28</v>
      </c>
      <c r="P588" t="s">
        <v>29</v>
      </c>
      <c r="Q588" s="6">
        <v>1.78942857142857</v>
      </c>
      <c r="R588">
        <v>3.21</v>
      </c>
      <c r="S588">
        <v>7.83</v>
      </c>
      <c r="T588">
        <v>46.97</v>
      </c>
      <c r="U588">
        <v>47.96</v>
      </c>
      <c r="V588">
        <v>69.5</v>
      </c>
      <c r="W588">
        <v>1.48</v>
      </c>
    </row>
    <row r="589" spans="1:23" x14ac:dyDescent="0.3">
      <c r="A589">
        <v>587</v>
      </c>
      <c r="B589" t="s">
        <v>632</v>
      </c>
      <c r="C589" t="s">
        <v>24</v>
      </c>
      <c r="D589">
        <v>113</v>
      </c>
      <c r="E589">
        <v>3231</v>
      </c>
      <c r="F589" s="3">
        <v>210</v>
      </c>
      <c r="G589">
        <v>19</v>
      </c>
      <c r="H589">
        <v>10</v>
      </c>
      <c r="I589" s="5">
        <v>8.8495575221238895E-2</v>
      </c>
      <c r="J589" s="3">
        <v>252</v>
      </c>
      <c r="K589" s="1">
        <v>45611</v>
      </c>
      <c r="L589" t="s">
        <v>25</v>
      </c>
      <c r="M589" t="s">
        <v>26</v>
      </c>
      <c r="N589" t="s">
        <v>44</v>
      </c>
      <c r="O589" t="s">
        <v>28</v>
      </c>
      <c r="P589" t="s">
        <v>45</v>
      </c>
      <c r="Q589" s="6">
        <v>1.85955752212389</v>
      </c>
      <c r="R589">
        <v>3.5</v>
      </c>
      <c r="S589">
        <v>11.06</v>
      </c>
      <c r="T589">
        <v>21.01</v>
      </c>
      <c r="U589">
        <v>19.93</v>
      </c>
      <c r="V589">
        <v>25.2</v>
      </c>
      <c r="W589">
        <v>1.2</v>
      </c>
    </row>
    <row r="590" spans="1:23" x14ac:dyDescent="0.3">
      <c r="A590">
        <v>588</v>
      </c>
      <c r="B590" t="s">
        <v>633</v>
      </c>
      <c r="C590" t="s">
        <v>43</v>
      </c>
      <c r="D590">
        <v>104</v>
      </c>
      <c r="E590">
        <v>3440</v>
      </c>
      <c r="F590" s="3">
        <v>247</v>
      </c>
      <c r="G590">
        <v>13</v>
      </c>
      <c r="H590">
        <v>10</v>
      </c>
      <c r="I590" s="5">
        <v>9.6153846153846104E-2</v>
      </c>
      <c r="J590" s="3">
        <v>248</v>
      </c>
      <c r="K590" s="1">
        <v>45623</v>
      </c>
      <c r="L590" t="s">
        <v>25</v>
      </c>
      <c r="M590" t="s">
        <v>39</v>
      </c>
      <c r="N590" t="s">
        <v>44</v>
      </c>
      <c r="O590" t="s">
        <v>28</v>
      </c>
      <c r="P590" t="s">
        <v>33</v>
      </c>
      <c r="Q590" s="6">
        <v>2.3704807692307601</v>
      </c>
      <c r="R590">
        <v>3.02</v>
      </c>
      <c r="S590">
        <v>18.96</v>
      </c>
      <c r="T590">
        <v>24.65</v>
      </c>
      <c r="U590">
        <v>0.6</v>
      </c>
      <c r="V590">
        <v>24.8</v>
      </c>
      <c r="W590">
        <v>1.01</v>
      </c>
    </row>
    <row r="591" spans="1:23" x14ac:dyDescent="0.3">
      <c r="A591">
        <v>589</v>
      </c>
      <c r="B591" t="s">
        <v>634</v>
      </c>
      <c r="C591" t="s">
        <v>38</v>
      </c>
      <c r="D591">
        <v>88</v>
      </c>
      <c r="E591">
        <v>5196</v>
      </c>
      <c r="F591" s="3">
        <v>197</v>
      </c>
      <c r="G591">
        <v>26</v>
      </c>
      <c r="H591">
        <v>5</v>
      </c>
      <c r="I591" s="5">
        <v>5.6818181818181802E-2</v>
      </c>
      <c r="J591" s="3">
        <v>293</v>
      </c>
      <c r="K591" s="1">
        <v>45599</v>
      </c>
      <c r="L591" t="s">
        <v>25</v>
      </c>
      <c r="M591" t="s">
        <v>26</v>
      </c>
      <c r="N591" t="s">
        <v>44</v>
      </c>
      <c r="O591" t="s">
        <v>28</v>
      </c>
      <c r="P591" t="s">
        <v>50</v>
      </c>
      <c r="Q591" s="6">
        <v>2.2422727272727201</v>
      </c>
      <c r="R591">
        <v>1.69</v>
      </c>
      <c r="S591">
        <v>7.59</v>
      </c>
      <c r="T591">
        <v>39.46</v>
      </c>
      <c r="U591">
        <v>48.49</v>
      </c>
      <c r="V591">
        <v>58.6</v>
      </c>
      <c r="W591">
        <v>1.48</v>
      </c>
    </row>
    <row r="592" spans="1:23" x14ac:dyDescent="0.3">
      <c r="A592">
        <v>590</v>
      </c>
      <c r="B592" t="s">
        <v>635</v>
      </c>
      <c r="C592" t="s">
        <v>43</v>
      </c>
      <c r="D592">
        <v>106</v>
      </c>
      <c r="E592">
        <v>5321</v>
      </c>
      <c r="F592" s="3">
        <v>240</v>
      </c>
      <c r="G592">
        <v>11</v>
      </c>
      <c r="H592">
        <v>7</v>
      </c>
      <c r="I592" s="5">
        <v>6.6037735849056603E-2</v>
      </c>
      <c r="J592" s="3">
        <v>390</v>
      </c>
      <c r="K592" s="1">
        <v>45620</v>
      </c>
      <c r="L592" t="s">
        <v>25</v>
      </c>
      <c r="M592" t="s">
        <v>26</v>
      </c>
      <c r="N592" t="s">
        <v>40</v>
      </c>
      <c r="O592" t="s">
        <v>28</v>
      </c>
      <c r="P592" t="s">
        <v>50</v>
      </c>
      <c r="Q592" s="6">
        <v>2.2618867924528301</v>
      </c>
      <c r="R592">
        <v>1.99</v>
      </c>
      <c r="S592">
        <v>21.8</v>
      </c>
      <c r="T592">
        <v>34.25</v>
      </c>
      <c r="U592">
        <v>62.66</v>
      </c>
      <c r="V592">
        <v>55.71</v>
      </c>
      <c r="W592">
        <v>1.63</v>
      </c>
    </row>
    <row r="593" spans="1:23" x14ac:dyDescent="0.3">
      <c r="A593">
        <v>591</v>
      </c>
      <c r="B593" t="s">
        <v>636</v>
      </c>
      <c r="C593" t="s">
        <v>24</v>
      </c>
      <c r="D593">
        <v>148</v>
      </c>
      <c r="E593">
        <v>5841</v>
      </c>
      <c r="F593" s="3">
        <v>243</v>
      </c>
      <c r="G593">
        <v>15</v>
      </c>
      <c r="H593">
        <v>7</v>
      </c>
      <c r="I593" s="5">
        <v>4.72972972972973E-2</v>
      </c>
      <c r="J593" s="3">
        <v>313</v>
      </c>
      <c r="K593" s="1">
        <v>45625</v>
      </c>
      <c r="L593" t="s">
        <v>25</v>
      </c>
      <c r="M593" t="s">
        <v>31</v>
      </c>
      <c r="N593" t="s">
        <v>36</v>
      </c>
      <c r="O593" t="s">
        <v>28</v>
      </c>
      <c r="P593" t="s">
        <v>45</v>
      </c>
      <c r="Q593" s="6">
        <v>1.6425000000000001</v>
      </c>
      <c r="R593">
        <v>2.5299999999999998</v>
      </c>
      <c r="S593">
        <v>16.21</v>
      </c>
      <c r="T593">
        <v>34.729999999999997</v>
      </c>
      <c r="U593">
        <v>28.76</v>
      </c>
      <c r="V593">
        <v>44.71</v>
      </c>
      <c r="W593">
        <v>1.29</v>
      </c>
    </row>
    <row r="594" spans="1:23" x14ac:dyDescent="0.3">
      <c r="A594">
        <v>592</v>
      </c>
      <c r="B594" t="s">
        <v>637</v>
      </c>
      <c r="C594" t="s">
        <v>38</v>
      </c>
      <c r="D594">
        <v>174</v>
      </c>
      <c r="E594">
        <v>5738</v>
      </c>
      <c r="F594" s="3">
        <v>228</v>
      </c>
      <c r="G594">
        <v>25</v>
      </c>
      <c r="H594">
        <v>5</v>
      </c>
      <c r="I594" s="5">
        <v>2.8735632183908E-2</v>
      </c>
      <c r="J594" s="3">
        <v>320</v>
      </c>
      <c r="K594" s="1">
        <v>45611</v>
      </c>
      <c r="L594" t="s">
        <v>25</v>
      </c>
      <c r="M594" t="s">
        <v>39</v>
      </c>
      <c r="N594" t="s">
        <v>44</v>
      </c>
      <c r="O594" t="s">
        <v>28</v>
      </c>
      <c r="P594" t="s">
        <v>45</v>
      </c>
      <c r="Q594" s="6">
        <v>1.31011494252873</v>
      </c>
      <c r="R594">
        <v>3.03</v>
      </c>
      <c r="S594">
        <v>9.1199999999999992</v>
      </c>
      <c r="T594">
        <v>45.59</v>
      </c>
      <c r="U594">
        <v>40.380000000000003</v>
      </c>
      <c r="V594">
        <v>64</v>
      </c>
      <c r="W594">
        <v>1.4</v>
      </c>
    </row>
    <row r="595" spans="1:23" x14ac:dyDescent="0.3">
      <c r="A595">
        <v>593</v>
      </c>
      <c r="B595" t="s">
        <v>638</v>
      </c>
      <c r="C595" t="s">
        <v>24</v>
      </c>
      <c r="D595">
        <v>196</v>
      </c>
      <c r="E595">
        <v>5776</v>
      </c>
      <c r="F595" s="3">
        <v>227</v>
      </c>
      <c r="G595">
        <v>30</v>
      </c>
      <c r="H595">
        <v>4</v>
      </c>
      <c r="I595" s="5">
        <v>2.04081632653061E-2</v>
      </c>
      <c r="J595" s="3">
        <v>186.85714285714201</v>
      </c>
      <c r="K595" s="1">
        <v>45600</v>
      </c>
      <c r="L595" t="s">
        <v>25</v>
      </c>
      <c r="M595" t="s">
        <v>31</v>
      </c>
      <c r="N595" t="s">
        <v>40</v>
      </c>
      <c r="O595" t="s">
        <v>28</v>
      </c>
      <c r="P595" t="s">
        <v>59</v>
      </c>
      <c r="Q595" s="6">
        <v>1.15938775510204</v>
      </c>
      <c r="R595">
        <v>3.39</v>
      </c>
      <c r="S595">
        <v>7.57</v>
      </c>
      <c r="T595">
        <v>56.81</v>
      </c>
      <c r="U595">
        <v>-17.77</v>
      </c>
      <c r="V595">
        <v>46.71</v>
      </c>
      <c r="W595">
        <v>0.82</v>
      </c>
    </row>
    <row r="596" spans="1:23" x14ac:dyDescent="0.3">
      <c r="A596">
        <v>594</v>
      </c>
      <c r="B596" t="s">
        <v>639</v>
      </c>
      <c r="C596" t="s">
        <v>43</v>
      </c>
      <c r="D596">
        <v>128</v>
      </c>
      <c r="E596">
        <v>4729</v>
      </c>
      <c r="F596" s="3">
        <v>243</v>
      </c>
      <c r="G596">
        <v>25</v>
      </c>
      <c r="H596">
        <v>9</v>
      </c>
      <c r="I596" s="5">
        <v>7.03125E-2</v>
      </c>
      <c r="J596" s="3">
        <v>364</v>
      </c>
      <c r="K596" s="1">
        <v>45619</v>
      </c>
      <c r="L596" t="s">
        <v>25</v>
      </c>
      <c r="M596" t="s">
        <v>26</v>
      </c>
      <c r="N596" t="s">
        <v>27</v>
      </c>
      <c r="O596" t="s">
        <v>28</v>
      </c>
      <c r="P596" t="s">
        <v>29</v>
      </c>
      <c r="Q596" s="6">
        <v>1.9019531249999999</v>
      </c>
      <c r="R596">
        <v>2.71</v>
      </c>
      <c r="S596">
        <v>9.74</v>
      </c>
      <c r="T596">
        <v>27.05</v>
      </c>
      <c r="U596">
        <v>49.52</v>
      </c>
      <c r="V596">
        <v>40.44</v>
      </c>
      <c r="W596">
        <v>1.5</v>
      </c>
    </row>
    <row r="597" spans="1:23" x14ac:dyDescent="0.3">
      <c r="A597">
        <v>595</v>
      </c>
      <c r="B597" t="s">
        <v>640</v>
      </c>
      <c r="C597" t="s">
        <v>38</v>
      </c>
      <c r="D597">
        <v>163</v>
      </c>
      <c r="E597">
        <v>5371</v>
      </c>
      <c r="F597" s="3">
        <v>216</v>
      </c>
      <c r="G597">
        <v>29</v>
      </c>
      <c r="H597">
        <v>7</v>
      </c>
      <c r="I597" s="5">
        <v>4.2944785276073601E-2</v>
      </c>
      <c r="J597" s="3">
        <v>389</v>
      </c>
      <c r="K597" s="1">
        <v>45601</v>
      </c>
      <c r="L597" t="s">
        <v>25</v>
      </c>
      <c r="M597" t="s">
        <v>39</v>
      </c>
      <c r="N597" t="s">
        <v>32</v>
      </c>
      <c r="O597" t="s">
        <v>28</v>
      </c>
      <c r="P597" t="s">
        <v>41</v>
      </c>
      <c r="Q597" s="6">
        <v>1.3244785276073601</v>
      </c>
      <c r="R597">
        <v>3.03</v>
      </c>
      <c r="S597">
        <v>7.44</v>
      </c>
      <c r="T597">
        <v>30.84</v>
      </c>
      <c r="U597">
        <v>80.180000000000007</v>
      </c>
      <c r="V597">
        <v>55.57</v>
      </c>
      <c r="W597">
        <v>1.8</v>
      </c>
    </row>
    <row r="598" spans="1:23" x14ac:dyDescent="0.3">
      <c r="A598">
        <v>596</v>
      </c>
      <c r="B598" t="s">
        <v>641</v>
      </c>
      <c r="C598" t="s">
        <v>43</v>
      </c>
      <c r="D598">
        <v>183</v>
      </c>
      <c r="E598">
        <v>5268</v>
      </c>
      <c r="F598" s="3">
        <v>204</v>
      </c>
      <c r="G598">
        <v>17</v>
      </c>
      <c r="H598">
        <v>5</v>
      </c>
      <c r="I598" s="5">
        <v>2.7322404371584699E-2</v>
      </c>
      <c r="J598" s="3">
        <v>353</v>
      </c>
      <c r="K598" s="1">
        <v>45608</v>
      </c>
      <c r="L598" t="s">
        <v>25</v>
      </c>
      <c r="M598" t="s">
        <v>31</v>
      </c>
      <c r="N598" t="s">
        <v>27</v>
      </c>
      <c r="O598" t="s">
        <v>28</v>
      </c>
      <c r="P598" t="s">
        <v>41</v>
      </c>
      <c r="Q598" s="6">
        <v>1.1128415300546399</v>
      </c>
      <c r="R598">
        <v>3.47</v>
      </c>
      <c r="S598">
        <v>11.98</v>
      </c>
      <c r="T598">
        <v>40.729999999999997</v>
      </c>
      <c r="U598">
        <v>73.34</v>
      </c>
      <c r="V598">
        <v>70.599999999999994</v>
      </c>
      <c r="W598">
        <v>1.73</v>
      </c>
    </row>
    <row r="599" spans="1:23" x14ac:dyDescent="0.3">
      <c r="A599">
        <v>597</v>
      </c>
      <c r="B599" t="s">
        <v>642</v>
      </c>
      <c r="C599" t="s">
        <v>24</v>
      </c>
      <c r="D599">
        <v>196</v>
      </c>
      <c r="E599">
        <v>5386</v>
      </c>
      <c r="F599" s="3">
        <v>224</v>
      </c>
      <c r="G599">
        <v>23</v>
      </c>
      <c r="H599">
        <v>4</v>
      </c>
      <c r="I599" s="5">
        <v>2.04081632653061E-2</v>
      </c>
      <c r="J599" s="3">
        <v>290</v>
      </c>
      <c r="K599" s="1">
        <v>45626</v>
      </c>
      <c r="L599" t="s">
        <v>25</v>
      </c>
      <c r="M599" t="s">
        <v>39</v>
      </c>
      <c r="N599" t="s">
        <v>27</v>
      </c>
      <c r="O599" t="s">
        <v>28</v>
      </c>
      <c r="P599" t="s">
        <v>29</v>
      </c>
      <c r="Q599" s="6">
        <v>1.1444387755101999</v>
      </c>
      <c r="R599">
        <v>3.64</v>
      </c>
      <c r="S599">
        <v>9.75</v>
      </c>
      <c r="T599">
        <v>56.08</v>
      </c>
      <c r="U599">
        <v>29.29</v>
      </c>
      <c r="V599">
        <v>72.5</v>
      </c>
      <c r="W599">
        <v>1.29</v>
      </c>
    </row>
    <row r="600" spans="1:23" x14ac:dyDescent="0.3">
      <c r="A600">
        <v>598</v>
      </c>
      <c r="B600" t="s">
        <v>643</v>
      </c>
      <c r="C600" t="s">
        <v>35</v>
      </c>
      <c r="D600">
        <v>121</v>
      </c>
      <c r="E600">
        <v>4432</v>
      </c>
      <c r="F600" s="3">
        <v>219</v>
      </c>
      <c r="G600">
        <v>25</v>
      </c>
      <c r="H600">
        <v>10</v>
      </c>
      <c r="I600" s="5">
        <v>8.2644628099173501E-2</v>
      </c>
      <c r="J600" s="3">
        <v>320</v>
      </c>
      <c r="K600" s="1">
        <v>45609</v>
      </c>
      <c r="L600" t="s">
        <v>25</v>
      </c>
      <c r="M600" t="s">
        <v>26</v>
      </c>
      <c r="N600" t="s">
        <v>49</v>
      </c>
      <c r="O600" t="s">
        <v>28</v>
      </c>
      <c r="P600" t="s">
        <v>33</v>
      </c>
      <c r="Q600" s="6">
        <v>1.80752066115702</v>
      </c>
      <c r="R600">
        <v>2.73</v>
      </c>
      <c r="S600">
        <v>8.75</v>
      </c>
      <c r="T600">
        <v>21.87</v>
      </c>
      <c r="U600">
        <v>46.31</v>
      </c>
      <c r="V600">
        <v>32</v>
      </c>
      <c r="W600">
        <v>1.46</v>
      </c>
    </row>
    <row r="601" spans="1:23" x14ac:dyDescent="0.3">
      <c r="A601">
        <v>599</v>
      </c>
      <c r="B601" t="s">
        <v>644</v>
      </c>
      <c r="C601" t="s">
        <v>43</v>
      </c>
      <c r="D601">
        <v>174</v>
      </c>
      <c r="E601">
        <v>3031</v>
      </c>
      <c r="F601" s="3">
        <v>242</v>
      </c>
      <c r="G601">
        <v>25</v>
      </c>
      <c r="H601">
        <v>6</v>
      </c>
      <c r="I601" s="5">
        <v>3.4482758620689599E-2</v>
      </c>
      <c r="J601" s="3">
        <v>282</v>
      </c>
      <c r="K601" s="1">
        <v>45604</v>
      </c>
      <c r="L601" t="s">
        <v>25</v>
      </c>
      <c r="M601" t="s">
        <v>31</v>
      </c>
      <c r="N601" t="s">
        <v>44</v>
      </c>
      <c r="O601" t="s">
        <v>28</v>
      </c>
      <c r="P601" t="s">
        <v>45</v>
      </c>
      <c r="Q601" s="6">
        <v>1.3926436781609099</v>
      </c>
      <c r="R601">
        <v>5.74</v>
      </c>
      <c r="S601">
        <v>9.69</v>
      </c>
      <c r="T601">
        <v>40.39</v>
      </c>
      <c r="U601">
        <v>16.38</v>
      </c>
      <c r="V601">
        <v>47</v>
      </c>
      <c r="W601">
        <v>1.1599999999999999</v>
      </c>
    </row>
    <row r="602" spans="1:23" x14ac:dyDescent="0.3">
      <c r="A602">
        <v>600</v>
      </c>
      <c r="B602" t="s">
        <v>645</v>
      </c>
      <c r="C602" t="s">
        <v>35</v>
      </c>
      <c r="D602">
        <v>142</v>
      </c>
      <c r="E602">
        <v>5999</v>
      </c>
      <c r="F602" s="3">
        <v>214</v>
      </c>
      <c r="G602">
        <v>27</v>
      </c>
      <c r="H602">
        <v>7</v>
      </c>
      <c r="I602" s="5">
        <v>4.92957746478873E-2</v>
      </c>
      <c r="J602" s="3">
        <v>217</v>
      </c>
      <c r="K602" s="1">
        <v>45617</v>
      </c>
      <c r="L602" t="s">
        <v>25</v>
      </c>
      <c r="M602" t="s">
        <v>26</v>
      </c>
      <c r="N602" t="s">
        <v>49</v>
      </c>
      <c r="O602" t="s">
        <v>28</v>
      </c>
      <c r="P602" t="s">
        <v>54</v>
      </c>
      <c r="Q602" s="6">
        <v>1.50739436619718</v>
      </c>
      <c r="R602">
        <v>2.37</v>
      </c>
      <c r="S602">
        <v>7.93</v>
      </c>
      <c r="T602">
        <v>30.58</v>
      </c>
      <c r="U602">
        <v>1.38</v>
      </c>
      <c r="V602">
        <v>31</v>
      </c>
      <c r="W602">
        <v>1.01</v>
      </c>
    </row>
    <row r="603" spans="1:23" x14ac:dyDescent="0.3">
      <c r="A603">
        <v>601</v>
      </c>
      <c r="B603" t="s">
        <v>646</v>
      </c>
      <c r="C603" t="s">
        <v>35</v>
      </c>
      <c r="D603">
        <v>118</v>
      </c>
      <c r="E603">
        <v>3274</v>
      </c>
      <c r="F603" s="3">
        <v>223</v>
      </c>
      <c r="G603">
        <v>10</v>
      </c>
      <c r="H603">
        <v>3</v>
      </c>
      <c r="I603" s="5">
        <v>2.5423728813559299E-2</v>
      </c>
      <c r="J603" s="3">
        <v>350</v>
      </c>
      <c r="K603" s="1">
        <v>45605</v>
      </c>
      <c r="L603" t="s">
        <v>25</v>
      </c>
      <c r="M603" t="s">
        <v>39</v>
      </c>
      <c r="N603" t="s">
        <v>49</v>
      </c>
      <c r="O603" t="s">
        <v>28</v>
      </c>
      <c r="P603" t="s">
        <v>29</v>
      </c>
      <c r="Q603" s="6">
        <v>1.8866101694915201</v>
      </c>
      <c r="R603">
        <v>3.6</v>
      </c>
      <c r="S603">
        <v>22.26</v>
      </c>
      <c r="T603">
        <v>74.209999999999994</v>
      </c>
      <c r="U603">
        <v>57.22</v>
      </c>
      <c r="V603">
        <v>116.67</v>
      </c>
      <c r="W603">
        <v>1.57</v>
      </c>
    </row>
    <row r="604" spans="1:23" x14ac:dyDescent="0.3">
      <c r="A604">
        <v>602</v>
      </c>
      <c r="B604" t="s">
        <v>647</v>
      </c>
      <c r="C604" t="s">
        <v>43</v>
      </c>
      <c r="D604">
        <v>118</v>
      </c>
      <c r="E604">
        <v>5889</v>
      </c>
      <c r="F604" s="3">
        <v>193</v>
      </c>
      <c r="G604">
        <v>17</v>
      </c>
      <c r="H604">
        <v>10</v>
      </c>
      <c r="I604" s="5">
        <v>8.4745762711864403E-2</v>
      </c>
      <c r="J604" s="3">
        <v>365</v>
      </c>
      <c r="K604" s="1">
        <v>45606</v>
      </c>
      <c r="L604" t="s">
        <v>25</v>
      </c>
      <c r="M604" t="s">
        <v>26</v>
      </c>
      <c r="N604" t="s">
        <v>44</v>
      </c>
      <c r="O604" t="s">
        <v>28</v>
      </c>
      <c r="P604" t="s">
        <v>50</v>
      </c>
      <c r="Q604" s="6">
        <v>1.63567796610169</v>
      </c>
      <c r="R604">
        <v>2</v>
      </c>
      <c r="S604">
        <v>11.35</v>
      </c>
      <c r="T604">
        <v>19.3</v>
      </c>
      <c r="U604">
        <v>89.11</v>
      </c>
      <c r="V604">
        <v>36.5</v>
      </c>
      <c r="W604">
        <v>1.89</v>
      </c>
    </row>
    <row r="605" spans="1:23" x14ac:dyDescent="0.3">
      <c r="A605">
        <v>603</v>
      </c>
      <c r="B605" t="s">
        <v>648</v>
      </c>
      <c r="C605" t="s">
        <v>24</v>
      </c>
      <c r="D605">
        <v>149</v>
      </c>
      <c r="E605">
        <v>5601</v>
      </c>
      <c r="F605" s="3">
        <v>222</v>
      </c>
      <c r="G605">
        <v>15</v>
      </c>
      <c r="H605">
        <v>6</v>
      </c>
      <c r="I605" s="5">
        <v>4.0268456375838903E-2</v>
      </c>
      <c r="J605" s="3">
        <v>309</v>
      </c>
      <c r="K605" s="1">
        <v>45621</v>
      </c>
      <c r="L605" t="s">
        <v>25</v>
      </c>
      <c r="M605" t="s">
        <v>26</v>
      </c>
      <c r="N605" t="s">
        <v>49</v>
      </c>
      <c r="O605" t="s">
        <v>28</v>
      </c>
      <c r="P605" t="s">
        <v>59</v>
      </c>
      <c r="Q605" s="6">
        <v>1.49</v>
      </c>
      <c r="R605">
        <v>2.66</v>
      </c>
      <c r="S605">
        <v>14.8</v>
      </c>
      <c r="T605">
        <v>37</v>
      </c>
      <c r="U605">
        <v>39.18</v>
      </c>
      <c r="V605">
        <v>51.5</v>
      </c>
      <c r="W605">
        <v>1.39</v>
      </c>
    </row>
    <row r="606" spans="1:23" x14ac:dyDescent="0.3">
      <c r="A606">
        <v>604</v>
      </c>
      <c r="B606" t="s">
        <v>649</v>
      </c>
      <c r="C606" t="s">
        <v>24</v>
      </c>
      <c r="D606">
        <v>127</v>
      </c>
      <c r="E606">
        <v>4295</v>
      </c>
      <c r="F606" s="3">
        <v>213</v>
      </c>
      <c r="G606">
        <v>26</v>
      </c>
      <c r="H606">
        <v>10</v>
      </c>
      <c r="I606" s="5">
        <v>7.8740157480314904E-2</v>
      </c>
      <c r="J606" s="3">
        <v>350</v>
      </c>
      <c r="K606" s="1">
        <v>45615</v>
      </c>
      <c r="L606" t="s">
        <v>25</v>
      </c>
      <c r="M606" t="s">
        <v>39</v>
      </c>
      <c r="N606" t="s">
        <v>32</v>
      </c>
      <c r="O606" t="s">
        <v>28</v>
      </c>
      <c r="P606" t="s">
        <v>41</v>
      </c>
      <c r="Q606" s="6">
        <v>1.6740157480314899</v>
      </c>
      <c r="R606">
        <v>2.96</v>
      </c>
      <c r="S606">
        <v>8.18</v>
      </c>
      <c r="T606">
        <v>21.26</v>
      </c>
      <c r="U606">
        <v>64.63</v>
      </c>
      <c r="V606">
        <v>35</v>
      </c>
      <c r="W606">
        <v>1.65</v>
      </c>
    </row>
    <row r="607" spans="1:23" x14ac:dyDescent="0.3">
      <c r="A607">
        <v>605</v>
      </c>
      <c r="B607" t="s">
        <v>650</v>
      </c>
      <c r="C607" t="s">
        <v>24</v>
      </c>
      <c r="D607">
        <v>195</v>
      </c>
      <c r="E607">
        <v>5135</v>
      </c>
      <c r="F607" s="3">
        <v>226</v>
      </c>
      <c r="G607">
        <v>17</v>
      </c>
      <c r="H607">
        <v>3</v>
      </c>
      <c r="I607" s="5">
        <v>1.53846153846153E-2</v>
      </c>
      <c r="J607" s="3">
        <v>140.142857142857</v>
      </c>
      <c r="K607" s="1">
        <v>45620</v>
      </c>
      <c r="L607" t="s">
        <v>25</v>
      </c>
      <c r="M607" t="s">
        <v>26</v>
      </c>
      <c r="N607" t="s">
        <v>40</v>
      </c>
      <c r="O607" t="s">
        <v>28</v>
      </c>
      <c r="P607" t="s">
        <v>50</v>
      </c>
      <c r="Q607" s="6">
        <v>1.1608717948717899</v>
      </c>
      <c r="R607">
        <v>3.8</v>
      </c>
      <c r="S607">
        <v>13.32</v>
      </c>
      <c r="T607">
        <v>75.459999999999994</v>
      </c>
      <c r="U607">
        <v>-38.090000000000003</v>
      </c>
      <c r="V607">
        <v>46.71</v>
      </c>
      <c r="W607">
        <v>0.62</v>
      </c>
    </row>
    <row r="608" spans="1:23" x14ac:dyDescent="0.3">
      <c r="A608">
        <v>606</v>
      </c>
      <c r="B608" t="s">
        <v>651</v>
      </c>
      <c r="C608" t="s">
        <v>35</v>
      </c>
      <c r="D608">
        <v>173</v>
      </c>
      <c r="E608">
        <v>5233</v>
      </c>
      <c r="F608" s="3">
        <v>229</v>
      </c>
      <c r="G608">
        <v>28</v>
      </c>
      <c r="H608">
        <v>7</v>
      </c>
      <c r="I608" s="5">
        <v>4.0462427745664699E-2</v>
      </c>
      <c r="J608" s="3">
        <v>270</v>
      </c>
      <c r="K608" s="1">
        <v>45612</v>
      </c>
      <c r="L608" t="s">
        <v>25</v>
      </c>
      <c r="M608" t="s">
        <v>31</v>
      </c>
      <c r="N608" t="s">
        <v>27</v>
      </c>
      <c r="O608" t="s">
        <v>28</v>
      </c>
      <c r="P608" t="s">
        <v>29</v>
      </c>
      <c r="Q608" s="6">
        <v>1.3258959537572199</v>
      </c>
      <c r="R608">
        <v>3.31</v>
      </c>
      <c r="S608">
        <v>8.19</v>
      </c>
      <c r="T608">
        <v>32.770000000000003</v>
      </c>
      <c r="U608">
        <v>17.71</v>
      </c>
      <c r="V608">
        <v>38.57</v>
      </c>
      <c r="W608">
        <v>1.18</v>
      </c>
    </row>
    <row r="609" spans="1:23" x14ac:dyDescent="0.3">
      <c r="A609">
        <v>607</v>
      </c>
      <c r="B609" t="s">
        <v>652</v>
      </c>
      <c r="C609" t="s">
        <v>24</v>
      </c>
      <c r="D609">
        <v>131</v>
      </c>
      <c r="E609">
        <v>5727</v>
      </c>
      <c r="F609" s="3">
        <v>219</v>
      </c>
      <c r="G609">
        <v>28</v>
      </c>
      <c r="H609">
        <v>4</v>
      </c>
      <c r="I609" s="5">
        <v>3.0534351145038101E-2</v>
      </c>
      <c r="J609" s="3">
        <v>333</v>
      </c>
      <c r="K609" s="1">
        <v>45603</v>
      </c>
      <c r="L609" t="s">
        <v>25</v>
      </c>
      <c r="M609" t="s">
        <v>31</v>
      </c>
      <c r="N609" t="s">
        <v>40</v>
      </c>
      <c r="O609" t="s">
        <v>28</v>
      </c>
      <c r="P609" t="s">
        <v>54</v>
      </c>
      <c r="Q609" s="6">
        <v>1.6690839694656401</v>
      </c>
      <c r="R609">
        <v>2.29</v>
      </c>
      <c r="S609">
        <v>7.81</v>
      </c>
      <c r="T609">
        <v>54.66</v>
      </c>
      <c r="U609">
        <v>52.3</v>
      </c>
      <c r="V609">
        <v>83.25</v>
      </c>
      <c r="W609">
        <v>1.52</v>
      </c>
    </row>
    <row r="610" spans="1:23" x14ac:dyDescent="0.3">
      <c r="A610">
        <v>608</v>
      </c>
      <c r="B610" t="s">
        <v>653</v>
      </c>
      <c r="C610" t="s">
        <v>35</v>
      </c>
      <c r="D610">
        <v>105</v>
      </c>
      <c r="E610">
        <v>4691</v>
      </c>
      <c r="F610" s="3">
        <v>213</v>
      </c>
      <c r="G610">
        <v>21</v>
      </c>
      <c r="H610">
        <v>3</v>
      </c>
      <c r="I610" s="5">
        <v>2.8571428571428501E-2</v>
      </c>
      <c r="J610" s="3">
        <v>260</v>
      </c>
      <c r="K610" s="1">
        <v>45618</v>
      </c>
      <c r="L610" t="s">
        <v>25</v>
      </c>
      <c r="M610" t="s">
        <v>26</v>
      </c>
      <c r="N610" t="s">
        <v>49</v>
      </c>
      <c r="O610" t="s">
        <v>28</v>
      </c>
      <c r="P610" t="s">
        <v>45</v>
      </c>
      <c r="Q610" s="6">
        <v>2.0299999999999998</v>
      </c>
      <c r="R610">
        <v>2.2400000000000002</v>
      </c>
      <c r="S610">
        <v>10.15</v>
      </c>
      <c r="T610">
        <v>71.05</v>
      </c>
      <c r="U610">
        <v>21.98</v>
      </c>
      <c r="V610">
        <v>86.67</v>
      </c>
      <c r="W610">
        <v>1.22</v>
      </c>
    </row>
    <row r="611" spans="1:23" x14ac:dyDescent="0.3">
      <c r="A611">
        <v>609</v>
      </c>
      <c r="B611" t="s">
        <v>654</v>
      </c>
      <c r="C611" t="s">
        <v>38</v>
      </c>
      <c r="D611">
        <v>104</v>
      </c>
      <c r="E611">
        <v>3409</v>
      </c>
      <c r="F611" s="3">
        <v>208</v>
      </c>
      <c r="G611">
        <v>19</v>
      </c>
      <c r="H611">
        <v>4</v>
      </c>
      <c r="I611" s="5">
        <v>3.8461538461538401E-2</v>
      </c>
      <c r="J611" s="3">
        <v>244</v>
      </c>
      <c r="K611" s="1">
        <v>45612</v>
      </c>
      <c r="L611" t="s">
        <v>25</v>
      </c>
      <c r="M611" t="s">
        <v>31</v>
      </c>
      <c r="N611" t="s">
        <v>49</v>
      </c>
      <c r="O611" t="s">
        <v>28</v>
      </c>
      <c r="P611" t="s">
        <v>29</v>
      </c>
      <c r="Q611" s="6">
        <v>1.9964423076922999</v>
      </c>
      <c r="R611">
        <v>3.05</v>
      </c>
      <c r="S611">
        <v>10.93</v>
      </c>
      <c r="T611">
        <v>51.91</v>
      </c>
      <c r="U611">
        <v>17.52</v>
      </c>
      <c r="V611">
        <v>61</v>
      </c>
      <c r="W611">
        <v>1.18</v>
      </c>
    </row>
    <row r="612" spans="1:23" x14ac:dyDescent="0.3">
      <c r="A612">
        <v>610</v>
      </c>
      <c r="B612" t="s">
        <v>655</v>
      </c>
      <c r="C612" t="s">
        <v>24</v>
      </c>
      <c r="D612">
        <v>139</v>
      </c>
      <c r="E612">
        <v>4333</v>
      </c>
      <c r="F612" s="3">
        <v>230</v>
      </c>
      <c r="G612">
        <v>19</v>
      </c>
      <c r="H612">
        <v>6</v>
      </c>
      <c r="I612" s="5">
        <v>4.31654676258992E-2</v>
      </c>
      <c r="J612" s="3">
        <v>287</v>
      </c>
      <c r="K612" s="1">
        <v>45617</v>
      </c>
      <c r="L612" t="s">
        <v>25</v>
      </c>
      <c r="M612" t="s">
        <v>26</v>
      </c>
      <c r="N612" t="s">
        <v>49</v>
      </c>
      <c r="O612" t="s">
        <v>28</v>
      </c>
      <c r="P612" t="s">
        <v>54</v>
      </c>
      <c r="Q612" s="6">
        <v>1.65503597122302</v>
      </c>
      <c r="R612">
        <v>3.21</v>
      </c>
      <c r="S612">
        <v>12.11</v>
      </c>
      <c r="T612">
        <v>38.340000000000003</v>
      </c>
      <c r="U612">
        <v>24.76</v>
      </c>
      <c r="V612">
        <v>47.83</v>
      </c>
      <c r="W612">
        <v>1.25</v>
      </c>
    </row>
    <row r="613" spans="1:23" x14ac:dyDescent="0.3">
      <c r="A613">
        <v>611</v>
      </c>
      <c r="B613" t="s">
        <v>656</v>
      </c>
      <c r="C613" t="s">
        <v>38</v>
      </c>
      <c r="D613">
        <v>110</v>
      </c>
      <c r="E613">
        <v>4430</v>
      </c>
      <c r="F613" s="3">
        <v>198</v>
      </c>
      <c r="G613">
        <v>23</v>
      </c>
      <c r="H613">
        <v>5</v>
      </c>
      <c r="I613" s="5">
        <v>4.54545454545454E-2</v>
      </c>
      <c r="J613" s="3">
        <v>233.57142857142799</v>
      </c>
      <c r="K613" s="1">
        <v>45611</v>
      </c>
      <c r="L613" t="s">
        <v>25</v>
      </c>
      <c r="M613" t="s">
        <v>31</v>
      </c>
      <c r="N613" t="s">
        <v>27</v>
      </c>
      <c r="O613" t="s">
        <v>28</v>
      </c>
      <c r="P613" t="s">
        <v>45</v>
      </c>
      <c r="Q613" s="6">
        <v>1.79854545454545</v>
      </c>
      <c r="R613">
        <v>2.48</v>
      </c>
      <c r="S613">
        <v>8.6</v>
      </c>
      <c r="T613">
        <v>39.57</v>
      </c>
      <c r="U613">
        <v>18.059999999999999</v>
      </c>
      <c r="V613">
        <v>46.71</v>
      </c>
      <c r="W613">
        <v>1.18</v>
      </c>
    </row>
    <row r="614" spans="1:23" x14ac:dyDescent="0.3">
      <c r="A614">
        <v>612</v>
      </c>
      <c r="B614" t="s">
        <v>657</v>
      </c>
      <c r="C614" t="s">
        <v>38</v>
      </c>
      <c r="D614">
        <v>193</v>
      </c>
      <c r="E614">
        <v>4860</v>
      </c>
      <c r="F614" s="3">
        <v>181</v>
      </c>
      <c r="G614">
        <v>14</v>
      </c>
      <c r="H614">
        <v>5</v>
      </c>
      <c r="I614" s="5">
        <v>2.59067357512953E-2</v>
      </c>
      <c r="J614" s="3">
        <v>233.57142857142799</v>
      </c>
      <c r="K614" s="1">
        <v>45612</v>
      </c>
      <c r="L614" t="s">
        <v>25</v>
      </c>
      <c r="M614" t="s">
        <v>26</v>
      </c>
      <c r="N614" t="s">
        <v>44</v>
      </c>
      <c r="O614" t="s">
        <v>28</v>
      </c>
      <c r="P614" t="s">
        <v>29</v>
      </c>
      <c r="Q614" s="6">
        <v>0.939222797927461</v>
      </c>
      <c r="R614">
        <v>3.97</v>
      </c>
      <c r="S614">
        <v>12.95</v>
      </c>
      <c r="T614">
        <v>36.25</v>
      </c>
      <c r="U614">
        <v>28.85</v>
      </c>
      <c r="V614">
        <v>46.71</v>
      </c>
      <c r="W614">
        <v>1.29</v>
      </c>
    </row>
    <row r="615" spans="1:23" x14ac:dyDescent="0.3">
      <c r="A615">
        <v>613</v>
      </c>
      <c r="B615" t="s">
        <v>658</v>
      </c>
      <c r="C615" t="s">
        <v>43</v>
      </c>
      <c r="D615">
        <v>109</v>
      </c>
      <c r="E615">
        <v>4396</v>
      </c>
      <c r="F615" s="3">
        <v>189</v>
      </c>
      <c r="G615">
        <v>11</v>
      </c>
      <c r="H615">
        <v>10</v>
      </c>
      <c r="I615" s="5">
        <v>9.1743119266054995E-2</v>
      </c>
      <c r="J615" s="3">
        <v>296</v>
      </c>
      <c r="K615" s="1">
        <v>45614</v>
      </c>
      <c r="L615" t="s">
        <v>25</v>
      </c>
      <c r="M615" t="s">
        <v>31</v>
      </c>
      <c r="N615" t="s">
        <v>40</v>
      </c>
      <c r="O615" t="s">
        <v>28</v>
      </c>
      <c r="P615" t="s">
        <v>59</v>
      </c>
      <c r="Q615" s="6">
        <v>1.7302752293577901</v>
      </c>
      <c r="R615">
        <v>2.48</v>
      </c>
      <c r="S615">
        <v>17.149999999999999</v>
      </c>
      <c r="T615">
        <v>18.86</v>
      </c>
      <c r="U615">
        <v>56.95</v>
      </c>
      <c r="V615">
        <v>29.6</v>
      </c>
      <c r="W615">
        <v>1.57</v>
      </c>
    </row>
    <row r="616" spans="1:23" x14ac:dyDescent="0.3">
      <c r="A616">
        <v>614</v>
      </c>
      <c r="B616" t="s">
        <v>659</v>
      </c>
      <c r="C616" t="s">
        <v>43</v>
      </c>
      <c r="D616">
        <v>141</v>
      </c>
      <c r="E616">
        <v>5000</v>
      </c>
      <c r="F616" s="3">
        <v>224</v>
      </c>
      <c r="G616">
        <v>29</v>
      </c>
      <c r="H616">
        <v>10</v>
      </c>
      <c r="I616" s="5">
        <v>7.09219858156028E-2</v>
      </c>
      <c r="J616" s="3">
        <v>390</v>
      </c>
      <c r="K616" s="1">
        <v>45608</v>
      </c>
      <c r="L616" t="s">
        <v>25</v>
      </c>
      <c r="M616" t="s">
        <v>39</v>
      </c>
      <c r="N616" t="s">
        <v>36</v>
      </c>
      <c r="O616" t="s">
        <v>28</v>
      </c>
      <c r="P616" t="s">
        <v>41</v>
      </c>
      <c r="Q616" s="6">
        <v>1.5865248226950299</v>
      </c>
      <c r="R616">
        <v>2.82</v>
      </c>
      <c r="S616">
        <v>7.71</v>
      </c>
      <c r="T616">
        <v>22.37</v>
      </c>
      <c r="U616">
        <v>74.34</v>
      </c>
      <c r="V616">
        <v>39</v>
      </c>
      <c r="W616">
        <v>1.74</v>
      </c>
    </row>
    <row r="617" spans="1:23" x14ac:dyDescent="0.3">
      <c r="A617">
        <v>615</v>
      </c>
      <c r="B617" t="s">
        <v>660</v>
      </c>
      <c r="C617" t="s">
        <v>43</v>
      </c>
      <c r="D617">
        <v>182</v>
      </c>
      <c r="E617">
        <v>3487</v>
      </c>
      <c r="F617" s="3">
        <v>212</v>
      </c>
      <c r="G617">
        <v>23</v>
      </c>
      <c r="H617">
        <v>7</v>
      </c>
      <c r="I617" s="5">
        <v>3.8461538461538401E-2</v>
      </c>
      <c r="J617" s="3">
        <v>210</v>
      </c>
      <c r="K617" s="1">
        <v>45620</v>
      </c>
      <c r="L617" t="s">
        <v>25</v>
      </c>
      <c r="M617" t="s">
        <v>31</v>
      </c>
      <c r="N617" t="s">
        <v>36</v>
      </c>
      <c r="O617" t="s">
        <v>28</v>
      </c>
      <c r="P617" t="s">
        <v>50</v>
      </c>
      <c r="Q617" s="6">
        <v>1.16324175824175</v>
      </c>
      <c r="R617">
        <v>5.22</v>
      </c>
      <c r="S617">
        <v>9.1999999999999993</v>
      </c>
      <c r="T617">
        <v>30.24</v>
      </c>
      <c r="U617">
        <v>-0.81</v>
      </c>
      <c r="V617">
        <v>30</v>
      </c>
      <c r="W617">
        <v>0.99</v>
      </c>
    </row>
    <row r="618" spans="1:23" x14ac:dyDescent="0.3">
      <c r="A618">
        <v>616</v>
      </c>
      <c r="B618" t="s">
        <v>661</v>
      </c>
      <c r="C618" t="s">
        <v>38</v>
      </c>
      <c r="D618">
        <v>179</v>
      </c>
      <c r="E618">
        <v>4236</v>
      </c>
      <c r="F618" s="3">
        <v>245</v>
      </c>
      <c r="G618">
        <v>23</v>
      </c>
      <c r="H618">
        <v>7</v>
      </c>
      <c r="I618" s="5">
        <v>3.91061452513966E-2</v>
      </c>
      <c r="J618" s="3">
        <v>372</v>
      </c>
      <c r="K618" s="1">
        <v>45603</v>
      </c>
      <c r="L618" t="s">
        <v>25</v>
      </c>
      <c r="M618" t="s">
        <v>31</v>
      </c>
      <c r="N618" t="s">
        <v>27</v>
      </c>
      <c r="O618" t="s">
        <v>28</v>
      </c>
      <c r="P618" t="s">
        <v>54</v>
      </c>
      <c r="Q618" s="6">
        <v>1.3687709497206699</v>
      </c>
      <c r="R618">
        <v>4.2300000000000004</v>
      </c>
      <c r="S618">
        <v>10.65</v>
      </c>
      <c r="T618">
        <v>35</v>
      </c>
      <c r="U618">
        <v>51.83</v>
      </c>
      <c r="V618">
        <v>53.14</v>
      </c>
      <c r="W618">
        <v>1.52</v>
      </c>
    </row>
    <row r="619" spans="1:23" x14ac:dyDescent="0.3">
      <c r="A619">
        <v>617</v>
      </c>
      <c r="B619" t="s">
        <v>662</v>
      </c>
      <c r="C619" t="s">
        <v>38</v>
      </c>
      <c r="D619">
        <v>89</v>
      </c>
      <c r="E619">
        <v>5349</v>
      </c>
      <c r="F619" s="3">
        <v>138</v>
      </c>
      <c r="G619">
        <v>13</v>
      </c>
      <c r="H619">
        <v>8</v>
      </c>
      <c r="I619" s="5">
        <v>8.98876404494382E-2</v>
      </c>
      <c r="J619" s="3">
        <v>280</v>
      </c>
      <c r="K619" s="1">
        <v>45624</v>
      </c>
      <c r="L619" t="s">
        <v>25</v>
      </c>
      <c r="M619" t="s">
        <v>39</v>
      </c>
      <c r="N619" t="s">
        <v>36</v>
      </c>
      <c r="O619" t="s">
        <v>28</v>
      </c>
      <c r="P619" t="s">
        <v>54</v>
      </c>
      <c r="Q619" s="6">
        <v>1.5454545454545401</v>
      </c>
      <c r="R619">
        <v>1.66</v>
      </c>
      <c r="S619">
        <v>10.58</v>
      </c>
      <c r="T619">
        <v>17.190000000000001</v>
      </c>
      <c r="U619">
        <v>103.57</v>
      </c>
      <c r="V619">
        <v>35</v>
      </c>
      <c r="W619">
        <v>2.04</v>
      </c>
    </row>
    <row r="620" spans="1:23" x14ac:dyDescent="0.3">
      <c r="A620">
        <v>618</v>
      </c>
      <c r="B620" t="s">
        <v>663</v>
      </c>
      <c r="C620" t="s">
        <v>24</v>
      </c>
      <c r="D620">
        <v>181</v>
      </c>
      <c r="E620">
        <v>5678</v>
      </c>
      <c r="F620" s="3">
        <v>227</v>
      </c>
      <c r="G620">
        <v>22</v>
      </c>
      <c r="H620">
        <v>10</v>
      </c>
      <c r="I620" s="5">
        <v>5.5248618784530301E-2</v>
      </c>
      <c r="J620" s="3">
        <v>407</v>
      </c>
      <c r="K620" s="1">
        <v>45598</v>
      </c>
      <c r="L620" t="s">
        <v>25</v>
      </c>
      <c r="M620" t="s">
        <v>39</v>
      </c>
      <c r="N620" t="s">
        <v>40</v>
      </c>
      <c r="O620" t="s">
        <v>28</v>
      </c>
      <c r="P620" t="s">
        <v>29</v>
      </c>
      <c r="Q620" s="6">
        <v>1.2535359116022</v>
      </c>
      <c r="R620">
        <v>3.19</v>
      </c>
      <c r="S620">
        <v>10.31</v>
      </c>
      <c r="T620">
        <v>22.69</v>
      </c>
      <c r="U620">
        <v>79.38</v>
      </c>
      <c r="V620">
        <v>40.700000000000003</v>
      </c>
      <c r="W620">
        <v>1.79</v>
      </c>
    </row>
    <row r="621" spans="1:23" x14ac:dyDescent="0.3">
      <c r="A621">
        <v>619</v>
      </c>
      <c r="B621" t="s">
        <v>664</v>
      </c>
      <c r="C621" t="s">
        <v>35</v>
      </c>
      <c r="D621">
        <v>85</v>
      </c>
      <c r="E621">
        <v>5247</v>
      </c>
      <c r="F621" s="3">
        <v>220</v>
      </c>
      <c r="G621">
        <v>15</v>
      </c>
      <c r="H621">
        <v>7</v>
      </c>
      <c r="I621" s="5">
        <v>8.2352941176470504E-2</v>
      </c>
      <c r="J621" s="3">
        <v>329</v>
      </c>
      <c r="K621" s="1">
        <v>45616</v>
      </c>
      <c r="L621" t="s">
        <v>25</v>
      </c>
      <c r="M621" t="s">
        <v>26</v>
      </c>
      <c r="N621" t="s">
        <v>49</v>
      </c>
      <c r="O621" t="s">
        <v>28</v>
      </c>
      <c r="P621" t="s">
        <v>33</v>
      </c>
      <c r="Q621" s="6">
        <v>2.5878823529411701</v>
      </c>
      <c r="R621">
        <v>1.62</v>
      </c>
      <c r="S621">
        <v>14.66</v>
      </c>
      <c r="T621">
        <v>31.42</v>
      </c>
      <c r="U621">
        <v>49.57</v>
      </c>
      <c r="V621">
        <v>47</v>
      </c>
      <c r="W621">
        <v>1.5</v>
      </c>
    </row>
    <row r="622" spans="1:23" x14ac:dyDescent="0.3">
      <c r="A622">
        <v>620</v>
      </c>
      <c r="B622" t="s">
        <v>665</v>
      </c>
      <c r="C622" t="s">
        <v>35</v>
      </c>
      <c r="D622">
        <v>179</v>
      </c>
      <c r="E622">
        <v>3685</v>
      </c>
      <c r="F622" s="3">
        <v>203</v>
      </c>
      <c r="G622">
        <v>15</v>
      </c>
      <c r="H622">
        <v>8</v>
      </c>
      <c r="I622" s="5">
        <v>4.4692737430167599E-2</v>
      </c>
      <c r="J622" s="3">
        <v>333</v>
      </c>
      <c r="K622" s="1">
        <v>45614</v>
      </c>
      <c r="L622" t="s">
        <v>25</v>
      </c>
      <c r="M622" t="s">
        <v>26</v>
      </c>
      <c r="N622" t="s">
        <v>32</v>
      </c>
      <c r="O622" t="s">
        <v>28</v>
      </c>
      <c r="P622" t="s">
        <v>59</v>
      </c>
      <c r="Q622" s="6">
        <v>1.13217877094972</v>
      </c>
      <c r="R622">
        <v>4.8600000000000003</v>
      </c>
      <c r="S622">
        <v>13.51</v>
      </c>
      <c r="T622">
        <v>25.33</v>
      </c>
      <c r="U622">
        <v>64.31</v>
      </c>
      <c r="V622">
        <v>41.62</v>
      </c>
      <c r="W622">
        <v>1.64</v>
      </c>
    </row>
    <row r="623" spans="1:23" x14ac:dyDescent="0.3">
      <c r="A623">
        <v>621</v>
      </c>
      <c r="B623" t="s">
        <v>666</v>
      </c>
      <c r="C623" t="s">
        <v>35</v>
      </c>
      <c r="D623">
        <v>172</v>
      </c>
      <c r="E623">
        <v>5862</v>
      </c>
      <c r="F623" s="3">
        <v>202</v>
      </c>
      <c r="G623">
        <v>23</v>
      </c>
      <c r="H623">
        <v>4</v>
      </c>
      <c r="I623" s="5">
        <v>2.3255813953488299E-2</v>
      </c>
      <c r="J623" s="3">
        <v>300</v>
      </c>
      <c r="K623" s="1">
        <v>45624</v>
      </c>
      <c r="L623" t="s">
        <v>25</v>
      </c>
      <c r="M623" t="s">
        <v>26</v>
      </c>
      <c r="N623" t="s">
        <v>44</v>
      </c>
      <c r="O623" t="s">
        <v>28</v>
      </c>
      <c r="P623" t="s">
        <v>54</v>
      </c>
      <c r="Q623" s="6">
        <v>1.17441860465116</v>
      </c>
      <c r="R623">
        <v>2.93</v>
      </c>
      <c r="S623">
        <v>8.7799999999999994</v>
      </c>
      <c r="T623">
        <v>50.5</v>
      </c>
      <c r="U623">
        <v>48.51</v>
      </c>
      <c r="V623">
        <v>75</v>
      </c>
      <c r="W623">
        <v>1.49</v>
      </c>
    </row>
    <row r="624" spans="1:23" x14ac:dyDescent="0.3">
      <c r="A624">
        <v>622</v>
      </c>
      <c r="B624" t="s">
        <v>667</v>
      </c>
      <c r="C624" t="s">
        <v>35</v>
      </c>
      <c r="D624">
        <v>196</v>
      </c>
      <c r="E624">
        <v>5040</v>
      </c>
      <c r="F624" s="3">
        <v>197</v>
      </c>
      <c r="G624">
        <v>11</v>
      </c>
      <c r="H624">
        <v>9</v>
      </c>
      <c r="I624" s="5">
        <v>4.5918367346938702E-2</v>
      </c>
      <c r="J624" s="3">
        <v>362</v>
      </c>
      <c r="K624" s="1">
        <v>45618</v>
      </c>
      <c r="L624" t="s">
        <v>25</v>
      </c>
      <c r="M624" t="s">
        <v>26</v>
      </c>
      <c r="N624" t="s">
        <v>32</v>
      </c>
      <c r="O624" t="s">
        <v>28</v>
      </c>
      <c r="P624" t="s">
        <v>45</v>
      </c>
      <c r="Q624" s="6">
        <v>1.0055102040816299</v>
      </c>
      <c r="R624">
        <v>3.89</v>
      </c>
      <c r="S624">
        <v>17.920000000000002</v>
      </c>
      <c r="T624">
        <v>21.9</v>
      </c>
      <c r="U624">
        <v>83.68</v>
      </c>
      <c r="V624">
        <v>40.22</v>
      </c>
      <c r="W624">
        <v>1.84</v>
      </c>
    </row>
    <row r="625" spans="1:23" x14ac:dyDescent="0.3">
      <c r="A625">
        <v>623</v>
      </c>
      <c r="B625" t="s">
        <v>668</v>
      </c>
      <c r="C625" t="s">
        <v>24</v>
      </c>
      <c r="D625">
        <v>104</v>
      </c>
      <c r="E625">
        <v>3423</v>
      </c>
      <c r="F625" s="3">
        <v>224</v>
      </c>
      <c r="G625">
        <v>30</v>
      </c>
      <c r="H625">
        <v>4</v>
      </c>
      <c r="I625" s="5">
        <v>3.8461538461538401E-2</v>
      </c>
      <c r="J625" s="3">
        <v>302</v>
      </c>
      <c r="K625" s="1">
        <v>45599</v>
      </c>
      <c r="L625" t="s">
        <v>25</v>
      </c>
      <c r="M625" t="s">
        <v>26</v>
      </c>
      <c r="N625" t="s">
        <v>49</v>
      </c>
      <c r="O625" t="s">
        <v>28</v>
      </c>
      <c r="P625" t="s">
        <v>50</v>
      </c>
      <c r="Q625" s="6">
        <v>2.15336538461538</v>
      </c>
      <c r="R625">
        <v>3.04</v>
      </c>
      <c r="S625">
        <v>7.46</v>
      </c>
      <c r="T625">
        <v>55.99</v>
      </c>
      <c r="U625">
        <v>34.85</v>
      </c>
      <c r="V625">
        <v>75.5</v>
      </c>
      <c r="W625">
        <v>1.35</v>
      </c>
    </row>
    <row r="626" spans="1:23" x14ac:dyDescent="0.3">
      <c r="A626">
        <v>624</v>
      </c>
      <c r="B626" t="s">
        <v>669</v>
      </c>
      <c r="C626" t="s">
        <v>35</v>
      </c>
      <c r="D626">
        <v>135</v>
      </c>
      <c r="E626">
        <v>5981</v>
      </c>
      <c r="F626" s="3">
        <v>229</v>
      </c>
      <c r="G626">
        <v>26</v>
      </c>
      <c r="H626">
        <v>6</v>
      </c>
      <c r="I626" s="5">
        <v>4.4444444444444398E-2</v>
      </c>
      <c r="J626" s="3">
        <v>309</v>
      </c>
      <c r="K626" s="1">
        <v>45608</v>
      </c>
      <c r="L626" t="s">
        <v>25</v>
      </c>
      <c r="M626" t="s">
        <v>26</v>
      </c>
      <c r="N626" t="s">
        <v>40</v>
      </c>
      <c r="O626" t="s">
        <v>28</v>
      </c>
      <c r="P626" t="s">
        <v>41</v>
      </c>
      <c r="Q626" s="6">
        <v>1.6937777777777701</v>
      </c>
      <c r="R626">
        <v>2.2599999999999998</v>
      </c>
      <c r="S626">
        <v>8.7899999999999991</v>
      </c>
      <c r="T626">
        <v>38.11</v>
      </c>
      <c r="U626">
        <v>35.14</v>
      </c>
      <c r="V626">
        <v>51.5</v>
      </c>
      <c r="W626">
        <v>1.35</v>
      </c>
    </row>
    <row r="627" spans="1:23" x14ac:dyDescent="0.3">
      <c r="A627">
        <v>625</v>
      </c>
      <c r="B627" t="s">
        <v>670</v>
      </c>
      <c r="C627" t="s">
        <v>38</v>
      </c>
      <c r="D627">
        <v>97</v>
      </c>
      <c r="E627">
        <v>3495</v>
      </c>
      <c r="F627" s="3">
        <v>231</v>
      </c>
      <c r="G627">
        <v>16</v>
      </c>
      <c r="H627">
        <v>6</v>
      </c>
      <c r="I627" s="5">
        <v>6.1855670103092703E-2</v>
      </c>
      <c r="J627" s="3">
        <v>342</v>
      </c>
      <c r="K627" s="1">
        <v>45619</v>
      </c>
      <c r="L627" t="s">
        <v>25</v>
      </c>
      <c r="M627" t="s">
        <v>39</v>
      </c>
      <c r="N627" t="s">
        <v>49</v>
      </c>
      <c r="O627" t="s">
        <v>28</v>
      </c>
      <c r="P627" t="s">
        <v>29</v>
      </c>
      <c r="Q627" s="6">
        <v>2.3796907216494798</v>
      </c>
      <c r="R627">
        <v>2.78</v>
      </c>
      <c r="S627">
        <v>14.43</v>
      </c>
      <c r="T627">
        <v>38.47</v>
      </c>
      <c r="U627">
        <v>48.16</v>
      </c>
      <c r="V627">
        <v>57</v>
      </c>
      <c r="W627">
        <v>1.48</v>
      </c>
    </row>
    <row r="628" spans="1:23" x14ac:dyDescent="0.3">
      <c r="A628">
        <v>626</v>
      </c>
      <c r="B628" t="s">
        <v>671</v>
      </c>
      <c r="C628" t="s">
        <v>24</v>
      </c>
      <c r="D628">
        <v>137</v>
      </c>
      <c r="E628">
        <v>3702</v>
      </c>
      <c r="F628" s="3">
        <v>215</v>
      </c>
      <c r="G628">
        <v>25</v>
      </c>
      <c r="H628">
        <v>9</v>
      </c>
      <c r="I628" s="5">
        <v>6.5693430656934296E-2</v>
      </c>
      <c r="J628" s="3">
        <v>206</v>
      </c>
      <c r="K628" s="1">
        <v>45606</v>
      </c>
      <c r="L628" t="s">
        <v>25</v>
      </c>
      <c r="M628" t="s">
        <v>26</v>
      </c>
      <c r="N628" t="s">
        <v>27</v>
      </c>
      <c r="O628" t="s">
        <v>28</v>
      </c>
      <c r="P628" t="s">
        <v>50</v>
      </c>
      <c r="Q628" s="6">
        <v>1.5723357664233499</v>
      </c>
      <c r="R628">
        <v>3.7</v>
      </c>
      <c r="S628">
        <v>8.6199999999999992</v>
      </c>
      <c r="T628">
        <v>23.93</v>
      </c>
      <c r="U628">
        <v>-4.37</v>
      </c>
      <c r="V628">
        <v>22.89</v>
      </c>
      <c r="W628">
        <v>0.96</v>
      </c>
    </row>
    <row r="629" spans="1:23" x14ac:dyDescent="0.3">
      <c r="A629">
        <v>627</v>
      </c>
      <c r="B629" t="s">
        <v>672</v>
      </c>
      <c r="C629" t="s">
        <v>38</v>
      </c>
      <c r="D629">
        <v>164</v>
      </c>
      <c r="E629">
        <v>3405</v>
      </c>
      <c r="F629" s="3">
        <v>218</v>
      </c>
      <c r="G629">
        <v>10</v>
      </c>
      <c r="H629">
        <v>3</v>
      </c>
      <c r="I629" s="5">
        <v>1.8292682926829201E-2</v>
      </c>
      <c r="J629" s="3">
        <v>385</v>
      </c>
      <c r="K629" s="1">
        <v>45626</v>
      </c>
      <c r="L629" t="s">
        <v>25</v>
      </c>
      <c r="M629" t="s">
        <v>26</v>
      </c>
      <c r="N629" t="s">
        <v>36</v>
      </c>
      <c r="O629" t="s">
        <v>28</v>
      </c>
      <c r="P629" t="s">
        <v>29</v>
      </c>
      <c r="Q629" s="6">
        <v>1.32670731707317</v>
      </c>
      <c r="R629">
        <v>4.82</v>
      </c>
      <c r="S629">
        <v>21.76</v>
      </c>
      <c r="T629">
        <v>72.53</v>
      </c>
      <c r="U629">
        <v>76.95</v>
      </c>
      <c r="V629">
        <v>128.33000000000001</v>
      </c>
      <c r="W629">
        <v>1.77</v>
      </c>
    </row>
    <row r="630" spans="1:23" x14ac:dyDescent="0.3">
      <c r="A630">
        <v>628</v>
      </c>
      <c r="B630" t="s">
        <v>673</v>
      </c>
      <c r="C630" t="s">
        <v>35</v>
      </c>
      <c r="D630">
        <v>178</v>
      </c>
      <c r="E630">
        <v>3370</v>
      </c>
      <c r="F630" s="3">
        <v>181</v>
      </c>
      <c r="G630">
        <v>25</v>
      </c>
      <c r="H630">
        <v>9</v>
      </c>
      <c r="I630" s="5">
        <v>5.0561797752808897E-2</v>
      </c>
      <c r="J630" s="3">
        <v>373</v>
      </c>
      <c r="K630" s="1">
        <v>45620</v>
      </c>
      <c r="L630" t="s">
        <v>25</v>
      </c>
      <c r="M630" t="s">
        <v>26</v>
      </c>
      <c r="N630" t="s">
        <v>44</v>
      </c>
      <c r="O630" t="s">
        <v>28</v>
      </c>
      <c r="P630" t="s">
        <v>50</v>
      </c>
      <c r="Q630" s="6">
        <v>1.0149438202247101</v>
      </c>
      <c r="R630">
        <v>5.28</v>
      </c>
      <c r="S630">
        <v>7.23</v>
      </c>
      <c r="T630">
        <v>20.07</v>
      </c>
      <c r="U630">
        <v>106.47</v>
      </c>
      <c r="V630">
        <v>41.44</v>
      </c>
      <c r="W630">
        <v>2.06</v>
      </c>
    </row>
    <row r="631" spans="1:23" x14ac:dyDescent="0.3">
      <c r="A631">
        <v>629</v>
      </c>
      <c r="B631" t="s">
        <v>674</v>
      </c>
      <c r="C631" t="s">
        <v>24</v>
      </c>
      <c r="D631">
        <v>146</v>
      </c>
      <c r="E631">
        <v>4455</v>
      </c>
      <c r="F631" s="3">
        <v>227</v>
      </c>
      <c r="G631">
        <v>16</v>
      </c>
      <c r="H631">
        <v>5</v>
      </c>
      <c r="I631" s="5">
        <v>3.4246575342465703E-2</v>
      </c>
      <c r="J631" s="3">
        <v>212</v>
      </c>
      <c r="K631" s="1">
        <v>45620</v>
      </c>
      <c r="L631" t="s">
        <v>25</v>
      </c>
      <c r="M631" t="s">
        <v>39</v>
      </c>
      <c r="N631" t="s">
        <v>44</v>
      </c>
      <c r="O631" t="s">
        <v>28</v>
      </c>
      <c r="P631" t="s">
        <v>50</v>
      </c>
      <c r="Q631" s="6">
        <v>1.55568493150684</v>
      </c>
      <c r="R631">
        <v>3.28</v>
      </c>
      <c r="S631">
        <v>14.2</v>
      </c>
      <c r="T631">
        <v>45.43</v>
      </c>
      <c r="U631">
        <v>-6.66</v>
      </c>
      <c r="V631">
        <v>42.4</v>
      </c>
      <c r="W631">
        <v>0.93</v>
      </c>
    </row>
    <row r="632" spans="1:23" x14ac:dyDescent="0.3">
      <c r="A632">
        <v>630</v>
      </c>
      <c r="B632" t="s">
        <v>675</v>
      </c>
      <c r="C632" t="s">
        <v>24</v>
      </c>
      <c r="D632">
        <v>149</v>
      </c>
      <c r="E632">
        <v>4670</v>
      </c>
      <c r="F632" s="3">
        <v>218</v>
      </c>
      <c r="G632">
        <v>10</v>
      </c>
      <c r="H632">
        <v>10</v>
      </c>
      <c r="I632" s="5">
        <v>6.7114093959731502E-2</v>
      </c>
      <c r="J632" s="3">
        <v>331</v>
      </c>
      <c r="K632" s="1">
        <v>45598</v>
      </c>
      <c r="L632" t="s">
        <v>25</v>
      </c>
      <c r="M632" t="s">
        <v>31</v>
      </c>
      <c r="N632" t="s">
        <v>49</v>
      </c>
      <c r="O632" t="s">
        <v>28</v>
      </c>
      <c r="P632" t="s">
        <v>29</v>
      </c>
      <c r="Q632" s="6">
        <v>1.4651677852348901</v>
      </c>
      <c r="R632">
        <v>3.19</v>
      </c>
      <c r="S632">
        <v>21.83</v>
      </c>
      <c r="T632">
        <v>21.83</v>
      </c>
      <c r="U632">
        <v>51.62</v>
      </c>
      <c r="V632">
        <v>33.1</v>
      </c>
      <c r="W632">
        <v>1.52</v>
      </c>
    </row>
    <row r="633" spans="1:23" x14ac:dyDescent="0.3">
      <c r="A633">
        <v>631</v>
      </c>
      <c r="B633" t="s">
        <v>676</v>
      </c>
      <c r="C633" t="s">
        <v>24</v>
      </c>
      <c r="D633">
        <v>193</v>
      </c>
      <c r="E633">
        <v>4287</v>
      </c>
      <c r="F633" s="3">
        <v>205</v>
      </c>
      <c r="G633">
        <v>15</v>
      </c>
      <c r="H633">
        <v>3</v>
      </c>
      <c r="I633" s="5">
        <v>1.55440414507772E-2</v>
      </c>
      <c r="J633" s="3">
        <v>367</v>
      </c>
      <c r="K633" s="1">
        <v>45605</v>
      </c>
      <c r="L633" t="s">
        <v>25</v>
      </c>
      <c r="M633" t="s">
        <v>39</v>
      </c>
      <c r="N633" t="s">
        <v>40</v>
      </c>
      <c r="O633" t="s">
        <v>28</v>
      </c>
      <c r="P633" t="s">
        <v>29</v>
      </c>
      <c r="Q633" s="6">
        <v>1.0602072538860099</v>
      </c>
      <c r="R633">
        <v>4.5</v>
      </c>
      <c r="S633">
        <v>13.64</v>
      </c>
      <c r="T633">
        <v>68.209999999999994</v>
      </c>
      <c r="U633">
        <v>79.36</v>
      </c>
      <c r="V633">
        <v>122.33</v>
      </c>
      <c r="W633">
        <v>1.79</v>
      </c>
    </row>
    <row r="634" spans="1:23" x14ac:dyDescent="0.3">
      <c r="A634">
        <v>632</v>
      </c>
      <c r="B634" t="s">
        <v>677</v>
      </c>
      <c r="C634" t="s">
        <v>24</v>
      </c>
      <c r="D634">
        <v>108</v>
      </c>
      <c r="E634">
        <v>3546</v>
      </c>
      <c r="F634" s="3">
        <v>183</v>
      </c>
      <c r="G634">
        <v>27</v>
      </c>
      <c r="H634">
        <v>7</v>
      </c>
      <c r="I634" s="5">
        <v>6.4814814814814797E-2</v>
      </c>
      <c r="J634" s="3">
        <v>347</v>
      </c>
      <c r="K634" s="1">
        <v>45624</v>
      </c>
      <c r="L634" t="s">
        <v>25</v>
      </c>
      <c r="M634" t="s">
        <v>31</v>
      </c>
      <c r="N634" t="s">
        <v>40</v>
      </c>
      <c r="O634" t="s">
        <v>28</v>
      </c>
      <c r="P634" t="s">
        <v>54</v>
      </c>
      <c r="Q634" s="6">
        <v>1.6982407407407401</v>
      </c>
      <c r="R634">
        <v>3.05</v>
      </c>
      <c r="S634">
        <v>6.79</v>
      </c>
      <c r="T634">
        <v>26.2</v>
      </c>
      <c r="U634">
        <v>89.19</v>
      </c>
      <c r="V634">
        <v>49.57</v>
      </c>
      <c r="W634">
        <v>1.89</v>
      </c>
    </row>
    <row r="635" spans="1:23" x14ac:dyDescent="0.3">
      <c r="A635">
        <v>633</v>
      </c>
      <c r="B635" t="s">
        <v>678</v>
      </c>
      <c r="C635" t="s">
        <v>38</v>
      </c>
      <c r="D635">
        <v>106</v>
      </c>
      <c r="E635">
        <v>4740</v>
      </c>
      <c r="F635" s="3">
        <v>229</v>
      </c>
      <c r="G635">
        <v>19</v>
      </c>
      <c r="H635">
        <v>3</v>
      </c>
      <c r="I635" s="5">
        <v>2.83018867924528E-2</v>
      </c>
      <c r="J635" s="3">
        <v>234</v>
      </c>
      <c r="K635" s="1">
        <v>45607</v>
      </c>
      <c r="L635" t="s">
        <v>25</v>
      </c>
      <c r="M635" t="s">
        <v>26</v>
      </c>
      <c r="N635" t="s">
        <v>44</v>
      </c>
      <c r="O635" t="s">
        <v>28</v>
      </c>
      <c r="P635" t="s">
        <v>59</v>
      </c>
      <c r="Q635" s="6">
        <v>2.1616037735849001</v>
      </c>
      <c r="R635">
        <v>2.2400000000000002</v>
      </c>
      <c r="S635">
        <v>12.06</v>
      </c>
      <c r="T635">
        <v>76.38</v>
      </c>
      <c r="U635">
        <v>2.13</v>
      </c>
      <c r="V635">
        <v>78</v>
      </c>
      <c r="W635">
        <v>1.02</v>
      </c>
    </row>
    <row r="636" spans="1:23" x14ac:dyDescent="0.3">
      <c r="A636">
        <v>634</v>
      </c>
      <c r="B636" t="s">
        <v>679</v>
      </c>
      <c r="C636" t="s">
        <v>24</v>
      </c>
      <c r="D636">
        <v>131</v>
      </c>
      <c r="E636">
        <v>5642</v>
      </c>
      <c r="F636" s="3">
        <v>185</v>
      </c>
      <c r="G636">
        <v>20</v>
      </c>
      <c r="H636">
        <v>9</v>
      </c>
      <c r="I636" s="5">
        <v>6.8702290076335798E-2</v>
      </c>
      <c r="J636" s="3">
        <v>373</v>
      </c>
      <c r="K636" s="1">
        <v>45612</v>
      </c>
      <c r="L636" t="s">
        <v>25</v>
      </c>
      <c r="M636" t="s">
        <v>31</v>
      </c>
      <c r="N636" t="s">
        <v>32</v>
      </c>
      <c r="O636" t="s">
        <v>28</v>
      </c>
      <c r="P636" t="s">
        <v>29</v>
      </c>
      <c r="Q636" s="6">
        <v>1.40893129770992</v>
      </c>
      <c r="R636">
        <v>2.3199999999999998</v>
      </c>
      <c r="S636">
        <v>9.23</v>
      </c>
      <c r="T636">
        <v>20.51</v>
      </c>
      <c r="U636">
        <v>102.09</v>
      </c>
      <c r="V636">
        <v>41.44</v>
      </c>
      <c r="W636">
        <v>2.02</v>
      </c>
    </row>
    <row r="637" spans="1:23" x14ac:dyDescent="0.3">
      <c r="A637">
        <v>635</v>
      </c>
      <c r="B637" t="s">
        <v>680</v>
      </c>
      <c r="C637" t="s">
        <v>38</v>
      </c>
      <c r="D637">
        <v>111</v>
      </c>
      <c r="E637">
        <v>4161</v>
      </c>
      <c r="F637" s="3">
        <v>186</v>
      </c>
      <c r="G637">
        <v>10</v>
      </c>
      <c r="H637">
        <v>7</v>
      </c>
      <c r="I637" s="5">
        <v>6.3063063063063002E-2</v>
      </c>
      <c r="J637" s="3">
        <v>293</v>
      </c>
      <c r="K637" s="1">
        <v>45600</v>
      </c>
      <c r="L637" t="s">
        <v>25</v>
      </c>
      <c r="M637" t="s">
        <v>26</v>
      </c>
      <c r="N637" t="s">
        <v>40</v>
      </c>
      <c r="O637" t="s">
        <v>28</v>
      </c>
      <c r="P637" t="s">
        <v>59</v>
      </c>
      <c r="Q637" s="6">
        <v>1.6718918918918899</v>
      </c>
      <c r="R637">
        <v>2.67</v>
      </c>
      <c r="S637">
        <v>18.559999999999999</v>
      </c>
      <c r="T637">
        <v>26.51</v>
      </c>
      <c r="U637">
        <v>57.88</v>
      </c>
      <c r="V637">
        <v>41.86</v>
      </c>
      <c r="W637">
        <v>1.58</v>
      </c>
    </row>
    <row r="638" spans="1:23" x14ac:dyDescent="0.3">
      <c r="A638">
        <v>636</v>
      </c>
      <c r="B638" t="s">
        <v>681</v>
      </c>
      <c r="C638" t="s">
        <v>38</v>
      </c>
      <c r="D638">
        <v>144</v>
      </c>
      <c r="E638">
        <v>4241</v>
      </c>
      <c r="F638" s="3">
        <v>181</v>
      </c>
      <c r="G638">
        <v>24</v>
      </c>
      <c r="H638">
        <v>5</v>
      </c>
      <c r="I638" s="5">
        <v>3.4722222222222203E-2</v>
      </c>
      <c r="J638" s="3">
        <v>346</v>
      </c>
      <c r="K638" s="1">
        <v>45615</v>
      </c>
      <c r="L638" t="s">
        <v>25</v>
      </c>
      <c r="M638" t="s">
        <v>31</v>
      </c>
      <c r="N638" t="s">
        <v>44</v>
      </c>
      <c r="O638" t="s">
        <v>28</v>
      </c>
      <c r="P638" t="s">
        <v>41</v>
      </c>
      <c r="Q638" s="6">
        <v>1.25972222222222</v>
      </c>
      <c r="R638">
        <v>3.4</v>
      </c>
      <c r="S638">
        <v>7.56</v>
      </c>
      <c r="T638">
        <v>36.28</v>
      </c>
      <c r="U638">
        <v>90.74</v>
      </c>
      <c r="V638">
        <v>69.2</v>
      </c>
      <c r="W638">
        <v>1.91</v>
      </c>
    </row>
    <row r="639" spans="1:23" x14ac:dyDescent="0.3">
      <c r="A639">
        <v>637</v>
      </c>
      <c r="B639" t="s">
        <v>682</v>
      </c>
      <c r="C639" t="s">
        <v>24</v>
      </c>
      <c r="D639">
        <v>151</v>
      </c>
      <c r="E639">
        <v>5875</v>
      </c>
      <c r="F639" s="3">
        <v>192</v>
      </c>
      <c r="G639">
        <v>28</v>
      </c>
      <c r="H639">
        <v>7</v>
      </c>
      <c r="I639" s="5">
        <v>4.6357615894039701E-2</v>
      </c>
      <c r="J639" s="3">
        <v>298</v>
      </c>
      <c r="K639" s="1">
        <v>45614</v>
      </c>
      <c r="L639" t="s">
        <v>25</v>
      </c>
      <c r="M639" t="s">
        <v>31</v>
      </c>
      <c r="N639" t="s">
        <v>36</v>
      </c>
      <c r="O639" t="s">
        <v>28</v>
      </c>
      <c r="P639" t="s">
        <v>59</v>
      </c>
      <c r="Q639" s="6">
        <v>1.2745695364238401</v>
      </c>
      <c r="R639">
        <v>2.57</v>
      </c>
      <c r="S639">
        <v>6.87</v>
      </c>
      <c r="T639">
        <v>27.49</v>
      </c>
      <c r="U639">
        <v>54.84</v>
      </c>
      <c r="V639">
        <v>42.57</v>
      </c>
      <c r="W639">
        <v>1.55</v>
      </c>
    </row>
    <row r="640" spans="1:23" x14ac:dyDescent="0.3">
      <c r="A640">
        <v>638</v>
      </c>
      <c r="B640" t="s">
        <v>683</v>
      </c>
      <c r="C640" t="s">
        <v>35</v>
      </c>
      <c r="D640">
        <v>146</v>
      </c>
      <c r="E640">
        <v>5457</v>
      </c>
      <c r="F640" s="3">
        <v>229</v>
      </c>
      <c r="G640">
        <v>15</v>
      </c>
      <c r="H640">
        <v>5</v>
      </c>
      <c r="I640" s="5">
        <v>3.4246575342465703E-2</v>
      </c>
      <c r="J640" s="3">
        <v>210</v>
      </c>
      <c r="K640" s="1">
        <v>45598</v>
      </c>
      <c r="L640" t="s">
        <v>25</v>
      </c>
      <c r="M640" t="s">
        <v>26</v>
      </c>
      <c r="N640" t="s">
        <v>32</v>
      </c>
      <c r="O640" t="s">
        <v>28</v>
      </c>
      <c r="P640" t="s">
        <v>29</v>
      </c>
      <c r="Q640" s="6">
        <v>1.56753061615001</v>
      </c>
      <c r="R640">
        <v>2.68</v>
      </c>
      <c r="S640">
        <v>15.26</v>
      </c>
      <c r="T640">
        <v>45.77</v>
      </c>
      <c r="U640">
        <v>-8.24</v>
      </c>
      <c r="V640">
        <v>42</v>
      </c>
      <c r="W640">
        <v>0.92</v>
      </c>
    </row>
    <row r="641" spans="1:23" x14ac:dyDescent="0.3">
      <c r="A641">
        <v>639</v>
      </c>
      <c r="B641" t="s">
        <v>684</v>
      </c>
      <c r="C641" t="s">
        <v>24</v>
      </c>
      <c r="D641">
        <v>133</v>
      </c>
      <c r="E641">
        <v>4780</v>
      </c>
      <c r="F641" s="3">
        <v>199</v>
      </c>
      <c r="G641">
        <v>22</v>
      </c>
      <c r="H641">
        <v>4</v>
      </c>
      <c r="I641" s="5">
        <v>3.00751879699248E-2</v>
      </c>
      <c r="J641" s="3">
        <v>389</v>
      </c>
      <c r="K641" s="1">
        <v>45605</v>
      </c>
      <c r="L641" t="s">
        <v>25</v>
      </c>
      <c r="M641" t="s">
        <v>39</v>
      </c>
      <c r="N641" t="s">
        <v>44</v>
      </c>
      <c r="O641" t="s">
        <v>28</v>
      </c>
      <c r="P641" t="s">
        <v>29</v>
      </c>
      <c r="Q641" s="6">
        <v>1.49368421052631</v>
      </c>
      <c r="R641">
        <v>2.78</v>
      </c>
      <c r="S641">
        <v>9.0299999999999994</v>
      </c>
      <c r="T641">
        <v>49.66</v>
      </c>
      <c r="U641">
        <v>95.81</v>
      </c>
      <c r="V641">
        <v>97.25</v>
      </c>
      <c r="W641">
        <v>1.96</v>
      </c>
    </row>
    <row r="642" spans="1:23" x14ac:dyDescent="0.3">
      <c r="A642">
        <v>640</v>
      </c>
      <c r="B642" t="s">
        <v>685</v>
      </c>
      <c r="C642" t="s">
        <v>43</v>
      </c>
      <c r="D642">
        <v>180</v>
      </c>
      <c r="E642">
        <v>5922</v>
      </c>
      <c r="F642" s="3">
        <v>239</v>
      </c>
      <c r="G642">
        <v>12</v>
      </c>
      <c r="H642">
        <v>3</v>
      </c>
      <c r="I642" s="5">
        <v>1.6666666666666601E-2</v>
      </c>
      <c r="J642" s="3">
        <v>354</v>
      </c>
      <c r="K642" s="1">
        <v>45602</v>
      </c>
      <c r="L642" t="s">
        <v>25</v>
      </c>
      <c r="M642" t="s">
        <v>26</v>
      </c>
      <c r="N642" t="s">
        <v>32</v>
      </c>
      <c r="O642" t="s">
        <v>28</v>
      </c>
      <c r="P642" t="s">
        <v>33</v>
      </c>
      <c r="Q642" s="6">
        <v>1.32833333333333</v>
      </c>
      <c r="R642">
        <v>3.04</v>
      </c>
      <c r="S642">
        <v>19.920000000000002</v>
      </c>
      <c r="T642">
        <v>79.7</v>
      </c>
      <c r="U642">
        <v>48.06</v>
      </c>
      <c r="V642">
        <v>118</v>
      </c>
      <c r="W642">
        <v>1.48</v>
      </c>
    </row>
    <row r="643" spans="1:23" x14ac:dyDescent="0.3">
      <c r="A643">
        <v>641</v>
      </c>
      <c r="B643" t="s">
        <v>686</v>
      </c>
      <c r="C643" t="s">
        <v>38</v>
      </c>
      <c r="D643">
        <v>82</v>
      </c>
      <c r="E643">
        <v>3454</v>
      </c>
      <c r="F643" s="3">
        <v>228</v>
      </c>
      <c r="G643">
        <v>30</v>
      </c>
      <c r="H643">
        <v>7</v>
      </c>
      <c r="I643" s="5">
        <v>8.5365853658536495E-2</v>
      </c>
      <c r="J643" s="3">
        <v>299</v>
      </c>
      <c r="K643" s="1">
        <v>45605</v>
      </c>
      <c r="L643" t="s">
        <v>25</v>
      </c>
      <c r="M643" t="s">
        <v>26</v>
      </c>
      <c r="N643" t="s">
        <v>27</v>
      </c>
      <c r="O643" t="s">
        <v>28</v>
      </c>
      <c r="P643" t="s">
        <v>29</v>
      </c>
      <c r="Q643" s="6">
        <v>2.7807317073170701</v>
      </c>
      <c r="R643">
        <v>2.37</v>
      </c>
      <c r="S643">
        <v>7.6</v>
      </c>
      <c r="T643">
        <v>32.57</v>
      </c>
      <c r="U643">
        <v>31.13</v>
      </c>
      <c r="V643">
        <v>42.71</v>
      </c>
      <c r="W643">
        <v>1.31</v>
      </c>
    </row>
    <row r="644" spans="1:23" x14ac:dyDescent="0.3">
      <c r="A644">
        <v>642</v>
      </c>
      <c r="B644" t="s">
        <v>687</v>
      </c>
      <c r="C644" t="s">
        <v>38</v>
      </c>
      <c r="D644">
        <v>135</v>
      </c>
      <c r="E644">
        <v>3449</v>
      </c>
      <c r="F644" s="3">
        <v>200</v>
      </c>
      <c r="G644">
        <v>17</v>
      </c>
      <c r="H644">
        <v>5</v>
      </c>
      <c r="I644" s="5">
        <v>3.7037037037037E-2</v>
      </c>
      <c r="J644" s="3">
        <v>398</v>
      </c>
      <c r="K644" s="1">
        <v>45603</v>
      </c>
      <c r="L644" t="s">
        <v>25</v>
      </c>
      <c r="M644" t="s">
        <v>31</v>
      </c>
      <c r="N644" t="s">
        <v>32</v>
      </c>
      <c r="O644" t="s">
        <v>28</v>
      </c>
      <c r="P644" t="s">
        <v>54</v>
      </c>
      <c r="Q644" s="6">
        <v>1.4819259259259201</v>
      </c>
      <c r="R644">
        <v>3.91</v>
      </c>
      <c r="S644">
        <v>11.77</v>
      </c>
      <c r="T644">
        <v>40.01</v>
      </c>
      <c r="U644">
        <v>98.94</v>
      </c>
      <c r="V644">
        <v>79.599999999999994</v>
      </c>
      <c r="W644">
        <v>1.99</v>
      </c>
    </row>
    <row r="645" spans="1:23" x14ac:dyDescent="0.3">
      <c r="A645">
        <v>643</v>
      </c>
      <c r="B645" t="s">
        <v>688</v>
      </c>
      <c r="C645" t="s">
        <v>38</v>
      </c>
      <c r="D645">
        <v>199</v>
      </c>
      <c r="E645">
        <v>4287</v>
      </c>
      <c r="F645" s="3">
        <v>236</v>
      </c>
      <c r="G645">
        <v>12</v>
      </c>
      <c r="H645">
        <v>10</v>
      </c>
      <c r="I645" s="5">
        <v>5.0251256281407003E-2</v>
      </c>
      <c r="J645" s="3">
        <v>260</v>
      </c>
      <c r="K645" s="1">
        <v>45606</v>
      </c>
      <c r="L645" t="s">
        <v>25</v>
      </c>
      <c r="M645" t="s">
        <v>39</v>
      </c>
      <c r="N645" t="s">
        <v>32</v>
      </c>
      <c r="O645" t="s">
        <v>28</v>
      </c>
      <c r="P645" t="s">
        <v>50</v>
      </c>
      <c r="Q645" s="6">
        <v>1.18381909547738</v>
      </c>
      <c r="R645">
        <v>4.6399999999999997</v>
      </c>
      <c r="S645">
        <v>19.63</v>
      </c>
      <c r="T645">
        <v>23.56</v>
      </c>
      <c r="U645">
        <v>10.37</v>
      </c>
      <c r="V645">
        <v>26</v>
      </c>
      <c r="W645">
        <v>1.1000000000000001</v>
      </c>
    </row>
    <row r="646" spans="1:23" x14ac:dyDescent="0.3">
      <c r="A646">
        <v>644</v>
      </c>
      <c r="B646" t="s">
        <v>689</v>
      </c>
      <c r="C646" t="s">
        <v>24</v>
      </c>
      <c r="D646">
        <v>123</v>
      </c>
      <c r="E646">
        <v>5000</v>
      </c>
      <c r="F646" s="3">
        <v>188</v>
      </c>
      <c r="G646">
        <v>25</v>
      </c>
      <c r="H646">
        <v>3</v>
      </c>
      <c r="I646" s="5">
        <v>2.4390243902439001E-2</v>
      </c>
      <c r="J646" s="3">
        <v>276</v>
      </c>
      <c r="K646" s="1">
        <v>45603</v>
      </c>
      <c r="L646" t="s">
        <v>25</v>
      </c>
      <c r="M646" t="s">
        <v>39</v>
      </c>
      <c r="N646" t="s">
        <v>36</v>
      </c>
      <c r="O646" t="s">
        <v>28</v>
      </c>
      <c r="P646" t="s">
        <v>54</v>
      </c>
      <c r="Q646" s="6">
        <v>1.52577235772357</v>
      </c>
      <c r="R646">
        <v>2.46</v>
      </c>
      <c r="S646">
        <v>7.51</v>
      </c>
      <c r="T646">
        <v>62.56</v>
      </c>
      <c r="U646">
        <v>47.07</v>
      </c>
      <c r="V646">
        <v>92</v>
      </c>
      <c r="W646">
        <v>1.47</v>
      </c>
    </row>
    <row r="647" spans="1:23" x14ac:dyDescent="0.3">
      <c r="A647">
        <v>645</v>
      </c>
      <c r="B647" t="s">
        <v>690</v>
      </c>
      <c r="C647" t="s">
        <v>24</v>
      </c>
      <c r="D647">
        <v>154</v>
      </c>
      <c r="E647">
        <v>3437</v>
      </c>
      <c r="F647" s="3">
        <v>212</v>
      </c>
      <c r="G647">
        <v>28</v>
      </c>
      <c r="H647">
        <v>4</v>
      </c>
      <c r="I647" s="5">
        <v>2.5974025974025899E-2</v>
      </c>
      <c r="J647" s="3">
        <v>327</v>
      </c>
      <c r="K647" s="1">
        <v>45610</v>
      </c>
      <c r="L647" t="s">
        <v>25</v>
      </c>
      <c r="M647" t="s">
        <v>39</v>
      </c>
      <c r="N647" t="s">
        <v>40</v>
      </c>
      <c r="O647" t="s">
        <v>28</v>
      </c>
      <c r="P647" t="s">
        <v>54</v>
      </c>
      <c r="Q647" s="6">
        <v>1.3742207792207699</v>
      </c>
      <c r="R647">
        <v>4.4800000000000004</v>
      </c>
      <c r="S647">
        <v>7.56</v>
      </c>
      <c r="T647">
        <v>52.91</v>
      </c>
      <c r="U647">
        <v>54.51</v>
      </c>
      <c r="V647">
        <v>81.75</v>
      </c>
      <c r="W647">
        <v>1.55</v>
      </c>
    </row>
    <row r="648" spans="1:23" x14ac:dyDescent="0.3">
      <c r="A648">
        <v>646</v>
      </c>
      <c r="B648" t="s">
        <v>691</v>
      </c>
      <c r="C648" t="s">
        <v>24</v>
      </c>
      <c r="D648">
        <v>88</v>
      </c>
      <c r="E648">
        <v>3475</v>
      </c>
      <c r="F648" s="3">
        <v>192</v>
      </c>
      <c r="G648">
        <v>12</v>
      </c>
      <c r="H648">
        <v>7</v>
      </c>
      <c r="I648" s="5">
        <v>7.9545454545454503E-2</v>
      </c>
      <c r="J648" s="3">
        <v>246</v>
      </c>
      <c r="K648" s="1">
        <v>45621</v>
      </c>
      <c r="L648" t="s">
        <v>25</v>
      </c>
      <c r="M648" t="s">
        <v>26</v>
      </c>
      <c r="N648" t="s">
        <v>44</v>
      </c>
      <c r="O648" t="s">
        <v>28</v>
      </c>
      <c r="P648" t="s">
        <v>59</v>
      </c>
      <c r="Q648" s="6">
        <v>2.18136363636363</v>
      </c>
      <c r="R648">
        <v>2.5299999999999998</v>
      </c>
      <c r="S648">
        <v>16</v>
      </c>
      <c r="T648">
        <v>27.42</v>
      </c>
      <c r="U648">
        <v>28.15</v>
      </c>
      <c r="V648">
        <v>35.14</v>
      </c>
      <c r="W648">
        <v>1.28</v>
      </c>
    </row>
    <row r="649" spans="1:23" x14ac:dyDescent="0.3">
      <c r="A649">
        <v>647</v>
      </c>
      <c r="B649" t="s">
        <v>692</v>
      </c>
      <c r="C649" t="s">
        <v>43</v>
      </c>
      <c r="D649">
        <v>165</v>
      </c>
      <c r="E649">
        <v>4889</v>
      </c>
      <c r="F649" s="3">
        <v>180</v>
      </c>
      <c r="G649">
        <v>21</v>
      </c>
      <c r="H649">
        <v>4</v>
      </c>
      <c r="I649" s="5">
        <v>2.4242424242424201E-2</v>
      </c>
      <c r="J649" s="3">
        <v>298</v>
      </c>
      <c r="K649" s="1">
        <v>45615</v>
      </c>
      <c r="L649" t="s">
        <v>25</v>
      </c>
      <c r="M649" t="s">
        <v>31</v>
      </c>
      <c r="N649" t="s">
        <v>49</v>
      </c>
      <c r="O649" t="s">
        <v>28</v>
      </c>
      <c r="P649" t="s">
        <v>41</v>
      </c>
      <c r="Q649" s="6">
        <v>1.0920606060606</v>
      </c>
      <c r="R649">
        <v>3.37</v>
      </c>
      <c r="S649">
        <v>8.58</v>
      </c>
      <c r="T649">
        <v>45.05</v>
      </c>
      <c r="U649">
        <v>65.38</v>
      </c>
      <c r="V649">
        <v>74.5</v>
      </c>
      <c r="W649">
        <v>1.65</v>
      </c>
    </row>
    <row r="650" spans="1:23" x14ac:dyDescent="0.3">
      <c r="A650">
        <v>648</v>
      </c>
      <c r="B650" t="s">
        <v>693</v>
      </c>
      <c r="C650" t="s">
        <v>43</v>
      </c>
      <c r="D650">
        <v>87</v>
      </c>
      <c r="E650">
        <v>3639</v>
      </c>
      <c r="F650" s="3">
        <v>221</v>
      </c>
      <c r="G650">
        <v>22</v>
      </c>
      <c r="H650">
        <v>3</v>
      </c>
      <c r="I650" s="5">
        <v>3.4482758620689599E-2</v>
      </c>
      <c r="J650" s="3">
        <v>251</v>
      </c>
      <c r="K650" s="1">
        <v>45610</v>
      </c>
      <c r="L650" t="s">
        <v>25</v>
      </c>
      <c r="M650" t="s">
        <v>31</v>
      </c>
      <c r="N650" t="s">
        <v>49</v>
      </c>
      <c r="O650" t="s">
        <v>28</v>
      </c>
      <c r="P650" t="s">
        <v>54</v>
      </c>
      <c r="Q650" s="6">
        <v>2.5374712643678099</v>
      </c>
      <c r="R650">
        <v>2.39</v>
      </c>
      <c r="S650">
        <v>10.029999999999999</v>
      </c>
      <c r="T650">
        <v>73.59</v>
      </c>
      <c r="U650">
        <v>13.7</v>
      </c>
      <c r="V650">
        <v>83.67</v>
      </c>
      <c r="W650">
        <v>1.1399999999999999</v>
      </c>
    </row>
    <row r="651" spans="1:23" x14ac:dyDescent="0.3">
      <c r="A651">
        <v>649</v>
      </c>
      <c r="B651" t="s">
        <v>694</v>
      </c>
      <c r="C651" t="s">
        <v>43</v>
      </c>
      <c r="D651">
        <v>147</v>
      </c>
      <c r="E651">
        <v>3959</v>
      </c>
      <c r="F651" s="3">
        <v>181</v>
      </c>
      <c r="G651">
        <v>27</v>
      </c>
      <c r="H651">
        <v>9</v>
      </c>
      <c r="I651" s="5">
        <v>6.1224489795918297E-2</v>
      </c>
      <c r="J651" s="3">
        <v>332</v>
      </c>
      <c r="K651" s="1">
        <v>45622</v>
      </c>
      <c r="L651" t="s">
        <v>25</v>
      </c>
      <c r="M651" t="s">
        <v>31</v>
      </c>
      <c r="N651" t="s">
        <v>49</v>
      </c>
      <c r="O651" t="s">
        <v>28</v>
      </c>
      <c r="P651" t="s">
        <v>41</v>
      </c>
      <c r="Q651" s="6">
        <v>1.23251700680272</v>
      </c>
      <c r="R651">
        <v>3.71</v>
      </c>
      <c r="S651">
        <v>6.71</v>
      </c>
      <c r="T651">
        <v>20.13</v>
      </c>
      <c r="U651">
        <v>83.24</v>
      </c>
      <c r="V651">
        <v>36.89</v>
      </c>
      <c r="W651">
        <v>1.83</v>
      </c>
    </row>
    <row r="652" spans="1:23" x14ac:dyDescent="0.3">
      <c r="A652">
        <v>650</v>
      </c>
      <c r="B652" t="s">
        <v>695</v>
      </c>
      <c r="C652" t="s">
        <v>38</v>
      </c>
      <c r="D652">
        <v>137</v>
      </c>
      <c r="E652">
        <v>5400</v>
      </c>
      <c r="F652" s="3">
        <v>180</v>
      </c>
      <c r="G652">
        <v>10</v>
      </c>
      <c r="H652">
        <v>10</v>
      </c>
      <c r="I652" s="5">
        <v>7.2992700729927001E-2</v>
      </c>
      <c r="J652" s="3">
        <v>281</v>
      </c>
      <c r="K652" s="1">
        <v>45625</v>
      </c>
      <c r="L652" t="s">
        <v>25</v>
      </c>
      <c r="M652" t="s">
        <v>39</v>
      </c>
      <c r="N652" t="s">
        <v>49</v>
      </c>
      <c r="O652" t="s">
        <v>28</v>
      </c>
      <c r="P652" t="s">
        <v>45</v>
      </c>
      <c r="Q652" s="6">
        <v>1.3141605839416</v>
      </c>
      <c r="R652">
        <v>2.54</v>
      </c>
      <c r="S652">
        <v>18</v>
      </c>
      <c r="T652">
        <v>18</v>
      </c>
      <c r="U652">
        <v>56.08</v>
      </c>
      <c r="V652">
        <v>28.1</v>
      </c>
      <c r="W652">
        <v>1.56</v>
      </c>
    </row>
    <row r="653" spans="1:23" x14ac:dyDescent="0.3">
      <c r="A653">
        <v>651</v>
      </c>
      <c r="B653" t="s">
        <v>696</v>
      </c>
      <c r="C653" t="s">
        <v>24</v>
      </c>
      <c r="D653">
        <v>188</v>
      </c>
      <c r="E653">
        <v>5528</v>
      </c>
      <c r="F653" s="3">
        <v>245</v>
      </c>
      <c r="G653">
        <v>13</v>
      </c>
      <c r="H653">
        <v>10</v>
      </c>
      <c r="I653" s="5">
        <v>5.31914893617021E-2</v>
      </c>
      <c r="J653" s="3">
        <v>245</v>
      </c>
      <c r="K653" s="1">
        <v>45625</v>
      </c>
      <c r="L653" t="s">
        <v>25</v>
      </c>
      <c r="M653" t="s">
        <v>26</v>
      </c>
      <c r="N653" t="s">
        <v>49</v>
      </c>
      <c r="O653" t="s">
        <v>28</v>
      </c>
      <c r="P653" t="s">
        <v>45</v>
      </c>
      <c r="Q653" s="6">
        <v>1.3033510638297801</v>
      </c>
      <c r="R653">
        <v>3.4</v>
      </c>
      <c r="S653">
        <v>18.850000000000001</v>
      </c>
      <c r="T653">
        <v>24.5</v>
      </c>
      <c r="U653">
        <v>-0.01</v>
      </c>
      <c r="V653">
        <v>24.5</v>
      </c>
      <c r="W653">
        <v>1</v>
      </c>
    </row>
    <row r="654" spans="1:23" x14ac:dyDescent="0.3">
      <c r="A654">
        <v>652</v>
      </c>
      <c r="B654" t="s">
        <v>697</v>
      </c>
      <c r="C654" t="s">
        <v>35</v>
      </c>
      <c r="D654">
        <v>162</v>
      </c>
      <c r="E654">
        <v>5456</v>
      </c>
      <c r="F654" s="3">
        <v>194</v>
      </c>
      <c r="G654">
        <v>10</v>
      </c>
      <c r="H654">
        <v>6</v>
      </c>
      <c r="I654" s="5">
        <v>3.7037037037037E-2</v>
      </c>
      <c r="J654" s="3">
        <v>407</v>
      </c>
      <c r="K654" s="1">
        <v>45625</v>
      </c>
      <c r="L654" t="s">
        <v>25</v>
      </c>
      <c r="M654" t="s">
        <v>39</v>
      </c>
      <c r="N654" t="s">
        <v>44</v>
      </c>
      <c r="O654" t="s">
        <v>28</v>
      </c>
      <c r="P654" t="s">
        <v>45</v>
      </c>
      <c r="Q654" s="6">
        <v>1.1956172839506101</v>
      </c>
      <c r="R654">
        <v>2.97</v>
      </c>
      <c r="S654">
        <v>19.37</v>
      </c>
      <c r="T654">
        <v>32.28</v>
      </c>
      <c r="U654">
        <v>110.13</v>
      </c>
      <c r="V654">
        <v>67.83</v>
      </c>
      <c r="W654">
        <v>2.1</v>
      </c>
    </row>
    <row r="655" spans="1:23" x14ac:dyDescent="0.3">
      <c r="A655">
        <v>653</v>
      </c>
      <c r="B655" t="s">
        <v>698</v>
      </c>
      <c r="C655" t="s">
        <v>38</v>
      </c>
      <c r="D655">
        <v>102</v>
      </c>
      <c r="E655">
        <v>4308</v>
      </c>
      <c r="F655" s="3">
        <v>222</v>
      </c>
      <c r="G655">
        <v>13</v>
      </c>
      <c r="H655">
        <v>7</v>
      </c>
      <c r="I655" s="5">
        <v>6.8627450980392093E-2</v>
      </c>
      <c r="J655" s="3">
        <v>224</v>
      </c>
      <c r="K655" s="1">
        <v>45604</v>
      </c>
      <c r="L655" t="s">
        <v>25</v>
      </c>
      <c r="M655" t="s">
        <v>31</v>
      </c>
      <c r="N655" t="s">
        <v>36</v>
      </c>
      <c r="O655" t="s">
        <v>28</v>
      </c>
      <c r="P655" t="s">
        <v>45</v>
      </c>
      <c r="Q655" s="6">
        <v>2.1719607843137201</v>
      </c>
      <c r="R655">
        <v>2.37</v>
      </c>
      <c r="S655">
        <v>17.04</v>
      </c>
      <c r="T655">
        <v>31.65</v>
      </c>
      <c r="U655">
        <v>1.1100000000000001</v>
      </c>
      <c r="V655">
        <v>32</v>
      </c>
      <c r="W655">
        <v>1.01</v>
      </c>
    </row>
    <row r="656" spans="1:23" x14ac:dyDescent="0.3">
      <c r="A656">
        <v>654</v>
      </c>
      <c r="B656" t="s">
        <v>699</v>
      </c>
      <c r="C656" t="s">
        <v>24</v>
      </c>
      <c r="D656">
        <v>120</v>
      </c>
      <c r="E656">
        <v>3245</v>
      </c>
      <c r="F656" s="3">
        <v>196</v>
      </c>
      <c r="G656">
        <v>15</v>
      </c>
      <c r="H656">
        <v>9</v>
      </c>
      <c r="I656" s="5">
        <v>7.4999999999999997E-2</v>
      </c>
      <c r="J656" s="3">
        <v>216</v>
      </c>
      <c r="K656" s="1">
        <v>45618</v>
      </c>
      <c r="L656" t="s">
        <v>25</v>
      </c>
      <c r="M656" t="s">
        <v>26</v>
      </c>
      <c r="N656" t="s">
        <v>40</v>
      </c>
      <c r="O656" t="s">
        <v>28</v>
      </c>
      <c r="P656" t="s">
        <v>45</v>
      </c>
      <c r="Q656" s="6">
        <v>1.63408333333333</v>
      </c>
      <c r="R656">
        <v>3.7</v>
      </c>
      <c r="S656">
        <v>13.07</v>
      </c>
      <c r="T656">
        <v>21.79</v>
      </c>
      <c r="U656">
        <v>10.15</v>
      </c>
      <c r="V656">
        <v>24</v>
      </c>
      <c r="W656">
        <v>1.1000000000000001</v>
      </c>
    </row>
    <row r="657" spans="1:23" x14ac:dyDescent="0.3">
      <c r="A657">
        <v>655</v>
      </c>
      <c r="B657" t="s">
        <v>700</v>
      </c>
      <c r="C657" t="s">
        <v>38</v>
      </c>
      <c r="D657">
        <v>125</v>
      </c>
      <c r="E657">
        <v>3339</v>
      </c>
      <c r="F657" s="3">
        <v>205</v>
      </c>
      <c r="G657">
        <v>18</v>
      </c>
      <c r="H657">
        <v>4</v>
      </c>
      <c r="I657" s="5">
        <v>3.2000000000000001E-2</v>
      </c>
      <c r="J657" s="3">
        <v>405</v>
      </c>
      <c r="K657" s="1">
        <v>45624</v>
      </c>
      <c r="L657" t="s">
        <v>25</v>
      </c>
      <c r="M657" t="s">
        <v>26</v>
      </c>
      <c r="N657" t="s">
        <v>32</v>
      </c>
      <c r="O657" t="s">
        <v>28</v>
      </c>
      <c r="P657" t="s">
        <v>54</v>
      </c>
      <c r="Q657" s="6">
        <v>1.64256</v>
      </c>
      <c r="R657">
        <v>3.74</v>
      </c>
      <c r="S657">
        <v>11.41</v>
      </c>
      <c r="T657">
        <v>51.33</v>
      </c>
      <c r="U657">
        <v>97.25</v>
      </c>
      <c r="V657">
        <v>101.25</v>
      </c>
      <c r="W657">
        <v>1.97</v>
      </c>
    </row>
    <row r="658" spans="1:23" x14ac:dyDescent="0.3">
      <c r="A658">
        <v>656</v>
      </c>
      <c r="B658" t="s">
        <v>701</v>
      </c>
      <c r="C658" t="s">
        <v>35</v>
      </c>
      <c r="D658">
        <v>155</v>
      </c>
      <c r="E658">
        <v>5977</v>
      </c>
      <c r="F658" s="3">
        <v>187</v>
      </c>
      <c r="G658">
        <v>16</v>
      </c>
      <c r="H658">
        <v>7</v>
      </c>
      <c r="I658" s="5">
        <v>4.5161290322580601E-2</v>
      </c>
      <c r="J658" s="3">
        <v>328</v>
      </c>
      <c r="K658" s="1">
        <v>45606</v>
      </c>
      <c r="L658" t="s">
        <v>25</v>
      </c>
      <c r="M658" t="s">
        <v>26</v>
      </c>
      <c r="N658" t="s">
        <v>44</v>
      </c>
      <c r="O658" t="s">
        <v>28</v>
      </c>
      <c r="P658" t="s">
        <v>50</v>
      </c>
      <c r="Q658" s="6">
        <v>1.2082580645161201</v>
      </c>
      <c r="R658">
        <v>2.59</v>
      </c>
      <c r="S658">
        <v>11.7</v>
      </c>
      <c r="T658">
        <v>26.75</v>
      </c>
      <c r="U658">
        <v>75.14</v>
      </c>
      <c r="V658">
        <v>46.86</v>
      </c>
      <c r="W658">
        <v>1.75</v>
      </c>
    </row>
    <row r="659" spans="1:23" x14ac:dyDescent="0.3">
      <c r="A659">
        <v>657</v>
      </c>
      <c r="B659" t="s">
        <v>702</v>
      </c>
      <c r="C659" t="s">
        <v>38</v>
      </c>
      <c r="D659">
        <v>137</v>
      </c>
      <c r="E659">
        <v>4231</v>
      </c>
      <c r="F659" s="3">
        <v>226</v>
      </c>
      <c r="G659">
        <v>25</v>
      </c>
      <c r="H659">
        <v>5</v>
      </c>
      <c r="I659" s="5">
        <v>3.6496350364963501E-2</v>
      </c>
      <c r="J659" s="3">
        <v>220</v>
      </c>
      <c r="K659" s="1">
        <v>45608</v>
      </c>
      <c r="L659" t="s">
        <v>25</v>
      </c>
      <c r="M659" t="s">
        <v>39</v>
      </c>
      <c r="N659" t="s">
        <v>49</v>
      </c>
      <c r="O659" t="s">
        <v>28</v>
      </c>
      <c r="P659" t="s">
        <v>41</v>
      </c>
      <c r="Q659" s="6">
        <v>1.6532116788321101</v>
      </c>
      <c r="R659">
        <v>3.24</v>
      </c>
      <c r="S659">
        <v>9.06</v>
      </c>
      <c r="T659">
        <v>45.3</v>
      </c>
      <c r="U659">
        <v>-2.87</v>
      </c>
      <c r="V659">
        <v>44</v>
      </c>
      <c r="W659">
        <v>0.97</v>
      </c>
    </row>
    <row r="660" spans="1:23" x14ac:dyDescent="0.3">
      <c r="A660">
        <v>658</v>
      </c>
      <c r="B660" t="s">
        <v>703</v>
      </c>
      <c r="C660" t="s">
        <v>38</v>
      </c>
      <c r="D660">
        <v>91</v>
      </c>
      <c r="E660">
        <v>4506</v>
      </c>
      <c r="F660" s="3">
        <v>196</v>
      </c>
      <c r="G660">
        <v>12</v>
      </c>
      <c r="H660">
        <v>3</v>
      </c>
      <c r="I660" s="5">
        <v>3.2967032967032898E-2</v>
      </c>
      <c r="J660" s="3">
        <v>241</v>
      </c>
      <c r="K660" s="1">
        <v>45618</v>
      </c>
      <c r="L660" t="s">
        <v>25</v>
      </c>
      <c r="M660" t="s">
        <v>39</v>
      </c>
      <c r="N660" t="s">
        <v>27</v>
      </c>
      <c r="O660" t="s">
        <v>28</v>
      </c>
      <c r="P660" t="s">
        <v>45</v>
      </c>
      <c r="Q660" s="6">
        <v>2.1537362637362598</v>
      </c>
      <c r="R660">
        <v>2.02</v>
      </c>
      <c r="S660">
        <v>16.329999999999998</v>
      </c>
      <c r="T660">
        <v>65.33</v>
      </c>
      <c r="U660">
        <v>22.97</v>
      </c>
      <c r="V660">
        <v>80.33</v>
      </c>
      <c r="W660">
        <v>1.23</v>
      </c>
    </row>
    <row r="661" spans="1:23" x14ac:dyDescent="0.3">
      <c r="A661">
        <v>659</v>
      </c>
      <c r="B661" t="s">
        <v>704</v>
      </c>
      <c r="C661" t="s">
        <v>24</v>
      </c>
      <c r="D661">
        <v>87</v>
      </c>
      <c r="E661">
        <v>4869</v>
      </c>
      <c r="F661" s="3">
        <v>221</v>
      </c>
      <c r="G661">
        <v>29</v>
      </c>
      <c r="H661">
        <v>5</v>
      </c>
      <c r="I661" s="5">
        <v>5.7471264367816001E-2</v>
      </c>
      <c r="J661" s="3">
        <v>302</v>
      </c>
      <c r="K661" s="1">
        <v>45601</v>
      </c>
      <c r="L661" t="s">
        <v>25</v>
      </c>
      <c r="M661" t="s">
        <v>26</v>
      </c>
      <c r="N661" t="s">
        <v>40</v>
      </c>
      <c r="O661" t="s">
        <v>28</v>
      </c>
      <c r="P661" t="s">
        <v>41</v>
      </c>
      <c r="Q661" s="6">
        <v>2.5398850574712601</v>
      </c>
      <c r="R661">
        <v>1.79</v>
      </c>
      <c r="S661">
        <v>7.62</v>
      </c>
      <c r="T661">
        <v>44.19</v>
      </c>
      <c r="U661">
        <v>36.67</v>
      </c>
      <c r="V661">
        <v>60.4</v>
      </c>
      <c r="W661">
        <v>1.37</v>
      </c>
    </row>
    <row r="662" spans="1:23" x14ac:dyDescent="0.3">
      <c r="A662">
        <v>660</v>
      </c>
      <c r="B662" t="s">
        <v>705</v>
      </c>
      <c r="C662" t="s">
        <v>43</v>
      </c>
      <c r="D662">
        <v>124</v>
      </c>
      <c r="E662">
        <v>5716</v>
      </c>
      <c r="F662" s="3">
        <v>218</v>
      </c>
      <c r="G662">
        <v>28</v>
      </c>
      <c r="H662">
        <v>8</v>
      </c>
      <c r="I662" s="5">
        <v>6.4516129032257993E-2</v>
      </c>
      <c r="J662" s="3">
        <v>366</v>
      </c>
      <c r="K662" s="1">
        <v>45620</v>
      </c>
      <c r="L662" t="s">
        <v>25</v>
      </c>
      <c r="M662" t="s">
        <v>31</v>
      </c>
      <c r="N662" t="s">
        <v>40</v>
      </c>
      <c r="O662" t="s">
        <v>28</v>
      </c>
      <c r="P662" t="s">
        <v>50</v>
      </c>
      <c r="Q662" s="6">
        <v>1.75677419354838</v>
      </c>
      <c r="R662">
        <v>2.17</v>
      </c>
      <c r="S662">
        <v>7.78</v>
      </c>
      <c r="T662">
        <v>27.23</v>
      </c>
      <c r="U662">
        <v>68.010000000000005</v>
      </c>
      <c r="V662">
        <v>45.75</v>
      </c>
      <c r="W662">
        <v>1.68</v>
      </c>
    </row>
    <row r="663" spans="1:23" x14ac:dyDescent="0.3">
      <c r="A663">
        <v>661</v>
      </c>
      <c r="B663" t="s">
        <v>706</v>
      </c>
      <c r="C663" t="s">
        <v>35</v>
      </c>
      <c r="D663">
        <v>128</v>
      </c>
      <c r="E663">
        <v>3243</v>
      </c>
      <c r="F663" s="3">
        <v>208</v>
      </c>
      <c r="G663">
        <v>14</v>
      </c>
      <c r="H663">
        <v>6</v>
      </c>
      <c r="I663" s="5">
        <v>4.6875E-2</v>
      </c>
      <c r="J663" s="3">
        <v>309</v>
      </c>
      <c r="K663" s="1">
        <v>45598</v>
      </c>
      <c r="L663" t="s">
        <v>25</v>
      </c>
      <c r="M663" t="s">
        <v>31</v>
      </c>
      <c r="N663" t="s">
        <v>44</v>
      </c>
      <c r="O663" t="s">
        <v>28</v>
      </c>
      <c r="P663" t="s">
        <v>29</v>
      </c>
      <c r="Q663" s="6">
        <v>1.628203125</v>
      </c>
      <c r="R663">
        <v>3.95</v>
      </c>
      <c r="S663">
        <v>14.89</v>
      </c>
      <c r="T663">
        <v>34.74</v>
      </c>
      <c r="U663">
        <v>48.27</v>
      </c>
      <c r="V663">
        <v>51.5</v>
      </c>
      <c r="W663">
        <v>1.48</v>
      </c>
    </row>
    <row r="664" spans="1:23" x14ac:dyDescent="0.3">
      <c r="A664">
        <v>662</v>
      </c>
      <c r="B664" t="s">
        <v>707</v>
      </c>
      <c r="C664" t="s">
        <v>38</v>
      </c>
      <c r="D664">
        <v>111</v>
      </c>
      <c r="E664">
        <v>3911</v>
      </c>
      <c r="F664" s="3">
        <v>239</v>
      </c>
      <c r="G664">
        <v>28</v>
      </c>
      <c r="H664">
        <v>9</v>
      </c>
      <c r="I664" s="5">
        <v>8.1081081081081002E-2</v>
      </c>
      <c r="J664" s="3">
        <v>224</v>
      </c>
      <c r="K664" s="1">
        <v>45597</v>
      </c>
      <c r="L664" t="s">
        <v>25</v>
      </c>
      <c r="M664" t="s">
        <v>39</v>
      </c>
      <c r="N664" t="s">
        <v>44</v>
      </c>
      <c r="O664" t="s">
        <v>28</v>
      </c>
      <c r="P664" t="s">
        <v>45</v>
      </c>
      <c r="Q664" s="6">
        <v>2.1553153153153102</v>
      </c>
      <c r="R664">
        <v>2.84</v>
      </c>
      <c r="S664">
        <v>8.5399999999999991</v>
      </c>
      <c r="T664">
        <v>26.58</v>
      </c>
      <c r="U664">
        <v>-6.37</v>
      </c>
      <c r="V664">
        <v>24.89</v>
      </c>
      <c r="W664">
        <v>0.94</v>
      </c>
    </row>
    <row r="665" spans="1:23" x14ac:dyDescent="0.3">
      <c r="A665">
        <v>663</v>
      </c>
      <c r="B665" t="s">
        <v>708</v>
      </c>
      <c r="C665" t="s">
        <v>43</v>
      </c>
      <c r="D665">
        <v>89</v>
      </c>
      <c r="E665">
        <v>3982</v>
      </c>
      <c r="F665" s="3">
        <v>210</v>
      </c>
      <c r="G665">
        <v>27</v>
      </c>
      <c r="H665">
        <v>7</v>
      </c>
      <c r="I665" s="5">
        <v>7.8651685393258397E-2</v>
      </c>
      <c r="J665" s="3">
        <v>392</v>
      </c>
      <c r="K665" s="1">
        <v>45600</v>
      </c>
      <c r="L665" t="s">
        <v>25</v>
      </c>
      <c r="M665" t="s">
        <v>26</v>
      </c>
      <c r="N665" t="s">
        <v>32</v>
      </c>
      <c r="O665" t="s">
        <v>28</v>
      </c>
      <c r="P665" t="s">
        <v>59</v>
      </c>
      <c r="Q665" s="6">
        <v>2.3580898876404399</v>
      </c>
      <c r="R665">
        <v>2.2400000000000002</v>
      </c>
      <c r="S665">
        <v>7.77</v>
      </c>
      <c r="T665">
        <v>29.98</v>
      </c>
      <c r="U665">
        <v>86.78</v>
      </c>
      <c r="V665">
        <v>56</v>
      </c>
      <c r="W665">
        <v>1.87</v>
      </c>
    </row>
    <row r="666" spans="1:23" x14ac:dyDescent="0.3">
      <c r="A666">
        <v>664</v>
      </c>
      <c r="B666" t="s">
        <v>709</v>
      </c>
      <c r="C666" t="s">
        <v>35</v>
      </c>
      <c r="D666">
        <v>107</v>
      </c>
      <c r="E666">
        <v>5299</v>
      </c>
      <c r="F666" s="3">
        <v>207</v>
      </c>
      <c r="G666">
        <v>19</v>
      </c>
      <c r="H666">
        <v>8</v>
      </c>
      <c r="I666" s="5">
        <v>7.4766355140186896E-2</v>
      </c>
      <c r="J666" s="3">
        <v>320</v>
      </c>
      <c r="K666" s="1">
        <v>45622</v>
      </c>
      <c r="L666" t="s">
        <v>25</v>
      </c>
      <c r="M666" t="s">
        <v>39</v>
      </c>
      <c r="N666" t="s">
        <v>40</v>
      </c>
      <c r="O666" t="s">
        <v>28</v>
      </c>
      <c r="P666" t="s">
        <v>41</v>
      </c>
      <c r="Q666" s="6">
        <v>1.9379439252336399</v>
      </c>
      <c r="R666">
        <v>2.02</v>
      </c>
      <c r="S666">
        <v>10.91</v>
      </c>
      <c r="T666">
        <v>25.92</v>
      </c>
      <c r="U666">
        <v>54.32</v>
      </c>
      <c r="V666">
        <v>40</v>
      </c>
      <c r="W666">
        <v>1.54</v>
      </c>
    </row>
    <row r="667" spans="1:23" x14ac:dyDescent="0.3">
      <c r="A667">
        <v>665</v>
      </c>
      <c r="B667" t="s">
        <v>710</v>
      </c>
      <c r="C667" t="s">
        <v>35</v>
      </c>
      <c r="D667">
        <v>181</v>
      </c>
      <c r="E667">
        <v>4150</v>
      </c>
      <c r="F667" s="3">
        <v>237</v>
      </c>
      <c r="G667">
        <v>15</v>
      </c>
      <c r="H667">
        <v>5</v>
      </c>
      <c r="I667" s="5">
        <v>2.7624309392265099E-2</v>
      </c>
      <c r="J667" s="3">
        <v>255</v>
      </c>
      <c r="K667" s="1">
        <v>45606</v>
      </c>
      <c r="L667" t="s">
        <v>25</v>
      </c>
      <c r="M667" t="s">
        <v>31</v>
      </c>
      <c r="N667" t="s">
        <v>36</v>
      </c>
      <c r="O667" t="s">
        <v>28</v>
      </c>
      <c r="P667" t="s">
        <v>50</v>
      </c>
      <c r="Q667" s="6">
        <v>1.3076795580110401</v>
      </c>
      <c r="R667">
        <v>4.3600000000000003</v>
      </c>
      <c r="S667">
        <v>15.78</v>
      </c>
      <c r="T667">
        <v>47.34</v>
      </c>
      <c r="U667">
        <v>7.74</v>
      </c>
      <c r="V667">
        <v>51</v>
      </c>
      <c r="W667">
        <v>1.08</v>
      </c>
    </row>
    <row r="668" spans="1:23" x14ac:dyDescent="0.3">
      <c r="A668">
        <v>666</v>
      </c>
      <c r="B668" t="s">
        <v>711</v>
      </c>
      <c r="C668" t="s">
        <v>24</v>
      </c>
      <c r="D668">
        <v>110</v>
      </c>
      <c r="E668">
        <v>5925</v>
      </c>
      <c r="F668" s="3">
        <v>188</v>
      </c>
      <c r="G668">
        <v>29</v>
      </c>
      <c r="H668">
        <v>9</v>
      </c>
      <c r="I668" s="5">
        <v>8.1818181818181804E-2</v>
      </c>
      <c r="J668" s="3">
        <v>343</v>
      </c>
      <c r="K668" s="1">
        <v>45619</v>
      </c>
      <c r="L668" t="s">
        <v>25</v>
      </c>
      <c r="M668" t="s">
        <v>26</v>
      </c>
      <c r="N668" t="s">
        <v>40</v>
      </c>
      <c r="O668" t="s">
        <v>28</v>
      </c>
      <c r="P668" t="s">
        <v>29</v>
      </c>
      <c r="Q668" s="6">
        <v>1.71072727272727</v>
      </c>
      <c r="R668">
        <v>1.86</v>
      </c>
      <c r="S668">
        <v>6.49</v>
      </c>
      <c r="T668">
        <v>20.91</v>
      </c>
      <c r="U668">
        <v>82.27</v>
      </c>
      <c r="V668">
        <v>38.11</v>
      </c>
      <c r="W668">
        <v>1.82</v>
      </c>
    </row>
    <row r="669" spans="1:23" x14ac:dyDescent="0.3">
      <c r="A669">
        <v>667</v>
      </c>
      <c r="B669" t="s">
        <v>712</v>
      </c>
      <c r="C669" t="s">
        <v>38</v>
      </c>
      <c r="D669">
        <v>85</v>
      </c>
      <c r="E669">
        <v>4010</v>
      </c>
      <c r="F669" s="3">
        <v>195</v>
      </c>
      <c r="G669">
        <v>17</v>
      </c>
      <c r="H669">
        <v>4</v>
      </c>
      <c r="I669" s="5">
        <v>4.7058823529411702E-2</v>
      </c>
      <c r="J669" s="3">
        <v>378</v>
      </c>
      <c r="K669" s="1">
        <v>45602</v>
      </c>
      <c r="L669" t="s">
        <v>25</v>
      </c>
      <c r="M669" t="s">
        <v>31</v>
      </c>
      <c r="N669" t="s">
        <v>36</v>
      </c>
      <c r="O669" t="s">
        <v>28</v>
      </c>
      <c r="P669" t="s">
        <v>33</v>
      </c>
      <c r="Q669" s="6">
        <v>2.29717647058823</v>
      </c>
      <c r="R669">
        <v>2.12</v>
      </c>
      <c r="S669">
        <v>11.49</v>
      </c>
      <c r="T669">
        <v>48.82</v>
      </c>
      <c r="U669">
        <v>93.59</v>
      </c>
      <c r="V669">
        <v>94.5</v>
      </c>
      <c r="W669">
        <v>1.94</v>
      </c>
    </row>
    <row r="670" spans="1:23" x14ac:dyDescent="0.3">
      <c r="A670">
        <v>668</v>
      </c>
      <c r="B670" t="s">
        <v>713</v>
      </c>
      <c r="C670" t="s">
        <v>43</v>
      </c>
      <c r="D670">
        <v>125</v>
      </c>
      <c r="E670">
        <v>5767</v>
      </c>
      <c r="F670" s="3">
        <v>193</v>
      </c>
      <c r="G670">
        <v>12</v>
      </c>
      <c r="H670">
        <v>8</v>
      </c>
      <c r="I670" s="5">
        <v>6.4000000000000001E-2</v>
      </c>
      <c r="J670" s="3">
        <v>208</v>
      </c>
      <c r="K670" s="1">
        <v>45615</v>
      </c>
      <c r="L670" t="s">
        <v>25</v>
      </c>
      <c r="M670" t="s">
        <v>39</v>
      </c>
      <c r="N670" t="s">
        <v>36</v>
      </c>
      <c r="O670" t="s">
        <v>28</v>
      </c>
      <c r="P670" t="s">
        <v>41</v>
      </c>
      <c r="Q670" s="6">
        <v>1.5454545454545401</v>
      </c>
      <c r="R670">
        <v>2.17</v>
      </c>
      <c r="S670">
        <v>16.100000000000001</v>
      </c>
      <c r="T670">
        <v>24.15</v>
      </c>
      <c r="U670">
        <v>7.67</v>
      </c>
      <c r="V670">
        <v>26</v>
      </c>
      <c r="W670">
        <v>1.08</v>
      </c>
    </row>
    <row r="671" spans="1:23" x14ac:dyDescent="0.3">
      <c r="A671">
        <v>669</v>
      </c>
      <c r="B671" t="s">
        <v>714</v>
      </c>
      <c r="C671" t="s">
        <v>35</v>
      </c>
      <c r="D671">
        <v>163</v>
      </c>
      <c r="E671">
        <v>5375</v>
      </c>
      <c r="F671" s="3">
        <v>252</v>
      </c>
      <c r="G671">
        <v>11</v>
      </c>
      <c r="H671">
        <v>3</v>
      </c>
      <c r="I671" s="5">
        <v>1.84049079754601E-2</v>
      </c>
      <c r="J671" s="3">
        <v>371</v>
      </c>
      <c r="K671" s="1">
        <v>45616</v>
      </c>
      <c r="L671" t="s">
        <v>25</v>
      </c>
      <c r="M671" t="s">
        <v>39</v>
      </c>
      <c r="N671" t="s">
        <v>40</v>
      </c>
      <c r="O671" t="s">
        <v>28</v>
      </c>
      <c r="P671" t="s">
        <v>33</v>
      </c>
      <c r="Q671" s="6">
        <v>1.5454545454545401</v>
      </c>
      <c r="R671">
        <v>3.03</v>
      </c>
      <c r="S671">
        <v>22.9</v>
      </c>
      <c r="T671">
        <v>83.97</v>
      </c>
      <c r="U671">
        <v>47.28</v>
      </c>
      <c r="V671">
        <v>123.67</v>
      </c>
      <c r="W671">
        <v>1.47</v>
      </c>
    </row>
    <row r="672" spans="1:23" x14ac:dyDescent="0.3">
      <c r="A672">
        <v>670</v>
      </c>
      <c r="B672" t="s">
        <v>715</v>
      </c>
      <c r="C672" t="s">
        <v>43</v>
      </c>
      <c r="D672">
        <v>129</v>
      </c>
      <c r="E672">
        <v>3787</v>
      </c>
      <c r="F672" s="3">
        <v>230</v>
      </c>
      <c r="G672">
        <v>10</v>
      </c>
      <c r="H672">
        <v>6</v>
      </c>
      <c r="I672" s="5">
        <v>4.6511627906976702E-2</v>
      </c>
      <c r="J672" s="3">
        <v>249</v>
      </c>
      <c r="K672" s="1">
        <v>45609</v>
      </c>
      <c r="L672" t="s">
        <v>25</v>
      </c>
      <c r="M672" t="s">
        <v>26</v>
      </c>
      <c r="N672" t="s">
        <v>44</v>
      </c>
      <c r="O672" t="s">
        <v>28</v>
      </c>
      <c r="P672" t="s">
        <v>33</v>
      </c>
      <c r="Q672" s="6">
        <v>1.78147286821705</v>
      </c>
      <c r="R672">
        <v>3.41</v>
      </c>
      <c r="S672">
        <v>22.98</v>
      </c>
      <c r="T672">
        <v>38.299999999999997</v>
      </c>
      <c r="U672">
        <v>8.35</v>
      </c>
      <c r="V672">
        <v>41.5</v>
      </c>
      <c r="W672">
        <v>1.08</v>
      </c>
    </row>
    <row r="673" spans="1:23" x14ac:dyDescent="0.3">
      <c r="A673">
        <v>671</v>
      </c>
      <c r="B673" t="s">
        <v>716</v>
      </c>
      <c r="C673" t="s">
        <v>38</v>
      </c>
      <c r="D673">
        <v>112</v>
      </c>
      <c r="E673">
        <v>4834</v>
      </c>
      <c r="F673" s="3">
        <v>212</v>
      </c>
      <c r="G673">
        <v>11</v>
      </c>
      <c r="H673">
        <v>7</v>
      </c>
      <c r="I673" s="5">
        <v>6.25E-2</v>
      </c>
      <c r="J673" s="3">
        <v>311</v>
      </c>
      <c r="K673" s="1">
        <v>45623</v>
      </c>
      <c r="L673" t="s">
        <v>25</v>
      </c>
      <c r="M673" t="s">
        <v>31</v>
      </c>
      <c r="N673" t="s">
        <v>36</v>
      </c>
      <c r="O673" t="s">
        <v>28</v>
      </c>
      <c r="P673" t="s">
        <v>33</v>
      </c>
      <c r="Q673" s="6">
        <v>1.8952678571428501</v>
      </c>
      <c r="R673">
        <v>2.3199999999999998</v>
      </c>
      <c r="S673">
        <v>19.3</v>
      </c>
      <c r="T673">
        <v>30.32</v>
      </c>
      <c r="U673">
        <v>46.51</v>
      </c>
      <c r="V673">
        <v>44.43</v>
      </c>
      <c r="W673">
        <v>1.47</v>
      </c>
    </row>
    <row r="674" spans="1:23" x14ac:dyDescent="0.3">
      <c r="A674">
        <v>672</v>
      </c>
      <c r="B674" t="s">
        <v>717</v>
      </c>
      <c r="C674" t="s">
        <v>38</v>
      </c>
      <c r="D674">
        <v>104</v>
      </c>
      <c r="E674">
        <v>3031</v>
      </c>
      <c r="F674" s="3">
        <v>188</v>
      </c>
      <c r="G674">
        <v>13</v>
      </c>
      <c r="H674">
        <v>6</v>
      </c>
      <c r="I674" s="5">
        <v>5.7692307692307598E-2</v>
      </c>
      <c r="J674" s="3">
        <v>408</v>
      </c>
      <c r="K674" s="1">
        <v>45601</v>
      </c>
      <c r="L674" t="s">
        <v>25</v>
      </c>
      <c r="M674" t="s">
        <v>26</v>
      </c>
      <c r="N674" t="s">
        <v>40</v>
      </c>
      <c r="O674" t="s">
        <v>28</v>
      </c>
      <c r="P674" t="s">
        <v>41</v>
      </c>
      <c r="Q674" s="6">
        <v>1.81221153846153</v>
      </c>
      <c r="R674">
        <v>3.43</v>
      </c>
      <c r="S674">
        <v>14.5</v>
      </c>
      <c r="T674">
        <v>31.41</v>
      </c>
      <c r="U674">
        <v>116.48</v>
      </c>
      <c r="V674">
        <v>68</v>
      </c>
      <c r="W674">
        <v>2.16</v>
      </c>
    </row>
    <row r="675" spans="1:23" x14ac:dyDescent="0.3">
      <c r="A675">
        <v>673</v>
      </c>
      <c r="B675" t="s">
        <v>718</v>
      </c>
      <c r="C675" t="s">
        <v>24</v>
      </c>
      <c r="D675">
        <v>132</v>
      </c>
      <c r="E675">
        <v>3754</v>
      </c>
      <c r="F675" s="3">
        <v>181</v>
      </c>
      <c r="G675">
        <v>21</v>
      </c>
      <c r="H675">
        <v>10</v>
      </c>
      <c r="I675" s="5">
        <v>7.5757575757575704E-2</v>
      </c>
      <c r="J675" s="3">
        <v>327</v>
      </c>
      <c r="K675" s="1">
        <v>45620</v>
      </c>
      <c r="L675" t="s">
        <v>25</v>
      </c>
      <c r="M675" t="s">
        <v>31</v>
      </c>
      <c r="N675" t="s">
        <v>44</v>
      </c>
      <c r="O675" t="s">
        <v>28</v>
      </c>
      <c r="P675" t="s">
        <v>50</v>
      </c>
      <c r="Q675" s="6">
        <v>1.3703030303030299</v>
      </c>
      <c r="R675">
        <v>3.52</v>
      </c>
      <c r="S675">
        <v>8.61</v>
      </c>
      <c r="T675">
        <v>18.09</v>
      </c>
      <c r="U675">
        <v>80.78</v>
      </c>
      <c r="V675">
        <v>32.700000000000003</v>
      </c>
      <c r="W675">
        <v>1.81</v>
      </c>
    </row>
    <row r="676" spans="1:23" x14ac:dyDescent="0.3">
      <c r="A676">
        <v>674</v>
      </c>
      <c r="B676" t="s">
        <v>719</v>
      </c>
      <c r="C676" t="s">
        <v>35</v>
      </c>
      <c r="D676">
        <v>113</v>
      </c>
      <c r="E676">
        <v>3281</v>
      </c>
      <c r="F676" s="3">
        <v>242</v>
      </c>
      <c r="G676">
        <v>16</v>
      </c>
      <c r="H676">
        <v>6</v>
      </c>
      <c r="I676" s="5">
        <v>5.30973451327433E-2</v>
      </c>
      <c r="J676" s="3">
        <v>280.28571428571399</v>
      </c>
      <c r="K676" s="1">
        <v>45604</v>
      </c>
      <c r="L676" t="s">
        <v>25</v>
      </c>
      <c r="M676" t="s">
        <v>39</v>
      </c>
      <c r="N676" t="s">
        <v>36</v>
      </c>
      <c r="O676" t="s">
        <v>28</v>
      </c>
      <c r="P676" t="s">
        <v>45</v>
      </c>
      <c r="Q676" s="6">
        <v>2.1402654867256601</v>
      </c>
      <c r="R676">
        <v>3.44</v>
      </c>
      <c r="S676">
        <v>15.12</v>
      </c>
      <c r="T676">
        <v>40.31</v>
      </c>
      <c r="U676">
        <v>15.89</v>
      </c>
      <c r="V676">
        <v>46.71</v>
      </c>
      <c r="W676">
        <v>1.1599999999999999</v>
      </c>
    </row>
    <row r="677" spans="1:23" x14ac:dyDescent="0.3">
      <c r="A677">
        <v>675</v>
      </c>
      <c r="B677" t="s">
        <v>720</v>
      </c>
      <c r="C677" t="s">
        <v>35</v>
      </c>
      <c r="D677">
        <v>109</v>
      </c>
      <c r="E677">
        <v>4910</v>
      </c>
      <c r="F677" s="3">
        <v>236</v>
      </c>
      <c r="G677">
        <v>16</v>
      </c>
      <c r="H677">
        <v>8</v>
      </c>
      <c r="I677" s="5">
        <v>7.3394495412843999E-2</v>
      </c>
      <c r="J677" s="3">
        <v>234</v>
      </c>
      <c r="K677" s="1">
        <v>45604</v>
      </c>
      <c r="L677" t="s">
        <v>25</v>
      </c>
      <c r="M677" t="s">
        <v>39</v>
      </c>
      <c r="N677" t="s">
        <v>40</v>
      </c>
      <c r="O677" t="s">
        <v>28</v>
      </c>
      <c r="P677" t="s">
        <v>45</v>
      </c>
      <c r="Q677" s="6">
        <v>2.16697247706422</v>
      </c>
      <c r="R677">
        <v>2.2200000000000002</v>
      </c>
      <c r="S677">
        <v>14.76</v>
      </c>
      <c r="T677">
        <v>29.52</v>
      </c>
      <c r="U677">
        <v>-0.93</v>
      </c>
      <c r="V677">
        <v>29.25</v>
      </c>
      <c r="W677">
        <v>0.99</v>
      </c>
    </row>
    <row r="678" spans="1:23" x14ac:dyDescent="0.3">
      <c r="A678">
        <v>676</v>
      </c>
      <c r="B678" t="s">
        <v>721</v>
      </c>
      <c r="C678" t="s">
        <v>35</v>
      </c>
      <c r="D678">
        <v>144</v>
      </c>
      <c r="E678">
        <v>5026</v>
      </c>
      <c r="F678" s="3">
        <v>232</v>
      </c>
      <c r="G678">
        <v>14</v>
      </c>
      <c r="H678">
        <v>4</v>
      </c>
      <c r="I678" s="5">
        <v>2.77777777777777E-2</v>
      </c>
      <c r="J678" s="3">
        <v>336</v>
      </c>
      <c r="K678" s="1">
        <v>45606</v>
      </c>
      <c r="L678" t="s">
        <v>25</v>
      </c>
      <c r="M678" t="s">
        <v>26</v>
      </c>
      <c r="N678" t="s">
        <v>32</v>
      </c>
      <c r="O678" t="s">
        <v>28</v>
      </c>
      <c r="P678" t="s">
        <v>50</v>
      </c>
      <c r="Q678" s="6">
        <v>1.6098611111111101</v>
      </c>
      <c r="R678">
        <v>2.87</v>
      </c>
      <c r="S678">
        <v>16.559999999999999</v>
      </c>
      <c r="T678">
        <v>57.96</v>
      </c>
      <c r="U678">
        <v>44.94</v>
      </c>
      <c r="V678">
        <v>84</v>
      </c>
      <c r="W678">
        <v>1.45</v>
      </c>
    </row>
    <row r="679" spans="1:23" x14ac:dyDescent="0.3">
      <c r="A679">
        <v>677</v>
      </c>
      <c r="B679" t="s">
        <v>722</v>
      </c>
      <c r="C679" t="s">
        <v>43</v>
      </c>
      <c r="D679">
        <v>179</v>
      </c>
      <c r="E679">
        <v>5091</v>
      </c>
      <c r="F679" s="3">
        <v>239</v>
      </c>
      <c r="G679">
        <v>10</v>
      </c>
      <c r="H679">
        <v>6</v>
      </c>
      <c r="I679" s="5">
        <v>3.3519553072625698E-2</v>
      </c>
      <c r="J679" s="3">
        <v>257</v>
      </c>
      <c r="K679" s="1">
        <v>45620</v>
      </c>
      <c r="L679" t="s">
        <v>25</v>
      </c>
      <c r="M679" t="s">
        <v>31</v>
      </c>
      <c r="N679" t="s">
        <v>27</v>
      </c>
      <c r="O679" t="s">
        <v>28</v>
      </c>
      <c r="P679" t="s">
        <v>50</v>
      </c>
      <c r="Q679" s="6">
        <v>1.3330726256983201</v>
      </c>
      <c r="R679">
        <v>3.52</v>
      </c>
      <c r="S679">
        <v>23.86</v>
      </c>
      <c r="T679">
        <v>39.770000000000003</v>
      </c>
      <c r="U679">
        <v>7.7</v>
      </c>
      <c r="V679">
        <v>42.83</v>
      </c>
      <c r="W679">
        <v>1.08</v>
      </c>
    </row>
    <row r="680" spans="1:23" x14ac:dyDescent="0.3">
      <c r="A680">
        <v>678</v>
      </c>
      <c r="B680" t="s">
        <v>723</v>
      </c>
      <c r="C680" t="s">
        <v>38</v>
      </c>
      <c r="D680">
        <v>170</v>
      </c>
      <c r="E680">
        <v>5622</v>
      </c>
      <c r="F680" s="3">
        <v>191</v>
      </c>
      <c r="G680">
        <v>14</v>
      </c>
      <c r="H680">
        <v>8</v>
      </c>
      <c r="I680" s="5">
        <v>4.7058823529411702E-2</v>
      </c>
      <c r="J680" s="3">
        <v>286</v>
      </c>
      <c r="K680" s="1">
        <v>45613</v>
      </c>
      <c r="L680" t="s">
        <v>25</v>
      </c>
      <c r="M680" t="s">
        <v>31</v>
      </c>
      <c r="N680" t="s">
        <v>49</v>
      </c>
      <c r="O680" t="s">
        <v>28</v>
      </c>
      <c r="P680" t="s">
        <v>50</v>
      </c>
      <c r="Q680" s="6">
        <v>1.12276470588235</v>
      </c>
      <c r="R680">
        <v>3.02</v>
      </c>
      <c r="S680">
        <v>13.63</v>
      </c>
      <c r="T680">
        <v>23.86</v>
      </c>
      <c r="U680">
        <v>49.84</v>
      </c>
      <c r="V680">
        <v>35.75</v>
      </c>
      <c r="W680">
        <v>1.5</v>
      </c>
    </row>
    <row r="681" spans="1:23" x14ac:dyDescent="0.3">
      <c r="A681">
        <v>679</v>
      </c>
      <c r="B681" t="s">
        <v>724</v>
      </c>
      <c r="C681" t="s">
        <v>35</v>
      </c>
      <c r="D681">
        <v>116</v>
      </c>
      <c r="E681">
        <v>4538</v>
      </c>
      <c r="F681" s="3">
        <v>222</v>
      </c>
      <c r="G681">
        <v>23</v>
      </c>
      <c r="H681">
        <v>9</v>
      </c>
      <c r="I681" s="5">
        <v>7.7586206896551699E-2</v>
      </c>
      <c r="J681" s="3">
        <v>334</v>
      </c>
      <c r="K681" s="1">
        <v>45620</v>
      </c>
      <c r="L681" t="s">
        <v>25</v>
      </c>
      <c r="M681" t="s">
        <v>26</v>
      </c>
      <c r="N681" t="s">
        <v>40</v>
      </c>
      <c r="O681" t="s">
        <v>28</v>
      </c>
      <c r="P681" t="s">
        <v>50</v>
      </c>
      <c r="Q681" s="6">
        <v>1.9115517241379301</v>
      </c>
      <c r="R681">
        <v>2.56</v>
      </c>
      <c r="S681">
        <v>9.64</v>
      </c>
      <c r="T681">
        <v>24.64</v>
      </c>
      <c r="U681">
        <v>50.63</v>
      </c>
      <c r="V681">
        <v>37.11</v>
      </c>
      <c r="W681">
        <v>1.51</v>
      </c>
    </row>
    <row r="682" spans="1:23" x14ac:dyDescent="0.3">
      <c r="A682">
        <v>680</v>
      </c>
      <c r="B682" t="s">
        <v>725</v>
      </c>
      <c r="C682" t="s">
        <v>24</v>
      </c>
      <c r="D682">
        <v>89</v>
      </c>
      <c r="E682">
        <v>3509</v>
      </c>
      <c r="F682" s="3">
        <v>192</v>
      </c>
      <c r="G682">
        <v>27</v>
      </c>
      <c r="H682">
        <v>9</v>
      </c>
      <c r="I682" s="5">
        <v>0.101123595505617</v>
      </c>
      <c r="J682" s="3">
        <v>319</v>
      </c>
      <c r="K682" s="1">
        <v>45608</v>
      </c>
      <c r="L682" t="s">
        <v>25</v>
      </c>
      <c r="M682" t="s">
        <v>31</v>
      </c>
      <c r="N682" t="s">
        <v>44</v>
      </c>
      <c r="O682" t="s">
        <v>28</v>
      </c>
      <c r="P682" t="s">
        <v>41</v>
      </c>
      <c r="Q682" s="6">
        <v>2.15887640449438</v>
      </c>
      <c r="R682">
        <v>2.54</v>
      </c>
      <c r="S682">
        <v>7.12</v>
      </c>
      <c r="T682">
        <v>21.35</v>
      </c>
      <c r="U682">
        <v>66.02</v>
      </c>
      <c r="V682">
        <v>35.44</v>
      </c>
      <c r="W682">
        <v>1.66</v>
      </c>
    </row>
    <row r="683" spans="1:23" x14ac:dyDescent="0.3">
      <c r="A683">
        <v>681</v>
      </c>
      <c r="B683" t="s">
        <v>726</v>
      </c>
      <c r="C683" t="s">
        <v>24</v>
      </c>
      <c r="D683">
        <v>96</v>
      </c>
      <c r="E683">
        <v>3346</v>
      </c>
      <c r="F683" s="3">
        <v>248</v>
      </c>
      <c r="G683">
        <v>15</v>
      </c>
      <c r="H683">
        <v>7</v>
      </c>
      <c r="I683" s="5">
        <v>7.2916666666666602E-2</v>
      </c>
      <c r="J683" s="3">
        <v>228</v>
      </c>
      <c r="K683" s="1">
        <v>45624</v>
      </c>
      <c r="L683" t="s">
        <v>25</v>
      </c>
      <c r="M683" t="s">
        <v>26</v>
      </c>
      <c r="N683" t="s">
        <v>36</v>
      </c>
      <c r="O683" t="s">
        <v>28</v>
      </c>
      <c r="P683" t="s">
        <v>54</v>
      </c>
      <c r="Q683" s="6">
        <v>2.5883333333333298</v>
      </c>
      <c r="R683">
        <v>2.87</v>
      </c>
      <c r="S683">
        <v>16.57</v>
      </c>
      <c r="T683">
        <v>35.5</v>
      </c>
      <c r="U683">
        <v>-8.24</v>
      </c>
      <c r="V683">
        <v>32.57</v>
      </c>
      <c r="W683">
        <v>0.92</v>
      </c>
    </row>
    <row r="684" spans="1:23" x14ac:dyDescent="0.3">
      <c r="A684">
        <v>682</v>
      </c>
      <c r="B684" t="s">
        <v>727</v>
      </c>
      <c r="C684" t="s">
        <v>24</v>
      </c>
      <c r="D684">
        <v>193</v>
      </c>
      <c r="E684">
        <v>4706</v>
      </c>
      <c r="F684" s="3">
        <v>213</v>
      </c>
      <c r="G684">
        <v>24</v>
      </c>
      <c r="H684">
        <v>8</v>
      </c>
      <c r="I684" s="5">
        <v>4.1450777202072499E-2</v>
      </c>
      <c r="J684" s="3">
        <v>216</v>
      </c>
      <c r="K684" s="1">
        <v>45605</v>
      </c>
      <c r="L684" t="s">
        <v>25</v>
      </c>
      <c r="M684" t="s">
        <v>26</v>
      </c>
      <c r="N684" t="s">
        <v>32</v>
      </c>
      <c r="O684" t="s">
        <v>28</v>
      </c>
      <c r="P684" t="s">
        <v>29</v>
      </c>
      <c r="Q684" s="6">
        <v>1.1057512953367801</v>
      </c>
      <c r="R684">
        <v>4.0999999999999996</v>
      </c>
      <c r="S684">
        <v>8.89</v>
      </c>
      <c r="T684">
        <v>26.68</v>
      </c>
      <c r="U684">
        <v>1.21</v>
      </c>
      <c r="V684">
        <v>27</v>
      </c>
      <c r="W684">
        <v>1.01</v>
      </c>
    </row>
    <row r="685" spans="1:23" x14ac:dyDescent="0.3">
      <c r="A685">
        <v>683</v>
      </c>
      <c r="B685" t="s">
        <v>728</v>
      </c>
      <c r="C685" t="s">
        <v>38</v>
      </c>
      <c r="D685">
        <v>122</v>
      </c>
      <c r="E685">
        <v>3896</v>
      </c>
      <c r="F685" s="3">
        <v>194</v>
      </c>
      <c r="G685">
        <v>23</v>
      </c>
      <c r="H685">
        <v>3</v>
      </c>
      <c r="I685" s="5">
        <v>2.4590163934426201E-2</v>
      </c>
      <c r="J685" s="3">
        <v>277</v>
      </c>
      <c r="K685" s="1">
        <v>45617</v>
      </c>
      <c r="L685" t="s">
        <v>25</v>
      </c>
      <c r="M685" t="s">
        <v>31</v>
      </c>
      <c r="N685" t="s">
        <v>32</v>
      </c>
      <c r="O685" t="s">
        <v>28</v>
      </c>
      <c r="P685" t="s">
        <v>54</v>
      </c>
      <c r="Q685" s="6">
        <v>1.5926229508196701</v>
      </c>
      <c r="R685">
        <v>3.13</v>
      </c>
      <c r="S685">
        <v>8.4499999999999993</v>
      </c>
      <c r="T685">
        <v>64.77</v>
      </c>
      <c r="U685">
        <v>42.56</v>
      </c>
      <c r="V685">
        <v>92.33</v>
      </c>
      <c r="W685">
        <v>1.43</v>
      </c>
    </row>
    <row r="686" spans="1:23" x14ac:dyDescent="0.3">
      <c r="A686">
        <v>684</v>
      </c>
      <c r="B686" t="s">
        <v>729</v>
      </c>
      <c r="C686" t="s">
        <v>24</v>
      </c>
      <c r="D686">
        <v>133</v>
      </c>
      <c r="E686">
        <v>3332</v>
      </c>
      <c r="F686" s="3">
        <v>202</v>
      </c>
      <c r="G686">
        <v>14</v>
      </c>
      <c r="H686">
        <v>7</v>
      </c>
      <c r="I686" s="5">
        <v>5.2631578947368397E-2</v>
      </c>
      <c r="J686" s="3">
        <v>397</v>
      </c>
      <c r="K686" s="1">
        <v>45611</v>
      </c>
      <c r="L686" t="s">
        <v>25</v>
      </c>
      <c r="M686" t="s">
        <v>39</v>
      </c>
      <c r="N686" t="s">
        <v>32</v>
      </c>
      <c r="O686" t="s">
        <v>28</v>
      </c>
      <c r="P686" t="s">
        <v>45</v>
      </c>
      <c r="Q686" s="6">
        <v>1.51571428571428</v>
      </c>
      <c r="R686">
        <v>3.99</v>
      </c>
      <c r="S686">
        <v>14.4</v>
      </c>
      <c r="T686">
        <v>28.8</v>
      </c>
      <c r="U686">
        <v>96.93</v>
      </c>
      <c r="V686">
        <v>56.71</v>
      </c>
      <c r="W686">
        <v>1.97</v>
      </c>
    </row>
    <row r="687" spans="1:23" x14ac:dyDescent="0.3">
      <c r="A687">
        <v>685</v>
      </c>
      <c r="B687" t="s">
        <v>730</v>
      </c>
      <c r="C687" t="s">
        <v>24</v>
      </c>
      <c r="D687">
        <v>177</v>
      </c>
      <c r="E687">
        <v>5738</v>
      </c>
      <c r="F687" s="3">
        <v>249</v>
      </c>
      <c r="G687">
        <v>11</v>
      </c>
      <c r="H687">
        <v>7</v>
      </c>
      <c r="I687" s="5">
        <v>3.9548022598869997E-2</v>
      </c>
      <c r="J687" s="3">
        <v>293</v>
      </c>
      <c r="K687" s="1">
        <v>45612</v>
      </c>
      <c r="L687" t="s">
        <v>25</v>
      </c>
      <c r="M687" t="s">
        <v>31</v>
      </c>
      <c r="N687" t="s">
        <v>40</v>
      </c>
      <c r="O687" t="s">
        <v>28</v>
      </c>
      <c r="P687" t="s">
        <v>29</v>
      </c>
      <c r="Q687" s="6">
        <v>1.4079661016949101</v>
      </c>
      <c r="R687">
        <v>3.08</v>
      </c>
      <c r="S687">
        <v>22.66</v>
      </c>
      <c r="T687">
        <v>35.6</v>
      </c>
      <c r="U687">
        <v>17.57</v>
      </c>
      <c r="V687">
        <v>41.86</v>
      </c>
      <c r="W687">
        <v>1.18</v>
      </c>
    </row>
    <row r="688" spans="1:23" x14ac:dyDescent="0.3">
      <c r="A688">
        <v>686</v>
      </c>
      <c r="B688" t="s">
        <v>731</v>
      </c>
      <c r="C688" t="s">
        <v>43</v>
      </c>
      <c r="D688">
        <v>162</v>
      </c>
      <c r="E688">
        <v>5346</v>
      </c>
      <c r="F688" s="3">
        <v>223</v>
      </c>
      <c r="G688">
        <v>25</v>
      </c>
      <c r="H688">
        <v>5</v>
      </c>
      <c r="I688" s="5">
        <v>3.0864197530864099E-2</v>
      </c>
      <c r="J688" s="3">
        <v>215</v>
      </c>
      <c r="K688" s="1">
        <v>45624</v>
      </c>
      <c r="L688" t="s">
        <v>25</v>
      </c>
      <c r="M688" t="s">
        <v>26</v>
      </c>
      <c r="N688" t="s">
        <v>32</v>
      </c>
      <c r="O688" t="s">
        <v>28</v>
      </c>
      <c r="P688" t="s">
        <v>54</v>
      </c>
      <c r="Q688" s="6">
        <v>1.37728395061728</v>
      </c>
      <c r="R688">
        <v>3.03</v>
      </c>
      <c r="S688">
        <v>8.92</v>
      </c>
      <c r="T688">
        <v>44.62</v>
      </c>
      <c r="U688">
        <v>-3.64</v>
      </c>
      <c r="V688">
        <v>43</v>
      </c>
      <c r="W688">
        <v>0.96</v>
      </c>
    </row>
    <row r="689" spans="1:23" x14ac:dyDescent="0.3">
      <c r="A689">
        <v>687</v>
      </c>
      <c r="B689" t="s">
        <v>732</v>
      </c>
      <c r="C689" t="s">
        <v>24</v>
      </c>
      <c r="D689">
        <v>182</v>
      </c>
      <c r="E689">
        <v>5857</v>
      </c>
      <c r="F689" s="3">
        <v>193</v>
      </c>
      <c r="G689">
        <v>15</v>
      </c>
      <c r="H689">
        <v>4</v>
      </c>
      <c r="I689" s="5">
        <v>2.19780219780219E-2</v>
      </c>
      <c r="J689" s="3">
        <v>282</v>
      </c>
      <c r="K689" s="1">
        <v>45598</v>
      </c>
      <c r="L689" t="s">
        <v>25</v>
      </c>
      <c r="M689" t="s">
        <v>26</v>
      </c>
      <c r="N689" t="s">
        <v>32</v>
      </c>
      <c r="O689" t="s">
        <v>28</v>
      </c>
      <c r="P689" t="s">
        <v>29</v>
      </c>
      <c r="Q689" s="6">
        <v>1.0587362637362601</v>
      </c>
      <c r="R689">
        <v>3.11</v>
      </c>
      <c r="S689">
        <v>12.85</v>
      </c>
      <c r="T689">
        <v>48.17</v>
      </c>
      <c r="U689">
        <v>46.35</v>
      </c>
      <c r="V689">
        <v>70.5</v>
      </c>
      <c r="W689">
        <v>1.46</v>
      </c>
    </row>
    <row r="690" spans="1:23" x14ac:dyDescent="0.3">
      <c r="A690">
        <v>688</v>
      </c>
      <c r="B690" t="s">
        <v>733</v>
      </c>
      <c r="C690" t="s">
        <v>43</v>
      </c>
      <c r="D690">
        <v>154</v>
      </c>
      <c r="E690">
        <v>4836</v>
      </c>
      <c r="F690" s="3">
        <v>234</v>
      </c>
      <c r="G690">
        <v>26</v>
      </c>
      <c r="H690">
        <v>10</v>
      </c>
      <c r="I690" s="5">
        <v>6.4935064935064901E-2</v>
      </c>
      <c r="J690" s="3">
        <v>375</v>
      </c>
      <c r="K690" s="1">
        <v>45626</v>
      </c>
      <c r="L690" t="s">
        <v>25</v>
      </c>
      <c r="M690" t="s">
        <v>26</v>
      </c>
      <c r="N690" t="s">
        <v>32</v>
      </c>
      <c r="O690" t="s">
        <v>28</v>
      </c>
      <c r="P690" t="s">
        <v>29</v>
      </c>
      <c r="Q690" s="6">
        <v>1.5181818181818101</v>
      </c>
      <c r="R690">
        <v>3.18</v>
      </c>
      <c r="S690">
        <v>8.99</v>
      </c>
      <c r="T690">
        <v>23.38</v>
      </c>
      <c r="U690">
        <v>60.39</v>
      </c>
      <c r="V690">
        <v>37.5</v>
      </c>
      <c r="W690">
        <v>1.6</v>
      </c>
    </row>
    <row r="691" spans="1:23" x14ac:dyDescent="0.3">
      <c r="A691">
        <v>689</v>
      </c>
      <c r="B691" t="s">
        <v>734</v>
      </c>
      <c r="C691" t="s">
        <v>43</v>
      </c>
      <c r="D691">
        <v>104</v>
      </c>
      <c r="E691">
        <v>5291</v>
      </c>
      <c r="F691" s="3">
        <v>187</v>
      </c>
      <c r="G691">
        <v>19</v>
      </c>
      <c r="H691">
        <v>10</v>
      </c>
      <c r="I691" s="5">
        <v>9.6153846153846104E-2</v>
      </c>
      <c r="J691" s="3">
        <v>368</v>
      </c>
      <c r="K691" s="1">
        <v>45625</v>
      </c>
      <c r="L691" t="s">
        <v>25</v>
      </c>
      <c r="M691" t="s">
        <v>39</v>
      </c>
      <c r="N691" t="s">
        <v>32</v>
      </c>
      <c r="O691" t="s">
        <v>28</v>
      </c>
      <c r="P691" t="s">
        <v>45</v>
      </c>
      <c r="Q691" s="6">
        <v>1.79740384615384</v>
      </c>
      <c r="R691">
        <v>1.97</v>
      </c>
      <c r="S691">
        <v>9.84</v>
      </c>
      <c r="T691">
        <v>18.690000000000001</v>
      </c>
      <c r="U691">
        <v>96.87</v>
      </c>
      <c r="V691">
        <v>36.799999999999997</v>
      </c>
      <c r="W691">
        <v>1.97</v>
      </c>
    </row>
    <row r="692" spans="1:23" x14ac:dyDescent="0.3">
      <c r="A692">
        <v>690</v>
      </c>
      <c r="B692" t="s">
        <v>735</v>
      </c>
      <c r="C692" t="s">
        <v>38</v>
      </c>
      <c r="D692">
        <v>101</v>
      </c>
      <c r="E692">
        <v>4840</v>
      </c>
      <c r="F692" s="3">
        <v>231</v>
      </c>
      <c r="G692">
        <v>21</v>
      </c>
      <c r="H692">
        <v>9</v>
      </c>
      <c r="I692" s="5">
        <v>8.9108910891089105E-2</v>
      </c>
      <c r="J692" s="3">
        <v>318</v>
      </c>
      <c r="K692" s="1">
        <v>45618</v>
      </c>
      <c r="L692" t="s">
        <v>25</v>
      </c>
      <c r="M692" t="s">
        <v>26</v>
      </c>
      <c r="N692" t="s">
        <v>40</v>
      </c>
      <c r="O692" t="s">
        <v>28</v>
      </c>
      <c r="P692" t="s">
        <v>45</v>
      </c>
      <c r="Q692" s="6">
        <v>2.2839603960396002</v>
      </c>
      <c r="R692">
        <v>2.09</v>
      </c>
      <c r="S692">
        <v>10.98</v>
      </c>
      <c r="T692">
        <v>25.63</v>
      </c>
      <c r="U692">
        <v>37.85</v>
      </c>
      <c r="V692">
        <v>35.33</v>
      </c>
      <c r="W692">
        <v>1.38</v>
      </c>
    </row>
    <row r="693" spans="1:23" x14ac:dyDescent="0.3">
      <c r="A693">
        <v>691</v>
      </c>
      <c r="B693" t="s">
        <v>736</v>
      </c>
      <c r="C693" t="s">
        <v>38</v>
      </c>
      <c r="D693">
        <v>173</v>
      </c>
      <c r="E693">
        <v>4246</v>
      </c>
      <c r="F693" s="3">
        <v>203</v>
      </c>
      <c r="G693">
        <v>27</v>
      </c>
      <c r="H693">
        <v>3</v>
      </c>
      <c r="I693" s="5">
        <v>1.7341040462427699E-2</v>
      </c>
      <c r="J693" s="3">
        <v>260</v>
      </c>
      <c r="K693" s="1">
        <v>45625</v>
      </c>
      <c r="L693" t="s">
        <v>25</v>
      </c>
      <c r="M693" t="s">
        <v>39</v>
      </c>
      <c r="N693" t="s">
        <v>27</v>
      </c>
      <c r="O693" t="s">
        <v>28</v>
      </c>
      <c r="P693" t="s">
        <v>45</v>
      </c>
      <c r="Q693" s="6">
        <v>1.17312138728323</v>
      </c>
      <c r="R693">
        <v>4.07</v>
      </c>
      <c r="S693">
        <v>7.52</v>
      </c>
      <c r="T693">
        <v>67.650000000000006</v>
      </c>
      <c r="U693">
        <v>28.11</v>
      </c>
      <c r="V693">
        <v>86.67</v>
      </c>
      <c r="W693">
        <v>1.28</v>
      </c>
    </row>
    <row r="694" spans="1:23" x14ac:dyDescent="0.3">
      <c r="A694">
        <v>692</v>
      </c>
      <c r="B694" t="s">
        <v>737</v>
      </c>
      <c r="C694" t="s">
        <v>43</v>
      </c>
      <c r="D694">
        <v>186</v>
      </c>
      <c r="E694">
        <v>5824</v>
      </c>
      <c r="F694" s="3">
        <v>224</v>
      </c>
      <c r="G694">
        <v>29</v>
      </c>
      <c r="H694">
        <v>6</v>
      </c>
      <c r="I694" s="5">
        <v>3.2258064516128997E-2</v>
      </c>
      <c r="J694" s="3">
        <v>384</v>
      </c>
      <c r="K694" s="1">
        <v>45624</v>
      </c>
      <c r="L694" t="s">
        <v>25</v>
      </c>
      <c r="M694" t="s">
        <v>31</v>
      </c>
      <c r="N694" t="s">
        <v>36</v>
      </c>
      <c r="O694" t="s">
        <v>28</v>
      </c>
      <c r="P694" t="s">
        <v>54</v>
      </c>
      <c r="Q694" s="6">
        <v>1.2068817204300999</v>
      </c>
      <c r="R694">
        <v>3.19</v>
      </c>
      <c r="S694">
        <v>7.74</v>
      </c>
      <c r="T694">
        <v>37.409999999999997</v>
      </c>
      <c r="U694">
        <v>71.06</v>
      </c>
      <c r="V694">
        <v>64</v>
      </c>
      <c r="W694">
        <v>1.71</v>
      </c>
    </row>
    <row r="695" spans="1:23" x14ac:dyDescent="0.3">
      <c r="A695">
        <v>693</v>
      </c>
      <c r="B695" t="s">
        <v>738</v>
      </c>
      <c r="C695" t="s">
        <v>38</v>
      </c>
      <c r="D695">
        <v>148</v>
      </c>
      <c r="E695">
        <v>5952</v>
      </c>
      <c r="F695" s="3">
        <v>186</v>
      </c>
      <c r="G695">
        <v>14</v>
      </c>
      <c r="H695">
        <v>4</v>
      </c>
      <c r="I695" s="5">
        <v>2.7027027027027001E-2</v>
      </c>
      <c r="J695" s="3">
        <v>300</v>
      </c>
      <c r="K695" s="1">
        <v>45606</v>
      </c>
      <c r="L695" t="s">
        <v>25</v>
      </c>
      <c r="M695" t="s">
        <v>31</v>
      </c>
      <c r="N695" t="s">
        <v>32</v>
      </c>
      <c r="O695" t="s">
        <v>28</v>
      </c>
      <c r="P695" t="s">
        <v>50</v>
      </c>
      <c r="Q695" s="6">
        <v>1.2589189189189101</v>
      </c>
      <c r="R695">
        <v>2.4900000000000002</v>
      </c>
      <c r="S695">
        <v>13.31</v>
      </c>
      <c r="T695">
        <v>46.58</v>
      </c>
      <c r="U695">
        <v>61.01</v>
      </c>
      <c r="V695">
        <v>75</v>
      </c>
      <c r="W695">
        <v>1.61</v>
      </c>
    </row>
    <row r="696" spans="1:23" x14ac:dyDescent="0.3">
      <c r="A696">
        <v>694</v>
      </c>
      <c r="B696" t="s">
        <v>739</v>
      </c>
      <c r="C696" t="s">
        <v>35</v>
      </c>
      <c r="D696">
        <v>181</v>
      </c>
      <c r="E696">
        <v>3691</v>
      </c>
      <c r="F696" s="3">
        <v>229</v>
      </c>
      <c r="G696">
        <v>25</v>
      </c>
      <c r="H696">
        <v>10</v>
      </c>
      <c r="I696" s="5">
        <v>5.5248618784530301E-2</v>
      </c>
      <c r="J696" s="3">
        <v>281</v>
      </c>
      <c r="K696" s="1">
        <v>45602</v>
      </c>
      <c r="L696" t="s">
        <v>25</v>
      </c>
      <c r="M696" t="s">
        <v>31</v>
      </c>
      <c r="N696" t="s">
        <v>49</v>
      </c>
      <c r="O696" t="s">
        <v>28</v>
      </c>
      <c r="P696" t="s">
        <v>33</v>
      </c>
      <c r="Q696" s="6">
        <v>1.2659668508287201</v>
      </c>
      <c r="R696">
        <v>4.9000000000000004</v>
      </c>
      <c r="S696">
        <v>9.17</v>
      </c>
      <c r="T696">
        <v>22.91</v>
      </c>
      <c r="U696">
        <v>22.63</v>
      </c>
      <c r="V696">
        <v>28.1</v>
      </c>
      <c r="W696">
        <v>1.23</v>
      </c>
    </row>
    <row r="697" spans="1:23" x14ac:dyDescent="0.3">
      <c r="A697">
        <v>695</v>
      </c>
      <c r="B697" t="s">
        <v>740</v>
      </c>
      <c r="C697" t="s">
        <v>38</v>
      </c>
      <c r="D697">
        <v>110</v>
      </c>
      <c r="E697">
        <v>4350</v>
      </c>
      <c r="F697" s="3">
        <v>244</v>
      </c>
      <c r="G697">
        <v>16</v>
      </c>
      <c r="H697">
        <v>9</v>
      </c>
      <c r="I697" s="5">
        <v>8.1818181818181804E-2</v>
      </c>
      <c r="J697" s="3">
        <v>236</v>
      </c>
      <c r="K697" s="1">
        <v>45611</v>
      </c>
      <c r="L697" t="s">
        <v>25</v>
      </c>
      <c r="M697" t="s">
        <v>39</v>
      </c>
      <c r="N697" t="s">
        <v>44</v>
      </c>
      <c r="O697" t="s">
        <v>28</v>
      </c>
      <c r="P697" t="s">
        <v>45</v>
      </c>
      <c r="Q697" s="6">
        <v>2.2170909090909001</v>
      </c>
      <c r="R697">
        <v>2.5299999999999998</v>
      </c>
      <c r="S697">
        <v>15.24</v>
      </c>
      <c r="T697">
        <v>27.1</v>
      </c>
      <c r="U697">
        <v>-3.23</v>
      </c>
      <c r="V697">
        <v>26.22</v>
      </c>
      <c r="W697">
        <v>0.97</v>
      </c>
    </row>
    <row r="698" spans="1:23" x14ac:dyDescent="0.3">
      <c r="A698">
        <v>696</v>
      </c>
      <c r="B698" t="s">
        <v>741</v>
      </c>
      <c r="C698" t="s">
        <v>43</v>
      </c>
      <c r="D698">
        <v>151</v>
      </c>
      <c r="E698">
        <v>5656</v>
      </c>
      <c r="F698" s="3">
        <v>192</v>
      </c>
      <c r="G698">
        <v>18</v>
      </c>
      <c r="H698">
        <v>7</v>
      </c>
      <c r="I698" s="5">
        <v>4.6357615894039701E-2</v>
      </c>
      <c r="J698" s="3">
        <v>370</v>
      </c>
      <c r="K698" s="1">
        <v>45598</v>
      </c>
      <c r="L698" t="s">
        <v>25</v>
      </c>
      <c r="M698" t="s">
        <v>31</v>
      </c>
      <c r="N698" t="s">
        <v>36</v>
      </c>
      <c r="O698" t="s">
        <v>28</v>
      </c>
      <c r="P698" t="s">
        <v>29</v>
      </c>
      <c r="Q698" s="6">
        <v>1.2711920529801299</v>
      </c>
      <c r="R698">
        <v>2.67</v>
      </c>
      <c r="S698">
        <v>10.66</v>
      </c>
      <c r="T698">
        <v>27.42</v>
      </c>
      <c r="U698">
        <v>92.76</v>
      </c>
      <c r="V698">
        <v>52.86</v>
      </c>
      <c r="W698">
        <v>1.93</v>
      </c>
    </row>
    <row r="699" spans="1:23" x14ac:dyDescent="0.3">
      <c r="A699">
        <v>697</v>
      </c>
      <c r="B699" t="s">
        <v>742</v>
      </c>
      <c r="C699" t="s">
        <v>38</v>
      </c>
      <c r="D699">
        <v>90</v>
      </c>
      <c r="E699">
        <v>4566</v>
      </c>
      <c r="F699" s="3">
        <v>229</v>
      </c>
      <c r="G699">
        <v>29</v>
      </c>
      <c r="H699">
        <v>9</v>
      </c>
      <c r="I699" s="5">
        <v>0.1</v>
      </c>
      <c r="J699" s="3">
        <v>346</v>
      </c>
      <c r="K699" s="1">
        <v>45609</v>
      </c>
      <c r="L699" t="s">
        <v>25</v>
      </c>
      <c r="M699" t="s">
        <v>26</v>
      </c>
      <c r="N699" t="s">
        <v>40</v>
      </c>
      <c r="O699" t="s">
        <v>28</v>
      </c>
      <c r="P699" t="s">
        <v>33</v>
      </c>
      <c r="Q699" s="6">
        <v>2.5424444444444401</v>
      </c>
      <c r="R699">
        <v>1.97</v>
      </c>
      <c r="S699">
        <v>7.89</v>
      </c>
      <c r="T699">
        <v>25.42</v>
      </c>
      <c r="U699">
        <v>51.21</v>
      </c>
      <c r="V699">
        <v>38.44</v>
      </c>
      <c r="W699">
        <v>1.51</v>
      </c>
    </row>
    <row r="700" spans="1:23" x14ac:dyDescent="0.3">
      <c r="A700">
        <v>698</v>
      </c>
      <c r="B700" t="s">
        <v>743</v>
      </c>
      <c r="C700" t="s">
        <v>35</v>
      </c>
      <c r="D700">
        <v>111</v>
      </c>
      <c r="E700">
        <v>4245</v>
      </c>
      <c r="F700" s="3">
        <v>246</v>
      </c>
      <c r="G700">
        <v>22</v>
      </c>
      <c r="H700">
        <v>8</v>
      </c>
      <c r="I700" s="5">
        <v>7.2072072072072002E-2</v>
      </c>
      <c r="J700" s="3">
        <v>373.71428571428498</v>
      </c>
      <c r="K700" s="1">
        <v>45603</v>
      </c>
      <c r="L700" t="s">
        <v>25</v>
      </c>
      <c r="M700" t="s">
        <v>26</v>
      </c>
      <c r="N700" t="s">
        <v>44</v>
      </c>
      <c r="O700" t="s">
        <v>28</v>
      </c>
      <c r="P700" t="s">
        <v>54</v>
      </c>
      <c r="Q700" s="6">
        <v>2.2140540540540501</v>
      </c>
      <c r="R700">
        <v>2.61</v>
      </c>
      <c r="S700">
        <v>11.17</v>
      </c>
      <c r="T700">
        <v>30.72</v>
      </c>
      <c r="U700">
        <v>52.06</v>
      </c>
      <c r="V700">
        <v>46.71</v>
      </c>
      <c r="W700">
        <v>1.52</v>
      </c>
    </row>
    <row r="701" spans="1:23" x14ac:dyDescent="0.3">
      <c r="A701">
        <v>699</v>
      </c>
      <c r="B701" t="s">
        <v>744</v>
      </c>
      <c r="C701" t="s">
        <v>24</v>
      </c>
      <c r="D701">
        <v>170</v>
      </c>
      <c r="E701">
        <v>5053</v>
      </c>
      <c r="F701" s="3">
        <v>217</v>
      </c>
      <c r="G701">
        <v>16</v>
      </c>
      <c r="H701">
        <v>9</v>
      </c>
      <c r="I701" s="5">
        <v>5.29411764705882E-2</v>
      </c>
      <c r="J701" s="3">
        <v>306</v>
      </c>
      <c r="K701" s="1">
        <v>45613</v>
      </c>
      <c r="L701" t="s">
        <v>25</v>
      </c>
      <c r="M701" t="s">
        <v>31</v>
      </c>
      <c r="N701" t="s">
        <v>40</v>
      </c>
      <c r="O701" t="s">
        <v>28</v>
      </c>
      <c r="P701" t="s">
        <v>50</v>
      </c>
      <c r="Q701" s="6">
        <v>1.2788823529411699</v>
      </c>
      <c r="R701">
        <v>3.36</v>
      </c>
      <c r="S701">
        <v>13.59</v>
      </c>
      <c r="T701">
        <v>24.16</v>
      </c>
      <c r="U701">
        <v>40.75</v>
      </c>
      <c r="V701">
        <v>34</v>
      </c>
      <c r="W701">
        <v>1.41</v>
      </c>
    </row>
    <row r="702" spans="1:23" x14ac:dyDescent="0.3">
      <c r="A702">
        <v>700</v>
      </c>
      <c r="B702" t="s">
        <v>745</v>
      </c>
      <c r="C702" t="s">
        <v>24</v>
      </c>
      <c r="D702">
        <v>112</v>
      </c>
      <c r="E702">
        <v>5093</v>
      </c>
      <c r="F702" s="3">
        <v>229</v>
      </c>
      <c r="G702">
        <v>23</v>
      </c>
      <c r="H702">
        <v>7</v>
      </c>
      <c r="I702" s="5">
        <v>6.25E-2</v>
      </c>
      <c r="J702" s="3">
        <v>242</v>
      </c>
      <c r="K702" s="1">
        <v>45613</v>
      </c>
      <c r="L702" t="s">
        <v>25</v>
      </c>
      <c r="M702" t="s">
        <v>26</v>
      </c>
      <c r="N702" t="s">
        <v>49</v>
      </c>
      <c r="O702" t="s">
        <v>28</v>
      </c>
      <c r="P702" t="s">
        <v>50</v>
      </c>
      <c r="Q702" s="6">
        <v>2.04285714285714</v>
      </c>
      <c r="R702">
        <v>2.2000000000000002</v>
      </c>
      <c r="S702">
        <v>9.9499999999999993</v>
      </c>
      <c r="T702">
        <v>32.69</v>
      </c>
      <c r="U702">
        <v>5.77</v>
      </c>
      <c r="V702">
        <v>34.57</v>
      </c>
      <c r="W702">
        <v>1.06</v>
      </c>
    </row>
    <row r="703" spans="1:23" x14ac:dyDescent="0.3">
      <c r="A703">
        <v>701</v>
      </c>
      <c r="B703" t="s">
        <v>746</v>
      </c>
      <c r="C703" t="s">
        <v>35</v>
      </c>
      <c r="D703">
        <v>188</v>
      </c>
      <c r="E703">
        <v>5336</v>
      </c>
      <c r="F703" s="3">
        <v>189</v>
      </c>
      <c r="G703">
        <v>17</v>
      </c>
      <c r="H703">
        <v>3</v>
      </c>
      <c r="I703" s="5">
        <v>1.5957446808510599E-2</v>
      </c>
      <c r="J703" s="3">
        <v>327</v>
      </c>
      <c r="K703" s="1">
        <v>45599</v>
      </c>
      <c r="L703" t="s">
        <v>25</v>
      </c>
      <c r="M703" t="s">
        <v>39</v>
      </c>
      <c r="N703" t="s">
        <v>44</v>
      </c>
      <c r="O703" t="s">
        <v>28</v>
      </c>
      <c r="P703" t="s">
        <v>50</v>
      </c>
      <c r="Q703" s="6">
        <v>1.0038829787234</v>
      </c>
      <c r="R703">
        <v>3.52</v>
      </c>
      <c r="S703">
        <v>11.1</v>
      </c>
      <c r="T703">
        <v>62.91</v>
      </c>
      <c r="U703">
        <v>73.260000000000005</v>
      </c>
      <c r="V703">
        <v>109</v>
      </c>
      <c r="W703">
        <v>1.73</v>
      </c>
    </row>
    <row r="704" spans="1:23" x14ac:dyDescent="0.3">
      <c r="A704">
        <v>702</v>
      </c>
      <c r="B704" t="s">
        <v>747</v>
      </c>
      <c r="C704" t="s">
        <v>35</v>
      </c>
      <c r="D704">
        <v>85</v>
      </c>
      <c r="E704">
        <v>4963</v>
      </c>
      <c r="F704" s="3">
        <v>186</v>
      </c>
      <c r="G704">
        <v>14</v>
      </c>
      <c r="H704">
        <v>6</v>
      </c>
      <c r="I704" s="5">
        <v>7.0588235294117604E-2</v>
      </c>
      <c r="J704" s="3">
        <v>357</v>
      </c>
      <c r="K704" s="1">
        <v>45601</v>
      </c>
      <c r="L704" t="s">
        <v>25</v>
      </c>
      <c r="M704" t="s">
        <v>31</v>
      </c>
      <c r="N704" t="s">
        <v>32</v>
      </c>
      <c r="O704" t="s">
        <v>28</v>
      </c>
      <c r="P704" t="s">
        <v>41</v>
      </c>
      <c r="Q704" s="6">
        <v>2.1907058823529399</v>
      </c>
      <c r="R704">
        <v>1.71</v>
      </c>
      <c r="S704">
        <v>13.3</v>
      </c>
      <c r="T704">
        <v>31.04</v>
      </c>
      <c r="U704">
        <v>91.72</v>
      </c>
      <c r="V704">
        <v>59.5</v>
      </c>
      <c r="W704">
        <v>1.92</v>
      </c>
    </row>
    <row r="705" spans="1:23" x14ac:dyDescent="0.3">
      <c r="A705">
        <v>703</v>
      </c>
      <c r="B705" t="s">
        <v>748</v>
      </c>
      <c r="C705" t="s">
        <v>38</v>
      </c>
      <c r="D705">
        <v>94</v>
      </c>
      <c r="E705">
        <v>4544</v>
      </c>
      <c r="F705" s="3">
        <v>236</v>
      </c>
      <c r="G705">
        <v>23</v>
      </c>
      <c r="H705">
        <v>8</v>
      </c>
      <c r="I705" s="5">
        <v>8.5106382978723402E-2</v>
      </c>
      <c r="J705" s="3">
        <v>274</v>
      </c>
      <c r="K705" s="1">
        <v>45601</v>
      </c>
      <c r="L705" t="s">
        <v>25</v>
      </c>
      <c r="M705" t="s">
        <v>39</v>
      </c>
      <c r="N705" t="s">
        <v>44</v>
      </c>
      <c r="O705" t="s">
        <v>28</v>
      </c>
      <c r="P705" t="s">
        <v>41</v>
      </c>
      <c r="Q705" s="6">
        <v>2.5081914893617001</v>
      </c>
      <c r="R705">
        <v>2.0699999999999998</v>
      </c>
      <c r="S705">
        <v>10.25</v>
      </c>
      <c r="T705">
        <v>29.47</v>
      </c>
      <c r="U705">
        <v>16.21</v>
      </c>
      <c r="V705">
        <v>34.25</v>
      </c>
      <c r="W705">
        <v>1.1599999999999999</v>
      </c>
    </row>
    <row r="706" spans="1:23" x14ac:dyDescent="0.3">
      <c r="A706">
        <v>704</v>
      </c>
      <c r="B706" t="s">
        <v>749</v>
      </c>
      <c r="C706" t="s">
        <v>38</v>
      </c>
      <c r="D706">
        <v>177</v>
      </c>
      <c r="E706">
        <v>4901</v>
      </c>
      <c r="F706" s="3">
        <v>218</v>
      </c>
      <c r="G706">
        <v>20</v>
      </c>
      <c r="H706">
        <v>10</v>
      </c>
      <c r="I706" s="5">
        <v>5.6497175141242903E-2</v>
      </c>
      <c r="J706" s="3">
        <v>403</v>
      </c>
      <c r="K706" s="1">
        <v>45609</v>
      </c>
      <c r="L706" t="s">
        <v>25</v>
      </c>
      <c r="M706" t="s">
        <v>39</v>
      </c>
      <c r="N706" t="s">
        <v>36</v>
      </c>
      <c r="O706" t="s">
        <v>28</v>
      </c>
      <c r="P706" t="s">
        <v>33</v>
      </c>
      <c r="Q706" s="6">
        <v>1.22903954802259</v>
      </c>
      <c r="R706">
        <v>3.61</v>
      </c>
      <c r="S706">
        <v>10.88</v>
      </c>
      <c r="T706">
        <v>21.75</v>
      </c>
      <c r="U706">
        <v>85.25</v>
      </c>
      <c r="V706">
        <v>40.299999999999997</v>
      </c>
      <c r="W706">
        <v>1.85</v>
      </c>
    </row>
    <row r="707" spans="1:23" x14ac:dyDescent="0.3">
      <c r="A707">
        <v>705</v>
      </c>
      <c r="B707" t="s">
        <v>750</v>
      </c>
      <c r="C707" t="s">
        <v>24</v>
      </c>
      <c r="D707">
        <v>150</v>
      </c>
      <c r="E707">
        <v>5275</v>
      </c>
      <c r="F707" s="3">
        <v>193</v>
      </c>
      <c r="G707">
        <v>14</v>
      </c>
      <c r="H707">
        <v>4</v>
      </c>
      <c r="I707" s="5">
        <v>2.6666666666666599E-2</v>
      </c>
      <c r="J707" s="3">
        <v>239</v>
      </c>
      <c r="K707" s="1">
        <v>45623</v>
      </c>
      <c r="L707" t="s">
        <v>25</v>
      </c>
      <c r="M707" t="s">
        <v>39</v>
      </c>
      <c r="N707" t="s">
        <v>36</v>
      </c>
      <c r="O707" t="s">
        <v>28</v>
      </c>
      <c r="P707" t="s">
        <v>33</v>
      </c>
      <c r="Q707" s="6">
        <v>1.28466666666666</v>
      </c>
      <c r="R707">
        <v>2.84</v>
      </c>
      <c r="S707">
        <v>13.76</v>
      </c>
      <c r="T707">
        <v>48.18</v>
      </c>
      <c r="U707">
        <v>24.03</v>
      </c>
      <c r="V707">
        <v>59.75</v>
      </c>
      <c r="W707">
        <v>1.24</v>
      </c>
    </row>
    <row r="708" spans="1:23" x14ac:dyDescent="0.3">
      <c r="A708">
        <v>706</v>
      </c>
      <c r="B708" t="s">
        <v>751</v>
      </c>
      <c r="C708" t="s">
        <v>38</v>
      </c>
      <c r="D708">
        <v>88</v>
      </c>
      <c r="E708">
        <v>5225</v>
      </c>
      <c r="F708" s="3">
        <v>203</v>
      </c>
      <c r="G708">
        <v>22</v>
      </c>
      <c r="H708">
        <v>6</v>
      </c>
      <c r="I708" s="5">
        <v>6.8181818181818094E-2</v>
      </c>
      <c r="J708" s="3">
        <v>230</v>
      </c>
      <c r="K708" s="1">
        <v>45609</v>
      </c>
      <c r="L708" t="s">
        <v>25</v>
      </c>
      <c r="M708" t="s">
        <v>39</v>
      </c>
      <c r="N708" t="s">
        <v>44</v>
      </c>
      <c r="O708" t="s">
        <v>28</v>
      </c>
      <c r="P708" t="s">
        <v>33</v>
      </c>
      <c r="Q708" s="6">
        <v>2.3064772727272702</v>
      </c>
      <c r="R708">
        <v>1.68</v>
      </c>
      <c r="S708">
        <v>9.23</v>
      </c>
      <c r="T708">
        <v>33.83</v>
      </c>
      <c r="U708">
        <v>13.32</v>
      </c>
      <c r="V708">
        <v>38.33</v>
      </c>
      <c r="W708">
        <v>1.1299999999999999</v>
      </c>
    </row>
    <row r="709" spans="1:23" x14ac:dyDescent="0.3">
      <c r="A709">
        <v>707</v>
      </c>
      <c r="B709" t="s">
        <v>752</v>
      </c>
      <c r="C709" t="s">
        <v>43</v>
      </c>
      <c r="D709">
        <v>128</v>
      </c>
      <c r="E709">
        <v>4857</v>
      </c>
      <c r="F709" s="3">
        <v>213</v>
      </c>
      <c r="G709">
        <v>14</v>
      </c>
      <c r="H709">
        <v>5</v>
      </c>
      <c r="I709" s="5">
        <v>3.90625E-2</v>
      </c>
      <c r="J709" s="3">
        <v>314</v>
      </c>
      <c r="K709" s="1">
        <v>45621</v>
      </c>
      <c r="L709" t="s">
        <v>25</v>
      </c>
      <c r="M709" t="s">
        <v>26</v>
      </c>
      <c r="N709" t="s">
        <v>36</v>
      </c>
      <c r="O709" t="s">
        <v>28</v>
      </c>
      <c r="P709" t="s">
        <v>59</v>
      </c>
      <c r="Q709" s="6">
        <v>1.6610156250000001</v>
      </c>
      <c r="R709">
        <v>2.64</v>
      </c>
      <c r="S709">
        <v>15.19</v>
      </c>
      <c r="T709">
        <v>42.52</v>
      </c>
      <c r="U709">
        <v>47.69</v>
      </c>
      <c r="V709">
        <v>62.8</v>
      </c>
      <c r="W709">
        <v>1.48</v>
      </c>
    </row>
    <row r="710" spans="1:23" x14ac:dyDescent="0.3">
      <c r="A710">
        <v>708</v>
      </c>
      <c r="B710" t="s">
        <v>753</v>
      </c>
      <c r="C710" t="s">
        <v>38</v>
      </c>
      <c r="D710">
        <v>163</v>
      </c>
      <c r="E710">
        <v>5310</v>
      </c>
      <c r="F710" s="3">
        <v>243</v>
      </c>
      <c r="G710">
        <v>26</v>
      </c>
      <c r="H710">
        <v>9</v>
      </c>
      <c r="I710" s="5">
        <v>5.5214723926380299E-2</v>
      </c>
      <c r="J710" s="3">
        <v>366</v>
      </c>
      <c r="K710" s="1">
        <v>45608</v>
      </c>
      <c r="L710" t="s">
        <v>25</v>
      </c>
      <c r="M710" t="s">
        <v>31</v>
      </c>
      <c r="N710" t="s">
        <v>27</v>
      </c>
      <c r="O710" t="s">
        <v>28</v>
      </c>
      <c r="P710" t="s">
        <v>41</v>
      </c>
      <c r="Q710" s="6">
        <v>1.48932515337423</v>
      </c>
      <c r="R710">
        <v>3.07</v>
      </c>
      <c r="S710">
        <v>9.34</v>
      </c>
      <c r="T710">
        <v>26.97</v>
      </c>
      <c r="U710">
        <v>50.77</v>
      </c>
      <c r="V710">
        <v>40.67</v>
      </c>
      <c r="W710">
        <v>1.51</v>
      </c>
    </row>
    <row r="711" spans="1:23" x14ac:dyDescent="0.3">
      <c r="A711">
        <v>709</v>
      </c>
      <c r="B711" t="s">
        <v>754</v>
      </c>
      <c r="C711" t="s">
        <v>35</v>
      </c>
      <c r="D711">
        <v>147</v>
      </c>
      <c r="E711">
        <v>5014</v>
      </c>
      <c r="F711" s="3">
        <v>193</v>
      </c>
      <c r="G711">
        <v>12</v>
      </c>
      <c r="H711">
        <v>8</v>
      </c>
      <c r="I711" s="5">
        <v>5.4421768707482901E-2</v>
      </c>
      <c r="J711" s="3">
        <v>208</v>
      </c>
      <c r="K711" s="1">
        <v>45607</v>
      </c>
      <c r="L711" t="s">
        <v>25</v>
      </c>
      <c r="M711" t="s">
        <v>39</v>
      </c>
      <c r="N711" t="s">
        <v>44</v>
      </c>
      <c r="O711" t="s">
        <v>28</v>
      </c>
      <c r="P711" t="s">
        <v>59</v>
      </c>
      <c r="Q711" s="6">
        <v>1.3134693877551</v>
      </c>
      <c r="R711">
        <v>2.93</v>
      </c>
      <c r="S711">
        <v>16.09</v>
      </c>
      <c r="T711">
        <v>24.14</v>
      </c>
      <c r="U711">
        <v>7.73</v>
      </c>
      <c r="V711">
        <v>26</v>
      </c>
      <c r="W711">
        <v>1.08</v>
      </c>
    </row>
    <row r="712" spans="1:23" x14ac:dyDescent="0.3">
      <c r="A712">
        <v>710</v>
      </c>
      <c r="B712" t="s">
        <v>755</v>
      </c>
      <c r="C712" t="s">
        <v>35</v>
      </c>
      <c r="D712">
        <v>191</v>
      </c>
      <c r="E712">
        <v>5855</v>
      </c>
      <c r="F712" s="3">
        <v>197</v>
      </c>
      <c r="G712">
        <v>29</v>
      </c>
      <c r="H712">
        <v>3</v>
      </c>
      <c r="I712" s="5">
        <v>1.5706806282722498E-2</v>
      </c>
      <c r="J712" s="3">
        <v>221</v>
      </c>
      <c r="K712" s="1">
        <v>45617</v>
      </c>
      <c r="L712" t="s">
        <v>25</v>
      </c>
      <c r="M712" t="s">
        <v>26</v>
      </c>
      <c r="N712" t="s">
        <v>32</v>
      </c>
      <c r="O712" t="s">
        <v>28</v>
      </c>
      <c r="P712" t="s">
        <v>54</v>
      </c>
      <c r="Q712" s="6">
        <v>1.02900523560209</v>
      </c>
      <c r="R712">
        <v>3.26</v>
      </c>
      <c r="S712">
        <v>6.78</v>
      </c>
      <c r="T712">
        <v>65.510000000000005</v>
      </c>
      <c r="U712">
        <v>12.45</v>
      </c>
      <c r="V712">
        <v>73.67</v>
      </c>
      <c r="W712">
        <v>1.1200000000000001</v>
      </c>
    </row>
    <row r="713" spans="1:23" x14ac:dyDescent="0.3">
      <c r="A713">
        <v>711</v>
      </c>
      <c r="B713" t="s">
        <v>756</v>
      </c>
      <c r="C713" t="s">
        <v>24</v>
      </c>
      <c r="D713">
        <v>179</v>
      </c>
      <c r="E713">
        <v>5916</v>
      </c>
      <c r="F713" s="3">
        <v>234</v>
      </c>
      <c r="G713">
        <v>17</v>
      </c>
      <c r="H713">
        <v>6</v>
      </c>
      <c r="I713" s="5">
        <v>3.3519553072625698E-2</v>
      </c>
      <c r="J713" s="3">
        <v>404</v>
      </c>
      <c r="K713" s="1">
        <v>45598</v>
      </c>
      <c r="L713" t="s">
        <v>25</v>
      </c>
      <c r="M713" t="s">
        <v>26</v>
      </c>
      <c r="N713" t="s">
        <v>32</v>
      </c>
      <c r="O713" t="s">
        <v>28</v>
      </c>
      <c r="P713" t="s">
        <v>29</v>
      </c>
      <c r="Q713" s="6">
        <v>1.3098324022346299</v>
      </c>
      <c r="R713">
        <v>3.03</v>
      </c>
      <c r="S713">
        <v>13.79</v>
      </c>
      <c r="T713">
        <v>39.08</v>
      </c>
      <c r="U713">
        <v>72.31</v>
      </c>
      <c r="V713">
        <v>67.33</v>
      </c>
      <c r="W713">
        <v>1.72</v>
      </c>
    </row>
    <row r="714" spans="1:23" x14ac:dyDescent="0.3">
      <c r="A714">
        <v>712</v>
      </c>
      <c r="B714" t="s">
        <v>757</v>
      </c>
      <c r="C714" t="s">
        <v>38</v>
      </c>
      <c r="D714">
        <v>115</v>
      </c>
      <c r="E714">
        <v>3952</v>
      </c>
      <c r="F714" s="3">
        <v>229</v>
      </c>
      <c r="G714">
        <v>25</v>
      </c>
      <c r="H714">
        <v>4</v>
      </c>
      <c r="I714" s="5">
        <v>3.4782608695652098E-2</v>
      </c>
      <c r="J714" s="3">
        <v>294</v>
      </c>
      <c r="K714" s="1">
        <v>45616</v>
      </c>
      <c r="L714" t="s">
        <v>25</v>
      </c>
      <c r="M714" t="s">
        <v>39</v>
      </c>
      <c r="N714" t="s">
        <v>44</v>
      </c>
      <c r="O714" t="s">
        <v>28</v>
      </c>
      <c r="P714" t="s">
        <v>33</v>
      </c>
      <c r="Q714" s="6">
        <v>1.99286956521739</v>
      </c>
      <c r="R714">
        <v>2.91</v>
      </c>
      <c r="S714">
        <v>9.17</v>
      </c>
      <c r="T714">
        <v>57.3</v>
      </c>
      <c r="U714">
        <v>28.28</v>
      </c>
      <c r="V714">
        <v>73.5</v>
      </c>
      <c r="W714">
        <v>1.28</v>
      </c>
    </row>
    <row r="715" spans="1:23" x14ac:dyDescent="0.3">
      <c r="A715">
        <v>713</v>
      </c>
      <c r="B715" t="s">
        <v>758</v>
      </c>
      <c r="C715" t="s">
        <v>24</v>
      </c>
      <c r="D715">
        <v>123</v>
      </c>
      <c r="E715">
        <v>4208</v>
      </c>
      <c r="F715" s="3">
        <v>213</v>
      </c>
      <c r="G715">
        <v>29</v>
      </c>
      <c r="H715">
        <v>6</v>
      </c>
      <c r="I715" s="5">
        <v>4.8780487804878002E-2</v>
      </c>
      <c r="J715" s="3">
        <v>242</v>
      </c>
      <c r="K715" s="1">
        <v>45601</v>
      </c>
      <c r="L715" t="s">
        <v>25</v>
      </c>
      <c r="M715" t="s">
        <v>26</v>
      </c>
      <c r="N715" t="s">
        <v>27</v>
      </c>
      <c r="O715" t="s">
        <v>28</v>
      </c>
      <c r="P715" t="s">
        <v>41</v>
      </c>
      <c r="Q715" s="6">
        <v>1.7310569105691</v>
      </c>
      <c r="R715">
        <v>2.92</v>
      </c>
      <c r="S715">
        <v>7.34</v>
      </c>
      <c r="T715">
        <v>35.49</v>
      </c>
      <c r="U715">
        <v>13.66</v>
      </c>
      <c r="V715">
        <v>40.33</v>
      </c>
      <c r="W715">
        <v>1.1399999999999999</v>
      </c>
    </row>
    <row r="716" spans="1:23" x14ac:dyDescent="0.3">
      <c r="A716">
        <v>714</v>
      </c>
      <c r="B716" t="s">
        <v>759</v>
      </c>
      <c r="C716" t="s">
        <v>24</v>
      </c>
      <c r="D716">
        <v>121</v>
      </c>
      <c r="E716">
        <v>5517</v>
      </c>
      <c r="F716" s="3">
        <v>222</v>
      </c>
      <c r="G716">
        <v>16</v>
      </c>
      <c r="H716">
        <v>7</v>
      </c>
      <c r="I716" s="5">
        <v>5.7851239669421399E-2</v>
      </c>
      <c r="J716" s="3">
        <v>343</v>
      </c>
      <c r="K716" s="1">
        <v>45598</v>
      </c>
      <c r="L716" t="s">
        <v>25</v>
      </c>
      <c r="M716" t="s">
        <v>39</v>
      </c>
      <c r="N716" t="s">
        <v>27</v>
      </c>
      <c r="O716" t="s">
        <v>28</v>
      </c>
      <c r="P716" t="s">
        <v>29</v>
      </c>
      <c r="Q716" s="6">
        <v>1.83586776859504</v>
      </c>
      <c r="R716">
        <v>2.19</v>
      </c>
      <c r="S716">
        <v>13.88</v>
      </c>
      <c r="T716">
        <v>31.73</v>
      </c>
      <c r="U716">
        <v>54.41</v>
      </c>
      <c r="V716">
        <v>49</v>
      </c>
      <c r="W716">
        <v>1.54</v>
      </c>
    </row>
    <row r="717" spans="1:23" x14ac:dyDescent="0.3">
      <c r="A717">
        <v>715</v>
      </c>
      <c r="B717" t="s">
        <v>760</v>
      </c>
      <c r="C717" t="s">
        <v>38</v>
      </c>
      <c r="D717">
        <v>126</v>
      </c>
      <c r="E717">
        <v>5460</v>
      </c>
      <c r="F717" s="3">
        <v>211</v>
      </c>
      <c r="G717">
        <v>24</v>
      </c>
      <c r="H717">
        <v>10</v>
      </c>
      <c r="I717" s="5">
        <v>7.9365079365079305E-2</v>
      </c>
      <c r="J717" s="3">
        <v>271</v>
      </c>
      <c r="K717" s="1">
        <v>45610</v>
      </c>
      <c r="L717" t="s">
        <v>25</v>
      </c>
      <c r="M717" t="s">
        <v>39</v>
      </c>
      <c r="N717" t="s">
        <v>44</v>
      </c>
      <c r="O717" t="s">
        <v>28</v>
      </c>
      <c r="P717" t="s">
        <v>54</v>
      </c>
      <c r="Q717" s="6">
        <v>1.67325396825396</v>
      </c>
      <c r="R717">
        <v>2.31</v>
      </c>
      <c r="S717">
        <v>8.7799999999999994</v>
      </c>
      <c r="T717">
        <v>21.08</v>
      </c>
      <c r="U717">
        <v>28.54</v>
      </c>
      <c r="V717">
        <v>27.1</v>
      </c>
      <c r="W717">
        <v>1.29</v>
      </c>
    </row>
    <row r="718" spans="1:23" x14ac:dyDescent="0.3">
      <c r="A718">
        <v>716</v>
      </c>
      <c r="B718" t="s">
        <v>761</v>
      </c>
      <c r="C718" t="s">
        <v>43</v>
      </c>
      <c r="D718">
        <v>110</v>
      </c>
      <c r="E718">
        <v>3159</v>
      </c>
      <c r="F718" s="3">
        <v>198</v>
      </c>
      <c r="G718">
        <v>26</v>
      </c>
      <c r="H718">
        <v>10</v>
      </c>
      <c r="I718" s="5">
        <v>9.0909090909090898E-2</v>
      </c>
      <c r="J718" s="3">
        <v>328</v>
      </c>
      <c r="K718" s="1">
        <v>45614</v>
      </c>
      <c r="L718" t="s">
        <v>25</v>
      </c>
      <c r="M718" t="s">
        <v>31</v>
      </c>
      <c r="N718" t="s">
        <v>36</v>
      </c>
      <c r="O718" t="s">
        <v>28</v>
      </c>
      <c r="P718" t="s">
        <v>59</v>
      </c>
      <c r="Q718" s="6">
        <v>1.79927272727272</v>
      </c>
      <c r="R718">
        <v>3.48</v>
      </c>
      <c r="S718">
        <v>7.61</v>
      </c>
      <c r="T718">
        <v>19.79</v>
      </c>
      <c r="U718">
        <v>65.72</v>
      </c>
      <c r="V718">
        <v>32.799999999999997</v>
      </c>
      <c r="W718">
        <v>1.66</v>
      </c>
    </row>
    <row r="719" spans="1:23" x14ac:dyDescent="0.3">
      <c r="A719">
        <v>717</v>
      </c>
      <c r="B719" t="s">
        <v>762</v>
      </c>
      <c r="C719" t="s">
        <v>43</v>
      </c>
      <c r="D719">
        <v>190</v>
      </c>
      <c r="E719">
        <v>5545</v>
      </c>
      <c r="F719" s="3">
        <v>224</v>
      </c>
      <c r="G719">
        <v>13</v>
      </c>
      <c r="H719">
        <v>7</v>
      </c>
      <c r="I719" s="5">
        <v>3.6842105263157801E-2</v>
      </c>
      <c r="J719" s="3">
        <v>274</v>
      </c>
      <c r="K719" s="1">
        <v>45610</v>
      </c>
      <c r="L719" t="s">
        <v>25</v>
      </c>
      <c r="M719" t="s">
        <v>39</v>
      </c>
      <c r="N719" t="s">
        <v>49</v>
      </c>
      <c r="O719" t="s">
        <v>28</v>
      </c>
      <c r="P719" t="s">
        <v>54</v>
      </c>
      <c r="Q719" s="6">
        <v>1.17873684210526</v>
      </c>
      <c r="R719">
        <v>3.43</v>
      </c>
      <c r="S719">
        <v>17.23</v>
      </c>
      <c r="T719">
        <v>31.99</v>
      </c>
      <c r="U719">
        <v>22.34</v>
      </c>
      <c r="V719">
        <v>39.14</v>
      </c>
      <c r="W719">
        <v>1.22</v>
      </c>
    </row>
    <row r="720" spans="1:23" x14ac:dyDescent="0.3">
      <c r="A720">
        <v>718</v>
      </c>
      <c r="B720" t="s">
        <v>763</v>
      </c>
      <c r="C720" t="s">
        <v>35</v>
      </c>
      <c r="D720">
        <v>148</v>
      </c>
      <c r="E720">
        <v>3668</v>
      </c>
      <c r="F720" s="3">
        <v>246</v>
      </c>
      <c r="G720">
        <v>15</v>
      </c>
      <c r="H720">
        <v>10</v>
      </c>
      <c r="I720" s="5">
        <v>6.7567567567567502E-2</v>
      </c>
      <c r="J720" s="3">
        <v>351</v>
      </c>
      <c r="K720" s="1">
        <v>45621</v>
      </c>
      <c r="L720" t="s">
        <v>25</v>
      </c>
      <c r="M720" t="s">
        <v>26</v>
      </c>
      <c r="N720" t="s">
        <v>32</v>
      </c>
      <c r="O720" t="s">
        <v>28</v>
      </c>
      <c r="P720" t="s">
        <v>59</v>
      </c>
      <c r="Q720" s="6">
        <v>1.6607432432432401</v>
      </c>
      <c r="R720">
        <v>4.03</v>
      </c>
      <c r="S720">
        <v>16.39</v>
      </c>
      <c r="T720">
        <v>24.58</v>
      </c>
      <c r="U720">
        <v>42.8</v>
      </c>
      <c r="V720">
        <v>35.1</v>
      </c>
      <c r="W720">
        <v>1.43</v>
      </c>
    </row>
    <row r="721" spans="1:23" x14ac:dyDescent="0.3">
      <c r="A721">
        <v>719</v>
      </c>
      <c r="B721" t="s">
        <v>764</v>
      </c>
      <c r="C721" t="s">
        <v>35</v>
      </c>
      <c r="D721">
        <v>86</v>
      </c>
      <c r="E721">
        <v>5663</v>
      </c>
      <c r="F721" s="3">
        <v>232</v>
      </c>
      <c r="G721">
        <v>19</v>
      </c>
      <c r="H721">
        <v>10</v>
      </c>
      <c r="I721" s="5">
        <v>0.116279069767441</v>
      </c>
      <c r="J721" s="3">
        <v>316</v>
      </c>
      <c r="K721" s="1">
        <v>45613</v>
      </c>
      <c r="L721" t="s">
        <v>25</v>
      </c>
      <c r="M721" t="s">
        <v>31</v>
      </c>
      <c r="N721" t="s">
        <v>40</v>
      </c>
      <c r="O721" t="s">
        <v>28</v>
      </c>
      <c r="P721" t="s">
        <v>50</v>
      </c>
      <c r="Q721" s="6">
        <v>2.69523255813953</v>
      </c>
      <c r="R721">
        <v>1.52</v>
      </c>
      <c r="S721">
        <v>12.2</v>
      </c>
      <c r="T721">
        <v>23.18</v>
      </c>
      <c r="U721">
        <v>36.33</v>
      </c>
      <c r="V721">
        <v>31.6</v>
      </c>
      <c r="W721">
        <v>1.36</v>
      </c>
    </row>
    <row r="722" spans="1:23" x14ac:dyDescent="0.3">
      <c r="A722">
        <v>720</v>
      </c>
      <c r="B722" t="s">
        <v>765</v>
      </c>
      <c r="C722" t="s">
        <v>43</v>
      </c>
      <c r="D722">
        <v>172</v>
      </c>
      <c r="E722">
        <v>3123</v>
      </c>
      <c r="F722" s="3">
        <v>217</v>
      </c>
      <c r="G722">
        <v>15</v>
      </c>
      <c r="H722">
        <v>8</v>
      </c>
      <c r="I722" s="5">
        <v>4.6511627906976702E-2</v>
      </c>
      <c r="J722" s="3">
        <v>359</v>
      </c>
      <c r="K722" s="1">
        <v>45598</v>
      </c>
      <c r="L722" t="s">
        <v>25</v>
      </c>
      <c r="M722" t="s">
        <v>26</v>
      </c>
      <c r="N722" t="s">
        <v>44</v>
      </c>
      <c r="O722" t="s">
        <v>28</v>
      </c>
      <c r="P722" t="s">
        <v>29</v>
      </c>
      <c r="Q722" s="6">
        <v>1.2597093023255801</v>
      </c>
      <c r="R722">
        <v>5.51</v>
      </c>
      <c r="S722">
        <v>14.44</v>
      </c>
      <c r="T722">
        <v>27.08</v>
      </c>
      <c r="U722">
        <v>65.69</v>
      </c>
      <c r="V722">
        <v>44.88</v>
      </c>
      <c r="W722">
        <v>1.66</v>
      </c>
    </row>
    <row r="723" spans="1:23" x14ac:dyDescent="0.3">
      <c r="A723">
        <v>721</v>
      </c>
      <c r="B723" t="s">
        <v>766</v>
      </c>
      <c r="C723" t="s">
        <v>24</v>
      </c>
      <c r="D723">
        <v>143</v>
      </c>
      <c r="E723">
        <v>5638</v>
      </c>
      <c r="F723" s="3">
        <v>229</v>
      </c>
      <c r="G723">
        <v>23</v>
      </c>
      <c r="H723">
        <v>4</v>
      </c>
      <c r="I723" s="5">
        <v>2.7972027972027899E-2</v>
      </c>
      <c r="J723" s="3">
        <v>285</v>
      </c>
      <c r="K723" s="1">
        <v>45599</v>
      </c>
      <c r="L723" t="s">
        <v>25</v>
      </c>
      <c r="M723" t="s">
        <v>26</v>
      </c>
      <c r="N723" t="s">
        <v>44</v>
      </c>
      <c r="O723" t="s">
        <v>28</v>
      </c>
      <c r="P723" t="s">
        <v>50</v>
      </c>
      <c r="Q723" s="6">
        <v>1.60426573426573</v>
      </c>
      <c r="R723">
        <v>2.54</v>
      </c>
      <c r="S723">
        <v>9.9700000000000006</v>
      </c>
      <c r="T723">
        <v>57.35</v>
      </c>
      <c r="U723">
        <v>24.23</v>
      </c>
      <c r="V723">
        <v>71.25</v>
      </c>
      <c r="W723">
        <v>1.24</v>
      </c>
    </row>
    <row r="724" spans="1:23" x14ac:dyDescent="0.3">
      <c r="A724">
        <v>722</v>
      </c>
      <c r="B724" t="s">
        <v>767</v>
      </c>
      <c r="C724" t="s">
        <v>24</v>
      </c>
      <c r="D724">
        <v>172</v>
      </c>
      <c r="E724">
        <v>4436</v>
      </c>
      <c r="F724" s="3">
        <v>232</v>
      </c>
      <c r="G724">
        <v>21</v>
      </c>
      <c r="H724">
        <v>7</v>
      </c>
      <c r="I724" s="5">
        <v>4.0697674418604599E-2</v>
      </c>
      <c r="J724" s="3">
        <v>214</v>
      </c>
      <c r="K724" s="1">
        <v>45623</v>
      </c>
      <c r="L724" t="s">
        <v>25</v>
      </c>
      <c r="M724" t="s">
        <v>31</v>
      </c>
      <c r="N724" t="s">
        <v>27</v>
      </c>
      <c r="O724" t="s">
        <v>28</v>
      </c>
      <c r="P724" t="s">
        <v>33</v>
      </c>
      <c r="Q724" s="6">
        <v>1.3497674418604599</v>
      </c>
      <c r="R724">
        <v>3.88</v>
      </c>
      <c r="S724">
        <v>11.06</v>
      </c>
      <c r="T724">
        <v>33.17</v>
      </c>
      <c r="U724">
        <v>-7.82</v>
      </c>
      <c r="V724">
        <v>30.57</v>
      </c>
      <c r="W724">
        <v>0.92</v>
      </c>
    </row>
    <row r="725" spans="1:23" x14ac:dyDescent="0.3">
      <c r="A725">
        <v>723</v>
      </c>
      <c r="B725" t="s">
        <v>768</v>
      </c>
      <c r="C725" t="s">
        <v>38</v>
      </c>
      <c r="D725">
        <v>138</v>
      </c>
      <c r="E725">
        <v>5555</v>
      </c>
      <c r="F725" s="3">
        <v>189</v>
      </c>
      <c r="G725">
        <v>14</v>
      </c>
      <c r="H725">
        <v>8</v>
      </c>
      <c r="I725" s="5">
        <v>5.7971014492753603E-2</v>
      </c>
      <c r="J725" s="3">
        <v>325</v>
      </c>
      <c r="K725" s="1">
        <v>45620</v>
      </c>
      <c r="L725" t="s">
        <v>25</v>
      </c>
      <c r="M725" t="s">
        <v>26</v>
      </c>
      <c r="N725" t="s">
        <v>40</v>
      </c>
      <c r="O725" t="s">
        <v>28</v>
      </c>
      <c r="P725" t="s">
        <v>50</v>
      </c>
      <c r="Q725" s="6">
        <v>1.3663043478260799</v>
      </c>
      <c r="R725">
        <v>2.48</v>
      </c>
      <c r="S725">
        <v>13.47</v>
      </c>
      <c r="T725">
        <v>23.57</v>
      </c>
      <c r="U725">
        <v>72.37</v>
      </c>
      <c r="V725">
        <v>40.619999999999997</v>
      </c>
      <c r="W725">
        <v>1.72</v>
      </c>
    </row>
    <row r="726" spans="1:23" x14ac:dyDescent="0.3">
      <c r="A726">
        <v>724</v>
      </c>
      <c r="B726" t="s">
        <v>769</v>
      </c>
      <c r="C726" t="s">
        <v>38</v>
      </c>
      <c r="D726">
        <v>132</v>
      </c>
      <c r="E726">
        <v>4972</v>
      </c>
      <c r="F726" s="3">
        <v>248</v>
      </c>
      <c r="G726">
        <v>25</v>
      </c>
      <c r="H726">
        <v>9</v>
      </c>
      <c r="I726" s="5">
        <v>6.8181818181818094E-2</v>
      </c>
      <c r="J726" s="3">
        <v>230</v>
      </c>
      <c r="K726" s="1">
        <v>45615</v>
      </c>
      <c r="L726" t="s">
        <v>25</v>
      </c>
      <c r="M726" t="s">
        <v>39</v>
      </c>
      <c r="N726" t="s">
        <v>36</v>
      </c>
      <c r="O726" t="s">
        <v>28</v>
      </c>
      <c r="P726" t="s">
        <v>41</v>
      </c>
      <c r="Q726" s="6">
        <v>1.88219696969696</v>
      </c>
      <c r="R726">
        <v>2.65</v>
      </c>
      <c r="S726">
        <v>9.94</v>
      </c>
      <c r="T726">
        <v>27.61</v>
      </c>
      <c r="U726">
        <v>-7.43</v>
      </c>
      <c r="V726">
        <v>25.56</v>
      </c>
      <c r="W726">
        <v>0.93</v>
      </c>
    </row>
    <row r="727" spans="1:23" x14ac:dyDescent="0.3">
      <c r="A727">
        <v>725</v>
      </c>
      <c r="B727" t="s">
        <v>770</v>
      </c>
      <c r="C727" t="s">
        <v>38</v>
      </c>
      <c r="D727">
        <v>174</v>
      </c>
      <c r="E727">
        <v>3231</v>
      </c>
      <c r="F727" s="3">
        <v>265</v>
      </c>
      <c r="G727">
        <v>10</v>
      </c>
      <c r="H727">
        <v>7</v>
      </c>
      <c r="I727" s="5">
        <v>4.0229885057471201E-2</v>
      </c>
      <c r="J727" s="3">
        <v>230</v>
      </c>
      <c r="K727" s="1">
        <v>45608</v>
      </c>
      <c r="L727" t="s">
        <v>25</v>
      </c>
      <c r="M727" t="s">
        <v>31</v>
      </c>
      <c r="N727" t="s">
        <v>32</v>
      </c>
      <c r="O727" t="s">
        <v>28</v>
      </c>
      <c r="P727" t="s">
        <v>41</v>
      </c>
      <c r="Q727" s="6">
        <v>1.5243795620437901</v>
      </c>
      <c r="R727">
        <v>5.39</v>
      </c>
      <c r="S727">
        <v>26.52</v>
      </c>
      <c r="T727">
        <v>37.89</v>
      </c>
      <c r="U727">
        <v>-13.29</v>
      </c>
      <c r="V727">
        <v>32.86</v>
      </c>
      <c r="W727">
        <v>0.87</v>
      </c>
    </row>
    <row r="728" spans="1:23" x14ac:dyDescent="0.3">
      <c r="A728">
        <v>726</v>
      </c>
      <c r="B728" t="s">
        <v>771</v>
      </c>
      <c r="C728" t="s">
        <v>38</v>
      </c>
      <c r="D728">
        <v>154</v>
      </c>
      <c r="E728">
        <v>3461</v>
      </c>
      <c r="F728" s="3">
        <v>235</v>
      </c>
      <c r="G728">
        <v>18</v>
      </c>
      <c r="H728">
        <v>4</v>
      </c>
      <c r="I728" s="5">
        <v>2.5974025974025899E-2</v>
      </c>
      <c r="J728" s="3">
        <v>247</v>
      </c>
      <c r="K728" s="1">
        <v>45614</v>
      </c>
      <c r="L728" t="s">
        <v>25</v>
      </c>
      <c r="M728" t="s">
        <v>39</v>
      </c>
      <c r="N728" t="s">
        <v>36</v>
      </c>
      <c r="O728" t="s">
        <v>28</v>
      </c>
      <c r="P728" t="s">
        <v>59</v>
      </c>
      <c r="Q728" s="6">
        <v>1.5283116883116801</v>
      </c>
      <c r="R728">
        <v>4.45</v>
      </c>
      <c r="S728">
        <v>13.08</v>
      </c>
      <c r="T728">
        <v>58.84</v>
      </c>
      <c r="U728">
        <v>4.95</v>
      </c>
      <c r="V728">
        <v>61.75</v>
      </c>
      <c r="W728">
        <v>1.05</v>
      </c>
    </row>
    <row r="729" spans="1:23" x14ac:dyDescent="0.3">
      <c r="A729">
        <v>727</v>
      </c>
      <c r="B729" t="s">
        <v>772</v>
      </c>
      <c r="C729" t="s">
        <v>38</v>
      </c>
      <c r="D729">
        <v>126</v>
      </c>
      <c r="E729">
        <v>3423</v>
      </c>
      <c r="F729" s="3">
        <v>236</v>
      </c>
      <c r="G729">
        <v>25</v>
      </c>
      <c r="H729">
        <v>9</v>
      </c>
      <c r="I729" s="5">
        <v>7.1428571428571397E-2</v>
      </c>
      <c r="J729" s="3">
        <v>226</v>
      </c>
      <c r="K729" s="1">
        <v>45616</v>
      </c>
      <c r="L729" t="s">
        <v>25</v>
      </c>
      <c r="M729" t="s">
        <v>39</v>
      </c>
      <c r="N729" t="s">
        <v>40</v>
      </c>
      <c r="O729" t="s">
        <v>28</v>
      </c>
      <c r="P729" t="s">
        <v>33</v>
      </c>
      <c r="Q729" s="6">
        <v>1.87468253968253</v>
      </c>
      <c r="R729">
        <v>3.68</v>
      </c>
      <c r="S729">
        <v>9.4499999999999993</v>
      </c>
      <c r="T729">
        <v>26.25</v>
      </c>
      <c r="U729">
        <v>-4.32</v>
      </c>
      <c r="V729">
        <v>25.11</v>
      </c>
      <c r="W729">
        <v>0.96</v>
      </c>
    </row>
    <row r="730" spans="1:23" x14ac:dyDescent="0.3">
      <c r="A730">
        <v>728</v>
      </c>
      <c r="B730" t="s">
        <v>773</v>
      </c>
      <c r="C730" t="s">
        <v>24</v>
      </c>
      <c r="D730">
        <v>138</v>
      </c>
      <c r="E730">
        <v>4025</v>
      </c>
      <c r="F730" s="3">
        <v>221</v>
      </c>
      <c r="G730">
        <v>21</v>
      </c>
      <c r="H730">
        <v>7</v>
      </c>
      <c r="I730" s="5">
        <v>5.0724637681159403E-2</v>
      </c>
      <c r="J730" s="3">
        <v>289</v>
      </c>
      <c r="K730" s="1">
        <v>45620</v>
      </c>
      <c r="L730" t="s">
        <v>25</v>
      </c>
      <c r="M730" t="s">
        <v>39</v>
      </c>
      <c r="N730" t="s">
        <v>36</v>
      </c>
      <c r="O730" t="s">
        <v>28</v>
      </c>
      <c r="P730" t="s">
        <v>50</v>
      </c>
      <c r="Q730" s="6">
        <v>1.60115942028985</v>
      </c>
      <c r="R730">
        <v>3.43</v>
      </c>
      <c r="S730">
        <v>10.52</v>
      </c>
      <c r="T730">
        <v>31.57</v>
      </c>
      <c r="U730">
        <v>30.79</v>
      </c>
      <c r="V730">
        <v>41.29</v>
      </c>
      <c r="W730">
        <v>1.31</v>
      </c>
    </row>
    <row r="731" spans="1:23" x14ac:dyDescent="0.3">
      <c r="A731">
        <v>729</v>
      </c>
      <c r="B731" t="s">
        <v>774</v>
      </c>
      <c r="C731" t="s">
        <v>38</v>
      </c>
      <c r="D731">
        <v>193</v>
      </c>
      <c r="E731">
        <v>3800</v>
      </c>
      <c r="F731" s="3">
        <v>200</v>
      </c>
      <c r="G731">
        <v>27</v>
      </c>
      <c r="H731">
        <v>9</v>
      </c>
      <c r="I731" s="5">
        <v>4.6632124352331598E-2</v>
      </c>
      <c r="J731" s="3">
        <v>284</v>
      </c>
      <c r="K731" s="1">
        <v>45613</v>
      </c>
      <c r="L731" t="s">
        <v>25</v>
      </c>
      <c r="M731" t="s">
        <v>31</v>
      </c>
      <c r="N731" t="s">
        <v>32</v>
      </c>
      <c r="O731" t="s">
        <v>28</v>
      </c>
      <c r="P731" t="s">
        <v>50</v>
      </c>
      <c r="Q731" s="6">
        <v>1.0350259067357499</v>
      </c>
      <c r="R731">
        <v>5.08</v>
      </c>
      <c r="S731">
        <v>7.4</v>
      </c>
      <c r="T731">
        <v>22.2</v>
      </c>
      <c r="U731">
        <v>42.17</v>
      </c>
      <c r="V731">
        <v>31.56</v>
      </c>
      <c r="W731">
        <v>1.42</v>
      </c>
    </row>
    <row r="732" spans="1:23" x14ac:dyDescent="0.3">
      <c r="A732">
        <v>730</v>
      </c>
      <c r="B732" t="s">
        <v>775</v>
      </c>
      <c r="C732" t="s">
        <v>24</v>
      </c>
      <c r="D732">
        <v>156</v>
      </c>
      <c r="E732">
        <v>5293</v>
      </c>
      <c r="F732" s="3">
        <v>210</v>
      </c>
      <c r="G732">
        <v>26</v>
      </c>
      <c r="H732">
        <v>6</v>
      </c>
      <c r="I732" s="5">
        <v>3.8461538461538401E-2</v>
      </c>
      <c r="J732" s="3">
        <v>296</v>
      </c>
      <c r="K732" s="1">
        <v>45624</v>
      </c>
      <c r="L732" t="s">
        <v>25</v>
      </c>
      <c r="M732" t="s">
        <v>39</v>
      </c>
      <c r="N732" t="s">
        <v>32</v>
      </c>
      <c r="O732" t="s">
        <v>28</v>
      </c>
      <c r="P732" t="s">
        <v>54</v>
      </c>
      <c r="Q732" s="6">
        <v>1.34891025641025</v>
      </c>
      <c r="R732">
        <v>2.95</v>
      </c>
      <c r="S732">
        <v>8.09</v>
      </c>
      <c r="T732">
        <v>35.07</v>
      </c>
      <c r="U732">
        <v>40.659999999999997</v>
      </c>
      <c r="V732">
        <v>49.33</v>
      </c>
      <c r="W732">
        <v>1.41</v>
      </c>
    </row>
    <row r="733" spans="1:23" x14ac:dyDescent="0.3">
      <c r="A733">
        <v>731</v>
      </c>
      <c r="B733" t="s">
        <v>776</v>
      </c>
      <c r="C733" t="s">
        <v>24</v>
      </c>
      <c r="D733">
        <v>142</v>
      </c>
      <c r="E733">
        <v>3565</v>
      </c>
      <c r="F733" s="3">
        <v>180</v>
      </c>
      <c r="G733">
        <v>26</v>
      </c>
      <c r="H733">
        <v>5</v>
      </c>
      <c r="I733" s="5">
        <v>3.5211267605633798E-2</v>
      </c>
      <c r="J733" s="3">
        <v>234</v>
      </c>
      <c r="K733" s="1">
        <v>45597</v>
      </c>
      <c r="L733" t="s">
        <v>25</v>
      </c>
      <c r="M733" t="s">
        <v>39</v>
      </c>
      <c r="N733" t="s">
        <v>40</v>
      </c>
      <c r="O733" t="s">
        <v>28</v>
      </c>
      <c r="P733" t="s">
        <v>45</v>
      </c>
      <c r="Q733" s="6">
        <v>1.27035211267605</v>
      </c>
      <c r="R733">
        <v>3.98</v>
      </c>
      <c r="S733">
        <v>6.94</v>
      </c>
      <c r="T733">
        <v>36.08</v>
      </c>
      <c r="U733">
        <v>29.72</v>
      </c>
      <c r="V733">
        <v>46.8</v>
      </c>
      <c r="W733">
        <v>1.3</v>
      </c>
    </row>
    <row r="734" spans="1:23" x14ac:dyDescent="0.3">
      <c r="A734">
        <v>732</v>
      </c>
      <c r="B734" t="s">
        <v>777</v>
      </c>
      <c r="C734" t="s">
        <v>38</v>
      </c>
      <c r="D734">
        <v>92</v>
      </c>
      <c r="E734">
        <v>4296</v>
      </c>
      <c r="F734" s="3">
        <v>239</v>
      </c>
      <c r="G734">
        <v>11</v>
      </c>
      <c r="H734">
        <v>10</v>
      </c>
      <c r="I734" s="5">
        <v>0.108695652173913</v>
      </c>
      <c r="J734" s="3">
        <v>239</v>
      </c>
      <c r="K734" s="1">
        <v>45598</v>
      </c>
      <c r="L734" t="s">
        <v>25</v>
      </c>
      <c r="M734" t="s">
        <v>39</v>
      </c>
      <c r="N734" t="s">
        <v>40</v>
      </c>
      <c r="O734" t="s">
        <v>28</v>
      </c>
      <c r="P734" t="s">
        <v>29</v>
      </c>
      <c r="Q734" s="6">
        <v>2.5991304347825999</v>
      </c>
      <c r="R734">
        <v>2.14</v>
      </c>
      <c r="S734">
        <v>21.74</v>
      </c>
      <c r="T734">
        <v>23.91</v>
      </c>
      <c r="U734">
        <v>-0.05</v>
      </c>
      <c r="V734">
        <v>23.9</v>
      </c>
      <c r="W734">
        <v>1</v>
      </c>
    </row>
    <row r="735" spans="1:23" x14ac:dyDescent="0.3">
      <c r="A735">
        <v>733</v>
      </c>
      <c r="B735" t="s">
        <v>778</v>
      </c>
      <c r="C735" t="s">
        <v>24</v>
      </c>
      <c r="D735">
        <v>190</v>
      </c>
      <c r="E735">
        <v>3567</v>
      </c>
      <c r="F735" s="3">
        <v>249</v>
      </c>
      <c r="G735">
        <v>27</v>
      </c>
      <c r="H735">
        <v>7</v>
      </c>
      <c r="I735" s="5">
        <v>3.6842105263157801E-2</v>
      </c>
      <c r="J735" s="3">
        <v>310</v>
      </c>
      <c r="K735" s="1">
        <v>45622</v>
      </c>
      <c r="L735" t="s">
        <v>25</v>
      </c>
      <c r="M735" t="s">
        <v>26</v>
      </c>
      <c r="N735" t="s">
        <v>36</v>
      </c>
      <c r="O735" t="s">
        <v>28</v>
      </c>
      <c r="P735" t="s">
        <v>41</v>
      </c>
      <c r="Q735" s="6">
        <v>1.3118947368420999</v>
      </c>
      <c r="R735">
        <v>5.33</v>
      </c>
      <c r="S735">
        <v>9.23</v>
      </c>
      <c r="T735">
        <v>35.61</v>
      </c>
      <c r="U735">
        <v>24.37</v>
      </c>
      <c r="V735">
        <v>44.29</v>
      </c>
      <c r="W735">
        <v>1.24</v>
      </c>
    </row>
    <row r="736" spans="1:23" x14ac:dyDescent="0.3">
      <c r="A736">
        <v>734</v>
      </c>
      <c r="B736" t="s">
        <v>779</v>
      </c>
      <c r="C736" t="s">
        <v>43</v>
      </c>
      <c r="D736">
        <v>134</v>
      </c>
      <c r="E736">
        <v>4854</v>
      </c>
      <c r="F736" s="3">
        <v>199</v>
      </c>
      <c r="G736">
        <v>21</v>
      </c>
      <c r="H736">
        <v>8</v>
      </c>
      <c r="I736" s="5">
        <v>5.9701492537313397E-2</v>
      </c>
      <c r="J736" s="3">
        <v>225</v>
      </c>
      <c r="K736" s="1">
        <v>45599</v>
      </c>
      <c r="L736" t="s">
        <v>25</v>
      </c>
      <c r="M736" t="s">
        <v>26</v>
      </c>
      <c r="N736" t="s">
        <v>49</v>
      </c>
      <c r="O736" t="s">
        <v>28</v>
      </c>
      <c r="P736" t="s">
        <v>50</v>
      </c>
      <c r="Q736" s="6">
        <v>1.48455223880597</v>
      </c>
      <c r="R736">
        <v>2.76</v>
      </c>
      <c r="S736">
        <v>9.4700000000000006</v>
      </c>
      <c r="T736">
        <v>24.87</v>
      </c>
      <c r="U736">
        <v>13.11</v>
      </c>
      <c r="V736">
        <v>28.12</v>
      </c>
      <c r="W736">
        <v>1.1299999999999999</v>
      </c>
    </row>
    <row r="737" spans="1:23" x14ac:dyDescent="0.3">
      <c r="A737">
        <v>735</v>
      </c>
      <c r="B737" t="s">
        <v>780</v>
      </c>
      <c r="C737" t="s">
        <v>35</v>
      </c>
      <c r="D737">
        <v>144</v>
      </c>
      <c r="E737">
        <v>4749</v>
      </c>
      <c r="F737" s="3">
        <v>186</v>
      </c>
      <c r="G737">
        <v>29</v>
      </c>
      <c r="H737">
        <v>8</v>
      </c>
      <c r="I737" s="5">
        <v>5.5555555555555497E-2</v>
      </c>
      <c r="J737" s="3">
        <v>293</v>
      </c>
      <c r="K737" s="1">
        <v>45625</v>
      </c>
      <c r="L737" t="s">
        <v>25</v>
      </c>
      <c r="M737" t="s">
        <v>31</v>
      </c>
      <c r="N737" t="s">
        <v>32</v>
      </c>
      <c r="O737" t="s">
        <v>28</v>
      </c>
      <c r="P737" t="s">
        <v>45</v>
      </c>
      <c r="Q737" s="6">
        <v>1.2949305555555499</v>
      </c>
      <c r="R737">
        <v>3.03</v>
      </c>
      <c r="S737">
        <v>6.43</v>
      </c>
      <c r="T737">
        <v>23.31</v>
      </c>
      <c r="U737">
        <v>57.13</v>
      </c>
      <c r="V737">
        <v>36.619999999999997</v>
      </c>
      <c r="W737">
        <v>1.57</v>
      </c>
    </row>
    <row r="738" spans="1:23" x14ac:dyDescent="0.3">
      <c r="A738">
        <v>736</v>
      </c>
      <c r="B738" t="s">
        <v>781</v>
      </c>
      <c r="C738" t="s">
        <v>43</v>
      </c>
      <c r="D738">
        <v>117</v>
      </c>
      <c r="E738">
        <v>4630</v>
      </c>
      <c r="F738" s="3">
        <v>197</v>
      </c>
      <c r="G738">
        <v>15</v>
      </c>
      <c r="H738">
        <v>8</v>
      </c>
      <c r="I738" s="5">
        <v>6.83760683760683E-2</v>
      </c>
      <c r="J738" s="3">
        <v>278</v>
      </c>
      <c r="K738" s="1">
        <v>45613</v>
      </c>
      <c r="L738" t="s">
        <v>25</v>
      </c>
      <c r="M738" t="s">
        <v>26</v>
      </c>
      <c r="N738" t="s">
        <v>44</v>
      </c>
      <c r="O738" t="s">
        <v>28</v>
      </c>
      <c r="P738" t="s">
        <v>50</v>
      </c>
      <c r="Q738" s="6">
        <v>1.6808547008546999</v>
      </c>
      <c r="R738">
        <v>2.5299999999999998</v>
      </c>
      <c r="S738">
        <v>13.11</v>
      </c>
      <c r="T738">
        <v>24.58</v>
      </c>
      <c r="U738">
        <v>41.36</v>
      </c>
      <c r="V738">
        <v>34.75</v>
      </c>
      <c r="W738">
        <v>1.41</v>
      </c>
    </row>
    <row r="739" spans="1:23" x14ac:dyDescent="0.3">
      <c r="A739">
        <v>737</v>
      </c>
      <c r="B739" t="s">
        <v>782</v>
      </c>
      <c r="C739" t="s">
        <v>43</v>
      </c>
      <c r="D739">
        <v>160</v>
      </c>
      <c r="E739">
        <v>3448</v>
      </c>
      <c r="F739" s="3">
        <v>210</v>
      </c>
      <c r="G739">
        <v>19</v>
      </c>
      <c r="H739">
        <v>7</v>
      </c>
      <c r="I739" s="5">
        <v>4.3749999999999997E-2</v>
      </c>
      <c r="J739" s="3">
        <v>348</v>
      </c>
      <c r="K739" s="1">
        <v>45610</v>
      </c>
      <c r="L739" t="s">
        <v>25</v>
      </c>
      <c r="M739" t="s">
        <v>26</v>
      </c>
      <c r="N739" t="s">
        <v>32</v>
      </c>
      <c r="O739" t="s">
        <v>28</v>
      </c>
      <c r="P739" t="s">
        <v>54</v>
      </c>
      <c r="Q739" s="6">
        <v>1.314875</v>
      </c>
      <c r="R739">
        <v>4.6399999999999997</v>
      </c>
      <c r="S739">
        <v>11.07</v>
      </c>
      <c r="T739">
        <v>30.05</v>
      </c>
      <c r="U739">
        <v>65.41</v>
      </c>
      <c r="V739">
        <v>49.71</v>
      </c>
      <c r="W739">
        <v>1.65</v>
      </c>
    </row>
    <row r="740" spans="1:23" x14ac:dyDescent="0.3">
      <c r="A740">
        <v>738</v>
      </c>
      <c r="B740" t="s">
        <v>783</v>
      </c>
      <c r="C740" t="s">
        <v>43</v>
      </c>
      <c r="D740">
        <v>146</v>
      </c>
      <c r="E740">
        <v>5297</v>
      </c>
      <c r="F740" s="3">
        <v>199</v>
      </c>
      <c r="G740">
        <v>30</v>
      </c>
      <c r="H740">
        <v>8</v>
      </c>
      <c r="I740" s="5">
        <v>5.4794520547945202E-2</v>
      </c>
      <c r="J740" s="3">
        <v>408</v>
      </c>
      <c r="K740" s="1">
        <v>45598</v>
      </c>
      <c r="L740" t="s">
        <v>25</v>
      </c>
      <c r="M740" t="s">
        <v>26</v>
      </c>
      <c r="N740" t="s">
        <v>40</v>
      </c>
      <c r="O740" t="s">
        <v>28</v>
      </c>
      <c r="P740" t="s">
        <v>29</v>
      </c>
      <c r="Q740" s="6">
        <v>1.3622602739726</v>
      </c>
      <c r="R740">
        <v>2.76</v>
      </c>
      <c r="S740">
        <v>6.63</v>
      </c>
      <c r="T740">
        <v>24.86</v>
      </c>
      <c r="U740">
        <v>105.14</v>
      </c>
      <c r="V740">
        <v>51</v>
      </c>
      <c r="W740">
        <v>2.0499999999999998</v>
      </c>
    </row>
    <row r="741" spans="1:23" x14ac:dyDescent="0.3">
      <c r="A741">
        <v>739</v>
      </c>
      <c r="B741" t="s">
        <v>784</v>
      </c>
      <c r="C741" t="s">
        <v>38</v>
      </c>
      <c r="D741">
        <v>175</v>
      </c>
      <c r="E741">
        <v>3818</v>
      </c>
      <c r="F741" s="3">
        <v>191</v>
      </c>
      <c r="G741">
        <v>30</v>
      </c>
      <c r="H741">
        <v>10</v>
      </c>
      <c r="I741" s="5">
        <v>5.7142857142857099E-2</v>
      </c>
      <c r="J741" s="3">
        <v>222</v>
      </c>
      <c r="K741" s="1">
        <v>45606</v>
      </c>
      <c r="L741" t="s">
        <v>25</v>
      </c>
      <c r="M741" t="s">
        <v>39</v>
      </c>
      <c r="N741" t="s">
        <v>36</v>
      </c>
      <c r="O741" t="s">
        <v>28</v>
      </c>
      <c r="P741" t="s">
        <v>50</v>
      </c>
      <c r="Q741" s="6">
        <v>1.0908</v>
      </c>
      <c r="R741">
        <v>4.58</v>
      </c>
      <c r="S741">
        <v>6.36</v>
      </c>
      <c r="T741">
        <v>19.09</v>
      </c>
      <c r="U741">
        <v>16.3</v>
      </c>
      <c r="V741">
        <v>22.2</v>
      </c>
      <c r="W741">
        <v>1.1599999999999999</v>
      </c>
    </row>
    <row r="742" spans="1:23" x14ac:dyDescent="0.3">
      <c r="A742">
        <v>740</v>
      </c>
      <c r="B742" t="s">
        <v>785</v>
      </c>
      <c r="C742" t="s">
        <v>38</v>
      </c>
      <c r="D742">
        <v>122</v>
      </c>
      <c r="E742">
        <v>4791</v>
      </c>
      <c r="F742" s="3">
        <v>223</v>
      </c>
      <c r="G742">
        <v>12</v>
      </c>
      <c r="H742">
        <v>4</v>
      </c>
      <c r="I742" s="5">
        <v>3.2786885245901599E-2</v>
      </c>
      <c r="J742" s="3">
        <v>254</v>
      </c>
      <c r="K742" s="1">
        <v>45601</v>
      </c>
      <c r="L742" t="s">
        <v>25</v>
      </c>
      <c r="M742" t="s">
        <v>39</v>
      </c>
      <c r="N742" t="s">
        <v>27</v>
      </c>
      <c r="O742" t="s">
        <v>28</v>
      </c>
      <c r="P742" t="s">
        <v>41</v>
      </c>
      <c r="Q742" s="6">
        <v>1.8291803278688501</v>
      </c>
      <c r="R742">
        <v>2.5499999999999998</v>
      </c>
      <c r="S742">
        <v>18.600000000000001</v>
      </c>
      <c r="T742">
        <v>55.79</v>
      </c>
      <c r="U742">
        <v>13.82</v>
      </c>
      <c r="V742">
        <v>63.5</v>
      </c>
      <c r="W742">
        <v>1.1399999999999999</v>
      </c>
    </row>
    <row r="743" spans="1:23" x14ac:dyDescent="0.3">
      <c r="A743">
        <v>741</v>
      </c>
      <c r="B743" t="s">
        <v>786</v>
      </c>
      <c r="C743" t="s">
        <v>38</v>
      </c>
      <c r="D743">
        <v>85</v>
      </c>
      <c r="E743">
        <v>3713</v>
      </c>
      <c r="F743" s="3">
        <v>226</v>
      </c>
      <c r="G743">
        <v>23</v>
      </c>
      <c r="H743">
        <v>5</v>
      </c>
      <c r="I743" s="5">
        <v>5.8823529411764698E-2</v>
      </c>
      <c r="J743" s="3">
        <v>381</v>
      </c>
      <c r="K743" s="1">
        <v>45620</v>
      </c>
      <c r="L743" t="s">
        <v>25</v>
      </c>
      <c r="M743" t="s">
        <v>39</v>
      </c>
      <c r="N743" t="s">
        <v>36</v>
      </c>
      <c r="O743" t="s">
        <v>28</v>
      </c>
      <c r="P743" t="s">
        <v>50</v>
      </c>
      <c r="Q743" s="6">
        <v>2.6557647058823499</v>
      </c>
      <c r="R743">
        <v>2.29</v>
      </c>
      <c r="S743">
        <v>9.81</v>
      </c>
      <c r="T743">
        <v>45.15</v>
      </c>
      <c r="U743">
        <v>68.78</v>
      </c>
      <c r="V743">
        <v>76.2</v>
      </c>
      <c r="W743">
        <v>1.69</v>
      </c>
    </row>
    <row r="744" spans="1:23" x14ac:dyDescent="0.3">
      <c r="A744">
        <v>742</v>
      </c>
      <c r="B744" t="s">
        <v>787</v>
      </c>
      <c r="C744" t="s">
        <v>35</v>
      </c>
      <c r="D744">
        <v>167</v>
      </c>
      <c r="E744">
        <v>3634</v>
      </c>
      <c r="F744" s="3">
        <v>203</v>
      </c>
      <c r="G744">
        <v>30</v>
      </c>
      <c r="H744">
        <v>10</v>
      </c>
      <c r="I744" s="5">
        <v>5.9880239520958001E-2</v>
      </c>
      <c r="J744" s="3">
        <v>307</v>
      </c>
      <c r="K744" s="1">
        <v>45619</v>
      </c>
      <c r="L744" t="s">
        <v>25</v>
      </c>
      <c r="M744" t="s">
        <v>26</v>
      </c>
      <c r="N744" t="s">
        <v>40</v>
      </c>
      <c r="O744" t="s">
        <v>28</v>
      </c>
      <c r="P744" t="s">
        <v>29</v>
      </c>
      <c r="Q744" s="6">
        <v>1.21407185628742</v>
      </c>
      <c r="R744">
        <v>4.5999999999999996</v>
      </c>
      <c r="S744">
        <v>6.76</v>
      </c>
      <c r="T744">
        <v>20.27</v>
      </c>
      <c r="U744">
        <v>51.42</v>
      </c>
      <c r="V744">
        <v>30.7</v>
      </c>
      <c r="W744">
        <v>1.51</v>
      </c>
    </row>
    <row r="745" spans="1:23" x14ac:dyDescent="0.3">
      <c r="A745">
        <v>743</v>
      </c>
      <c r="B745" t="s">
        <v>788</v>
      </c>
      <c r="C745" t="s">
        <v>35</v>
      </c>
      <c r="D745">
        <v>158</v>
      </c>
      <c r="E745">
        <v>3025</v>
      </c>
      <c r="F745" s="3">
        <v>180</v>
      </c>
      <c r="G745">
        <v>24</v>
      </c>
      <c r="H745">
        <v>9</v>
      </c>
      <c r="I745" s="5">
        <v>5.6962025316455597E-2</v>
      </c>
      <c r="J745" s="3">
        <v>352</v>
      </c>
      <c r="K745" s="1">
        <v>45622</v>
      </c>
      <c r="L745" t="s">
        <v>25</v>
      </c>
      <c r="M745" t="s">
        <v>39</v>
      </c>
      <c r="N745" t="s">
        <v>40</v>
      </c>
      <c r="O745" t="s">
        <v>28</v>
      </c>
      <c r="P745" t="s">
        <v>41</v>
      </c>
      <c r="Q745" s="6">
        <v>1.14240506329113</v>
      </c>
      <c r="R745">
        <v>5.22</v>
      </c>
      <c r="S745">
        <v>7.52</v>
      </c>
      <c r="T745">
        <v>20.059999999999999</v>
      </c>
      <c r="U745">
        <v>95.01</v>
      </c>
      <c r="V745">
        <v>39.11</v>
      </c>
      <c r="W745">
        <v>1.95</v>
      </c>
    </row>
    <row r="746" spans="1:23" x14ac:dyDescent="0.3">
      <c r="A746">
        <v>744</v>
      </c>
      <c r="B746" t="s">
        <v>789</v>
      </c>
      <c r="C746" t="s">
        <v>43</v>
      </c>
      <c r="D746">
        <v>176</v>
      </c>
      <c r="E746">
        <v>5868</v>
      </c>
      <c r="F746" s="3">
        <v>184</v>
      </c>
      <c r="G746">
        <v>25</v>
      </c>
      <c r="H746">
        <v>4</v>
      </c>
      <c r="I746" s="5">
        <v>2.27272727272727E-2</v>
      </c>
      <c r="J746" s="3">
        <v>251</v>
      </c>
      <c r="K746" s="1">
        <v>45616</v>
      </c>
      <c r="L746" t="s">
        <v>25</v>
      </c>
      <c r="M746" t="s">
        <v>26</v>
      </c>
      <c r="N746" t="s">
        <v>32</v>
      </c>
      <c r="O746" t="s">
        <v>28</v>
      </c>
      <c r="P746" t="s">
        <v>33</v>
      </c>
      <c r="Q746" s="6">
        <v>1.0480681818181801</v>
      </c>
      <c r="R746">
        <v>3</v>
      </c>
      <c r="S746">
        <v>7.38</v>
      </c>
      <c r="T746">
        <v>46.12</v>
      </c>
      <c r="U746">
        <v>36.07</v>
      </c>
      <c r="V746">
        <v>62.75</v>
      </c>
      <c r="W746">
        <v>1.36</v>
      </c>
    </row>
    <row r="747" spans="1:23" x14ac:dyDescent="0.3">
      <c r="A747">
        <v>745</v>
      </c>
      <c r="B747" t="s">
        <v>790</v>
      </c>
      <c r="C747" t="s">
        <v>35</v>
      </c>
      <c r="D747">
        <v>111</v>
      </c>
      <c r="E747">
        <v>3050</v>
      </c>
      <c r="F747" s="3">
        <v>209</v>
      </c>
      <c r="G747">
        <v>10</v>
      </c>
      <c r="H747">
        <v>7</v>
      </c>
      <c r="I747" s="5">
        <v>6.3063063063063002E-2</v>
      </c>
      <c r="J747" s="3">
        <v>362</v>
      </c>
      <c r="K747" s="1">
        <v>45622</v>
      </c>
      <c r="L747" t="s">
        <v>25</v>
      </c>
      <c r="M747" t="s">
        <v>39</v>
      </c>
      <c r="N747" t="s">
        <v>49</v>
      </c>
      <c r="O747" t="s">
        <v>28</v>
      </c>
      <c r="P747" t="s">
        <v>41</v>
      </c>
      <c r="Q747" s="6">
        <v>1.8817117117117099</v>
      </c>
      <c r="R747">
        <v>3.64</v>
      </c>
      <c r="S747">
        <v>20.89</v>
      </c>
      <c r="T747">
        <v>29.84</v>
      </c>
      <c r="U747">
        <v>73.31</v>
      </c>
      <c r="V747">
        <v>51.71</v>
      </c>
      <c r="W747">
        <v>1.73</v>
      </c>
    </row>
    <row r="748" spans="1:23" x14ac:dyDescent="0.3">
      <c r="A748">
        <v>746</v>
      </c>
      <c r="B748" t="s">
        <v>791</v>
      </c>
      <c r="C748" t="s">
        <v>35</v>
      </c>
      <c r="D748">
        <v>186</v>
      </c>
      <c r="E748">
        <v>5301</v>
      </c>
      <c r="F748" s="3">
        <v>292</v>
      </c>
      <c r="G748">
        <v>14</v>
      </c>
      <c r="H748">
        <v>9</v>
      </c>
      <c r="I748" s="5">
        <v>4.8387096774193498E-2</v>
      </c>
      <c r="J748" s="3">
        <v>251</v>
      </c>
      <c r="K748" s="1">
        <v>45613</v>
      </c>
      <c r="L748" t="s">
        <v>25</v>
      </c>
      <c r="M748" t="s">
        <v>26</v>
      </c>
      <c r="N748" t="s">
        <v>27</v>
      </c>
      <c r="O748" t="s">
        <v>28</v>
      </c>
      <c r="P748" t="s">
        <v>50</v>
      </c>
      <c r="Q748" s="6">
        <v>1.56753061615001</v>
      </c>
      <c r="R748">
        <v>3.51</v>
      </c>
      <c r="S748">
        <v>20.83</v>
      </c>
      <c r="T748">
        <v>32.4</v>
      </c>
      <c r="U748">
        <v>-13.91</v>
      </c>
      <c r="V748">
        <v>27.89</v>
      </c>
      <c r="W748">
        <v>0.86</v>
      </c>
    </row>
    <row r="749" spans="1:23" x14ac:dyDescent="0.3">
      <c r="A749">
        <v>747</v>
      </c>
      <c r="B749" t="s">
        <v>792</v>
      </c>
      <c r="C749" t="s">
        <v>24</v>
      </c>
      <c r="D749">
        <v>177</v>
      </c>
      <c r="E749">
        <v>3042</v>
      </c>
      <c r="F749" s="3">
        <v>240</v>
      </c>
      <c r="G749">
        <v>26</v>
      </c>
      <c r="H749">
        <v>4</v>
      </c>
      <c r="I749" s="5">
        <v>2.2598870056497099E-2</v>
      </c>
      <c r="J749" s="3">
        <v>336</v>
      </c>
      <c r="K749" s="1">
        <v>45616</v>
      </c>
      <c r="L749" t="s">
        <v>25</v>
      </c>
      <c r="M749" t="s">
        <v>31</v>
      </c>
      <c r="N749" t="s">
        <v>32</v>
      </c>
      <c r="O749" t="s">
        <v>28</v>
      </c>
      <c r="P749" t="s">
        <v>33</v>
      </c>
      <c r="Q749" s="6">
        <v>1.35389830508474</v>
      </c>
      <c r="R749">
        <v>5.82</v>
      </c>
      <c r="S749">
        <v>9.2200000000000006</v>
      </c>
      <c r="T749">
        <v>59.91</v>
      </c>
      <c r="U749">
        <v>40.21</v>
      </c>
      <c r="V749">
        <v>84</v>
      </c>
      <c r="W749">
        <v>1.4</v>
      </c>
    </row>
    <row r="750" spans="1:23" x14ac:dyDescent="0.3">
      <c r="A750">
        <v>748</v>
      </c>
      <c r="B750" t="s">
        <v>793</v>
      </c>
      <c r="C750" t="s">
        <v>38</v>
      </c>
      <c r="D750">
        <v>150</v>
      </c>
      <c r="E750">
        <v>5272</v>
      </c>
      <c r="F750" s="3">
        <v>239</v>
      </c>
      <c r="G750">
        <v>13</v>
      </c>
      <c r="H750">
        <v>9</v>
      </c>
      <c r="I750" s="5">
        <v>0.06</v>
      </c>
      <c r="J750" s="3">
        <v>251</v>
      </c>
      <c r="K750" s="1">
        <v>45597</v>
      </c>
      <c r="L750" t="s">
        <v>25</v>
      </c>
      <c r="M750" t="s">
        <v>26</v>
      </c>
      <c r="N750" t="s">
        <v>44</v>
      </c>
      <c r="O750" t="s">
        <v>28</v>
      </c>
      <c r="P750" t="s">
        <v>45</v>
      </c>
      <c r="Q750" s="6">
        <v>1.5937333333333299</v>
      </c>
      <c r="R750">
        <v>2.85</v>
      </c>
      <c r="S750">
        <v>18.39</v>
      </c>
      <c r="T750">
        <v>26.56</v>
      </c>
      <c r="U750">
        <v>4.99</v>
      </c>
      <c r="V750">
        <v>27.89</v>
      </c>
      <c r="W750">
        <v>1.05</v>
      </c>
    </row>
    <row r="751" spans="1:23" x14ac:dyDescent="0.3">
      <c r="A751">
        <v>749</v>
      </c>
      <c r="B751" t="s">
        <v>794</v>
      </c>
      <c r="C751" t="s">
        <v>43</v>
      </c>
      <c r="D751">
        <v>160</v>
      </c>
      <c r="E751">
        <v>4279</v>
      </c>
      <c r="F751" s="3">
        <v>192</v>
      </c>
      <c r="G751">
        <v>22</v>
      </c>
      <c r="H751">
        <v>10</v>
      </c>
      <c r="I751" s="5">
        <v>6.25E-2</v>
      </c>
      <c r="J751" s="3">
        <v>252</v>
      </c>
      <c r="K751" s="1">
        <v>45608</v>
      </c>
      <c r="L751" t="s">
        <v>25</v>
      </c>
      <c r="M751" t="s">
        <v>31</v>
      </c>
      <c r="N751" t="s">
        <v>32</v>
      </c>
      <c r="O751" t="s">
        <v>28</v>
      </c>
      <c r="P751" t="s">
        <v>41</v>
      </c>
      <c r="Q751" s="6">
        <v>1.1972499999999999</v>
      </c>
      <c r="R751">
        <v>3.74</v>
      </c>
      <c r="S751">
        <v>8.7100000000000009</v>
      </c>
      <c r="T751">
        <v>19.16</v>
      </c>
      <c r="U751">
        <v>31.55</v>
      </c>
      <c r="V751">
        <v>25.2</v>
      </c>
      <c r="W751">
        <v>1.32</v>
      </c>
    </row>
    <row r="752" spans="1:23" x14ac:dyDescent="0.3">
      <c r="A752">
        <v>750</v>
      </c>
      <c r="B752" t="s">
        <v>795</v>
      </c>
      <c r="C752" t="s">
        <v>24</v>
      </c>
      <c r="D752">
        <v>147</v>
      </c>
      <c r="E752">
        <v>5659</v>
      </c>
      <c r="F752" s="3">
        <v>188</v>
      </c>
      <c r="G752">
        <v>22</v>
      </c>
      <c r="H752">
        <v>4</v>
      </c>
      <c r="I752" s="5">
        <v>2.7210884353741398E-2</v>
      </c>
      <c r="J752" s="3">
        <v>367</v>
      </c>
      <c r="K752" s="1">
        <v>45621</v>
      </c>
      <c r="L752" t="s">
        <v>25</v>
      </c>
      <c r="M752" t="s">
        <v>31</v>
      </c>
      <c r="N752" t="s">
        <v>49</v>
      </c>
      <c r="O752" t="s">
        <v>28</v>
      </c>
      <c r="P752" t="s">
        <v>59</v>
      </c>
      <c r="Q752" s="6">
        <v>1.2793877551020401</v>
      </c>
      <c r="R752">
        <v>2.6</v>
      </c>
      <c r="S752">
        <v>8.5500000000000007</v>
      </c>
      <c r="T752">
        <v>47.02</v>
      </c>
      <c r="U752">
        <v>95.14</v>
      </c>
      <c r="V752">
        <v>91.75</v>
      </c>
      <c r="W752">
        <v>1.95</v>
      </c>
    </row>
    <row r="753" spans="1:23" x14ac:dyDescent="0.3">
      <c r="A753">
        <v>751</v>
      </c>
      <c r="B753" t="s">
        <v>796</v>
      </c>
      <c r="C753" t="s">
        <v>24</v>
      </c>
      <c r="D753">
        <v>198</v>
      </c>
      <c r="E753">
        <v>4816</v>
      </c>
      <c r="F753" s="3">
        <v>225</v>
      </c>
      <c r="G753">
        <v>21</v>
      </c>
      <c r="H753">
        <v>4</v>
      </c>
      <c r="I753" s="5">
        <v>2.02020202020202E-2</v>
      </c>
      <c r="J753" s="3">
        <v>327</v>
      </c>
      <c r="K753" s="1">
        <v>45601</v>
      </c>
      <c r="L753" t="s">
        <v>25</v>
      </c>
      <c r="M753" t="s">
        <v>31</v>
      </c>
      <c r="N753" t="s">
        <v>44</v>
      </c>
      <c r="O753" t="s">
        <v>28</v>
      </c>
      <c r="P753" t="s">
        <v>41</v>
      </c>
      <c r="Q753" s="6">
        <v>1.1361616161616099</v>
      </c>
      <c r="R753">
        <v>4.1100000000000003</v>
      </c>
      <c r="S753">
        <v>10.71</v>
      </c>
      <c r="T753">
        <v>56.24</v>
      </c>
      <c r="U753">
        <v>45.36</v>
      </c>
      <c r="V753">
        <v>81.75</v>
      </c>
      <c r="W753">
        <v>1.45</v>
      </c>
    </row>
    <row r="754" spans="1:23" x14ac:dyDescent="0.3">
      <c r="A754">
        <v>752</v>
      </c>
      <c r="B754" t="s">
        <v>797</v>
      </c>
      <c r="C754" t="s">
        <v>35</v>
      </c>
      <c r="D754">
        <v>145</v>
      </c>
      <c r="E754">
        <v>3874</v>
      </c>
      <c r="F754" s="3">
        <v>221</v>
      </c>
      <c r="G754">
        <v>10</v>
      </c>
      <c r="H754">
        <v>10</v>
      </c>
      <c r="I754" s="5">
        <v>6.8965517241379296E-2</v>
      </c>
      <c r="J754" s="3">
        <v>235</v>
      </c>
      <c r="K754" s="1">
        <v>45626</v>
      </c>
      <c r="L754" t="s">
        <v>25</v>
      </c>
      <c r="M754" t="s">
        <v>31</v>
      </c>
      <c r="N754" t="s">
        <v>40</v>
      </c>
      <c r="O754" t="s">
        <v>28</v>
      </c>
      <c r="P754" t="s">
        <v>29</v>
      </c>
      <c r="Q754" s="6">
        <v>1.5243795620437901</v>
      </c>
      <c r="R754">
        <v>3.74</v>
      </c>
      <c r="S754">
        <v>22.1</v>
      </c>
      <c r="T754">
        <v>22.1</v>
      </c>
      <c r="U754">
        <v>6.32</v>
      </c>
      <c r="V754">
        <v>23.5</v>
      </c>
      <c r="W754">
        <v>1.06</v>
      </c>
    </row>
    <row r="755" spans="1:23" x14ac:dyDescent="0.3">
      <c r="A755">
        <v>753</v>
      </c>
      <c r="B755" t="s">
        <v>798</v>
      </c>
      <c r="C755" t="s">
        <v>43</v>
      </c>
      <c r="D755">
        <v>94</v>
      </c>
      <c r="E755">
        <v>5221</v>
      </c>
      <c r="F755" s="3">
        <v>225</v>
      </c>
      <c r="G755">
        <v>17</v>
      </c>
      <c r="H755">
        <v>3</v>
      </c>
      <c r="I755" s="5">
        <v>3.1914893617021198E-2</v>
      </c>
      <c r="J755" s="3">
        <v>247</v>
      </c>
      <c r="K755" s="1">
        <v>45615</v>
      </c>
      <c r="L755" t="s">
        <v>25</v>
      </c>
      <c r="M755" t="s">
        <v>39</v>
      </c>
      <c r="N755" t="s">
        <v>27</v>
      </c>
      <c r="O755" t="s">
        <v>28</v>
      </c>
      <c r="P755" t="s">
        <v>41</v>
      </c>
      <c r="Q755" s="6">
        <v>2.3960638297872299</v>
      </c>
      <c r="R755">
        <v>1.8</v>
      </c>
      <c r="S755">
        <v>13.25</v>
      </c>
      <c r="T755">
        <v>75.08</v>
      </c>
      <c r="U755">
        <v>9.67</v>
      </c>
      <c r="V755">
        <v>82.33</v>
      </c>
      <c r="W755">
        <v>1.1000000000000001</v>
      </c>
    </row>
    <row r="756" spans="1:23" x14ac:dyDescent="0.3">
      <c r="A756">
        <v>754</v>
      </c>
      <c r="B756" t="s">
        <v>799</v>
      </c>
      <c r="C756" t="s">
        <v>24</v>
      </c>
      <c r="D756">
        <v>90</v>
      </c>
      <c r="E756">
        <v>5859</v>
      </c>
      <c r="F756" s="3">
        <v>187</v>
      </c>
      <c r="G756">
        <v>17</v>
      </c>
      <c r="H756">
        <v>5</v>
      </c>
      <c r="I756" s="5">
        <v>5.5555555555555497E-2</v>
      </c>
      <c r="J756" s="3">
        <v>281</v>
      </c>
      <c r="K756" s="1">
        <v>45612</v>
      </c>
      <c r="L756" t="s">
        <v>25</v>
      </c>
      <c r="M756" t="s">
        <v>31</v>
      </c>
      <c r="N756" t="s">
        <v>49</v>
      </c>
      <c r="O756" t="s">
        <v>28</v>
      </c>
      <c r="P756" t="s">
        <v>29</v>
      </c>
      <c r="Q756" s="6">
        <v>2.081</v>
      </c>
      <c r="R756">
        <v>1.54</v>
      </c>
      <c r="S756">
        <v>11.02</v>
      </c>
      <c r="T756">
        <v>37.46</v>
      </c>
      <c r="U756">
        <v>50.03</v>
      </c>
      <c r="V756">
        <v>56.2</v>
      </c>
      <c r="W756">
        <v>1.5</v>
      </c>
    </row>
    <row r="757" spans="1:23" x14ac:dyDescent="0.3">
      <c r="A757">
        <v>755</v>
      </c>
      <c r="B757" t="s">
        <v>800</v>
      </c>
      <c r="C757" t="s">
        <v>35</v>
      </c>
      <c r="D757">
        <v>182</v>
      </c>
      <c r="E757">
        <v>5055</v>
      </c>
      <c r="F757" s="3">
        <v>233</v>
      </c>
      <c r="G757">
        <v>26</v>
      </c>
      <c r="H757">
        <v>8</v>
      </c>
      <c r="I757" s="5">
        <v>4.3956043956043897E-2</v>
      </c>
      <c r="J757" s="3">
        <v>370</v>
      </c>
      <c r="K757" s="1">
        <v>45606</v>
      </c>
      <c r="L757" t="s">
        <v>25</v>
      </c>
      <c r="M757" t="s">
        <v>31</v>
      </c>
      <c r="N757" t="s">
        <v>40</v>
      </c>
      <c r="O757" t="s">
        <v>28</v>
      </c>
      <c r="P757" t="s">
        <v>50</v>
      </c>
      <c r="Q757" s="6">
        <v>1.27824175824175</v>
      </c>
      <c r="R757">
        <v>3.6</v>
      </c>
      <c r="S757">
        <v>8.9499999999999993</v>
      </c>
      <c r="T757">
        <v>29.08</v>
      </c>
      <c r="U757">
        <v>59.04</v>
      </c>
      <c r="V757">
        <v>46.25</v>
      </c>
      <c r="W757">
        <v>1.59</v>
      </c>
    </row>
    <row r="758" spans="1:23" x14ac:dyDescent="0.3">
      <c r="A758">
        <v>756</v>
      </c>
      <c r="B758" t="s">
        <v>801</v>
      </c>
      <c r="C758" t="s">
        <v>35</v>
      </c>
      <c r="D758">
        <v>133</v>
      </c>
      <c r="E758">
        <v>4373</v>
      </c>
      <c r="F758" s="3">
        <v>199</v>
      </c>
      <c r="G758">
        <v>16</v>
      </c>
      <c r="H758">
        <v>5</v>
      </c>
      <c r="I758" s="5">
        <v>3.7593984962405999E-2</v>
      </c>
      <c r="J758" s="3">
        <v>235</v>
      </c>
      <c r="K758" s="1">
        <v>45598</v>
      </c>
      <c r="L758" t="s">
        <v>25</v>
      </c>
      <c r="M758" t="s">
        <v>26</v>
      </c>
      <c r="N758" t="s">
        <v>40</v>
      </c>
      <c r="O758" t="s">
        <v>28</v>
      </c>
      <c r="P758" t="s">
        <v>29</v>
      </c>
      <c r="Q758" s="6">
        <v>1.4986466165413499</v>
      </c>
      <c r="R758">
        <v>3.04</v>
      </c>
      <c r="S758">
        <v>12.46</v>
      </c>
      <c r="T758">
        <v>39.86</v>
      </c>
      <c r="U758">
        <v>17.899999999999999</v>
      </c>
      <c r="V758">
        <v>47</v>
      </c>
      <c r="W758">
        <v>1.18</v>
      </c>
    </row>
    <row r="759" spans="1:23" x14ac:dyDescent="0.3">
      <c r="A759">
        <v>758</v>
      </c>
      <c r="B759" t="s">
        <v>802</v>
      </c>
      <c r="C759" t="s">
        <v>38</v>
      </c>
      <c r="D759">
        <v>103</v>
      </c>
      <c r="E759">
        <v>3547</v>
      </c>
      <c r="F759" s="3">
        <v>232</v>
      </c>
      <c r="G759">
        <v>11</v>
      </c>
      <c r="H759">
        <v>8</v>
      </c>
      <c r="I759" s="5">
        <v>7.7669902912621297E-2</v>
      </c>
      <c r="J759" s="3">
        <v>339</v>
      </c>
      <c r="K759" s="1">
        <v>45622</v>
      </c>
      <c r="L759" t="s">
        <v>25</v>
      </c>
      <c r="M759" t="s">
        <v>39</v>
      </c>
      <c r="N759" t="s">
        <v>27</v>
      </c>
      <c r="O759" t="s">
        <v>28</v>
      </c>
      <c r="P759" t="s">
        <v>41</v>
      </c>
      <c r="Q759" s="6">
        <v>2.2558252427184402</v>
      </c>
      <c r="R759">
        <v>2.9</v>
      </c>
      <c r="S759">
        <v>21.12</v>
      </c>
      <c r="T759">
        <v>29.04</v>
      </c>
      <c r="U759">
        <v>45.9</v>
      </c>
      <c r="V759">
        <v>42.38</v>
      </c>
      <c r="W759">
        <v>1.46</v>
      </c>
    </row>
    <row r="760" spans="1:23" x14ac:dyDescent="0.3">
      <c r="A760">
        <v>759</v>
      </c>
      <c r="B760" t="s">
        <v>803</v>
      </c>
      <c r="C760" t="s">
        <v>43</v>
      </c>
      <c r="D760">
        <v>148</v>
      </c>
      <c r="E760">
        <v>3128</v>
      </c>
      <c r="F760" s="3">
        <v>197</v>
      </c>
      <c r="G760">
        <v>27</v>
      </c>
      <c r="H760">
        <v>9</v>
      </c>
      <c r="I760" s="5">
        <v>6.08108108108108E-2</v>
      </c>
      <c r="J760" s="3">
        <v>248</v>
      </c>
      <c r="K760" s="1">
        <v>45608</v>
      </c>
      <c r="L760" t="s">
        <v>25</v>
      </c>
      <c r="M760" t="s">
        <v>39</v>
      </c>
      <c r="N760" t="s">
        <v>40</v>
      </c>
      <c r="O760" t="s">
        <v>28</v>
      </c>
      <c r="P760" t="s">
        <v>41</v>
      </c>
      <c r="Q760" s="6">
        <v>1.33121621621621</v>
      </c>
      <c r="R760">
        <v>4.7300000000000004</v>
      </c>
      <c r="S760">
        <v>7.3</v>
      </c>
      <c r="T760">
        <v>21.89</v>
      </c>
      <c r="U760">
        <v>25.88</v>
      </c>
      <c r="V760">
        <v>27.56</v>
      </c>
      <c r="W760">
        <v>1.26</v>
      </c>
    </row>
    <row r="761" spans="1:23" x14ac:dyDescent="0.3">
      <c r="A761">
        <v>760</v>
      </c>
      <c r="B761" t="s">
        <v>804</v>
      </c>
      <c r="C761" t="s">
        <v>35</v>
      </c>
      <c r="D761">
        <v>151</v>
      </c>
      <c r="E761">
        <v>5201</v>
      </c>
      <c r="F761" s="3">
        <v>199</v>
      </c>
      <c r="G761">
        <v>15</v>
      </c>
      <c r="H761">
        <v>10</v>
      </c>
      <c r="I761" s="5">
        <v>6.6225165562913899E-2</v>
      </c>
      <c r="J761" s="3">
        <v>350</v>
      </c>
      <c r="K761" s="1">
        <v>45601</v>
      </c>
      <c r="L761" t="s">
        <v>25</v>
      </c>
      <c r="M761" t="s">
        <v>39</v>
      </c>
      <c r="N761" t="s">
        <v>40</v>
      </c>
      <c r="O761" t="s">
        <v>28</v>
      </c>
      <c r="P761" t="s">
        <v>41</v>
      </c>
      <c r="Q761" s="6">
        <v>1.31496688741721</v>
      </c>
      <c r="R761">
        <v>2.9</v>
      </c>
      <c r="S761">
        <v>13.24</v>
      </c>
      <c r="T761">
        <v>19.86</v>
      </c>
      <c r="U761">
        <v>76.27</v>
      </c>
      <c r="V761">
        <v>35</v>
      </c>
      <c r="W761">
        <v>1.76</v>
      </c>
    </row>
    <row r="762" spans="1:23" x14ac:dyDescent="0.3">
      <c r="A762">
        <v>761</v>
      </c>
      <c r="B762" t="s">
        <v>805</v>
      </c>
      <c r="C762" t="s">
        <v>38</v>
      </c>
      <c r="D762">
        <v>148</v>
      </c>
      <c r="E762">
        <v>5510</v>
      </c>
      <c r="F762" s="3">
        <v>210</v>
      </c>
      <c r="G762">
        <v>27</v>
      </c>
      <c r="H762">
        <v>4</v>
      </c>
      <c r="I762" s="5">
        <v>2.7027027027027001E-2</v>
      </c>
      <c r="J762" s="3">
        <v>276</v>
      </c>
      <c r="K762" s="1">
        <v>45602</v>
      </c>
      <c r="L762" t="s">
        <v>25</v>
      </c>
      <c r="M762" t="s">
        <v>31</v>
      </c>
      <c r="N762" t="s">
        <v>27</v>
      </c>
      <c r="O762" t="s">
        <v>28</v>
      </c>
      <c r="P762" t="s">
        <v>33</v>
      </c>
      <c r="Q762" s="6">
        <v>1.42175675675675</v>
      </c>
      <c r="R762">
        <v>2.69</v>
      </c>
      <c r="S762">
        <v>7.79</v>
      </c>
      <c r="T762">
        <v>52.6</v>
      </c>
      <c r="U762">
        <v>31.17</v>
      </c>
      <c r="V762">
        <v>69</v>
      </c>
      <c r="W762">
        <v>1.31</v>
      </c>
    </row>
    <row r="763" spans="1:23" x14ac:dyDescent="0.3">
      <c r="A763">
        <v>762</v>
      </c>
      <c r="B763" t="s">
        <v>806</v>
      </c>
      <c r="C763" t="s">
        <v>35</v>
      </c>
      <c r="D763">
        <v>103</v>
      </c>
      <c r="E763">
        <v>5628</v>
      </c>
      <c r="F763" s="3">
        <v>196</v>
      </c>
      <c r="G763">
        <v>24</v>
      </c>
      <c r="H763">
        <v>8</v>
      </c>
      <c r="I763" s="5">
        <v>7.7669902912621297E-2</v>
      </c>
      <c r="J763" s="3">
        <v>217</v>
      </c>
      <c r="K763" s="1">
        <v>45605</v>
      </c>
      <c r="L763" t="s">
        <v>25</v>
      </c>
      <c r="M763" t="s">
        <v>31</v>
      </c>
      <c r="N763" t="s">
        <v>49</v>
      </c>
      <c r="O763" t="s">
        <v>28</v>
      </c>
      <c r="P763" t="s">
        <v>29</v>
      </c>
      <c r="Q763" s="6">
        <v>1.8990291262135901</v>
      </c>
      <c r="R763">
        <v>1.83</v>
      </c>
      <c r="S763">
        <v>8.15</v>
      </c>
      <c r="T763">
        <v>24.45</v>
      </c>
      <c r="U763">
        <v>10.94</v>
      </c>
      <c r="V763">
        <v>27.12</v>
      </c>
      <c r="W763">
        <v>1.1100000000000001</v>
      </c>
    </row>
    <row r="764" spans="1:23" x14ac:dyDescent="0.3">
      <c r="A764">
        <v>763</v>
      </c>
      <c r="B764" t="s">
        <v>807</v>
      </c>
      <c r="C764" t="s">
        <v>38</v>
      </c>
      <c r="D764">
        <v>115</v>
      </c>
      <c r="E764">
        <v>5445</v>
      </c>
      <c r="F764" s="3">
        <v>184</v>
      </c>
      <c r="G764">
        <v>21</v>
      </c>
      <c r="H764">
        <v>7</v>
      </c>
      <c r="I764" s="5">
        <v>6.08695652173913E-2</v>
      </c>
      <c r="J764" s="3">
        <v>351</v>
      </c>
      <c r="K764" s="1">
        <v>45603</v>
      </c>
      <c r="L764" t="s">
        <v>25</v>
      </c>
      <c r="M764" t="s">
        <v>39</v>
      </c>
      <c r="N764" t="s">
        <v>32</v>
      </c>
      <c r="O764" t="s">
        <v>28</v>
      </c>
      <c r="P764" t="s">
        <v>54</v>
      </c>
      <c r="Q764" s="6">
        <v>1.5960869565217299</v>
      </c>
      <c r="R764">
        <v>2.11</v>
      </c>
      <c r="S764">
        <v>8.74</v>
      </c>
      <c r="T764">
        <v>26.22</v>
      </c>
      <c r="U764">
        <v>91.23</v>
      </c>
      <c r="V764">
        <v>50.14</v>
      </c>
      <c r="W764">
        <v>1.91</v>
      </c>
    </row>
    <row r="765" spans="1:23" x14ac:dyDescent="0.3">
      <c r="A765">
        <v>764</v>
      </c>
      <c r="B765" t="s">
        <v>808</v>
      </c>
      <c r="C765" t="s">
        <v>43</v>
      </c>
      <c r="D765">
        <v>160</v>
      </c>
      <c r="E765">
        <v>5936</v>
      </c>
      <c r="F765" s="3">
        <v>240</v>
      </c>
      <c r="G765">
        <v>29</v>
      </c>
      <c r="H765">
        <v>4</v>
      </c>
      <c r="I765" s="5">
        <v>2.5000000000000001E-2</v>
      </c>
      <c r="J765" s="3">
        <v>269</v>
      </c>
      <c r="K765" s="1">
        <v>45620</v>
      </c>
      <c r="L765" t="s">
        <v>25</v>
      </c>
      <c r="M765" t="s">
        <v>31</v>
      </c>
      <c r="N765" t="s">
        <v>49</v>
      </c>
      <c r="O765" t="s">
        <v>28</v>
      </c>
      <c r="P765" t="s">
        <v>50</v>
      </c>
      <c r="Q765" s="6">
        <v>1.4991874999999999</v>
      </c>
      <c r="R765">
        <v>2.7</v>
      </c>
      <c r="S765">
        <v>8.27</v>
      </c>
      <c r="T765">
        <v>59.97</v>
      </c>
      <c r="U765">
        <v>12.14</v>
      </c>
      <c r="V765">
        <v>67.25</v>
      </c>
      <c r="W765">
        <v>1.1200000000000001</v>
      </c>
    </row>
    <row r="766" spans="1:23" x14ac:dyDescent="0.3">
      <c r="A766">
        <v>765</v>
      </c>
      <c r="B766" t="s">
        <v>809</v>
      </c>
      <c r="C766" t="s">
        <v>24</v>
      </c>
      <c r="D766">
        <v>166</v>
      </c>
      <c r="E766">
        <v>5808</v>
      </c>
      <c r="F766" s="3">
        <v>195</v>
      </c>
      <c r="G766">
        <v>14</v>
      </c>
      <c r="H766">
        <v>8</v>
      </c>
      <c r="I766" s="5">
        <v>4.8192771084337303E-2</v>
      </c>
      <c r="J766" s="3">
        <v>367</v>
      </c>
      <c r="K766" s="1">
        <v>45610</v>
      </c>
      <c r="L766" t="s">
        <v>25</v>
      </c>
      <c r="M766" t="s">
        <v>39</v>
      </c>
      <c r="N766" t="s">
        <v>40</v>
      </c>
      <c r="O766" t="s">
        <v>28</v>
      </c>
      <c r="P766" t="s">
        <v>54</v>
      </c>
      <c r="Q766" s="6">
        <v>1.1734337349397499</v>
      </c>
      <c r="R766">
        <v>2.86</v>
      </c>
      <c r="S766">
        <v>13.91</v>
      </c>
      <c r="T766">
        <v>24.35</v>
      </c>
      <c r="U766">
        <v>88.41</v>
      </c>
      <c r="V766">
        <v>45.88</v>
      </c>
      <c r="W766">
        <v>1.88</v>
      </c>
    </row>
    <row r="767" spans="1:23" x14ac:dyDescent="0.3">
      <c r="A767">
        <v>766</v>
      </c>
      <c r="B767" t="s">
        <v>810</v>
      </c>
      <c r="C767" t="s">
        <v>38</v>
      </c>
      <c r="D767">
        <v>187</v>
      </c>
      <c r="E767">
        <v>3282</v>
      </c>
      <c r="F767" s="3">
        <v>235</v>
      </c>
      <c r="G767">
        <v>10</v>
      </c>
      <c r="H767">
        <v>7</v>
      </c>
      <c r="I767" s="5">
        <v>3.7433155080213901E-2</v>
      </c>
      <c r="J767" s="3">
        <v>311</v>
      </c>
      <c r="K767" s="1">
        <v>45625</v>
      </c>
      <c r="L767" t="s">
        <v>25</v>
      </c>
      <c r="M767" t="s">
        <v>31</v>
      </c>
      <c r="N767" t="s">
        <v>44</v>
      </c>
      <c r="O767" t="s">
        <v>28</v>
      </c>
      <c r="P767" t="s">
        <v>45</v>
      </c>
      <c r="Q767" s="6">
        <v>1.2562032085561401</v>
      </c>
      <c r="R767">
        <v>5.7</v>
      </c>
      <c r="S767">
        <v>23.49</v>
      </c>
      <c r="T767">
        <v>33.56</v>
      </c>
      <c r="U767">
        <v>32.39</v>
      </c>
      <c r="V767">
        <v>44.43</v>
      </c>
      <c r="W767">
        <v>1.32</v>
      </c>
    </row>
    <row r="768" spans="1:23" x14ac:dyDescent="0.3">
      <c r="A768">
        <v>767</v>
      </c>
      <c r="B768" t="s">
        <v>811</v>
      </c>
      <c r="C768" t="s">
        <v>24</v>
      </c>
      <c r="D768">
        <v>172</v>
      </c>
      <c r="E768">
        <v>3334</v>
      </c>
      <c r="F768" s="3">
        <v>243</v>
      </c>
      <c r="G768">
        <v>30</v>
      </c>
      <c r="H768">
        <v>9</v>
      </c>
      <c r="I768" s="5">
        <v>5.2325581395348798E-2</v>
      </c>
      <c r="J768" s="3">
        <v>420.42857142857099</v>
      </c>
      <c r="K768" s="1">
        <v>45604</v>
      </c>
      <c r="L768" t="s">
        <v>25</v>
      </c>
      <c r="M768" t="s">
        <v>31</v>
      </c>
      <c r="N768" t="s">
        <v>44</v>
      </c>
      <c r="O768" t="s">
        <v>28</v>
      </c>
      <c r="P768" t="s">
        <v>45</v>
      </c>
      <c r="Q768" s="6">
        <v>1.41348837209302</v>
      </c>
      <c r="R768">
        <v>5.16</v>
      </c>
      <c r="S768">
        <v>8.1</v>
      </c>
      <c r="T768">
        <v>27.01</v>
      </c>
      <c r="U768">
        <v>72.930000000000007</v>
      </c>
      <c r="V768">
        <v>46.71</v>
      </c>
      <c r="W768">
        <v>1.73</v>
      </c>
    </row>
    <row r="769" spans="1:23" x14ac:dyDescent="0.3">
      <c r="A769">
        <v>768</v>
      </c>
      <c r="B769" t="s">
        <v>812</v>
      </c>
      <c r="C769" t="s">
        <v>24</v>
      </c>
      <c r="D769">
        <v>172</v>
      </c>
      <c r="E769">
        <v>5546</v>
      </c>
      <c r="F769" s="3">
        <v>242</v>
      </c>
      <c r="G769">
        <v>24</v>
      </c>
      <c r="H769">
        <v>10</v>
      </c>
      <c r="I769" s="5">
        <v>5.8139534883720902E-2</v>
      </c>
      <c r="J769" s="3">
        <v>343</v>
      </c>
      <c r="K769" s="1">
        <v>45599</v>
      </c>
      <c r="L769" t="s">
        <v>25</v>
      </c>
      <c r="M769" t="s">
        <v>26</v>
      </c>
      <c r="N769" t="s">
        <v>27</v>
      </c>
      <c r="O769" t="s">
        <v>28</v>
      </c>
      <c r="P769" t="s">
        <v>50</v>
      </c>
      <c r="Q769" s="6">
        <v>1.40587209302325</v>
      </c>
      <c r="R769">
        <v>3.1</v>
      </c>
      <c r="S769">
        <v>10.08</v>
      </c>
      <c r="T769">
        <v>24.18</v>
      </c>
      <c r="U769">
        <v>41.85</v>
      </c>
      <c r="V769">
        <v>34.299999999999997</v>
      </c>
      <c r="W769">
        <v>1.42</v>
      </c>
    </row>
    <row r="770" spans="1:23" x14ac:dyDescent="0.3">
      <c r="A770">
        <v>769</v>
      </c>
      <c r="B770" t="s">
        <v>813</v>
      </c>
      <c r="C770" t="s">
        <v>38</v>
      </c>
      <c r="D770">
        <v>187</v>
      </c>
      <c r="E770">
        <v>5734</v>
      </c>
      <c r="F770" s="3">
        <v>187</v>
      </c>
      <c r="G770">
        <v>10</v>
      </c>
      <c r="H770">
        <v>8</v>
      </c>
      <c r="I770" s="5">
        <v>4.2780748663101602E-2</v>
      </c>
      <c r="J770" s="3">
        <v>241</v>
      </c>
      <c r="K770" s="1">
        <v>45619</v>
      </c>
      <c r="L770" t="s">
        <v>25</v>
      </c>
      <c r="M770" t="s">
        <v>39</v>
      </c>
      <c r="N770" t="s">
        <v>49</v>
      </c>
      <c r="O770" t="s">
        <v>28</v>
      </c>
      <c r="P770" t="s">
        <v>29</v>
      </c>
      <c r="Q770" s="6">
        <v>1.00235294117647</v>
      </c>
      <c r="R770">
        <v>3.26</v>
      </c>
      <c r="S770">
        <v>18.739999999999998</v>
      </c>
      <c r="T770">
        <v>23.43</v>
      </c>
      <c r="U770">
        <v>28.57</v>
      </c>
      <c r="V770">
        <v>30.12</v>
      </c>
      <c r="W770">
        <v>1.29</v>
      </c>
    </row>
    <row r="771" spans="1:23" x14ac:dyDescent="0.3">
      <c r="A771">
        <v>770</v>
      </c>
      <c r="B771" t="s">
        <v>814</v>
      </c>
      <c r="C771" t="s">
        <v>43</v>
      </c>
      <c r="D771">
        <v>196</v>
      </c>
      <c r="E771">
        <v>4964</v>
      </c>
      <c r="F771" s="3">
        <v>249</v>
      </c>
      <c r="G771">
        <v>26</v>
      </c>
      <c r="H771">
        <v>9</v>
      </c>
      <c r="I771" s="5">
        <v>4.5918367346938702E-2</v>
      </c>
      <c r="J771" s="3">
        <v>407</v>
      </c>
      <c r="K771" s="1">
        <v>45615</v>
      </c>
      <c r="L771" t="s">
        <v>25</v>
      </c>
      <c r="M771" t="s">
        <v>31</v>
      </c>
      <c r="N771" t="s">
        <v>27</v>
      </c>
      <c r="O771" t="s">
        <v>28</v>
      </c>
      <c r="P771" t="s">
        <v>41</v>
      </c>
      <c r="Q771" s="6">
        <v>1.27280612244897</v>
      </c>
      <c r="R771">
        <v>3.95</v>
      </c>
      <c r="S771">
        <v>9.6</v>
      </c>
      <c r="T771">
        <v>27.72</v>
      </c>
      <c r="U771">
        <v>63.15</v>
      </c>
      <c r="V771">
        <v>45.22</v>
      </c>
      <c r="W771">
        <v>1.63</v>
      </c>
    </row>
    <row r="772" spans="1:23" x14ac:dyDescent="0.3">
      <c r="A772">
        <v>771</v>
      </c>
      <c r="B772" t="s">
        <v>815</v>
      </c>
      <c r="C772" t="s">
        <v>38</v>
      </c>
      <c r="D772">
        <v>131</v>
      </c>
      <c r="E772">
        <v>4774</v>
      </c>
      <c r="F772" s="3">
        <v>241</v>
      </c>
      <c r="G772">
        <v>24</v>
      </c>
      <c r="H772">
        <v>7</v>
      </c>
      <c r="I772" s="5">
        <v>5.3435114503816702E-2</v>
      </c>
      <c r="J772" s="3">
        <v>327</v>
      </c>
      <c r="K772" s="1">
        <v>45605</v>
      </c>
      <c r="L772" t="s">
        <v>25</v>
      </c>
      <c r="M772" t="s">
        <v>39</v>
      </c>
      <c r="N772" t="s">
        <v>40</v>
      </c>
      <c r="O772" t="s">
        <v>28</v>
      </c>
      <c r="P772" t="s">
        <v>29</v>
      </c>
      <c r="Q772" s="6">
        <v>1.836106870229</v>
      </c>
      <c r="R772">
        <v>2.74</v>
      </c>
      <c r="S772">
        <v>10.02</v>
      </c>
      <c r="T772">
        <v>34.36</v>
      </c>
      <c r="U772">
        <v>35.950000000000003</v>
      </c>
      <c r="V772">
        <v>46.71</v>
      </c>
      <c r="W772">
        <v>1.36</v>
      </c>
    </row>
    <row r="773" spans="1:23" x14ac:dyDescent="0.3">
      <c r="A773">
        <v>772</v>
      </c>
      <c r="B773" t="s">
        <v>816</v>
      </c>
      <c r="C773" t="s">
        <v>43</v>
      </c>
      <c r="D773">
        <v>103</v>
      </c>
      <c r="E773">
        <v>5244</v>
      </c>
      <c r="F773" s="3">
        <v>206</v>
      </c>
      <c r="G773">
        <v>22</v>
      </c>
      <c r="H773">
        <v>7</v>
      </c>
      <c r="I773" s="5">
        <v>6.7961165048543604E-2</v>
      </c>
      <c r="J773" s="3">
        <v>399</v>
      </c>
      <c r="K773" s="1">
        <v>45612</v>
      </c>
      <c r="L773" t="s">
        <v>25</v>
      </c>
      <c r="M773" t="s">
        <v>31</v>
      </c>
      <c r="N773" t="s">
        <v>49</v>
      </c>
      <c r="O773" t="s">
        <v>28</v>
      </c>
      <c r="P773" t="s">
        <v>29</v>
      </c>
      <c r="Q773" s="6">
        <v>1.99902912621359</v>
      </c>
      <c r="R773">
        <v>1.96</v>
      </c>
      <c r="S773">
        <v>9.36</v>
      </c>
      <c r="T773">
        <v>29.41</v>
      </c>
      <c r="U773">
        <v>93.78</v>
      </c>
      <c r="V773">
        <v>57</v>
      </c>
      <c r="W773">
        <v>1.94</v>
      </c>
    </row>
    <row r="774" spans="1:23" x14ac:dyDescent="0.3">
      <c r="A774">
        <v>773</v>
      </c>
      <c r="B774" t="s">
        <v>817</v>
      </c>
      <c r="C774" t="s">
        <v>38</v>
      </c>
      <c r="D774">
        <v>114</v>
      </c>
      <c r="E774">
        <v>3064</v>
      </c>
      <c r="F774" s="3">
        <v>196</v>
      </c>
      <c r="G774">
        <v>23</v>
      </c>
      <c r="H774">
        <v>6</v>
      </c>
      <c r="I774" s="5">
        <v>5.2631578947368397E-2</v>
      </c>
      <c r="J774" s="3">
        <v>275</v>
      </c>
      <c r="K774" s="1">
        <v>45626</v>
      </c>
      <c r="L774" t="s">
        <v>25</v>
      </c>
      <c r="M774" t="s">
        <v>31</v>
      </c>
      <c r="N774" t="s">
        <v>27</v>
      </c>
      <c r="O774" t="s">
        <v>28</v>
      </c>
      <c r="P774" t="s">
        <v>29</v>
      </c>
      <c r="Q774" s="6">
        <v>1.71938596491228</v>
      </c>
      <c r="R774">
        <v>3.72</v>
      </c>
      <c r="S774">
        <v>8.52</v>
      </c>
      <c r="T774">
        <v>32.67</v>
      </c>
      <c r="U774">
        <v>40.299999999999997</v>
      </c>
      <c r="V774">
        <v>45.83</v>
      </c>
      <c r="W774">
        <v>1.4</v>
      </c>
    </row>
    <row r="775" spans="1:23" x14ac:dyDescent="0.3">
      <c r="A775">
        <v>774</v>
      </c>
      <c r="B775" t="s">
        <v>818</v>
      </c>
      <c r="C775" t="s">
        <v>35</v>
      </c>
      <c r="D775">
        <v>116</v>
      </c>
      <c r="E775">
        <v>3265</v>
      </c>
      <c r="F775" s="3">
        <v>199</v>
      </c>
      <c r="G775">
        <v>24</v>
      </c>
      <c r="H775">
        <v>10</v>
      </c>
      <c r="I775" s="5">
        <v>8.6206896551724102E-2</v>
      </c>
      <c r="J775" s="3">
        <v>205</v>
      </c>
      <c r="K775" s="1">
        <v>45617</v>
      </c>
      <c r="L775" t="s">
        <v>25</v>
      </c>
      <c r="M775" t="s">
        <v>31</v>
      </c>
      <c r="N775" t="s">
        <v>27</v>
      </c>
      <c r="O775" t="s">
        <v>28</v>
      </c>
      <c r="P775" t="s">
        <v>54</v>
      </c>
      <c r="Q775" s="6">
        <v>1.71732758620689</v>
      </c>
      <c r="R775">
        <v>3.55</v>
      </c>
      <c r="S775">
        <v>8.3000000000000007</v>
      </c>
      <c r="T775">
        <v>19.920000000000002</v>
      </c>
      <c r="U775">
        <v>2.91</v>
      </c>
      <c r="V775">
        <v>20.5</v>
      </c>
      <c r="W775">
        <v>1.03</v>
      </c>
    </row>
    <row r="776" spans="1:23" x14ac:dyDescent="0.3">
      <c r="A776">
        <v>775</v>
      </c>
      <c r="B776" t="s">
        <v>819</v>
      </c>
      <c r="C776" t="s">
        <v>35</v>
      </c>
      <c r="D776">
        <v>164</v>
      </c>
      <c r="E776">
        <v>5351</v>
      </c>
      <c r="F776" s="3">
        <v>218</v>
      </c>
      <c r="G776">
        <v>10</v>
      </c>
      <c r="H776">
        <v>9</v>
      </c>
      <c r="I776" s="5">
        <v>5.4878048780487798E-2</v>
      </c>
      <c r="J776" s="3">
        <v>292</v>
      </c>
      <c r="K776" s="1">
        <v>45608</v>
      </c>
      <c r="L776" t="s">
        <v>25</v>
      </c>
      <c r="M776" t="s">
        <v>39</v>
      </c>
      <c r="N776" t="s">
        <v>44</v>
      </c>
      <c r="O776" t="s">
        <v>28</v>
      </c>
      <c r="P776" t="s">
        <v>41</v>
      </c>
      <c r="Q776" s="6">
        <v>1.32865853658536</v>
      </c>
      <c r="R776">
        <v>3.06</v>
      </c>
      <c r="S776">
        <v>21.79</v>
      </c>
      <c r="T776">
        <v>24.21</v>
      </c>
      <c r="U776">
        <v>34.01</v>
      </c>
      <c r="V776">
        <v>32.44</v>
      </c>
      <c r="W776">
        <v>1.34</v>
      </c>
    </row>
    <row r="777" spans="1:23" x14ac:dyDescent="0.3">
      <c r="A777">
        <v>776</v>
      </c>
      <c r="B777" t="s">
        <v>820</v>
      </c>
      <c r="C777" t="s">
        <v>43</v>
      </c>
      <c r="D777">
        <v>160</v>
      </c>
      <c r="E777">
        <v>5830</v>
      </c>
      <c r="F777" s="3">
        <v>244</v>
      </c>
      <c r="G777">
        <v>15</v>
      </c>
      <c r="H777">
        <v>10</v>
      </c>
      <c r="I777" s="5">
        <v>6.25E-2</v>
      </c>
      <c r="J777" s="3">
        <v>259</v>
      </c>
      <c r="K777" s="1">
        <v>45622</v>
      </c>
      <c r="L777" t="s">
        <v>25</v>
      </c>
      <c r="M777" t="s">
        <v>31</v>
      </c>
      <c r="N777" t="s">
        <v>44</v>
      </c>
      <c r="O777" t="s">
        <v>28</v>
      </c>
      <c r="P777" t="s">
        <v>41</v>
      </c>
      <c r="Q777" s="6">
        <v>1.5243795620437901</v>
      </c>
      <c r="R777">
        <v>2.74</v>
      </c>
      <c r="S777">
        <v>16.260000000000002</v>
      </c>
      <c r="T777">
        <v>24.39</v>
      </c>
      <c r="U777">
        <v>6.19</v>
      </c>
      <c r="V777">
        <v>25.9</v>
      </c>
      <c r="W777">
        <v>1.06</v>
      </c>
    </row>
    <row r="778" spans="1:23" x14ac:dyDescent="0.3">
      <c r="A778">
        <v>777</v>
      </c>
      <c r="B778" t="s">
        <v>821</v>
      </c>
      <c r="C778" t="s">
        <v>35</v>
      </c>
      <c r="D778">
        <v>112</v>
      </c>
      <c r="E778">
        <v>4808</v>
      </c>
      <c r="F778" s="3">
        <v>222</v>
      </c>
      <c r="G778">
        <v>17</v>
      </c>
      <c r="H778">
        <v>7</v>
      </c>
      <c r="I778" s="5">
        <v>6.25E-2</v>
      </c>
      <c r="J778" s="3">
        <v>242</v>
      </c>
      <c r="K778" s="1">
        <v>45621</v>
      </c>
      <c r="L778" t="s">
        <v>25</v>
      </c>
      <c r="M778" t="s">
        <v>26</v>
      </c>
      <c r="N778" t="s">
        <v>36</v>
      </c>
      <c r="O778" t="s">
        <v>28</v>
      </c>
      <c r="P778" t="s">
        <v>59</v>
      </c>
      <c r="Q778" s="6">
        <v>1.9783035714285699</v>
      </c>
      <c r="R778">
        <v>2.33</v>
      </c>
      <c r="S778">
        <v>13.03</v>
      </c>
      <c r="T778">
        <v>31.65</v>
      </c>
      <c r="U778">
        <v>9.2200000000000006</v>
      </c>
      <c r="V778">
        <v>34.57</v>
      </c>
      <c r="W778">
        <v>1.0900000000000001</v>
      </c>
    </row>
    <row r="779" spans="1:23" x14ac:dyDescent="0.3">
      <c r="A779">
        <v>778</v>
      </c>
      <c r="B779" t="s">
        <v>822</v>
      </c>
      <c r="C779" t="s">
        <v>24</v>
      </c>
      <c r="D779">
        <v>87</v>
      </c>
      <c r="E779">
        <v>5506</v>
      </c>
      <c r="F779" s="3">
        <v>189</v>
      </c>
      <c r="G779">
        <v>11</v>
      </c>
      <c r="H779">
        <v>5</v>
      </c>
      <c r="I779" s="5">
        <v>5.7471264367816001E-2</v>
      </c>
      <c r="J779" s="3">
        <v>362</v>
      </c>
      <c r="K779" s="1">
        <v>45618</v>
      </c>
      <c r="L779" t="s">
        <v>25</v>
      </c>
      <c r="M779" t="s">
        <v>31</v>
      </c>
      <c r="N779" t="s">
        <v>27</v>
      </c>
      <c r="O779" t="s">
        <v>28</v>
      </c>
      <c r="P779" t="s">
        <v>45</v>
      </c>
      <c r="Q779" s="6">
        <v>2.1697701149425201</v>
      </c>
      <c r="R779">
        <v>1.58</v>
      </c>
      <c r="S779">
        <v>17.16</v>
      </c>
      <c r="T779">
        <v>37.75</v>
      </c>
      <c r="U779">
        <v>91.77</v>
      </c>
      <c r="V779">
        <v>72.400000000000006</v>
      </c>
      <c r="W779">
        <v>1.92</v>
      </c>
    </row>
    <row r="780" spans="1:23" x14ac:dyDescent="0.3">
      <c r="A780">
        <v>779</v>
      </c>
      <c r="B780" t="s">
        <v>823</v>
      </c>
      <c r="C780" t="s">
        <v>38</v>
      </c>
      <c r="D780">
        <v>145</v>
      </c>
      <c r="E780">
        <v>4798</v>
      </c>
      <c r="F780" s="3">
        <v>198</v>
      </c>
      <c r="G780">
        <v>20</v>
      </c>
      <c r="H780">
        <v>10</v>
      </c>
      <c r="I780" s="5">
        <v>6.8965517241379296E-2</v>
      </c>
      <c r="J780" s="3">
        <v>395</v>
      </c>
      <c r="K780" s="1">
        <v>45610</v>
      </c>
      <c r="L780" t="s">
        <v>25</v>
      </c>
      <c r="M780" t="s">
        <v>31</v>
      </c>
      <c r="N780" t="s">
        <v>40</v>
      </c>
      <c r="O780" t="s">
        <v>28</v>
      </c>
      <c r="P780" t="s">
        <v>54</v>
      </c>
      <c r="Q780" s="6">
        <v>1.36862068965517</v>
      </c>
      <c r="R780">
        <v>3.02</v>
      </c>
      <c r="S780">
        <v>9.92</v>
      </c>
      <c r="T780">
        <v>19.84</v>
      </c>
      <c r="U780">
        <v>99.04</v>
      </c>
      <c r="V780">
        <v>39.5</v>
      </c>
      <c r="W780">
        <v>1.99</v>
      </c>
    </row>
    <row r="781" spans="1:23" x14ac:dyDescent="0.3">
      <c r="A781">
        <v>780</v>
      </c>
      <c r="B781" t="s">
        <v>824</v>
      </c>
      <c r="C781" t="s">
        <v>35</v>
      </c>
      <c r="D781">
        <v>139</v>
      </c>
      <c r="E781">
        <v>5763</v>
      </c>
      <c r="F781" s="3">
        <v>214</v>
      </c>
      <c r="G781">
        <v>15</v>
      </c>
      <c r="H781">
        <v>5</v>
      </c>
      <c r="I781" s="5">
        <v>3.5971223021582698E-2</v>
      </c>
      <c r="J781" s="3">
        <v>363</v>
      </c>
      <c r="K781" s="1">
        <v>45597</v>
      </c>
      <c r="L781" t="s">
        <v>25</v>
      </c>
      <c r="M781" t="s">
        <v>26</v>
      </c>
      <c r="N781" t="s">
        <v>36</v>
      </c>
      <c r="O781" t="s">
        <v>28</v>
      </c>
      <c r="P781" t="s">
        <v>45</v>
      </c>
      <c r="Q781" s="6">
        <v>1.5430935251798501</v>
      </c>
      <c r="R781">
        <v>2.41</v>
      </c>
      <c r="S781">
        <v>14.3</v>
      </c>
      <c r="T781">
        <v>42.9</v>
      </c>
      <c r="U781">
        <v>69.239999999999995</v>
      </c>
      <c r="V781">
        <v>72.599999999999994</v>
      </c>
      <c r="W781">
        <v>1.69</v>
      </c>
    </row>
    <row r="782" spans="1:23" x14ac:dyDescent="0.3">
      <c r="A782">
        <v>781</v>
      </c>
      <c r="B782" t="s">
        <v>825</v>
      </c>
      <c r="C782" t="s">
        <v>38</v>
      </c>
      <c r="D782">
        <v>193</v>
      </c>
      <c r="E782">
        <v>3271</v>
      </c>
      <c r="F782" s="3">
        <v>188</v>
      </c>
      <c r="G782">
        <v>30</v>
      </c>
      <c r="H782">
        <v>9</v>
      </c>
      <c r="I782" s="5">
        <v>4.6632124352331598E-2</v>
      </c>
      <c r="J782" s="3">
        <v>247</v>
      </c>
      <c r="K782" s="1">
        <v>45609</v>
      </c>
      <c r="L782" t="s">
        <v>25</v>
      </c>
      <c r="M782" t="s">
        <v>39</v>
      </c>
      <c r="N782" t="s">
        <v>44</v>
      </c>
      <c r="O782" t="s">
        <v>28</v>
      </c>
      <c r="P782" t="s">
        <v>33</v>
      </c>
      <c r="Q782" s="6">
        <v>0.97284974093264198</v>
      </c>
      <c r="R782">
        <v>5.9</v>
      </c>
      <c r="S782">
        <v>6.26</v>
      </c>
      <c r="T782">
        <v>20.86</v>
      </c>
      <c r="U782">
        <v>31.55</v>
      </c>
      <c r="V782">
        <v>27.44</v>
      </c>
      <c r="W782">
        <v>1.32</v>
      </c>
    </row>
    <row r="783" spans="1:23" x14ac:dyDescent="0.3">
      <c r="A783">
        <v>782</v>
      </c>
      <c r="B783" t="s">
        <v>826</v>
      </c>
      <c r="C783" t="s">
        <v>24</v>
      </c>
      <c r="D783">
        <v>151</v>
      </c>
      <c r="E783">
        <v>4402</v>
      </c>
      <c r="F783" s="3">
        <v>249</v>
      </c>
      <c r="G783">
        <v>21</v>
      </c>
      <c r="H783">
        <v>4</v>
      </c>
      <c r="I783" s="5">
        <v>2.64900662251655E-2</v>
      </c>
      <c r="J783" s="3">
        <v>351</v>
      </c>
      <c r="K783" s="1">
        <v>45615</v>
      </c>
      <c r="L783" t="s">
        <v>25</v>
      </c>
      <c r="M783" t="s">
        <v>26</v>
      </c>
      <c r="N783" t="s">
        <v>36</v>
      </c>
      <c r="O783" t="s">
        <v>28</v>
      </c>
      <c r="P783" t="s">
        <v>41</v>
      </c>
      <c r="Q783" s="6">
        <v>1.6466887417218501</v>
      </c>
      <c r="R783">
        <v>3.43</v>
      </c>
      <c r="S783">
        <v>11.84</v>
      </c>
      <c r="T783">
        <v>62.16</v>
      </c>
      <c r="U783">
        <v>41.16</v>
      </c>
      <c r="V783">
        <v>87.75</v>
      </c>
      <c r="W783">
        <v>1.41</v>
      </c>
    </row>
    <row r="784" spans="1:23" x14ac:dyDescent="0.3">
      <c r="A784">
        <v>783</v>
      </c>
      <c r="B784" t="s">
        <v>827</v>
      </c>
      <c r="C784" t="s">
        <v>43</v>
      </c>
      <c r="D784">
        <v>90</v>
      </c>
      <c r="E784">
        <v>4281</v>
      </c>
      <c r="F784" s="3">
        <v>216</v>
      </c>
      <c r="G784">
        <v>24</v>
      </c>
      <c r="H784">
        <v>4</v>
      </c>
      <c r="I784" s="5">
        <v>4.4444444444444398E-2</v>
      </c>
      <c r="J784" s="3">
        <v>361</v>
      </c>
      <c r="K784" s="1">
        <v>45600</v>
      </c>
      <c r="L784" t="s">
        <v>25</v>
      </c>
      <c r="M784" t="s">
        <v>31</v>
      </c>
      <c r="N784" t="s">
        <v>27</v>
      </c>
      <c r="O784" t="s">
        <v>28</v>
      </c>
      <c r="P784" t="s">
        <v>59</v>
      </c>
      <c r="Q784" s="6">
        <v>2.4039999999999999</v>
      </c>
      <c r="R784">
        <v>2.1</v>
      </c>
      <c r="S784">
        <v>9.02</v>
      </c>
      <c r="T784">
        <v>54.09</v>
      </c>
      <c r="U784">
        <v>66.849999999999994</v>
      </c>
      <c r="V784">
        <v>90.25</v>
      </c>
      <c r="W784">
        <v>1.67</v>
      </c>
    </row>
    <row r="785" spans="1:23" x14ac:dyDescent="0.3">
      <c r="A785">
        <v>784</v>
      </c>
      <c r="B785" t="s">
        <v>828</v>
      </c>
      <c r="C785" t="s">
        <v>24</v>
      </c>
      <c r="D785">
        <v>169</v>
      </c>
      <c r="E785">
        <v>4480</v>
      </c>
      <c r="F785" s="3">
        <v>261</v>
      </c>
      <c r="G785">
        <v>11</v>
      </c>
      <c r="H785">
        <v>10</v>
      </c>
      <c r="I785" s="5">
        <v>5.9171597633136001E-2</v>
      </c>
      <c r="J785" s="3">
        <v>361</v>
      </c>
      <c r="K785" s="1">
        <v>45624</v>
      </c>
      <c r="L785" t="s">
        <v>25</v>
      </c>
      <c r="M785" t="s">
        <v>39</v>
      </c>
      <c r="N785" t="s">
        <v>44</v>
      </c>
      <c r="O785" t="s">
        <v>28</v>
      </c>
      <c r="P785" t="s">
        <v>54</v>
      </c>
      <c r="Q785" s="6">
        <v>1.5454545454545401</v>
      </c>
      <c r="R785">
        <v>3.77</v>
      </c>
      <c r="S785">
        <v>23.74</v>
      </c>
      <c r="T785">
        <v>26.12</v>
      </c>
      <c r="U785">
        <v>38.22</v>
      </c>
      <c r="V785">
        <v>36.1</v>
      </c>
      <c r="W785">
        <v>1.38</v>
      </c>
    </row>
    <row r="786" spans="1:23" x14ac:dyDescent="0.3">
      <c r="A786">
        <v>785</v>
      </c>
      <c r="B786" t="s">
        <v>829</v>
      </c>
      <c r="C786" t="s">
        <v>24</v>
      </c>
      <c r="D786">
        <v>197</v>
      </c>
      <c r="E786">
        <v>4373</v>
      </c>
      <c r="F786" s="3">
        <v>218</v>
      </c>
      <c r="G786">
        <v>18</v>
      </c>
      <c r="H786">
        <v>9</v>
      </c>
      <c r="I786" s="5">
        <v>4.5685279187817202E-2</v>
      </c>
      <c r="J786" s="3">
        <v>406</v>
      </c>
      <c r="K786" s="1">
        <v>45610</v>
      </c>
      <c r="L786" t="s">
        <v>25</v>
      </c>
      <c r="M786" t="s">
        <v>26</v>
      </c>
      <c r="N786" t="s">
        <v>27</v>
      </c>
      <c r="O786" t="s">
        <v>28</v>
      </c>
      <c r="P786" t="s">
        <v>54</v>
      </c>
      <c r="Q786" s="6">
        <v>1.1081218274111599</v>
      </c>
      <c r="R786">
        <v>4.5</v>
      </c>
      <c r="S786">
        <v>12.13</v>
      </c>
      <c r="T786">
        <v>24.26</v>
      </c>
      <c r="U786">
        <v>85.98</v>
      </c>
      <c r="V786">
        <v>45.11</v>
      </c>
      <c r="W786">
        <v>1.86</v>
      </c>
    </row>
    <row r="787" spans="1:23" x14ac:dyDescent="0.3">
      <c r="A787">
        <v>786</v>
      </c>
      <c r="B787" t="s">
        <v>830</v>
      </c>
      <c r="C787" t="s">
        <v>43</v>
      </c>
      <c r="D787">
        <v>132</v>
      </c>
      <c r="E787">
        <v>4353</v>
      </c>
      <c r="F787" s="3">
        <v>219</v>
      </c>
      <c r="G787">
        <v>17</v>
      </c>
      <c r="H787">
        <v>3</v>
      </c>
      <c r="I787" s="5">
        <v>2.27272727272727E-2</v>
      </c>
      <c r="J787" s="3">
        <v>398</v>
      </c>
      <c r="K787" s="1">
        <v>45620</v>
      </c>
      <c r="L787" t="s">
        <v>25</v>
      </c>
      <c r="M787" t="s">
        <v>26</v>
      </c>
      <c r="N787" t="s">
        <v>27</v>
      </c>
      <c r="O787" t="s">
        <v>28</v>
      </c>
      <c r="P787" t="s">
        <v>50</v>
      </c>
      <c r="Q787" s="6">
        <v>1.6624242424242399</v>
      </c>
      <c r="R787">
        <v>3.03</v>
      </c>
      <c r="S787">
        <v>12.91</v>
      </c>
      <c r="T787">
        <v>73.150000000000006</v>
      </c>
      <c r="U787">
        <v>81.37</v>
      </c>
      <c r="V787">
        <v>132.66999999999999</v>
      </c>
      <c r="W787">
        <v>1.81</v>
      </c>
    </row>
    <row r="788" spans="1:23" x14ac:dyDescent="0.3">
      <c r="A788">
        <v>787</v>
      </c>
      <c r="B788" t="s">
        <v>831</v>
      </c>
      <c r="C788" t="s">
        <v>24</v>
      </c>
      <c r="D788">
        <v>96</v>
      </c>
      <c r="E788">
        <v>5503</v>
      </c>
      <c r="F788" s="3">
        <v>244</v>
      </c>
      <c r="G788">
        <v>11</v>
      </c>
      <c r="H788">
        <v>6</v>
      </c>
      <c r="I788" s="5">
        <v>6.25E-2</v>
      </c>
      <c r="J788" s="3">
        <v>344</v>
      </c>
      <c r="K788" s="1">
        <v>45598</v>
      </c>
      <c r="L788" t="s">
        <v>25</v>
      </c>
      <c r="M788" t="s">
        <v>26</v>
      </c>
      <c r="N788" t="s">
        <v>36</v>
      </c>
      <c r="O788" t="s">
        <v>28</v>
      </c>
      <c r="P788" t="s">
        <v>29</v>
      </c>
      <c r="Q788" s="6">
        <v>2.5365625000000001</v>
      </c>
      <c r="R788">
        <v>1.74</v>
      </c>
      <c r="S788">
        <v>22.14</v>
      </c>
      <c r="T788">
        <v>40.58</v>
      </c>
      <c r="U788">
        <v>41.27</v>
      </c>
      <c r="V788">
        <v>57.33</v>
      </c>
      <c r="W788">
        <v>1.41</v>
      </c>
    </row>
    <row r="789" spans="1:23" x14ac:dyDescent="0.3">
      <c r="A789">
        <v>788</v>
      </c>
      <c r="B789" t="s">
        <v>832</v>
      </c>
      <c r="C789" t="s">
        <v>24</v>
      </c>
      <c r="D789">
        <v>160</v>
      </c>
      <c r="E789">
        <v>4154</v>
      </c>
      <c r="F789" s="3">
        <v>230</v>
      </c>
      <c r="G789">
        <v>15</v>
      </c>
      <c r="H789">
        <v>6</v>
      </c>
      <c r="I789" s="5">
        <v>3.7499999999999999E-2</v>
      </c>
      <c r="J789" s="3">
        <v>340</v>
      </c>
      <c r="K789" s="1">
        <v>45612</v>
      </c>
      <c r="L789" t="s">
        <v>25</v>
      </c>
      <c r="M789" t="s">
        <v>31</v>
      </c>
      <c r="N789" t="s">
        <v>44</v>
      </c>
      <c r="O789" t="s">
        <v>28</v>
      </c>
      <c r="P789" t="s">
        <v>29</v>
      </c>
      <c r="Q789" s="6">
        <v>1.4384999999999999</v>
      </c>
      <c r="R789">
        <v>3.85</v>
      </c>
      <c r="S789">
        <v>15.34</v>
      </c>
      <c r="T789">
        <v>38.36</v>
      </c>
      <c r="U789">
        <v>47.72</v>
      </c>
      <c r="V789">
        <v>56.67</v>
      </c>
      <c r="W789">
        <v>1.48</v>
      </c>
    </row>
    <row r="790" spans="1:23" x14ac:dyDescent="0.3">
      <c r="A790">
        <v>789</v>
      </c>
      <c r="B790" t="s">
        <v>833</v>
      </c>
      <c r="C790" t="s">
        <v>35</v>
      </c>
      <c r="D790">
        <v>162</v>
      </c>
      <c r="E790">
        <v>5161</v>
      </c>
      <c r="F790" s="3">
        <v>241</v>
      </c>
      <c r="G790">
        <v>16</v>
      </c>
      <c r="H790">
        <v>7</v>
      </c>
      <c r="I790" s="5">
        <v>4.3209876543209798E-2</v>
      </c>
      <c r="J790" s="3">
        <v>337</v>
      </c>
      <c r="K790" s="1">
        <v>45611</v>
      </c>
      <c r="L790" t="s">
        <v>25</v>
      </c>
      <c r="M790" t="s">
        <v>39</v>
      </c>
      <c r="N790" t="s">
        <v>27</v>
      </c>
      <c r="O790" t="s">
        <v>28</v>
      </c>
      <c r="P790" t="s">
        <v>45</v>
      </c>
      <c r="Q790" s="6">
        <v>1.4859259259259201</v>
      </c>
      <c r="R790">
        <v>3.14</v>
      </c>
      <c r="S790">
        <v>15.04</v>
      </c>
      <c r="T790">
        <v>34.39</v>
      </c>
      <c r="U790">
        <v>40</v>
      </c>
      <c r="V790">
        <v>48.14</v>
      </c>
      <c r="W790">
        <v>1.4</v>
      </c>
    </row>
    <row r="791" spans="1:23" x14ac:dyDescent="0.3">
      <c r="A791">
        <v>790</v>
      </c>
      <c r="B791" t="s">
        <v>834</v>
      </c>
      <c r="C791" t="s">
        <v>35</v>
      </c>
      <c r="D791">
        <v>171</v>
      </c>
      <c r="E791">
        <v>5517</v>
      </c>
      <c r="F791" s="3">
        <v>234</v>
      </c>
      <c r="G791">
        <v>23</v>
      </c>
      <c r="H791">
        <v>5</v>
      </c>
      <c r="I791" s="5">
        <v>2.9239766081871298E-2</v>
      </c>
      <c r="J791" s="3">
        <v>275</v>
      </c>
      <c r="K791" s="1">
        <v>45620</v>
      </c>
      <c r="L791" t="s">
        <v>25</v>
      </c>
      <c r="M791" t="s">
        <v>39</v>
      </c>
      <c r="N791" t="s">
        <v>32</v>
      </c>
      <c r="O791" t="s">
        <v>28</v>
      </c>
      <c r="P791" t="s">
        <v>50</v>
      </c>
      <c r="Q791" s="6">
        <v>1.3676023391812799</v>
      </c>
      <c r="R791">
        <v>3.1</v>
      </c>
      <c r="S791">
        <v>10.17</v>
      </c>
      <c r="T791">
        <v>46.77</v>
      </c>
      <c r="U791">
        <v>17.59</v>
      </c>
      <c r="V791">
        <v>55</v>
      </c>
      <c r="W791">
        <v>1.18</v>
      </c>
    </row>
    <row r="792" spans="1:23" x14ac:dyDescent="0.3">
      <c r="A792">
        <v>791</v>
      </c>
      <c r="B792" t="s">
        <v>835</v>
      </c>
      <c r="C792" t="s">
        <v>43</v>
      </c>
      <c r="D792">
        <v>110</v>
      </c>
      <c r="E792">
        <v>4161</v>
      </c>
      <c r="F792" s="3">
        <v>204</v>
      </c>
      <c r="G792">
        <v>16</v>
      </c>
      <c r="H792">
        <v>10</v>
      </c>
      <c r="I792" s="5">
        <v>9.0909090909090898E-2</v>
      </c>
      <c r="J792" s="3">
        <v>295</v>
      </c>
      <c r="K792" s="1">
        <v>45610</v>
      </c>
      <c r="L792" t="s">
        <v>25</v>
      </c>
      <c r="M792" t="s">
        <v>31</v>
      </c>
      <c r="N792" t="s">
        <v>36</v>
      </c>
      <c r="O792" t="s">
        <v>28</v>
      </c>
      <c r="P792" t="s">
        <v>54</v>
      </c>
      <c r="Q792" s="6">
        <v>1.8570909090909</v>
      </c>
      <c r="R792">
        <v>2.64</v>
      </c>
      <c r="S792">
        <v>12.77</v>
      </c>
      <c r="T792">
        <v>20.43</v>
      </c>
      <c r="U792">
        <v>44.41</v>
      </c>
      <c r="V792">
        <v>29.5</v>
      </c>
      <c r="W792">
        <v>1.44</v>
      </c>
    </row>
    <row r="793" spans="1:23" x14ac:dyDescent="0.3">
      <c r="A793">
        <v>792</v>
      </c>
      <c r="B793" t="s">
        <v>836</v>
      </c>
      <c r="C793" t="s">
        <v>43</v>
      </c>
      <c r="D793">
        <v>103</v>
      </c>
      <c r="E793">
        <v>5332</v>
      </c>
      <c r="F793" s="3">
        <v>244</v>
      </c>
      <c r="G793">
        <v>16</v>
      </c>
      <c r="H793">
        <v>3</v>
      </c>
      <c r="I793" s="5">
        <v>2.9126213592233E-2</v>
      </c>
      <c r="J793" s="3">
        <v>384</v>
      </c>
      <c r="K793" s="1">
        <v>45624</v>
      </c>
      <c r="L793" t="s">
        <v>25</v>
      </c>
      <c r="M793" t="s">
        <v>26</v>
      </c>
      <c r="N793" t="s">
        <v>44</v>
      </c>
      <c r="O793" t="s">
        <v>28</v>
      </c>
      <c r="P793" t="s">
        <v>54</v>
      </c>
      <c r="Q793" s="6">
        <v>2.3662135922330099</v>
      </c>
      <c r="R793">
        <v>1.93</v>
      </c>
      <c r="S793">
        <v>15.23</v>
      </c>
      <c r="T793">
        <v>81.239999999999995</v>
      </c>
      <c r="U793">
        <v>57.56</v>
      </c>
      <c r="V793">
        <v>128</v>
      </c>
      <c r="W793">
        <v>1.58</v>
      </c>
    </row>
    <row r="794" spans="1:23" x14ac:dyDescent="0.3">
      <c r="A794">
        <v>793</v>
      </c>
      <c r="B794" t="s">
        <v>837</v>
      </c>
      <c r="C794" t="s">
        <v>38</v>
      </c>
      <c r="D794">
        <v>167</v>
      </c>
      <c r="E794">
        <v>3620</v>
      </c>
      <c r="F794" s="3">
        <v>244</v>
      </c>
      <c r="G794">
        <v>24</v>
      </c>
      <c r="H794">
        <v>8</v>
      </c>
      <c r="I794" s="5">
        <v>4.7904191616766401E-2</v>
      </c>
      <c r="J794" s="3">
        <v>204</v>
      </c>
      <c r="K794" s="1">
        <v>45601</v>
      </c>
      <c r="L794" t="s">
        <v>25</v>
      </c>
      <c r="M794" t="s">
        <v>26</v>
      </c>
      <c r="N794" t="s">
        <v>32</v>
      </c>
      <c r="O794" t="s">
        <v>28</v>
      </c>
      <c r="P794" t="s">
        <v>41</v>
      </c>
      <c r="Q794" s="6">
        <v>1.45994011976047</v>
      </c>
      <c r="R794">
        <v>4.6100000000000003</v>
      </c>
      <c r="S794">
        <v>10.16</v>
      </c>
      <c r="T794">
        <v>30.48</v>
      </c>
      <c r="U794">
        <v>-16.329999999999998</v>
      </c>
      <c r="V794">
        <v>25.5</v>
      </c>
      <c r="W794">
        <v>0.84</v>
      </c>
    </row>
    <row r="795" spans="1:23" x14ac:dyDescent="0.3">
      <c r="A795">
        <v>794</v>
      </c>
      <c r="B795" t="s">
        <v>838</v>
      </c>
      <c r="C795" t="s">
        <v>24</v>
      </c>
      <c r="D795">
        <v>132</v>
      </c>
      <c r="E795">
        <v>4117</v>
      </c>
      <c r="F795" s="3">
        <v>239</v>
      </c>
      <c r="G795">
        <v>28</v>
      </c>
      <c r="H795">
        <v>3</v>
      </c>
      <c r="I795" s="5">
        <v>2.27272727272727E-2</v>
      </c>
      <c r="J795" s="3">
        <v>359</v>
      </c>
      <c r="K795" s="1">
        <v>45603</v>
      </c>
      <c r="L795" t="s">
        <v>25</v>
      </c>
      <c r="M795" t="s">
        <v>31</v>
      </c>
      <c r="N795" t="s">
        <v>49</v>
      </c>
      <c r="O795" t="s">
        <v>28</v>
      </c>
      <c r="P795" t="s">
        <v>54</v>
      </c>
      <c r="Q795" s="6">
        <v>1.8109090909090899</v>
      </c>
      <c r="R795">
        <v>3.21</v>
      </c>
      <c r="S795">
        <v>8.5399999999999991</v>
      </c>
      <c r="T795">
        <v>79.680000000000007</v>
      </c>
      <c r="U795">
        <v>50.18</v>
      </c>
      <c r="V795">
        <v>119.67</v>
      </c>
      <c r="W795">
        <v>1.5</v>
      </c>
    </row>
    <row r="796" spans="1:23" x14ac:dyDescent="0.3">
      <c r="A796">
        <v>795</v>
      </c>
      <c r="B796" t="s">
        <v>839</v>
      </c>
      <c r="C796" t="s">
        <v>35</v>
      </c>
      <c r="D796">
        <v>145</v>
      </c>
      <c r="E796">
        <v>5400</v>
      </c>
      <c r="F796" s="3">
        <v>220</v>
      </c>
      <c r="G796">
        <v>29</v>
      </c>
      <c r="H796">
        <v>3</v>
      </c>
      <c r="I796" s="5">
        <v>2.0689655172413699E-2</v>
      </c>
      <c r="J796" s="3">
        <v>235</v>
      </c>
      <c r="K796" s="1">
        <v>45616</v>
      </c>
      <c r="L796" t="s">
        <v>25</v>
      </c>
      <c r="M796" t="s">
        <v>39</v>
      </c>
      <c r="N796" t="s">
        <v>32</v>
      </c>
      <c r="O796" t="s">
        <v>28</v>
      </c>
      <c r="P796" t="s">
        <v>33</v>
      </c>
      <c r="Q796" s="6">
        <v>1.5164827586206799</v>
      </c>
      <c r="R796">
        <v>2.69</v>
      </c>
      <c r="S796">
        <v>7.58</v>
      </c>
      <c r="T796">
        <v>73.3</v>
      </c>
      <c r="U796">
        <v>6.87</v>
      </c>
      <c r="V796">
        <v>78.33</v>
      </c>
      <c r="W796">
        <v>1.07</v>
      </c>
    </row>
    <row r="797" spans="1:23" x14ac:dyDescent="0.3">
      <c r="A797">
        <v>796</v>
      </c>
      <c r="B797" t="s">
        <v>840</v>
      </c>
      <c r="C797" t="s">
        <v>38</v>
      </c>
      <c r="D797">
        <v>140</v>
      </c>
      <c r="E797">
        <v>5220</v>
      </c>
      <c r="F797" s="3">
        <v>183</v>
      </c>
      <c r="G797">
        <v>25</v>
      </c>
      <c r="H797">
        <v>8</v>
      </c>
      <c r="I797" s="5">
        <v>5.7142857142857099E-2</v>
      </c>
      <c r="J797" s="3">
        <v>391</v>
      </c>
      <c r="K797" s="1">
        <v>45607</v>
      </c>
      <c r="L797" t="s">
        <v>25</v>
      </c>
      <c r="M797" t="s">
        <v>26</v>
      </c>
      <c r="N797" t="s">
        <v>27</v>
      </c>
      <c r="O797" t="s">
        <v>28</v>
      </c>
      <c r="P797" t="s">
        <v>59</v>
      </c>
      <c r="Q797" s="6">
        <v>1.30992857142857</v>
      </c>
      <c r="R797">
        <v>2.68</v>
      </c>
      <c r="S797">
        <v>7.34</v>
      </c>
      <c r="T797">
        <v>22.92</v>
      </c>
      <c r="U797">
        <v>113.21</v>
      </c>
      <c r="V797">
        <v>48.88</v>
      </c>
      <c r="W797">
        <v>2.13</v>
      </c>
    </row>
    <row r="798" spans="1:23" x14ac:dyDescent="0.3">
      <c r="A798">
        <v>797</v>
      </c>
      <c r="B798" t="s">
        <v>841</v>
      </c>
      <c r="C798" t="s">
        <v>35</v>
      </c>
      <c r="D798">
        <v>122</v>
      </c>
      <c r="E798">
        <v>4023</v>
      </c>
      <c r="F798" s="3">
        <v>218</v>
      </c>
      <c r="G798">
        <v>25</v>
      </c>
      <c r="H798">
        <v>10</v>
      </c>
      <c r="I798" s="5">
        <v>8.1967213114753995E-2</v>
      </c>
      <c r="J798" s="3">
        <v>367</v>
      </c>
      <c r="K798" s="1">
        <v>45622</v>
      </c>
      <c r="L798" t="s">
        <v>25</v>
      </c>
      <c r="M798" t="s">
        <v>39</v>
      </c>
      <c r="N798" t="s">
        <v>36</v>
      </c>
      <c r="O798" t="s">
        <v>28</v>
      </c>
      <c r="P798" t="s">
        <v>41</v>
      </c>
      <c r="Q798" s="6">
        <v>1.7840983606557299</v>
      </c>
      <c r="R798">
        <v>3.03</v>
      </c>
      <c r="S798">
        <v>8.7100000000000009</v>
      </c>
      <c r="T798">
        <v>21.77</v>
      </c>
      <c r="U798">
        <v>68.61</v>
      </c>
      <c r="V798">
        <v>36.700000000000003</v>
      </c>
      <c r="W798">
        <v>1.69</v>
      </c>
    </row>
    <row r="799" spans="1:23" x14ac:dyDescent="0.3">
      <c r="A799">
        <v>798</v>
      </c>
      <c r="B799" t="s">
        <v>842</v>
      </c>
      <c r="C799" t="s">
        <v>38</v>
      </c>
      <c r="D799">
        <v>87</v>
      </c>
      <c r="E799">
        <v>4081</v>
      </c>
      <c r="F799" s="3">
        <v>181</v>
      </c>
      <c r="G799">
        <v>20</v>
      </c>
      <c r="H799">
        <v>4</v>
      </c>
      <c r="I799" s="5">
        <v>4.5977011494252797E-2</v>
      </c>
      <c r="J799" s="3">
        <v>340</v>
      </c>
      <c r="K799" s="1">
        <v>45604</v>
      </c>
      <c r="L799" t="s">
        <v>25</v>
      </c>
      <c r="M799" t="s">
        <v>39</v>
      </c>
      <c r="N799" t="s">
        <v>36</v>
      </c>
      <c r="O799" t="s">
        <v>28</v>
      </c>
      <c r="P799" t="s">
        <v>45</v>
      </c>
      <c r="Q799" s="6">
        <v>2.07620689655172</v>
      </c>
      <c r="R799">
        <v>2.13</v>
      </c>
      <c r="S799">
        <v>9.0299999999999994</v>
      </c>
      <c r="T799">
        <v>45.16</v>
      </c>
      <c r="U799">
        <v>88.23</v>
      </c>
      <c r="V799">
        <v>85</v>
      </c>
      <c r="W799">
        <v>1.88</v>
      </c>
    </row>
    <row r="800" spans="1:23" x14ac:dyDescent="0.3">
      <c r="A800">
        <v>799</v>
      </c>
      <c r="B800" t="s">
        <v>843</v>
      </c>
      <c r="C800" t="s">
        <v>24</v>
      </c>
      <c r="D800">
        <v>141</v>
      </c>
      <c r="E800">
        <v>4239</v>
      </c>
      <c r="F800" s="3">
        <v>200</v>
      </c>
      <c r="G800">
        <v>15</v>
      </c>
      <c r="H800">
        <v>5</v>
      </c>
      <c r="I800" s="5">
        <v>3.54609929078014E-2</v>
      </c>
      <c r="J800" s="3">
        <v>334</v>
      </c>
      <c r="K800" s="1">
        <v>45623</v>
      </c>
      <c r="L800" t="s">
        <v>25</v>
      </c>
      <c r="M800" t="s">
        <v>31</v>
      </c>
      <c r="N800" t="s">
        <v>40</v>
      </c>
      <c r="O800" t="s">
        <v>28</v>
      </c>
      <c r="P800" t="s">
        <v>33</v>
      </c>
      <c r="Q800" s="6">
        <v>1.41716312056737</v>
      </c>
      <c r="R800">
        <v>3.33</v>
      </c>
      <c r="S800">
        <v>13.32</v>
      </c>
      <c r="T800">
        <v>39.96</v>
      </c>
      <c r="U800">
        <v>67.150000000000006</v>
      </c>
      <c r="V800">
        <v>66.8</v>
      </c>
      <c r="W800">
        <v>1.67</v>
      </c>
    </row>
    <row r="801" spans="1:23" x14ac:dyDescent="0.3">
      <c r="A801">
        <v>800</v>
      </c>
      <c r="B801" t="s">
        <v>844</v>
      </c>
      <c r="C801" t="s">
        <v>24</v>
      </c>
      <c r="D801">
        <v>157</v>
      </c>
      <c r="E801">
        <v>3367</v>
      </c>
      <c r="F801" s="3">
        <v>249</v>
      </c>
      <c r="G801">
        <v>23</v>
      </c>
      <c r="H801">
        <v>8</v>
      </c>
      <c r="I801" s="5">
        <v>5.0955414012738801E-2</v>
      </c>
      <c r="J801" s="3">
        <v>300</v>
      </c>
      <c r="K801" s="1">
        <v>45626</v>
      </c>
      <c r="L801" t="s">
        <v>25</v>
      </c>
      <c r="M801" t="s">
        <v>39</v>
      </c>
      <c r="N801" t="s">
        <v>40</v>
      </c>
      <c r="O801" t="s">
        <v>28</v>
      </c>
      <c r="P801" t="s">
        <v>29</v>
      </c>
      <c r="Q801" s="6">
        <v>1.58535031847133</v>
      </c>
      <c r="R801">
        <v>4.66</v>
      </c>
      <c r="S801">
        <v>10.82</v>
      </c>
      <c r="T801">
        <v>31.11</v>
      </c>
      <c r="U801">
        <v>20.53</v>
      </c>
      <c r="V801">
        <v>37.5</v>
      </c>
      <c r="W801">
        <v>1.21</v>
      </c>
    </row>
    <row r="802" spans="1:23" x14ac:dyDescent="0.3">
      <c r="A802">
        <v>801</v>
      </c>
      <c r="B802" t="s">
        <v>845</v>
      </c>
      <c r="C802" t="s">
        <v>38</v>
      </c>
      <c r="D802">
        <v>95</v>
      </c>
      <c r="E802">
        <v>5721</v>
      </c>
      <c r="F802" s="3">
        <v>209</v>
      </c>
      <c r="G802">
        <v>16</v>
      </c>
      <c r="H802">
        <v>6</v>
      </c>
      <c r="I802" s="5">
        <v>6.3157894736842093E-2</v>
      </c>
      <c r="J802" s="3">
        <v>380</v>
      </c>
      <c r="K802" s="1">
        <v>45601</v>
      </c>
      <c r="L802" t="s">
        <v>25</v>
      </c>
      <c r="M802" t="s">
        <v>31</v>
      </c>
      <c r="N802" t="s">
        <v>32</v>
      </c>
      <c r="O802" t="s">
        <v>28</v>
      </c>
      <c r="P802" t="s">
        <v>41</v>
      </c>
      <c r="Q802" s="6">
        <v>2.1950526315789398</v>
      </c>
      <c r="R802">
        <v>1.66</v>
      </c>
      <c r="S802">
        <v>13.03</v>
      </c>
      <c r="T802">
        <v>34.76</v>
      </c>
      <c r="U802">
        <v>82.23</v>
      </c>
      <c r="V802">
        <v>63.33</v>
      </c>
      <c r="W802">
        <v>1.82</v>
      </c>
    </row>
    <row r="803" spans="1:23" x14ac:dyDescent="0.3">
      <c r="A803">
        <v>802</v>
      </c>
      <c r="B803" t="s">
        <v>846</v>
      </c>
      <c r="C803" t="s">
        <v>43</v>
      </c>
      <c r="D803">
        <v>160</v>
      </c>
      <c r="E803">
        <v>5166</v>
      </c>
      <c r="F803" s="3">
        <v>210</v>
      </c>
      <c r="G803">
        <v>20</v>
      </c>
      <c r="H803">
        <v>7</v>
      </c>
      <c r="I803" s="5">
        <v>4.3749999999999997E-2</v>
      </c>
      <c r="J803" s="3">
        <v>378</v>
      </c>
      <c r="K803" s="1">
        <v>45617</v>
      </c>
      <c r="L803" t="s">
        <v>25</v>
      </c>
      <c r="M803" t="s">
        <v>26</v>
      </c>
      <c r="N803" t="s">
        <v>32</v>
      </c>
      <c r="O803" t="s">
        <v>28</v>
      </c>
      <c r="P803" t="s">
        <v>54</v>
      </c>
      <c r="Q803" s="6">
        <v>1.3138125</v>
      </c>
      <c r="R803">
        <v>3.1</v>
      </c>
      <c r="S803">
        <v>10.51</v>
      </c>
      <c r="T803">
        <v>30.03</v>
      </c>
      <c r="U803">
        <v>79.819999999999993</v>
      </c>
      <c r="V803">
        <v>54</v>
      </c>
      <c r="W803">
        <v>1.8</v>
      </c>
    </row>
    <row r="804" spans="1:23" x14ac:dyDescent="0.3">
      <c r="A804">
        <v>803</v>
      </c>
      <c r="B804" t="s">
        <v>847</v>
      </c>
      <c r="C804" t="s">
        <v>35</v>
      </c>
      <c r="D804">
        <v>133</v>
      </c>
      <c r="E804">
        <v>5430</v>
      </c>
      <c r="F804" s="3">
        <v>217</v>
      </c>
      <c r="G804">
        <v>16</v>
      </c>
      <c r="H804">
        <v>6</v>
      </c>
      <c r="I804" s="5">
        <v>4.5112781954887202E-2</v>
      </c>
      <c r="J804" s="3">
        <v>245</v>
      </c>
      <c r="K804" s="1">
        <v>45610</v>
      </c>
      <c r="L804" t="s">
        <v>25</v>
      </c>
      <c r="M804" t="s">
        <v>31</v>
      </c>
      <c r="N804" t="s">
        <v>36</v>
      </c>
      <c r="O804" t="s">
        <v>28</v>
      </c>
      <c r="P804" t="s">
        <v>54</v>
      </c>
      <c r="Q804" s="6">
        <v>1.6341353383458599</v>
      </c>
      <c r="R804">
        <v>2.4500000000000002</v>
      </c>
      <c r="S804">
        <v>13.58</v>
      </c>
      <c r="T804">
        <v>36.22</v>
      </c>
      <c r="U804">
        <v>12.73</v>
      </c>
      <c r="V804">
        <v>40.83</v>
      </c>
      <c r="W804">
        <v>1.1299999999999999</v>
      </c>
    </row>
    <row r="805" spans="1:23" x14ac:dyDescent="0.3">
      <c r="A805">
        <v>804</v>
      </c>
      <c r="B805" t="s">
        <v>848</v>
      </c>
      <c r="C805" t="s">
        <v>38</v>
      </c>
      <c r="D805">
        <v>154</v>
      </c>
      <c r="E805">
        <v>3452</v>
      </c>
      <c r="F805" s="3">
        <v>216</v>
      </c>
      <c r="G805">
        <v>21</v>
      </c>
      <c r="H805">
        <v>7</v>
      </c>
      <c r="I805" s="5">
        <v>4.54545454545454E-2</v>
      </c>
      <c r="J805" s="3">
        <v>333</v>
      </c>
      <c r="K805" s="1">
        <v>45598</v>
      </c>
      <c r="L805" t="s">
        <v>25</v>
      </c>
      <c r="M805" t="s">
        <v>31</v>
      </c>
      <c r="N805" t="s">
        <v>49</v>
      </c>
      <c r="O805" t="s">
        <v>28</v>
      </c>
      <c r="P805" t="s">
        <v>29</v>
      </c>
      <c r="Q805" s="6">
        <v>1.4000649350649299</v>
      </c>
      <c r="R805">
        <v>4.46</v>
      </c>
      <c r="S805">
        <v>10.27</v>
      </c>
      <c r="T805">
        <v>30.8</v>
      </c>
      <c r="U805">
        <v>54.45</v>
      </c>
      <c r="V805">
        <v>47.57</v>
      </c>
      <c r="W805">
        <v>1.54</v>
      </c>
    </row>
    <row r="806" spans="1:23" x14ac:dyDescent="0.3">
      <c r="A806">
        <v>805</v>
      </c>
      <c r="B806" t="s">
        <v>849</v>
      </c>
      <c r="C806" t="s">
        <v>38</v>
      </c>
      <c r="D806">
        <v>188</v>
      </c>
      <c r="E806">
        <v>6200</v>
      </c>
      <c r="F806" s="3">
        <v>220</v>
      </c>
      <c r="G806">
        <v>13</v>
      </c>
      <c r="H806">
        <v>4</v>
      </c>
      <c r="I806" s="5">
        <v>2.1276595744680799E-2</v>
      </c>
      <c r="J806" s="3">
        <v>258</v>
      </c>
      <c r="K806" s="1">
        <v>45625</v>
      </c>
      <c r="L806" t="s">
        <v>25</v>
      </c>
      <c r="M806" t="s">
        <v>39</v>
      </c>
      <c r="N806" t="s">
        <v>36</v>
      </c>
      <c r="O806" t="s">
        <v>28</v>
      </c>
      <c r="P806" t="s">
        <v>45</v>
      </c>
      <c r="Q806" s="6">
        <v>1.17079787234042</v>
      </c>
      <c r="R806">
        <v>3.03</v>
      </c>
      <c r="S806">
        <v>16.93</v>
      </c>
      <c r="T806">
        <v>55.03</v>
      </c>
      <c r="U806">
        <v>17.21</v>
      </c>
      <c r="V806">
        <v>64.5</v>
      </c>
      <c r="W806">
        <v>1.17</v>
      </c>
    </row>
    <row r="807" spans="1:23" x14ac:dyDescent="0.3">
      <c r="A807">
        <v>806</v>
      </c>
      <c r="B807" t="s">
        <v>850</v>
      </c>
      <c r="C807" t="s">
        <v>35</v>
      </c>
      <c r="D807">
        <v>186</v>
      </c>
      <c r="E807">
        <v>5073</v>
      </c>
      <c r="F807" s="3">
        <v>234</v>
      </c>
      <c r="G807">
        <v>15</v>
      </c>
      <c r="H807">
        <v>4</v>
      </c>
      <c r="I807" s="5">
        <v>2.1505376344085999E-2</v>
      </c>
      <c r="J807" s="3">
        <v>401</v>
      </c>
      <c r="K807" s="1">
        <v>45600</v>
      </c>
      <c r="L807" t="s">
        <v>25</v>
      </c>
      <c r="M807" t="s">
        <v>39</v>
      </c>
      <c r="N807" t="s">
        <v>44</v>
      </c>
      <c r="O807" t="s">
        <v>28</v>
      </c>
      <c r="P807" t="s">
        <v>59</v>
      </c>
      <c r="Q807" s="6">
        <v>1.2558064516128999</v>
      </c>
      <c r="R807">
        <v>3.67</v>
      </c>
      <c r="S807">
        <v>15.57</v>
      </c>
      <c r="T807">
        <v>58.4</v>
      </c>
      <c r="U807">
        <v>71.680000000000007</v>
      </c>
      <c r="V807">
        <v>100.25</v>
      </c>
      <c r="W807">
        <v>1.72</v>
      </c>
    </row>
    <row r="808" spans="1:23" x14ac:dyDescent="0.3">
      <c r="A808">
        <v>807</v>
      </c>
      <c r="B808" t="s">
        <v>851</v>
      </c>
      <c r="C808" t="s">
        <v>38</v>
      </c>
      <c r="D808">
        <v>101</v>
      </c>
      <c r="E808">
        <v>5757</v>
      </c>
      <c r="F808" s="3">
        <v>249</v>
      </c>
      <c r="G808">
        <v>25</v>
      </c>
      <c r="H808">
        <v>9</v>
      </c>
      <c r="I808" s="5">
        <v>8.9108910891089105E-2</v>
      </c>
      <c r="J808" s="3">
        <v>230</v>
      </c>
      <c r="K808" s="1">
        <v>45597</v>
      </c>
      <c r="L808" t="s">
        <v>25</v>
      </c>
      <c r="M808" t="s">
        <v>31</v>
      </c>
      <c r="N808" t="s">
        <v>27</v>
      </c>
      <c r="O808" t="s">
        <v>28</v>
      </c>
      <c r="P808" t="s">
        <v>45</v>
      </c>
      <c r="Q808" s="6">
        <v>2.4686138613861299</v>
      </c>
      <c r="R808">
        <v>1.75</v>
      </c>
      <c r="S808">
        <v>9.9700000000000006</v>
      </c>
      <c r="T808">
        <v>27.7</v>
      </c>
      <c r="U808">
        <v>-7.75</v>
      </c>
      <c r="V808">
        <v>25.56</v>
      </c>
      <c r="W808">
        <v>0.92</v>
      </c>
    </row>
    <row r="809" spans="1:23" x14ac:dyDescent="0.3">
      <c r="A809">
        <v>808</v>
      </c>
      <c r="B809" t="s">
        <v>852</v>
      </c>
      <c r="C809" t="s">
        <v>24</v>
      </c>
      <c r="D809">
        <v>150</v>
      </c>
      <c r="E809">
        <v>3323</v>
      </c>
      <c r="F809" s="3">
        <v>228</v>
      </c>
      <c r="G809">
        <v>14</v>
      </c>
      <c r="H809">
        <v>4</v>
      </c>
      <c r="I809" s="5">
        <v>2.6666666666666599E-2</v>
      </c>
      <c r="J809" s="3">
        <v>394</v>
      </c>
      <c r="K809" s="1">
        <v>45614</v>
      </c>
      <c r="L809" t="s">
        <v>25</v>
      </c>
      <c r="M809" t="s">
        <v>31</v>
      </c>
      <c r="N809" t="s">
        <v>32</v>
      </c>
      <c r="O809" t="s">
        <v>28</v>
      </c>
      <c r="P809" t="s">
        <v>59</v>
      </c>
      <c r="Q809" s="6">
        <v>1.5169999999999999</v>
      </c>
      <c r="R809">
        <v>4.51</v>
      </c>
      <c r="S809">
        <v>16.25</v>
      </c>
      <c r="T809">
        <v>56.89</v>
      </c>
      <c r="U809">
        <v>73.150000000000006</v>
      </c>
      <c r="V809">
        <v>98.5</v>
      </c>
      <c r="W809">
        <v>1.73</v>
      </c>
    </row>
    <row r="810" spans="1:23" x14ac:dyDescent="0.3">
      <c r="A810">
        <v>809</v>
      </c>
      <c r="B810" t="s">
        <v>853</v>
      </c>
      <c r="C810" t="s">
        <v>35</v>
      </c>
      <c r="D810">
        <v>127</v>
      </c>
      <c r="E810">
        <v>5417</v>
      </c>
      <c r="F810" s="3">
        <v>229</v>
      </c>
      <c r="G810">
        <v>26</v>
      </c>
      <c r="H810">
        <v>8</v>
      </c>
      <c r="I810" s="5">
        <v>6.2992125984251898E-2</v>
      </c>
      <c r="J810" s="3">
        <v>222</v>
      </c>
      <c r="K810" s="1">
        <v>45617</v>
      </c>
      <c r="L810" t="s">
        <v>25</v>
      </c>
      <c r="M810" t="s">
        <v>39</v>
      </c>
      <c r="N810" t="s">
        <v>27</v>
      </c>
      <c r="O810" t="s">
        <v>28</v>
      </c>
      <c r="P810" t="s">
        <v>54</v>
      </c>
      <c r="Q810" s="6">
        <v>1.80362204724409</v>
      </c>
      <c r="R810">
        <v>2.34</v>
      </c>
      <c r="S810">
        <v>8.81</v>
      </c>
      <c r="T810">
        <v>28.63</v>
      </c>
      <c r="U810">
        <v>-3.08</v>
      </c>
      <c r="V810">
        <v>27.75</v>
      </c>
      <c r="W810">
        <v>0.97</v>
      </c>
    </row>
    <row r="811" spans="1:23" x14ac:dyDescent="0.3">
      <c r="A811">
        <v>810</v>
      </c>
      <c r="B811" t="s">
        <v>854</v>
      </c>
      <c r="C811" t="s">
        <v>38</v>
      </c>
      <c r="D811">
        <v>117</v>
      </c>
      <c r="E811">
        <v>5445</v>
      </c>
      <c r="F811" s="3">
        <v>214</v>
      </c>
      <c r="G811">
        <v>10</v>
      </c>
      <c r="H811">
        <v>5</v>
      </c>
      <c r="I811" s="5">
        <v>4.2735042735042701E-2</v>
      </c>
      <c r="J811" s="3">
        <v>368</v>
      </c>
      <c r="K811" s="1">
        <v>45615</v>
      </c>
      <c r="L811" t="s">
        <v>25</v>
      </c>
      <c r="M811" t="s">
        <v>26</v>
      </c>
      <c r="N811" t="s">
        <v>32</v>
      </c>
      <c r="O811" t="s">
        <v>28</v>
      </c>
      <c r="P811" t="s">
        <v>41</v>
      </c>
      <c r="Q811" s="6">
        <v>1.8282051282051199</v>
      </c>
      <c r="R811">
        <v>2.15</v>
      </c>
      <c r="S811">
        <v>21.39</v>
      </c>
      <c r="T811">
        <v>42.78</v>
      </c>
      <c r="U811">
        <v>72.040000000000006</v>
      </c>
      <c r="V811">
        <v>73.599999999999994</v>
      </c>
      <c r="W811">
        <v>1.72</v>
      </c>
    </row>
    <row r="812" spans="1:23" x14ac:dyDescent="0.3">
      <c r="A812">
        <v>811</v>
      </c>
      <c r="B812" t="s">
        <v>855</v>
      </c>
      <c r="C812" t="s">
        <v>35</v>
      </c>
      <c r="D812">
        <v>152</v>
      </c>
      <c r="E812">
        <v>5173</v>
      </c>
      <c r="F812" s="3">
        <v>230</v>
      </c>
      <c r="G812">
        <v>15</v>
      </c>
      <c r="H812">
        <v>5</v>
      </c>
      <c r="I812" s="5">
        <v>3.2894736842105199E-2</v>
      </c>
      <c r="J812" s="3">
        <v>363</v>
      </c>
      <c r="K812" s="1">
        <v>45622</v>
      </c>
      <c r="L812" t="s">
        <v>25</v>
      </c>
      <c r="M812" t="s">
        <v>26</v>
      </c>
      <c r="N812" t="s">
        <v>27</v>
      </c>
      <c r="O812" t="s">
        <v>28</v>
      </c>
      <c r="P812" t="s">
        <v>41</v>
      </c>
      <c r="Q812" s="6">
        <v>1.5162500000000001</v>
      </c>
      <c r="R812">
        <v>2.94</v>
      </c>
      <c r="S812">
        <v>15.36</v>
      </c>
      <c r="T812">
        <v>46.09</v>
      </c>
      <c r="U812">
        <v>57.5</v>
      </c>
      <c r="V812">
        <v>72.599999999999994</v>
      </c>
      <c r="W812">
        <v>1.58</v>
      </c>
    </row>
    <row r="813" spans="1:23" x14ac:dyDescent="0.3">
      <c r="A813">
        <v>812</v>
      </c>
      <c r="B813" t="s">
        <v>856</v>
      </c>
      <c r="C813" t="s">
        <v>24</v>
      </c>
      <c r="D813">
        <v>87</v>
      </c>
      <c r="E813">
        <v>3643</v>
      </c>
      <c r="F813" s="3">
        <v>221</v>
      </c>
      <c r="G813">
        <v>27</v>
      </c>
      <c r="H813">
        <v>7</v>
      </c>
      <c r="I813" s="5">
        <v>8.04597701149425E-2</v>
      </c>
      <c r="J813" s="3">
        <v>284</v>
      </c>
      <c r="K813" s="1">
        <v>45599</v>
      </c>
      <c r="L813" t="s">
        <v>25</v>
      </c>
      <c r="M813" t="s">
        <v>26</v>
      </c>
      <c r="N813" t="s">
        <v>36</v>
      </c>
      <c r="O813" t="s">
        <v>28</v>
      </c>
      <c r="P813" t="s">
        <v>50</v>
      </c>
      <c r="Q813" s="6">
        <v>2.5374712643678099</v>
      </c>
      <c r="R813">
        <v>2.39</v>
      </c>
      <c r="S813">
        <v>8.18</v>
      </c>
      <c r="T813">
        <v>31.54</v>
      </c>
      <c r="U813">
        <v>28.65</v>
      </c>
      <c r="V813">
        <v>40.57</v>
      </c>
      <c r="W813">
        <v>1.29</v>
      </c>
    </row>
    <row r="814" spans="1:23" x14ac:dyDescent="0.3">
      <c r="A814">
        <v>813</v>
      </c>
      <c r="B814" t="s">
        <v>857</v>
      </c>
      <c r="C814" t="s">
        <v>35</v>
      </c>
      <c r="D814">
        <v>181</v>
      </c>
      <c r="E814">
        <v>3863</v>
      </c>
      <c r="F814" s="3">
        <v>180</v>
      </c>
      <c r="G814">
        <v>17</v>
      </c>
      <c r="H814">
        <v>7</v>
      </c>
      <c r="I814" s="5">
        <v>3.86740331491712E-2</v>
      </c>
      <c r="J814" s="3">
        <v>386</v>
      </c>
      <c r="K814" s="1">
        <v>45624</v>
      </c>
      <c r="L814" t="s">
        <v>25</v>
      </c>
      <c r="M814" t="s">
        <v>26</v>
      </c>
      <c r="N814" t="s">
        <v>32</v>
      </c>
      <c r="O814" t="s">
        <v>28</v>
      </c>
      <c r="P814" t="s">
        <v>54</v>
      </c>
      <c r="Q814" s="6">
        <v>0.99513812154696102</v>
      </c>
      <c r="R814">
        <v>4.6900000000000004</v>
      </c>
      <c r="S814">
        <v>10.6</v>
      </c>
      <c r="T814">
        <v>25.73</v>
      </c>
      <c r="U814">
        <v>114.3</v>
      </c>
      <c r="V814">
        <v>55.14</v>
      </c>
      <c r="W814">
        <v>2.14</v>
      </c>
    </row>
    <row r="815" spans="1:23" x14ac:dyDescent="0.3">
      <c r="A815">
        <v>814</v>
      </c>
      <c r="B815" t="s">
        <v>858</v>
      </c>
      <c r="C815" t="s">
        <v>43</v>
      </c>
      <c r="D815">
        <v>147</v>
      </c>
      <c r="E815">
        <v>3661</v>
      </c>
      <c r="F815" s="3">
        <v>192</v>
      </c>
      <c r="G815">
        <v>17</v>
      </c>
      <c r="H815">
        <v>4</v>
      </c>
      <c r="I815" s="5">
        <v>2.7210884353741398E-2</v>
      </c>
      <c r="J815" s="3">
        <v>186.85714285714201</v>
      </c>
      <c r="K815" s="1">
        <v>45620</v>
      </c>
      <c r="L815" t="s">
        <v>25</v>
      </c>
      <c r="M815" t="s">
        <v>26</v>
      </c>
      <c r="N815" t="s">
        <v>44</v>
      </c>
      <c r="O815" t="s">
        <v>28</v>
      </c>
      <c r="P815" t="s">
        <v>50</v>
      </c>
      <c r="Q815" s="6">
        <v>1.3038775510203999</v>
      </c>
      <c r="R815">
        <v>4.0199999999999996</v>
      </c>
      <c r="S815">
        <v>11.27</v>
      </c>
      <c r="T815">
        <v>47.92</v>
      </c>
      <c r="U815">
        <v>-2.5099999999999998</v>
      </c>
      <c r="V815">
        <v>46.71</v>
      </c>
      <c r="W815">
        <v>0.97</v>
      </c>
    </row>
    <row r="816" spans="1:23" x14ac:dyDescent="0.3">
      <c r="A816">
        <v>815</v>
      </c>
      <c r="B816" t="s">
        <v>859</v>
      </c>
      <c r="C816" t="s">
        <v>38</v>
      </c>
      <c r="D816">
        <v>173</v>
      </c>
      <c r="E816">
        <v>5463</v>
      </c>
      <c r="F816" s="3">
        <v>232</v>
      </c>
      <c r="G816">
        <v>17</v>
      </c>
      <c r="H816">
        <v>5</v>
      </c>
      <c r="I816" s="5">
        <v>2.8901734104046201E-2</v>
      </c>
      <c r="J816" s="3">
        <v>320</v>
      </c>
      <c r="K816" s="1">
        <v>45622</v>
      </c>
      <c r="L816" t="s">
        <v>25</v>
      </c>
      <c r="M816" t="s">
        <v>26</v>
      </c>
      <c r="N816" t="s">
        <v>49</v>
      </c>
      <c r="O816" t="s">
        <v>28</v>
      </c>
      <c r="P816" t="s">
        <v>41</v>
      </c>
      <c r="Q816" s="6">
        <v>1.34323699421965</v>
      </c>
      <c r="R816">
        <v>3.17</v>
      </c>
      <c r="S816">
        <v>13.67</v>
      </c>
      <c r="T816">
        <v>46.48</v>
      </c>
      <c r="U816">
        <v>37.71</v>
      </c>
      <c r="V816">
        <v>64</v>
      </c>
      <c r="W816">
        <v>1.38</v>
      </c>
    </row>
    <row r="817" spans="1:23" x14ac:dyDescent="0.3">
      <c r="A817">
        <v>816</v>
      </c>
      <c r="B817" t="s">
        <v>860</v>
      </c>
      <c r="C817" t="s">
        <v>43</v>
      </c>
      <c r="D817">
        <v>123</v>
      </c>
      <c r="E817">
        <v>3459</v>
      </c>
      <c r="F817" s="3">
        <v>212</v>
      </c>
      <c r="G817">
        <v>21</v>
      </c>
      <c r="H817">
        <v>4</v>
      </c>
      <c r="I817" s="5">
        <v>3.2520325203252001E-2</v>
      </c>
      <c r="J817" s="3">
        <v>250</v>
      </c>
      <c r="K817" s="1">
        <v>45620</v>
      </c>
      <c r="L817" t="s">
        <v>25</v>
      </c>
      <c r="M817" t="s">
        <v>39</v>
      </c>
      <c r="N817" t="s">
        <v>27</v>
      </c>
      <c r="O817" t="s">
        <v>28</v>
      </c>
      <c r="P817" t="s">
        <v>50</v>
      </c>
      <c r="Q817" s="6">
        <v>1.72260162601626</v>
      </c>
      <c r="R817">
        <v>3.56</v>
      </c>
      <c r="S817">
        <v>10.09</v>
      </c>
      <c r="T817">
        <v>52.97</v>
      </c>
      <c r="U817">
        <v>17.989999999999998</v>
      </c>
      <c r="V817">
        <v>62.5</v>
      </c>
      <c r="W817">
        <v>1.18</v>
      </c>
    </row>
    <row r="818" spans="1:23" x14ac:dyDescent="0.3">
      <c r="A818">
        <v>817</v>
      </c>
      <c r="B818" t="s">
        <v>861</v>
      </c>
      <c r="C818" t="s">
        <v>43</v>
      </c>
      <c r="D818">
        <v>162</v>
      </c>
      <c r="E818">
        <v>3906</v>
      </c>
      <c r="F818" s="3">
        <v>237</v>
      </c>
      <c r="G818">
        <v>13</v>
      </c>
      <c r="H818">
        <v>5</v>
      </c>
      <c r="I818" s="5">
        <v>3.0864197530864099E-2</v>
      </c>
      <c r="J818" s="3">
        <v>217</v>
      </c>
      <c r="K818" s="1">
        <v>45606</v>
      </c>
      <c r="L818" t="s">
        <v>25</v>
      </c>
      <c r="M818" t="s">
        <v>26</v>
      </c>
      <c r="N818" t="s">
        <v>40</v>
      </c>
      <c r="O818" t="s">
        <v>28</v>
      </c>
      <c r="P818" t="s">
        <v>50</v>
      </c>
      <c r="Q818" s="6">
        <v>1.46444444444444</v>
      </c>
      <c r="R818">
        <v>4.1500000000000004</v>
      </c>
      <c r="S818">
        <v>18.25</v>
      </c>
      <c r="T818">
        <v>47.45</v>
      </c>
      <c r="U818">
        <v>-8.5299999999999994</v>
      </c>
      <c r="V818">
        <v>43.4</v>
      </c>
      <c r="W818">
        <v>0.91</v>
      </c>
    </row>
    <row r="819" spans="1:23" x14ac:dyDescent="0.3">
      <c r="A819">
        <v>818</v>
      </c>
      <c r="B819" t="s">
        <v>862</v>
      </c>
      <c r="C819" t="s">
        <v>38</v>
      </c>
      <c r="D819">
        <v>135</v>
      </c>
      <c r="E819">
        <v>4645</v>
      </c>
      <c r="F819" s="3">
        <v>183</v>
      </c>
      <c r="G819">
        <v>12</v>
      </c>
      <c r="H819">
        <v>6</v>
      </c>
      <c r="I819" s="5">
        <v>4.4444444444444398E-2</v>
      </c>
      <c r="J819" s="3">
        <v>393</v>
      </c>
      <c r="K819" s="1">
        <v>45626</v>
      </c>
      <c r="L819" t="s">
        <v>25</v>
      </c>
      <c r="M819" t="s">
        <v>26</v>
      </c>
      <c r="N819" t="s">
        <v>44</v>
      </c>
      <c r="O819" t="s">
        <v>28</v>
      </c>
      <c r="P819" t="s">
        <v>29</v>
      </c>
      <c r="Q819" s="6">
        <v>1.35511111111111</v>
      </c>
      <c r="R819">
        <v>2.91</v>
      </c>
      <c r="S819">
        <v>15.24</v>
      </c>
      <c r="T819">
        <v>30.49</v>
      </c>
      <c r="U819">
        <v>114.82</v>
      </c>
      <c r="V819">
        <v>65.5</v>
      </c>
      <c r="W819">
        <v>2.15</v>
      </c>
    </row>
    <row r="820" spans="1:23" x14ac:dyDescent="0.3">
      <c r="A820">
        <v>819</v>
      </c>
      <c r="B820" t="s">
        <v>863</v>
      </c>
      <c r="C820" t="s">
        <v>24</v>
      </c>
      <c r="D820">
        <v>169</v>
      </c>
      <c r="E820">
        <v>3317</v>
      </c>
      <c r="F820" s="3">
        <v>232</v>
      </c>
      <c r="G820">
        <v>29</v>
      </c>
      <c r="H820">
        <v>3</v>
      </c>
      <c r="I820" s="5">
        <v>1.7751479289940801E-2</v>
      </c>
      <c r="J820" s="3">
        <v>406</v>
      </c>
      <c r="K820" s="1">
        <v>45620</v>
      </c>
      <c r="L820" t="s">
        <v>25</v>
      </c>
      <c r="M820" t="s">
        <v>31</v>
      </c>
      <c r="N820" t="s">
        <v>40</v>
      </c>
      <c r="O820" t="s">
        <v>28</v>
      </c>
      <c r="P820" t="s">
        <v>50</v>
      </c>
      <c r="Q820" s="6">
        <v>1.37485207100591</v>
      </c>
      <c r="R820">
        <v>5.09</v>
      </c>
      <c r="S820">
        <v>8.01</v>
      </c>
      <c r="T820">
        <v>77.45</v>
      </c>
      <c r="U820">
        <v>74.739999999999995</v>
      </c>
      <c r="V820">
        <v>135.33000000000001</v>
      </c>
      <c r="W820">
        <v>1.75</v>
      </c>
    </row>
    <row r="821" spans="1:23" x14ac:dyDescent="0.3">
      <c r="A821">
        <v>820</v>
      </c>
      <c r="B821" t="s">
        <v>864</v>
      </c>
      <c r="C821" t="s">
        <v>38</v>
      </c>
      <c r="D821">
        <v>120</v>
      </c>
      <c r="E821">
        <v>3235</v>
      </c>
      <c r="F821" s="3">
        <v>221</v>
      </c>
      <c r="G821">
        <v>11</v>
      </c>
      <c r="H821">
        <v>4</v>
      </c>
      <c r="I821" s="5">
        <v>3.3333333333333298E-2</v>
      </c>
      <c r="J821" s="3">
        <v>386</v>
      </c>
      <c r="K821" s="1">
        <v>45613</v>
      </c>
      <c r="L821" t="s">
        <v>25</v>
      </c>
      <c r="M821" t="s">
        <v>31</v>
      </c>
      <c r="N821" t="s">
        <v>27</v>
      </c>
      <c r="O821" t="s">
        <v>28</v>
      </c>
      <c r="P821" t="s">
        <v>50</v>
      </c>
      <c r="Q821" s="6">
        <v>1.8389166666666601</v>
      </c>
      <c r="R821">
        <v>3.71</v>
      </c>
      <c r="S821">
        <v>20.059999999999999</v>
      </c>
      <c r="T821">
        <v>55.17</v>
      </c>
      <c r="U821">
        <v>74.92</v>
      </c>
      <c r="V821">
        <v>96.5</v>
      </c>
      <c r="W821">
        <v>1.75</v>
      </c>
    </row>
    <row r="822" spans="1:23" x14ac:dyDescent="0.3">
      <c r="A822">
        <v>821</v>
      </c>
      <c r="B822" t="s">
        <v>865</v>
      </c>
      <c r="C822" t="s">
        <v>38</v>
      </c>
      <c r="D822">
        <v>146</v>
      </c>
      <c r="E822">
        <v>4823</v>
      </c>
      <c r="F822" s="3">
        <v>235</v>
      </c>
      <c r="G822">
        <v>30</v>
      </c>
      <c r="H822">
        <v>5</v>
      </c>
      <c r="I822" s="5">
        <v>3.4246575342465703E-2</v>
      </c>
      <c r="J822" s="3">
        <v>278</v>
      </c>
      <c r="K822" s="1">
        <v>45621</v>
      </c>
      <c r="L822" t="s">
        <v>25</v>
      </c>
      <c r="M822" t="s">
        <v>31</v>
      </c>
      <c r="N822" t="s">
        <v>40</v>
      </c>
      <c r="O822" t="s">
        <v>28</v>
      </c>
      <c r="P822" t="s">
        <v>59</v>
      </c>
      <c r="Q822" s="6">
        <v>1.60773972602739</v>
      </c>
      <c r="R822">
        <v>3.03</v>
      </c>
      <c r="S822">
        <v>7.82</v>
      </c>
      <c r="T822">
        <v>46.95</v>
      </c>
      <c r="U822">
        <v>18.43</v>
      </c>
      <c r="V822">
        <v>55.6</v>
      </c>
      <c r="W822">
        <v>1.18</v>
      </c>
    </row>
    <row r="823" spans="1:23" x14ac:dyDescent="0.3">
      <c r="A823">
        <v>822</v>
      </c>
      <c r="B823" t="s">
        <v>866</v>
      </c>
      <c r="C823" t="s">
        <v>35</v>
      </c>
      <c r="D823">
        <v>167</v>
      </c>
      <c r="E823">
        <v>4403</v>
      </c>
      <c r="F823" s="3">
        <v>189</v>
      </c>
      <c r="G823">
        <v>25</v>
      </c>
      <c r="H823">
        <v>4</v>
      </c>
      <c r="I823" s="5">
        <v>2.39520958083832E-2</v>
      </c>
      <c r="J823" s="3">
        <v>321</v>
      </c>
      <c r="K823" s="1">
        <v>45602</v>
      </c>
      <c r="L823" t="s">
        <v>25</v>
      </c>
      <c r="M823" t="s">
        <v>26</v>
      </c>
      <c r="N823" t="s">
        <v>27</v>
      </c>
      <c r="O823" t="s">
        <v>28</v>
      </c>
      <c r="P823" t="s">
        <v>33</v>
      </c>
      <c r="Q823" s="6">
        <v>1.13389221556886</v>
      </c>
      <c r="R823">
        <v>3.79</v>
      </c>
      <c r="S823">
        <v>7.57</v>
      </c>
      <c r="T823">
        <v>47.34</v>
      </c>
      <c r="U823">
        <v>69.52</v>
      </c>
      <c r="V823">
        <v>80.25</v>
      </c>
      <c r="W823">
        <v>1.7</v>
      </c>
    </row>
    <row r="824" spans="1:23" x14ac:dyDescent="0.3">
      <c r="A824">
        <v>823</v>
      </c>
      <c r="B824" t="s">
        <v>867</v>
      </c>
      <c r="C824" t="s">
        <v>24</v>
      </c>
      <c r="D824">
        <v>101</v>
      </c>
      <c r="E824">
        <v>3530</v>
      </c>
      <c r="F824" s="3">
        <v>185</v>
      </c>
      <c r="G824">
        <v>22</v>
      </c>
      <c r="H824">
        <v>5</v>
      </c>
      <c r="I824" s="5">
        <v>4.95049504950495E-2</v>
      </c>
      <c r="J824" s="3">
        <v>368</v>
      </c>
      <c r="K824" s="1">
        <v>45609</v>
      </c>
      <c r="L824" t="s">
        <v>25</v>
      </c>
      <c r="M824" t="s">
        <v>31</v>
      </c>
      <c r="N824" t="s">
        <v>27</v>
      </c>
      <c r="O824" t="s">
        <v>28</v>
      </c>
      <c r="P824" t="s">
        <v>33</v>
      </c>
      <c r="Q824" s="6">
        <v>1.83</v>
      </c>
      <c r="R824">
        <v>2.86</v>
      </c>
      <c r="S824">
        <v>8.4</v>
      </c>
      <c r="T824">
        <v>36.97</v>
      </c>
      <c r="U824">
        <v>99.1</v>
      </c>
      <c r="V824">
        <v>73.599999999999994</v>
      </c>
      <c r="W824">
        <v>1.99</v>
      </c>
    </row>
    <row r="825" spans="1:23" x14ac:dyDescent="0.3">
      <c r="A825">
        <v>824</v>
      </c>
      <c r="B825" t="s">
        <v>868</v>
      </c>
      <c r="C825" t="s">
        <v>38</v>
      </c>
      <c r="D825">
        <v>129</v>
      </c>
      <c r="E825">
        <v>4679</v>
      </c>
      <c r="F825" s="3">
        <v>239</v>
      </c>
      <c r="G825">
        <v>19</v>
      </c>
      <c r="H825">
        <v>3</v>
      </c>
      <c r="I825" s="5">
        <v>2.3255813953488299E-2</v>
      </c>
      <c r="J825" s="3">
        <v>248</v>
      </c>
      <c r="K825" s="1">
        <v>45600</v>
      </c>
      <c r="L825" t="s">
        <v>25</v>
      </c>
      <c r="M825" t="s">
        <v>31</v>
      </c>
      <c r="N825" t="s">
        <v>36</v>
      </c>
      <c r="O825" t="s">
        <v>28</v>
      </c>
      <c r="P825" t="s">
        <v>59</v>
      </c>
      <c r="Q825" s="6">
        <v>1.85434108527131</v>
      </c>
      <c r="R825">
        <v>2.76</v>
      </c>
      <c r="S825">
        <v>12.59</v>
      </c>
      <c r="T825">
        <v>79.739999999999995</v>
      </c>
      <c r="U825">
        <v>3.67</v>
      </c>
      <c r="V825">
        <v>82.67</v>
      </c>
      <c r="W825">
        <v>1.04</v>
      </c>
    </row>
    <row r="826" spans="1:23" x14ac:dyDescent="0.3">
      <c r="A826">
        <v>825</v>
      </c>
      <c r="B826" t="s">
        <v>869</v>
      </c>
      <c r="C826" t="s">
        <v>24</v>
      </c>
      <c r="D826">
        <v>153</v>
      </c>
      <c r="E826">
        <v>5396</v>
      </c>
      <c r="F826" s="3">
        <v>234</v>
      </c>
      <c r="G826">
        <v>13</v>
      </c>
      <c r="H826">
        <v>8</v>
      </c>
      <c r="I826" s="5">
        <v>5.22875816993464E-2</v>
      </c>
      <c r="J826" s="3">
        <v>321</v>
      </c>
      <c r="K826" s="1">
        <v>45597</v>
      </c>
      <c r="L826" t="s">
        <v>25</v>
      </c>
      <c r="M826" t="s">
        <v>31</v>
      </c>
      <c r="N826" t="s">
        <v>40</v>
      </c>
      <c r="O826" t="s">
        <v>28</v>
      </c>
      <c r="P826" t="s">
        <v>45</v>
      </c>
      <c r="Q826" s="6">
        <v>1.5280392156862701</v>
      </c>
      <c r="R826">
        <v>2.84</v>
      </c>
      <c r="S826">
        <v>17.98</v>
      </c>
      <c r="T826">
        <v>29.22</v>
      </c>
      <c r="U826">
        <v>37.299999999999997</v>
      </c>
      <c r="V826">
        <v>40.119999999999997</v>
      </c>
      <c r="W826">
        <v>1.37</v>
      </c>
    </row>
    <row r="827" spans="1:23" x14ac:dyDescent="0.3">
      <c r="A827">
        <v>826</v>
      </c>
      <c r="B827" t="s">
        <v>870</v>
      </c>
      <c r="C827" t="s">
        <v>38</v>
      </c>
      <c r="D827">
        <v>121</v>
      </c>
      <c r="E827">
        <v>3976</v>
      </c>
      <c r="F827" s="3">
        <v>249</v>
      </c>
      <c r="G827">
        <v>16</v>
      </c>
      <c r="H827">
        <v>4</v>
      </c>
      <c r="I827" s="5">
        <v>3.3057851239669402E-2</v>
      </c>
      <c r="J827" s="3">
        <v>237</v>
      </c>
      <c r="K827" s="1">
        <v>45611</v>
      </c>
      <c r="L827" t="s">
        <v>25</v>
      </c>
      <c r="M827" t="s">
        <v>31</v>
      </c>
      <c r="N827" t="s">
        <v>40</v>
      </c>
      <c r="O827" t="s">
        <v>28</v>
      </c>
      <c r="P827" t="s">
        <v>45</v>
      </c>
      <c r="Q827" s="6">
        <v>2.0549586776859501</v>
      </c>
      <c r="R827">
        <v>3.04</v>
      </c>
      <c r="S827">
        <v>15.54</v>
      </c>
      <c r="T827">
        <v>62.16</v>
      </c>
      <c r="U827">
        <v>-4.6900000000000004</v>
      </c>
      <c r="V827">
        <v>59.25</v>
      </c>
      <c r="W827">
        <v>0.95</v>
      </c>
    </row>
    <row r="828" spans="1:23" x14ac:dyDescent="0.3">
      <c r="A828">
        <v>827</v>
      </c>
      <c r="B828" t="s">
        <v>871</v>
      </c>
      <c r="C828" t="s">
        <v>43</v>
      </c>
      <c r="D828">
        <v>108</v>
      </c>
      <c r="E828">
        <v>5545</v>
      </c>
      <c r="F828" s="3">
        <v>210</v>
      </c>
      <c r="G828">
        <v>11</v>
      </c>
      <c r="H828">
        <v>8</v>
      </c>
      <c r="I828" s="5">
        <v>7.4074074074074001E-2</v>
      </c>
      <c r="J828" s="3">
        <v>304</v>
      </c>
      <c r="K828" s="1">
        <v>45604</v>
      </c>
      <c r="L828" t="s">
        <v>25</v>
      </c>
      <c r="M828" t="s">
        <v>31</v>
      </c>
      <c r="N828" t="s">
        <v>49</v>
      </c>
      <c r="O828" t="s">
        <v>28</v>
      </c>
      <c r="P828" t="s">
        <v>45</v>
      </c>
      <c r="Q828" s="6">
        <v>1.9427777777777699</v>
      </c>
      <c r="R828">
        <v>1.95</v>
      </c>
      <c r="S828">
        <v>19.07</v>
      </c>
      <c r="T828">
        <v>26.23</v>
      </c>
      <c r="U828">
        <v>44.89</v>
      </c>
      <c r="V828">
        <v>38</v>
      </c>
      <c r="W828">
        <v>1.45</v>
      </c>
    </row>
    <row r="829" spans="1:23" x14ac:dyDescent="0.3">
      <c r="A829">
        <v>828</v>
      </c>
      <c r="B829" t="s">
        <v>872</v>
      </c>
      <c r="C829" t="s">
        <v>35</v>
      </c>
      <c r="D829">
        <v>85</v>
      </c>
      <c r="E829">
        <v>4772</v>
      </c>
      <c r="F829" s="3">
        <v>212</v>
      </c>
      <c r="G829">
        <v>15</v>
      </c>
      <c r="H829">
        <v>10</v>
      </c>
      <c r="I829" s="5">
        <v>0.11764705882352899</v>
      </c>
      <c r="J829" s="3">
        <v>341</v>
      </c>
      <c r="K829" s="1">
        <v>45615</v>
      </c>
      <c r="L829" t="s">
        <v>25</v>
      </c>
      <c r="M829" t="s">
        <v>31</v>
      </c>
      <c r="N829" t="s">
        <v>27</v>
      </c>
      <c r="O829" t="s">
        <v>28</v>
      </c>
      <c r="P829" t="s">
        <v>41</v>
      </c>
      <c r="Q829" s="6">
        <v>2.48964705882352</v>
      </c>
      <c r="R829">
        <v>1.78</v>
      </c>
      <c r="S829">
        <v>14.11</v>
      </c>
      <c r="T829">
        <v>21.16</v>
      </c>
      <c r="U829">
        <v>61.14</v>
      </c>
      <c r="V829">
        <v>34.1</v>
      </c>
      <c r="W829">
        <v>1.61</v>
      </c>
    </row>
    <row r="830" spans="1:23" x14ac:dyDescent="0.3">
      <c r="A830">
        <v>829</v>
      </c>
      <c r="B830" t="s">
        <v>873</v>
      </c>
      <c r="C830" t="s">
        <v>24</v>
      </c>
      <c r="D830">
        <v>109</v>
      </c>
      <c r="E830">
        <v>4941</v>
      </c>
      <c r="F830" s="3">
        <v>243</v>
      </c>
      <c r="G830">
        <v>18</v>
      </c>
      <c r="H830">
        <v>9</v>
      </c>
      <c r="I830" s="5">
        <v>8.2568807339449504E-2</v>
      </c>
      <c r="J830" s="3">
        <v>261</v>
      </c>
      <c r="K830" s="1">
        <v>45607</v>
      </c>
      <c r="L830" t="s">
        <v>25</v>
      </c>
      <c r="M830" t="s">
        <v>26</v>
      </c>
      <c r="N830" t="s">
        <v>40</v>
      </c>
      <c r="O830" t="s">
        <v>28</v>
      </c>
      <c r="P830" t="s">
        <v>59</v>
      </c>
      <c r="Q830" s="6">
        <v>2.2251376146788902</v>
      </c>
      <c r="R830">
        <v>2.21</v>
      </c>
      <c r="S830">
        <v>13.47</v>
      </c>
      <c r="T830">
        <v>26.95</v>
      </c>
      <c r="U830">
        <v>7.61</v>
      </c>
      <c r="V830">
        <v>29</v>
      </c>
      <c r="W830">
        <v>1.08</v>
      </c>
    </row>
    <row r="831" spans="1:23" x14ac:dyDescent="0.3">
      <c r="A831">
        <v>830</v>
      </c>
      <c r="B831" t="s">
        <v>874</v>
      </c>
      <c r="C831" t="s">
        <v>43</v>
      </c>
      <c r="D831">
        <v>119</v>
      </c>
      <c r="E831">
        <v>4369</v>
      </c>
      <c r="F831" s="3">
        <v>216</v>
      </c>
      <c r="G831">
        <v>16</v>
      </c>
      <c r="H831">
        <v>4</v>
      </c>
      <c r="I831" s="5">
        <v>3.3613445378151197E-2</v>
      </c>
      <c r="J831" s="3">
        <v>186.85714285714201</v>
      </c>
      <c r="K831" s="1">
        <v>45618</v>
      </c>
      <c r="L831" t="s">
        <v>25</v>
      </c>
      <c r="M831" t="s">
        <v>39</v>
      </c>
      <c r="N831" t="s">
        <v>27</v>
      </c>
      <c r="O831" t="s">
        <v>28</v>
      </c>
      <c r="P831" t="s">
        <v>45</v>
      </c>
      <c r="Q831" s="6">
        <v>1.8175630252100801</v>
      </c>
      <c r="R831">
        <v>2.72</v>
      </c>
      <c r="S831">
        <v>13.52</v>
      </c>
      <c r="T831">
        <v>54.07</v>
      </c>
      <c r="U831">
        <v>-13.61</v>
      </c>
      <c r="V831">
        <v>46.71</v>
      </c>
      <c r="W831">
        <v>0.86</v>
      </c>
    </row>
    <row r="832" spans="1:23" x14ac:dyDescent="0.3">
      <c r="A832">
        <v>831</v>
      </c>
      <c r="B832" t="s">
        <v>875</v>
      </c>
      <c r="C832" t="s">
        <v>43</v>
      </c>
      <c r="D832">
        <v>143</v>
      </c>
      <c r="E832">
        <v>5526</v>
      </c>
      <c r="F832" s="3">
        <v>186</v>
      </c>
      <c r="G832">
        <v>15</v>
      </c>
      <c r="H832">
        <v>8</v>
      </c>
      <c r="I832" s="5">
        <v>5.5944055944055902E-2</v>
      </c>
      <c r="J832" s="3">
        <v>349</v>
      </c>
      <c r="K832" s="1">
        <v>45621</v>
      </c>
      <c r="L832" t="s">
        <v>25</v>
      </c>
      <c r="M832" t="s">
        <v>26</v>
      </c>
      <c r="N832" t="s">
        <v>49</v>
      </c>
      <c r="O832" t="s">
        <v>28</v>
      </c>
      <c r="P832" t="s">
        <v>59</v>
      </c>
      <c r="Q832" s="6">
        <v>1.3002797202797201</v>
      </c>
      <c r="R832">
        <v>2.59</v>
      </c>
      <c r="S832">
        <v>12.4</v>
      </c>
      <c r="T832">
        <v>23.24</v>
      </c>
      <c r="U832">
        <v>87.69</v>
      </c>
      <c r="V832">
        <v>43.62</v>
      </c>
      <c r="W832">
        <v>1.88</v>
      </c>
    </row>
    <row r="833" spans="1:23" x14ac:dyDescent="0.3">
      <c r="A833">
        <v>832</v>
      </c>
      <c r="B833" t="s">
        <v>876</v>
      </c>
      <c r="C833" t="s">
        <v>43</v>
      </c>
      <c r="D833">
        <v>161</v>
      </c>
      <c r="E833">
        <v>5302</v>
      </c>
      <c r="F833" s="3">
        <v>184</v>
      </c>
      <c r="G833">
        <v>13</v>
      </c>
      <c r="H833">
        <v>8</v>
      </c>
      <c r="I833" s="5">
        <v>4.9689440993788803E-2</v>
      </c>
      <c r="J833" s="3">
        <v>348</v>
      </c>
      <c r="K833" s="1">
        <v>45626</v>
      </c>
      <c r="L833" t="s">
        <v>25</v>
      </c>
      <c r="M833" t="s">
        <v>39</v>
      </c>
      <c r="N833" t="s">
        <v>27</v>
      </c>
      <c r="O833" t="s">
        <v>28</v>
      </c>
      <c r="P833" t="s">
        <v>29</v>
      </c>
      <c r="Q833" s="6">
        <v>1.14465838509316</v>
      </c>
      <c r="R833">
        <v>3.04</v>
      </c>
      <c r="S833">
        <v>14.18</v>
      </c>
      <c r="T833">
        <v>23.04</v>
      </c>
      <c r="U833">
        <v>88.83</v>
      </c>
      <c r="V833">
        <v>43.5</v>
      </c>
      <c r="W833">
        <v>1.89</v>
      </c>
    </row>
    <row r="834" spans="1:23" x14ac:dyDescent="0.3">
      <c r="A834">
        <v>833</v>
      </c>
      <c r="B834" t="s">
        <v>877</v>
      </c>
      <c r="C834" t="s">
        <v>24</v>
      </c>
      <c r="D834">
        <v>146</v>
      </c>
      <c r="E834">
        <v>4424</v>
      </c>
      <c r="F834" s="3">
        <v>197</v>
      </c>
      <c r="G834">
        <v>20</v>
      </c>
      <c r="H834">
        <v>3</v>
      </c>
      <c r="I834" s="5">
        <v>2.0547945205479399E-2</v>
      </c>
      <c r="J834" s="3">
        <v>359</v>
      </c>
      <c r="K834" s="1">
        <v>45626</v>
      </c>
      <c r="L834" t="s">
        <v>25</v>
      </c>
      <c r="M834" t="s">
        <v>39</v>
      </c>
      <c r="N834" t="s">
        <v>44</v>
      </c>
      <c r="O834" t="s">
        <v>28</v>
      </c>
      <c r="P834" t="s">
        <v>29</v>
      </c>
      <c r="Q834" s="6">
        <v>1.34849315068493</v>
      </c>
      <c r="R834">
        <v>3.3</v>
      </c>
      <c r="S834">
        <v>9.84</v>
      </c>
      <c r="T834">
        <v>65.63</v>
      </c>
      <c r="U834">
        <v>82.34</v>
      </c>
      <c r="V834">
        <v>119.67</v>
      </c>
      <c r="W834">
        <v>1.82</v>
      </c>
    </row>
    <row r="835" spans="1:23" x14ac:dyDescent="0.3">
      <c r="A835">
        <v>834</v>
      </c>
      <c r="B835" t="s">
        <v>878</v>
      </c>
      <c r="C835" t="s">
        <v>38</v>
      </c>
      <c r="D835">
        <v>82</v>
      </c>
      <c r="E835">
        <v>5971</v>
      </c>
      <c r="F835" s="3">
        <v>236</v>
      </c>
      <c r="G835">
        <v>14</v>
      </c>
      <c r="H835">
        <v>8</v>
      </c>
      <c r="I835" s="5">
        <v>9.7560975609756101E-2</v>
      </c>
      <c r="J835" s="3">
        <v>320</v>
      </c>
      <c r="K835" s="1">
        <v>45602</v>
      </c>
      <c r="L835" t="s">
        <v>25</v>
      </c>
      <c r="M835" t="s">
        <v>31</v>
      </c>
      <c r="N835" t="s">
        <v>27</v>
      </c>
      <c r="O835" t="s">
        <v>28</v>
      </c>
      <c r="P835" t="s">
        <v>33</v>
      </c>
      <c r="Q835" s="6">
        <v>2.8721951219512198</v>
      </c>
      <c r="R835">
        <v>1.37</v>
      </c>
      <c r="S835">
        <v>16.82</v>
      </c>
      <c r="T835">
        <v>29.44</v>
      </c>
      <c r="U835">
        <v>35.869999999999997</v>
      </c>
      <c r="V835">
        <v>40</v>
      </c>
      <c r="W835">
        <v>1.36</v>
      </c>
    </row>
    <row r="836" spans="1:23" x14ac:dyDescent="0.3">
      <c r="A836">
        <v>835</v>
      </c>
      <c r="B836" t="s">
        <v>879</v>
      </c>
      <c r="C836" t="s">
        <v>38</v>
      </c>
      <c r="D836">
        <v>88</v>
      </c>
      <c r="E836">
        <v>3733</v>
      </c>
      <c r="F836" s="3">
        <v>244</v>
      </c>
      <c r="G836">
        <v>12</v>
      </c>
      <c r="H836">
        <v>8</v>
      </c>
      <c r="I836" s="5">
        <v>9.0909090909090898E-2</v>
      </c>
      <c r="J836" s="3">
        <v>331</v>
      </c>
      <c r="K836" s="1">
        <v>45623</v>
      </c>
      <c r="L836" t="s">
        <v>25</v>
      </c>
      <c r="M836" t="s">
        <v>31</v>
      </c>
      <c r="N836" t="s">
        <v>44</v>
      </c>
      <c r="O836" t="s">
        <v>28</v>
      </c>
      <c r="P836" t="s">
        <v>33</v>
      </c>
      <c r="Q836" s="6">
        <v>2.7767045454545398</v>
      </c>
      <c r="R836">
        <v>2.36</v>
      </c>
      <c r="S836">
        <v>20.36</v>
      </c>
      <c r="T836">
        <v>30.54</v>
      </c>
      <c r="U836">
        <v>35.46</v>
      </c>
      <c r="V836">
        <v>41.38</v>
      </c>
      <c r="W836">
        <v>1.35</v>
      </c>
    </row>
    <row r="837" spans="1:23" x14ac:dyDescent="0.3">
      <c r="A837">
        <v>836</v>
      </c>
      <c r="B837" t="s">
        <v>880</v>
      </c>
      <c r="C837" t="s">
        <v>38</v>
      </c>
      <c r="D837">
        <v>127</v>
      </c>
      <c r="E837">
        <v>4403</v>
      </c>
      <c r="F837" s="3">
        <v>244</v>
      </c>
      <c r="G837">
        <v>15</v>
      </c>
      <c r="H837">
        <v>7</v>
      </c>
      <c r="I837" s="5">
        <v>5.5118110236220402E-2</v>
      </c>
      <c r="J837" s="3">
        <v>374</v>
      </c>
      <c r="K837" s="1">
        <v>45618</v>
      </c>
      <c r="L837" t="s">
        <v>25</v>
      </c>
      <c r="M837" t="s">
        <v>39</v>
      </c>
      <c r="N837" t="s">
        <v>32</v>
      </c>
      <c r="O837" t="s">
        <v>28</v>
      </c>
      <c r="P837" t="s">
        <v>45</v>
      </c>
      <c r="Q837" s="6">
        <v>1.9236220472440899</v>
      </c>
      <c r="R837">
        <v>2.88</v>
      </c>
      <c r="S837">
        <v>16.29</v>
      </c>
      <c r="T837">
        <v>34.9</v>
      </c>
      <c r="U837">
        <v>53.09</v>
      </c>
      <c r="V837">
        <v>53.43</v>
      </c>
      <c r="W837">
        <v>1.53</v>
      </c>
    </row>
    <row r="838" spans="1:23" x14ac:dyDescent="0.3">
      <c r="A838">
        <v>837</v>
      </c>
      <c r="B838" t="s">
        <v>881</v>
      </c>
      <c r="C838" t="s">
        <v>43</v>
      </c>
      <c r="D838">
        <v>179</v>
      </c>
      <c r="E838">
        <v>5118</v>
      </c>
      <c r="F838" s="3">
        <v>190</v>
      </c>
      <c r="G838">
        <v>15</v>
      </c>
      <c r="H838">
        <v>6</v>
      </c>
      <c r="I838" s="5">
        <v>3.3519553072625698E-2</v>
      </c>
      <c r="J838" s="3">
        <v>386</v>
      </c>
      <c r="K838" s="1">
        <v>45624</v>
      </c>
      <c r="L838" t="s">
        <v>25</v>
      </c>
      <c r="M838" t="s">
        <v>39</v>
      </c>
      <c r="N838" t="s">
        <v>32</v>
      </c>
      <c r="O838" t="s">
        <v>28</v>
      </c>
      <c r="P838" t="s">
        <v>54</v>
      </c>
      <c r="Q838" s="6">
        <v>1.0591620111731801</v>
      </c>
      <c r="R838">
        <v>3.5</v>
      </c>
      <c r="S838">
        <v>12.64</v>
      </c>
      <c r="T838">
        <v>31.6</v>
      </c>
      <c r="U838">
        <v>103.6</v>
      </c>
      <c r="V838">
        <v>64.33</v>
      </c>
      <c r="W838">
        <v>2.04</v>
      </c>
    </row>
    <row r="839" spans="1:23" x14ac:dyDescent="0.3">
      <c r="A839">
        <v>838</v>
      </c>
      <c r="B839" t="s">
        <v>882</v>
      </c>
      <c r="C839" t="s">
        <v>35</v>
      </c>
      <c r="D839">
        <v>199</v>
      </c>
      <c r="E839">
        <v>4407</v>
      </c>
      <c r="F839" s="3">
        <v>240</v>
      </c>
      <c r="G839">
        <v>21</v>
      </c>
      <c r="H839">
        <v>9</v>
      </c>
      <c r="I839" s="5">
        <v>4.5226130653266298E-2</v>
      </c>
      <c r="J839" s="3">
        <v>215</v>
      </c>
      <c r="K839" s="1">
        <v>45609</v>
      </c>
      <c r="L839" t="s">
        <v>25</v>
      </c>
      <c r="M839" t="s">
        <v>26</v>
      </c>
      <c r="N839" t="s">
        <v>36</v>
      </c>
      <c r="O839" t="s">
        <v>28</v>
      </c>
      <c r="P839" t="s">
        <v>33</v>
      </c>
      <c r="Q839" s="6">
        <v>1.20628140703517</v>
      </c>
      <c r="R839">
        <v>4.5199999999999996</v>
      </c>
      <c r="S839">
        <v>11.43</v>
      </c>
      <c r="T839">
        <v>26.67</v>
      </c>
      <c r="U839">
        <v>-10.44</v>
      </c>
      <c r="V839">
        <v>23.89</v>
      </c>
      <c r="W839">
        <v>0.9</v>
      </c>
    </row>
    <row r="840" spans="1:23" x14ac:dyDescent="0.3">
      <c r="A840">
        <v>839</v>
      </c>
      <c r="B840" t="s">
        <v>883</v>
      </c>
      <c r="C840" t="s">
        <v>24</v>
      </c>
      <c r="D840">
        <v>191</v>
      </c>
      <c r="E840">
        <v>3190</v>
      </c>
      <c r="F840" s="3">
        <v>211</v>
      </c>
      <c r="G840">
        <v>10</v>
      </c>
      <c r="H840">
        <v>7</v>
      </c>
      <c r="I840" s="5">
        <v>3.6649214659685798E-2</v>
      </c>
      <c r="J840" s="3">
        <v>327</v>
      </c>
      <c r="K840" s="1">
        <v>45618</v>
      </c>
      <c r="L840" t="s">
        <v>25</v>
      </c>
      <c r="M840" t="s">
        <v>39</v>
      </c>
      <c r="N840" t="s">
        <v>27</v>
      </c>
      <c r="O840" t="s">
        <v>28</v>
      </c>
      <c r="P840" t="s">
        <v>45</v>
      </c>
      <c r="Q840" s="6">
        <v>1.10523560209424</v>
      </c>
      <c r="R840">
        <v>5.99</v>
      </c>
      <c r="S840">
        <v>21.11</v>
      </c>
      <c r="T840">
        <v>30.16</v>
      </c>
      <c r="U840">
        <v>54.9</v>
      </c>
      <c r="V840">
        <v>46.71</v>
      </c>
      <c r="W840">
        <v>1.55</v>
      </c>
    </row>
    <row r="841" spans="1:23" x14ac:dyDescent="0.3">
      <c r="A841">
        <v>840</v>
      </c>
      <c r="B841" t="s">
        <v>884</v>
      </c>
      <c r="C841" t="s">
        <v>38</v>
      </c>
      <c r="D841">
        <v>99</v>
      </c>
      <c r="E841">
        <v>4880</v>
      </c>
      <c r="F841" s="3">
        <v>245</v>
      </c>
      <c r="G841">
        <v>25</v>
      </c>
      <c r="H841">
        <v>8</v>
      </c>
      <c r="I841" s="5">
        <v>8.0808080808080801E-2</v>
      </c>
      <c r="J841" s="3">
        <v>252</v>
      </c>
      <c r="K841" s="1">
        <v>45615</v>
      </c>
      <c r="L841" t="s">
        <v>25</v>
      </c>
      <c r="M841" t="s">
        <v>39</v>
      </c>
      <c r="N841" t="s">
        <v>32</v>
      </c>
      <c r="O841" t="s">
        <v>28</v>
      </c>
      <c r="P841" t="s">
        <v>41</v>
      </c>
      <c r="Q841" s="6">
        <v>2.4760606060605999</v>
      </c>
      <c r="R841">
        <v>2.0299999999999998</v>
      </c>
      <c r="S841">
        <v>9.81</v>
      </c>
      <c r="T841">
        <v>30.64</v>
      </c>
      <c r="U841">
        <v>2.8</v>
      </c>
      <c r="V841">
        <v>31.5</v>
      </c>
      <c r="W841">
        <v>1.03</v>
      </c>
    </row>
    <row r="842" spans="1:23" x14ac:dyDescent="0.3">
      <c r="A842">
        <v>841</v>
      </c>
      <c r="B842" t="s">
        <v>885</v>
      </c>
      <c r="C842" t="s">
        <v>35</v>
      </c>
      <c r="D842">
        <v>122</v>
      </c>
      <c r="E842">
        <v>5774</v>
      </c>
      <c r="F842" s="3">
        <v>224</v>
      </c>
      <c r="G842">
        <v>23</v>
      </c>
      <c r="H842">
        <v>10</v>
      </c>
      <c r="I842" s="5">
        <v>8.1967213114753995E-2</v>
      </c>
      <c r="J842" s="3">
        <v>271</v>
      </c>
      <c r="K842" s="1">
        <v>45610</v>
      </c>
      <c r="L842" t="s">
        <v>25</v>
      </c>
      <c r="M842" t="s">
        <v>31</v>
      </c>
      <c r="N842" t="s">
        <v>27</v>
      </c>
      <c r="O842" t="s">
        <v>28</v>
      </c>
      <c r="P842" t="s">
        <v>54</v>
      </c>
      <c r="Q842" s="6">
        <v>1.83934426229508</v>
      </c>
      <c r="R842">
        <v>2.11</v>
      </c>
      <c r="S842">
        <v>9.76</v>
      </c>
      <c r="T842">
        <v>22.44</v>
      </c>
      <c r="U842">
        <v>20.77</v>
      </c>
      <c r="V842">
        <v>27.1</v>
      </c>
      <c r="W842">
        <v>1.21</v>
      </c>
    </row>
    <row r="843" spans="1:23" x14ac:dyDescent="0.3">
      <c r="A843">
        <v>842</v>
      </c>
      <c r="B843" t="s">
        <v>886</v>
      </c>
      <c r="C843" t="s">
        <v>43</v>
      </c>
      <c r="D843">
        <v>178</v>
      </c>
      <c r="E843">
        <v>4103</v>
      </c>
      <c r="F843" s="3">
        <v>207</v>
      </c>
      <c r="G843">
        <v>17</v>
      </c>
      <c r="H843">
        <v>8</v>
      </c>
      <c r="I843" s="5">
        <v>4.49438202247191E-2</v>
      </c>
      <c r="J843" s="3">
        <v>329</v>
      </c>
      <c r="K843" s="1">
        <v>45611</v>
      </c>
      <c r="L843" t="s">
        <v>25</v>
      </c>
      <c r="M843" t="s">
        <v>31</v>
      </c>
      <c r="N843" t="s">
        <v>49</v>
      </c>
      <c r="O843" t="s">
        <v>28</v>
      </c>
      <c r="P843" t="s">
        <v>45</v>
      </c>
      <c r="Q843" s="6">
        <v>1.16421348314606</v>
      </c>
      <c r="R843">
        <v>4.34</v>
      </c>
      <c r="S843">
        <v>12.19</v>
      </c>
      <c r="T843">
        <v>25.9</v>
      </c>
      <c r="U843">
        <v>58.76</v>
      </c>
      <c r="V843">
        <v>41.12</v>
      </c>
      <c r="W843">
        <v>1.59</v>
      </c>
    </row>
    <row r="844" spans="1:23" x14ac:dyDescent="0.3">
      <c r="A844">
        <v>843</v>
      </c>
      <c r="B844" t="s">
        <v>887</v>
      </c>
      <c r="C844" t="s">
        <v>38</v>
      </c>
      <c r="D844">
        <v>157</v>
      </c>
      <c r="E844">
        <v>4414</v>
      </c>
      <c r="F844" s="3">
        <v>241</v>
      </c>
      <c r="G844">
        <v>17</v>
      </c>
      <c r="H844">
        <v>9</v>
      </c>
      <c r="I844" s="5">
        <v>5.7324840764331197E-2</v>
      </c>
      <c r="J844" s="3">
        <v>303</v>
      </c>
      <c r="K844" s="1">
        <v>45623</v>
      </c>
      <c r="L844" t="s">
        <v>25</v>
      </c>
      <c r="M844" t="s">
        <v>26</v>
      </c>
      <c r="N844" t="s">
        <v>27</v>
      </c>
      <c r="O844" t="s">
        <v>28</v>
      </c>
      <c r="P844" t="s">
        <v>33</v>
      </c>
      <c r="Q844" s="6">
        <v>1.53229299363057</v>
      </c>
      <c r="R844">
        <v>3.56</v>
      </c>
      <c r="S844">
        <v>14.15</v>
      </c>
      <c r="T844">
        <v>26.73</v>
      </c>
      <c r="U844">
        <v>25.95</v>
      </c>
      <c r="V844">
        <v>33.67</v>
      </c>
      <c r="W844">
        <v>1.26</v>
      </c>
    </row>
    <row r="845" spans="1:23" x14ac:dyDescent="0.3">
      <c r="A845">
        <v>844</v>
      </c>
      <c r="B845" t="s">
        <v>888</v>
      </c>
      <c r="C845" t="s">
        <v>38</v>
      </c>
      <c r="D845">
        <v>199</v>
      </c>
      <c r="E845">
        <v>5319</v>
      </c>
      <c r="F845" s="3">
        <v>217</v>
      </c>
      <c r="G845">
        <v>25</v>
      </c>
      <c r="H845">
        <v>9</v>
      </c>
      <c r="I845" s="5">
        <v>4.5226130653266298E-2</v>
      </c>
      <c r="J845" s="3">
        <v>420.42857142857099</v>
      </c>
      <c r="K845" s="1">
        <v>45597</v>
      </c>
      <c r="L845" t="s">
        <v>25</v>
      </c>
      <c r="M845" t="s">
        <v>26</v>
      </c>
      <c r="N845" t="s">
        <v>44</v>
      </c>
      <c r="O845" t="s">
        <v>28</v>
      </c>
      <c r="P845" t="s">
        <v>45</v>
      </c>
      <c r="Q845" s="6">
        <v>1.08894472361809</v>
      </c>
      <c r="R845">
        <v>3.74</v>
      </c>
      <c r="S845">
        <v>8.67</v>
      </c>
      <c r="T845">
        <v>24.08</v>
      </c>
      <c r="U845">
        <v>94.01</v>
      </c>
      <c r="V845">
        <v>46.71</v>
      </c>
      <c r="W845">
        <v>1.94</v>
      </c>
    </row>
    <row r="846" spans="1:23" x14ac:dyDescent="0.3">
      <c r="A846">
        <v>845</v>
      </c>
      <c r="B846" t="s">
        <v>889</v>
      </c>
      <c r="C846" t="s">
        <v>35</v>
      </c>
      <c r="D846">
        <v>192</v>
      </c>
      <c r="E846">
        <v>3320</v>
      </c>
      <c r="F846" s="3">
        <v>208</v>
      </c>
      <c r="G846">
        <v>17</v>
      </c>
      <c r="H846">
        <v>3</v>
      </c>
      <c r="I846" s="5">
        <v>1.5625E-2</v>
      </c>
      <c r="J846" s="3">
        <v>239</v>
      </c>
      <c r="K846" s="1">
        <v>45614</v>
      </c>
      <c r="L846" t="s">
        <v>25</v>
      </c>
      <c r="M846" t="s">
        <v>31</v>
      </c>
      <c r="N846" t="s">
        <v>40</v>
      </c>
      <c r="O846" t="s">
        <v>28</v>
      </c>
      <c r="P846" t="s">
        <v>59</v>
      </c>
      <c r="Q846" s="6">
        <v>1.0838020833333299</v>
      </c>
      <c r="R846">
        <v>5.78</v>
      </c>
      <c r="S846">
        <v>12.24</v>
      </c>
      <c r="T846">
        <v>69.36</v>
      </c>
      <c r="U846">
        <v>14.85</v>
      </c>
      <c r="V846">
        <v>79.67</v>
      </c>
      <c r="W846">
        <v>1.1499999999999999</v>
      </c>
    </row>
    <row r="847" spans="1:23" x14ac:dyDescent="0.3">
      <c r="A847">
        <v>846</v>
      </c>
      <c r="B847" t="s">
        <v>890</v>
      </c>
      <c r="C847" t="s">
        <v>24</v>
      </c>
      <c r="D847">
        <v>144</v>
      </c>
      <c r="E847">
        <v>4146</v>
      </c>
      <c r="F847" s="3">
        <v>246</v>
      </c>
      <c r="G847">
        <v>18</v>
      </c>
      <c r="H847">
        <v>10</v>
      </c>
      <c r="I847" s="5">
        <v>6.9444444444444406E-2</v>
      </c>
      <c r="J847" s="3">
        <v>219</v>
      </c>
      <c r="K847" s="1">
        <v>45611</v>
      </c>
      <c r="L847" t="s">
        <v>25</v>
      </c>
      <c r="M847" t="s">
        <v>26</v>
      </c>
      <c r="N847" t="s">
        <v>49</v>
      </c>
      <c r="O847" t="s">
        <v>28</v>
      </c>
      <c r="P847" t="s">
        <v>45</v>
      </c>
      <c r="Q847" s="6">
        <v>1.70902777777777</v>
      </c>
      <c r="R847">
        <v>3.47</v>
      </c>
      <c r="S847">
        <v>13.67</v>
      </c>
      <c r="T847">
        <v>24.61</v>
      </c>
      <c r="U847">
        <v>-11.01</v>
      </c>
      <c r="V847">
        <v>21.9</v>
      </c>
      <c r="W847">
        <v>0.89</v>
      </c>
    </row>
    <row r="848" spans="1:23" x14ac:dyDescent="0.3">
      <c r="A848">
        <v>847</v>
      </c>
      <c r="B848" t="s">
        <v>891</v>
      </c>
      <c r="C848" t="s">
        <v>35</v>
      </c>
      <c r="D848">
        <v>147</v>
      </c>
      <c r="E848">
        <v>4720</v>
      </c>
      <c r="F848" s="3">
        <v>228</v>
      </c>
      <c r="G848">
        <v>23</v>
      </c>
      <c r="H848">
        <v>8</v>
      </c>
      <c r="I848" s="5">
        <v>5.4421768707482901E-2</v>
      </c>
      <c r="J848" s="3">
        <v>389</v>
      </c>
      <c r="K848" s="1">
        <v>45601</v>
      </c>
      <c r="L848" t="s">
        <v>25</v>
      </c>
      <c r="M848" t="s">
        <v>39</v>
      </c>
      <c r="N848" t="s">
        <v>44</v>
      </c>
      <c r="O848" t="s">
        <v>28</v>
      </c>
      <c r="P848" t="s">
        <v>41</v>
      </c>
      <c r="Q848" s="6">
        <v>1.54829931972789</v>
      </c>
      <c r="R848">
        <v>3.11</v>
      </c>
      <c r="S848">
        <v>9.9</v>
      </c>
      <c r="T848">
        <v>28.45</v>
      </c>
      <c r="U848">
        <v>70.91</v>
      </c>
      <c r="V848">
        <v>48.62</v>
      </c>
      <c r="W848">
        <v>1.71</v>
      </c>
    </row>
    <row r="849" spans="1:23" x14ac:dyDescent="0.3">
      <c r="A849">
        <v>848</v>
      </c>
      <c r="B849" t="s">
        <v>892</v>
      </c>
      <c r="C849" t="s">
        <v>35</v>
      </c>
      <c r="D849">
        <v>121</v>
      </c>
      <c r="E849">
        <v>3557</v>
      </c>
      <c r="F849" s="3">
        <v>237</v>
      </c>
      <c r="G849">
        <v>16</v>
      </c>
      <c r="H849">
        <v>7</v>
      </c>
      <c r="I849" s="5">
        <v>5.7851239669421399E-2</v>
      </c>
      <c r="J849" s="3">
        <v>256</v>
      </c>
      <c r="K849" s="1">
        <v>45621</v>
      </c>
      <c r="L849" t="s">
        <v>25</v>
      </c>
      <c r="M849" t="s">
        <v>31</v>
      </c>
      <c r="N849" t="s">
        <v>36</v>
      </c>
      <c r="O849" t="s">
        <v>28</v>
      </c>
      <c r="P849" t="s">
        <v>59</v>
      </c>
      <c r="Q849" s="6">
        <v>1.95892561983471</v>
      </c>
      <c r="R849">
        <v>3.4</v>
      </c>
      <c r="S849">
        <v>14.81</v>
      </c>
      <c r="T849">
        <v>33.86</v>
      </c>
      <c r="U849">
        <v>8</v>
      </c>
      <c r="V849">
        <v>36.57</v>
      </c>
      <c r="W849">
        <v>1.08</v>
      </c>
    </row>
    <row r="850" spans="1:23" x14ac:dyDescent="0.3">
      <c r="A850">
        <v>849</v>
      </c>
      <c r="B850" t="s">
        <v>893</v>
      </c>
      <c r="C850" t="s">
        <v>43</v>
      </c>
      <c r="D850">
        <v>193</v>
      </c>
      <c r="E850">
        <v>5899</v>
      </c>
      <c r="F850" s="3">
        <v>227</v>
      </c>
      <c r="G850">
        <v>12</v>
      </c>
      <c r="H850">
        <v>9</v>
      </c>
      <c r="I850" s="5">
        <v>4.6632124352331598E-2</v>
      </c>
      <c r="J850" s="3">
        <v>374</v>
      </c>
      <c r="K850" s="1">
        <v>45598</v>
      </c>
      <c r="L850" t="s">
        <v>25</v>
      </c>
      <c r="M850" t="s">
        <v>26</v>
      </c>
      <c r="N850" t="s">
        <v>49</v>
      </c>
      <c r="O850" t="s">
        <v>28</v>
      </c>
      <c r="P850" t="s">
        <v>29</v>
      </c>
      <c r="Q850" s="6">
        <v>1.17740932642487</v>
      </c>
      <c r="R850">
        <v>3.27</v>
      </c>
      <c r="S850">
        <v>18.940000000000001</v>
      </c>
      <c r="T850">
        <v>25.25</v>
      </c>
      <c r="U850">
        <v>64.58</v>
      </c>
      <c r="V850">
        <v>41.56</v>
      </c>
      <c r="W850">
        <v>1.65</v>
      </c>
    </row>
    <row r="851" spans="1:23" x14ac:dyDescent="0.3">
      <c r="A851">
        <v>850</v>
      </c>
      <c r="B851" t="s">
        <v>894</v>
      </c>
      <c r="C851" t="s">
        <v>38</v>
      </c>
      <c r="D851">
        <v>170</v>
      </c>
      <c r="E851">
        <v>4968</v>
      </c>
      <c r="F851" s="3">
        <v>217</v>
      </c>
      <c r="G851">
        <v>21</v>
      </c>
      <c r="H851">
        <v>5</v>
      </c>
      <c r="I851" s="5">
        <v>2.94117647058823E-2</v>
      </c>
      <c r="J851" s="3">
        <v>408</v>
      </c>
      <c r="K851" s="1">
        <v>45620</v>
      </c>
      <c r="L851" t="s">
        <v>25</v>
      </c>
      <c r="M851" t="s">
        <v>39</v>
      </c>
      <c r="N851" t="s">
        <v>32</v>
      </c>
      <c r="O851" t="s">
        <v>28</v>
      </c>
      <c r="P851" t="s">
        <v>50</v>
      </c>
      <c r="Q851" s="6">
        <v>1.27517647058823</v>
      </c>
      <c r="R851">
        <v>3.42</v>
      </c>
      <c r="S851">
        <v>10.32</v>
      </c>
      <c r="T851">
        <v>43.36</v>
      </c>
      <c r="U851">
        <v>88.21</v>
      </c>
      <c r="V851">
        <v>81.599999999999994</v>
      </c>
      <c r="W851">
        <v>1.88</v>
      </c>
    </row>
    <row r="852" spans="1:23" x14ac:dyDescent="0.3">
      <c r="A852">
        <v>851</v>
      </c>
      <c r="B852" t="s">
        <v>895</v>
      </c>
      <c r="C852" t="s">
        <v>43</v>
      </c>
      <c r="D852">
        <v>198</v>
      </c>
      <c r="E852">
        <v>5934</v>
      </c>
      <c r="F852" s="3">
        <v>200</v>
      </c>
      <c r="G852">
        <v>14</v>
      </c>
      <c r="H852">
        <v>6</v>
      </c>
      <c r="I852" s="5">
        <v>3.03030303030303E-2</v>
      </c>
      <c r="J852" s="3">
        <v>280.28571428571399</v>
      </c>
      <c r="K852" s="1">
        <v>45609</v>
      </c>
      <c r="L852" t="s">
        <v>25</v>
      </c>
      <c r="M852" t="s">
        <v>39</v>
      </c>
      <c r="N852" t="s">
        <v>27</v>
      </c>
      <c r="O852" t="s">
        <v>28</v>
      </c>
      <c r="P852" t="s">
        <v>33</v>
      </c>
      <c r="Q852" s="6">
        <v>1.0081313131313101</v>
      </c>
      <c r="R852">
        <v>3.34</v>
      </c>
      <c r="S852">
        <v>14.26</v>
      </c>
      <c r="T852">
        <v>33.270000000000003</v>
      </c>
      <c r="U852">
        <v>40.42</v>
      </c>
      <c r="V852">
        <v>46.71</v>
      </c>
      <c r="W852">
        <v>1.4</v>
      </c>
    </row>
    <row r="853" spans="1:23" x14ac:dyDescent="0.3">
      <c r="A853">
        <v>852</v>
      </c>
      <c r="B853" t="s">
        <v>896</v>
      </c>
      <c r="C853" t="s">
        <v>38</v>
      </c>
      <c r="D853">
        <v>133</v>
      </c>
      <c r="E853">
        <v>4078</v>
      </c>
      <c r="F853" s="3">
        <v>189</v>
      </c>
      <c r="G853">
        <v>21</v>
      </c>
      <c r="H853">
        <v>6</v>
      </c>
      <c r="I853" s="5">
        <v>4.5112781954887202E-2</v>
      </c>
      <c r="J853" s="3">
        <v>402</v>
      </c>
      <c r="K853" s="1">
        <v>45617</v>
      </c>
      <c r="L853" t="s">
        <v>25</v>
      </c>
      <c r="M853" t="s">
        <v>26</v>
      </c>
      <c r="N853" t="s">
        <v>36</v>
      </c>
      <c r="O853" t="s">
        <v>28</v>
      </c>
      <c r="P853" t="s">
        <v>54</v>
      </c>
      <c r="Q853" s="6">
        <v>1.42421052631578</v>
      </c>
      <c r="R853">
        <v>3.26</v>
      </c>
      <c r="S853">
        <v>9.02</v>
      </c>
      <c r="T853">
        <v>31.57</v>
      </c>
      <c r="U853">
        <v>112.23</v>
      </c>
      <c r="V853">
        <v>67</v>
      </c>
      <c r="W853">
        <v>2.12</v>
      </c>
    </row>
    <row r="854" spans="1:23" x14ac:dyDescent="0.3">
      <c r="A854">
        <v>853</v>
      </c>
      <c r="B854" t="s">
        <v>897</v>
      </c>
      <c r="C854" t="s">
        <v>24</v>
      </c>
      <c r="D854">
        <v>82</v>
      </c>
      <c r="E854">
        <v>4163</v>
      </c>
      <c r="F854" s="3">
        <v>208</v>
      </c>
      <c r="G854">
        <v>30</v>
      </c>
      <c r="H854">
        <v>8</v>
      </c>
      <c r="I854" s="5">
        <v>9.7560975609756101E-2</v>
      </c>
      <c r="J854" s="3">
        <v>265</v>
      </c>
      <c r="K854" s="1">
        <v>45600</v>
      </c>
      <c r="L854" t="s">
        <v>25</v>
      </c>
      <c r="M854" t="s">
        <v>31</v>
      </c>
      <c r="N854" t="s">
        <v>32</v>
      </c>
      <c r="O854" t="s">
        <v>28</v>
      </c>
      <c r="P854" t="s">
        <v>59</v>
      </c>
      <c r="Q854" s="6">
        <v>2.5375609756097499</v>
      </c>
      <c r="R854">
        <v>1.97</v>
      </c>
      <c r="S854">
        <v>6.94</v>
      </c>
      <c r="T854">
        <v>26.01</v>
      </c>
      <c r="U854">
        <v>27.35</v>
      </c>
      <c r="V854">
        <v>33.119999999999997</v>
      </c>
      <c r="W854">
        <v>1.27</v>
      </c>
    </row>
    <row r="855" spans="1:23" x14ac:dyDescent="0.3">
      <c r="A855">
        <v>854</v>
      </c>
      <c r="B855" t="s">
        <v>898</v>
      </c>
      <c r="C855" t="s">
        <v>43</v>
      </c>
      <c r="D855">
        <v>90</v>
      </c>
      <c r="E855">
        <v>4330</v>
      </c>
      <c r="F855" s="3">
        <v>249</v>
      </c>
      <c r="G855">
        <v>20</v>
      </c>
      <c r="H855">
        <v>4</v>
      </c>
      <c r="I855" s="5">
        <v>4.4444444444444398E-2</v>
      </c>
      <c r="J855" s="3">
        <v>330</v>
      </c>
      <c r="K855" s="1">
        <v>45611</v>
      </c>
      <c r="L855" t="s">
        <v>25</v>
      </c>
      <c r="M855" t="s">
        <v>39</v>
      </c>
      <c r="N855" t="s">
        <v>40</v>
      </c>
      <c r="O855" t="s">
        <v>28</v>
      </c>
      <c r="P855" t="s">
        <v>45</v>
      </c>
      <c r="Q855" s="6">
        <v>2.7693333333333299</v>
      </c>
      <c r="R855">
        <v>2.08</v>
      </c>
      <c r="S855">
        <v>12.46</v>
      </c>
      <c r="T855">
        <v>62.31</v>
      </c>
      <c r="U855">
        <v>32.4</v>
      </c>
      <c r="V855">
        <v>82.5</v>
      </c>
      <c r="W855">
        <v>1.32</v>
      </c>
    </row>
    <row r="856" spans="1:23" x14ac:dyDescent="0.3">
      <c r="A856">
        <v>855</v>
      </c>
      <c r="B856" t="s">
        <v>899</v>
      </c>
      <c r="C856" t="s">
        <v>35</v>
      </c>
      <c r="D856">
        <v>122</v>
      </c>
      <c r="E856">
        <v>5882</v>
      </c>
      <c r="F856" s="3">
        <v>190</v>
      </c>
      <c r="G856">
        <v>25</v>
      </c>
      <c r="H856">
        <v>7</v>
      </c>
      <c r="I856" s="5">
        <v>5.7377049180327801E-2</v>
      </c>
      <c r="J856" s="3">
        <v>277</v>
      </c>
      <c r="K856" s="1">
        <v>45621</v>
      </c>
      <c r="L856" t="s">
        <v>25</v>
      </c>
      <c r="M856" t="s">
        <v>39</v>
      </c>
      <c r="N856" t="s">
        <v>49</v>
      </c>
      <c r="O856" t="s">
        <v>28</v>
      </c>
      <c r="P856" t="s">
        <v>59</v>
      </c>
      <c r="Q856" s="6">
        <v>1.5554098360655699</v>
      </c>
      <c r="R856">
        <v>2.0699999999999998</v>
      </c>
      <c r="S856">
        <v>7.59</v>
      </c>
      <c r="T856">
        <v>27.11</v>
      </c>
      <c r="U856">
        <v>45.97</v>
      </c>
      <c r="V856">
        <v>39.57</v>
      </c>
      <c r="W856">
        <v>1.46</v>
      </c>
    </row>
    <row r="857" spans="1:23" x14ac:dyDescent="0.3">
      <c r="A857">
        <v>856</v>
      </c>
      <c r="B857" t="s">
        <v>900</v>
      </c>
      <c r="C857" t="s">
        <v>24</v>
      </c>
      <c r="D857">
        <v>105</v>
      </c>
      <c r="E857">
        <v>5645</v>
      </c>
      <c r="F857" s="3">
        <v>218</v>
      </c>
      <c r="G857">
        <v>17</v>
      </c>
      <c r="H857">
        <v>6</v>
      </c>
      <c r="I857" s="5">
        <v>5.7142857142857099E-2</v>
      </c>
      <c r="J857" s="3">
        <v>290</v>
      </c>
      <c r="K857" s="1">
        <v>45598</v>
      </c>
      <c r="L857" t="s">
        <v>25</v>
      </c>
      <c r="M857" t="s">
        <v>31</v>
      </c>
      <c r="N857" t="s">
        <v>44</v>
      </c>
      <c r="O857" t="s">
        <v>28</v>
      </c>
      <c r="P857" t="s">
        <v>29</v>
      </c>
      <c r="Q857" s="6">
        <v>2.0784761904761901</v>
      </c>
      <c r="R857">
        <v>1.86</v>
      </c>
      <c r="S857">
        <v>12.84</v>
      </c>
      <c r="T857">
        <v>36.369999999999997</v>
      </c>
      <c r="U857">
        <v>32.880000000000003</v>
      </c>
      <c r="V857">
        <v>48.33</v>
      </c>
      <c r="W857">
        <v>1.33</v>
      </c>
    </row>
    <row r="858" spans="1:23" x14ac:dyDescent="0.3">
      <c r="A858">
        <v>857</v>
      </c>
      <c r="B858" t="s">
        <v>901</v>
      </c>
      <c r="C858" t="s">
        <v>24</v>
      </c>
      <c r="D858">
        <v>179</v>
      </c>
      <c r="E858">
        <v>3848</v>
      </c>
      <c r="F858" s="3">
        <v>213</v>
      </c>
      <c r="G858">
        <v>12</v>
      </c>
      <c r="H858">
        <v>5</v>
      </c>
      <c r="I858" s="5">
        <v>2.7932960893854698E-2</v>
      </c>
      <c r="J858" s="3">
        <v>369</v>
      </c>
      <c r="K858" s="1">
        <v>45625</v>
      </c>
      <c r="L858" t="s">
        <v>25</v>
      </c>
      <c r="M858" t="s">
        <v>26</v>
      </c>
      <c r="N858" t="s">
        <v>32</v>
      </c>
      <c r="O858" t="s">
        <v>28</v>
      </c>
      <c r="P858" t="s">
        <v>45</v>
      </c>
      <c r="Q858" s="6">
        <v>1.19139664804469</v>
      </c>
      <c r="R858">
        <v>4.6500000000000004</v>
      </c>
      <c r="S858">
        <v>17.77</v>
      </c>
      <c r="T858">
        <v>42.65</v>
      </c>
      <c r="U858">
        <v>73.03</v>
      </c>
      <c r="V858">
        <v>73.8</v>
      </c>
      <c r="W858">
        <v>1.73</v>
      </c>
    </row>
    <row r="859" spans="1:23" x14ac:dyDescent="0.3">
      <c r="A859">
        <v>858</v>
      </c>
      <c r="B859" t="s">
        <v>902</v>
      </c>
      <c r="C859" t="s">
        <v>38</v>
      </c>
      <c r="D859">
        <v>91</v>
      </c>
      <c r="E859">
        <v>5609</v>
      </c>
      <c r="F859" s="3">
        <v>228</v>
      </c>
      <c r="G859">
        <v>12</v>
      </c>
      <c r="H859">
        <v>10</v>
      </c>
      <c r="I859" s="5">
        <v>0.109890109890109</v>
      </c>
      <c r="J859" s="3">
        <v>224</v>
      </c>
      <c r="K859" s="1">
        <v>45607</v>
      </c>
      <c r="L859" t="s">
        <v>25</v>
      </c>
      <c r="M859" t="s">
        <v>26</v>
      </c>
      <c r="N859" t="s">
        <v>49</v>
      </c>
      <c r="O859" t="s">
        <v>28</v>
      </c>
      <c r="P859" t="s">
        <v>59</v>
      </c>
      <c r="Q859" s="6">
        <v>2.5084615384615301</v>
      </c>
      <c r="R859">
        <v>1.62</v>
      </c>
      <c r="S859">
        <v>19.02</v>
      </c>
      <c r="T859">
        <v>22.83</v>
      </c>
      <c r="U859">
        <v>-1.87</v>
      </c>
      <c r="V859">
        <v>22.4</v>
      </c>
      <c r="W859">
        <v>0.98</v>
      </c>
    </row>
    <row r="860" spans="1:23" x14ac:dyDescent="0.3">
      <c r="A860">
        <v>859</v>
      </c>
      <c r="B860" t="s">
        <v>903</v>
      </c>
      <c r="C860" t="s">
        <v>35</v>
      </c>
      <c r="D860">
        <v>168</v>
      </c>
      <c r="E860">
        <v>4390</v>
      </c>
      <c r="F860" s="3">
        <v>196</v>
      </c>
      <c r="G860">
        <v>22</v>
      </c>
      <c r="H860">
        <v>10</v>
      </c>
      <c r="I860" s="5">
        <v>5.95238095238095E-2</v>
      </c>
      <c r="J860" s="3">
        <v>317</v>
      </c>
      <c r="K860" s="1">
        <v>45600</v>
      </c>
      <c r="L860" t="s">
        <v>25</v>
      </c>
      <c r="M860" t="s">
        <v>26</v>
      </c>
      <c r="N860" t="s">
        <v>32</v>
      </c>
      <c r="O860" t="s">
        <v>28</v>
      </c>
      <c r="P860" t="s">
        <v>59</v>
      </c>
      <c r="Q860" s="6">
        <v>1.1638095238095201</v>
      </c>
      <c r="R860">
        <v>3.83</v>
      </c>
      <c r="S860">
        <v>8.89</v>
      </c>
      <c r="T860">
        <v>19.55</v>
      </c>
      <c r="U860">
        <v>62.13</v>
      </c>
      <c r="V860">
        <v>31.7</v>
      </c>
      <c r="W860">
        <v>1.62</v>
      </c>
    </row>
    <row r="861" spans="1:23" x14ac:dyDescent="0.3">
      <c r="A861">
        <v>860</v>
      </c>
      <c r="B861" t="s">
        <v>904</v>
      </c>
      <c r="C861" t="s">
        <v>35</v>
      </c>
      <c r="D861">
        <v>162</v>
      </c>
      <c r="E861">
        <v>4774</v>
      </c>
      <c r="F861" s="3">
        <v>211</v>
      </c>
      <c r="G861">
        <v>20</v>
      </c>
      <c r="H861">
        <v>7</v>
      </c>
      <c r="I861" s="5">
        <v>4.3209876543209798E-2</v>
      </c>
      <c r="J861" s="3">
        <v>283</v>
      </c>
      <c r="K861" s="1">
        <v>45625</v>
      </c>
      <c r="L861" t="s">
        <v>25</v>
      </c>
      <c r="M861" t="s">
        <v>39</v>
      </c>
      <c r="N861" t="s">
        <v>49</v>
      </c>
      <c r="O861" t="s">
        <v>28</v>
      </c>
      <c r="P861" t="s">
        <v>45</v>
      </c>
      <c r="Q861" s="6">
        <v>1.30123456790123</v>
      </c>
      <c r="R861">
        <v>3.39</v>
      </c>
      <c r="S861">
        <v>10.54</v>
      </c>
      <c r="T861">
        <v>30.11</v>
      </c>
      <c r="U861">
        <v>34.25</v>
      </c>
      <c r="V861">
        <v>40.43</v>
      </c>
      <c r="W861">
        <v>1.34</v>
      </c>
    </row>
    <row r="862" spans="1:23" x14ac:dyDescent="0.3">
      <c r="A862">
        <v>861</v>
      </c>
      <c r="B862" t="s">
        <v>905</v>
      </c>
      <c r="C862" t="s">
        <v>24</v>
      </c>
      <c r="D862">
        <v>130</v>
      </c>
      <c r="E862">
        <v>5787</v>
      </c>
      <c r="F862" s="3">
        <v>219</v>
      </c>
      <c r="G862">
        <v>13</v>
      </c>
      <c r="H862">
        <v>10</v>
      </c>
      <c r="I862" s="5">
        <v>7.69230769230769E-2</v>
      </c>
      <c r="J862" s="3">
        <v>343</v>
      </c>
      <c r="K862" s="1">
        <v>45605</v>
      </c>
      <c r="L862" t="s">
        <v>25</v>
      </c>
      <c r="M862" t="s">
        <v>31</v>
      </c>
      <c r="N862" t="s">
        <v>44</v>
      </c>
      <c r="O862" t="s">
        <v>28</v>
      </c>
      <c r="P862" t="s">
        <v>29</v>
      </c>
      <c r="Q862" s="6">
        <v>1.6829999999999901</v>
      </c>
      <c r="R862">
        <v>2.25</v>
      </c>
      <c r="S862">
        <v>16.829999999999998</v>
      </c>
      <c r="T862">
        <v>21.88</v>
      </c>
      <c r="U862">
        <v>56.77</v>
      </c>
      <c r="V862">
        <v>34.299999999999997</v>
      </c>
      <c r="W862">
        <v>1.57</v>
      </c>
    </row>
    <row r="863" spans="1:23" x14ac:dyDescent="0.3">
      <c r="A863">
        <v>862</v>
      </c>
      <c r="B863" t="s">
        <v>906</v>
      </c>
      <c r="C863" t="s">
        <v>43</v>
      </c>
      <c r="D863">
        <v>97</v>
      </c>
      <c r="E863">
        <v>5192</v>
      </c>
      <c r="F863" s="3">
        <v>185</v>
      </c>
      <c r="G863">
        <v>13</v>
      </c>
      <c r="H863">
        <v>10</v>
      </c>
      <c r="I863" s="5">
        <v>0.103092783505154</v>
      </c>
      <c r="J863" s="3">
        <v>282</v>
      </c>
      <c r="K863" s="1">
        <v>45601</v>
      </c>
      <c r="L863" t="s">
        <v>25</v>
      </c>
      <c r="M863" t="s">
        <v>31</v>
      </c>
      <c r="N863" t="s">
        <v>27</v>
      </c>
      <c r="O863" t="s">
        <v>28</v>
      </c>
      <c r="P863" t="s">
        <v>41</v>
      </c>
      <c r="Q863" s="6">
        <v>1.9050515463917499</v>
      </c>
      <c r="R863">
        <v>1.87</v>
      </c>
      <c r="S863">
        <v>14.21</v>
      </c>
      <c r="T863">
        <v>18.48</v>
      </c>
      <c r="U863">
        <v>52.61</v>
      </c>
      <c r="V863">
        <v>28.2</v>
      </c>
      <c r="W863">
        <v>1.53</v>
      </c>
    </row>
    <row r="864" spans="1:23" x14ac:dyDescent="0.3">
      <c r="A864">
        <v>863</v>
      </c>
      <c r="B864" t="s">
        <v>907</v>
      </c>
      <c r="C864" t="s">
        <v>43</v>
      </c>
      <c r="D864">
        <v>142</v>
      </c>
      <c r="E864">
        <v>4223</v>
      </c>
      <c r="F864" s="3">
        <v>222</v>
      </c>
      <c r="G864">
        <v>27</v>
      </c>
      <c r="H864">
        <v>5</v>
      </c>
      <c r="I864" s="5">
        <v>3.5211267605633798E-2</v>
      </c>
      <c r="J864" s="3">
        <v>307</v>
      </c>
      <c r="K864" s="1">
        <v>45603</v>
      </c>
      <c r="L864" t="s">
        <v>25</v>
      </c>
      <c r="M864" t="s">
        <v>26</v>
      </c>
      <c r="N864" t="s">
        <v>27</v>
      </c>
      <c r="O864" t="s">
        <v>28</v>
      </c>
      <c r="P864" t="s">
        <v>54</v>
      </c>
      <c r="Q864" s="6">
        <v>1.5653521126760499</v>
      </c>
      <c r="R864">
        <v>3.36</v>
      </c>
      <c r="S864">
        <v>8.23</v>
      </c>
      <c r="T864">
        <v>44.46</v>
      </c>
      <c r="U864">
        <v>38.11</v>
      </c>
      <c r="V864">
        <v>61.4</v>
      </c>
      <c r="W864">
        <v>1.38</v>
      </c>
    </row>
    <row r="865" spans="1:23" x14ac:dyDescent="0.3">
      <c r="A865">
        <v>864</v>
      </c>
      <c r="B865" t="s">
        <v>908</v>
      </c>
      <c r="C865" t="s">
        <v>38</v>
      </c>
      <c r="D865">
        <v>138</v>
      </c>
      <c r="E865">
        <v>3146</v>
      </c>
      <c r="F865" s="3">
        <v>198</v>
      </c>
      <c r="G865">
        <v>22</v>
      </c>
      <c r="H865">
        <v>7</v>
      </c>
      <c r="I865" s="5">
        <v>5.0724637681159403E-2</v>
      </c>
      <c r="J865" s="3">
        <v>327</v>
      </c>
      <c r="K865" s="1">
        <v>45604</v>
      </c>
      <c r="L865" t="s">
        <v>25</v>
      </c>
      <c r="M865" t="s">
        <v>26</v>
      </c>
      <c r="N865" t="s">
        <v>27</v>
      </c>
      <c r="O865" t="s">
        <v>28</v>
      </c>
      <c r="P865" t="s">
        <v>45</v>
      </c>
      <c r="Q865" s="6">
        <v>1.4339855072463701</v>
      </c>
      <c r="R865">
        <v>4.3899999999999997</v>
      </c>
      <c r="S865">
        <v>8.99</v>
      </c>
      <c r="T865">
        <v>28.27</v>
      </c>
      <c r="U865">
        <v>65.239999999999995</v>
      </c>
      <c r="V865">
        <v>46.71</v>
      </c>
      <c r="W865">
        <v>1.65</v>
      </c>
    </row>
    <row r="866" spans="1:23" x14ac:dyDescent="0.3">
      <c r="A866">
        <v>865</v>
      </c>
      <c r="B866" t="s">
        <v>909</v>
      </c>
      <c r="C866" t="s">
        <v>43</v>
      </c>
      <c r="D866">
        <v>186</v>
      </c>
      <c r="E866">
        <v>3988</v>
      </c>
      <c r="F866" s="3">
        <v>238</v>
      </c>
      <c r="G866">
        <v>15</v>
      </c>
      <c r="H866">
        <v>5</v>
      </c>
      <c r="I866" s="5">
        <v>2.68817204301075E-2</v>
      </c>
      <c r="J866" s="3">
        <v>327</v>
      </c>
      <c r="K866" s="1">
        <v>45610</v>
      </c>
      <c r="L866" t="s">
        <v>25</v>
      </c>
      <c r="M866" t="s">
        <v>39</v>
      </c>
      <c r="N866" t="s">
        <v>32</v>
      </c>
      <c r="O866" t="s">
        <v>28</v>
      </c>
      <c r="P866" t="s">
        <v>54</v>
      </c>
      <c r="Q866" s="6">
        <v>1.27790322580645</v>
      </c>
      <c r="R866">
        <v>4.66</v>
      </c>
      <c r="S866">
        <v>15.85</v>
      </c>
      <c r="T866">
        <v>47.54</v>
      </c>
      <c r="U866">
        <v>37.57</v>
      </c>
      <c r="V866">
        <v>65.400000000000006</v>
      </c>
      <c r="W866">
        <v>1.38</v>
      </c>
    </row>
    <row r="867" spans="1:23" x14ac:dyDescent="0.3">
      <c r="A867">
        <v>866</v>
      </c>
      <c r="B867" t="s">
        <v>910</v>
      </c>
      <c r="C867" t="s">
        <v>43</v>
      </c>
      <c r="D867">
        <v>170</v>
      </c>
      <c r="E867">
        <v>3437</v>
      </c>
      <c r="F867" s="3">
        <v>232</v>
      </c>
      <c r="G867">
        <v>23</v>
      </c>
      <c r="H867">
        <v>5</v>
      </c>
      <c r="I867" s="5">
        <v>2.94117647058823E-2</v>
      </c>
      <c r="J867" s="3">
        <v>287</v>
      </c>
      <c r="K867" s="1">
        <v>45625</v>
      </c>
      <c r="L867" t="s">
        <v>25</v>
      </c>
      <c r="M867" t="s">
        <v>31</v>
      </c>
      <c r="N867" t="s">
        <v>27</v>
      </c>
      <c r="O867" t="s">
        <v>28</v>
      </c>
      <c r="P867" t="s">
        <v>45</v>
      </c>
      <c r="Q867" s="6">
        <v>1.3651764705882301</v>
      </c>
      <c r="R867">
        <v>4.95</v>
      </c>
      <c r="S867">
        <v>10.09</v>
      </c>
      <c r="T867">
        <v>46.42</v>
      </c>
      <c r="U867">
        <v>23.66</v>
      </c>
      <c r="V867">
        <v>57.4</v>
      </c>
      <c r="W867">
        <v>1.24</v>
      </c>
    </row>
    <row r="868" spans="1:23" x14ac:dyDescent="0.3">
      <c r="A868">
        <v>867</v>
      </c>
      <c r="B868" t="s">
        <v>911</v>
      </c>
      <c r="C868" t="s">
        <v>43</v>
      </c>
      <c r="D868">
        <v>85</v>
      </c>
      <c r="E868">
        <v>3718</v>
      </c>
      <c r="F868" s="3">
        <v>224</v>
      </c>
      <c r="G868">
        <v>21</v>
      </c>
      <c r="H868">
        <v>6</v>
      </c>
      <c r="I868" s="5">
        <v>7.0588235294117604E-2</v>
      </c>
      <c r="J868" s="3">
        <v>396</v>
      </c>
      <c r="K868" s="1">
        <v>45600</v>
      </c>
      <c r="L868" t="s">
        <v>25</v>
      </c>
      <c r="M868" t="s">
        <v>26</v>
      </c>
      <c r="N868" t="s">
        <v>44</v>
      </c>
      <c r="O868" t="s">
        <v>28</v>
      </c>
      <c r="P868" t="s">
        <v>59</v>
      </c>
      <c r="Q868" s="6">
        <v>2.6369411764705801</v>
      </c>
      <c r="R868">
        <v>2.29</v>
      </c>
      <c r="S868">
        <v>10.67</v>
      </c>
      <c r="T868">
        <v>37.36</v>
      </c>
      <c r="U868">
        <v>76.680000000000007</v>
      </c>
      <c r="V868">
        <v>66</v>
      </c>
      <c r="W868">
        <v>1.77</v>
      </c>
    </row>
    <row r="869" spans="1:23" x14ac:dyDescent="0.3">
      <c r="A869">
        <v>868</v>
      </c>
      <c r="B869" t="s">
        <v>912</v>
      </c>
      <c r="C869" t="s">
        <v>43</v>
      </c>
      <c r="D869">
        <v>115</v>
      </c>
      <c r="E869">
        <v>5343</v>
      </c>
      <c r="F869" s="3">
        <v>240</v>
      </c>
      <c r="G869">
        <v>20</v>
      </c>
      <c r="H869">
        <v>8</v>
      </c>
      <c r="I869" s="5">
        <v>6.9565217391304293E-2</v>
      </c>
      <c r="J869" s="3">
        <v>282</v>
      </c>
      <c r="K869" s="1">
        <v>45611</v>
      </c>
      <c r="L869" t="s">
        <v>25</v>
      </c>
      <c r="M869" t="s">
        <v>26</v>
      </c>
      <c r="N869" t="s">
        <v>27</v>
      </c>
      <c r="O869" t="s">
        <v>28</v>
      </c>
      <c r="P869" t="s">
        <v>45</v>
      </c>
      <c r="Q869" s="6">
        <v>2.0862608695652098</v>
      </c>
      <c r="R869">
        <v>2.15</v>
      </c>
      <c r="S869">
        <v>12</v>
      </c>
      <c r="T869">
        <v>29.99</v>
      </c>
      <c r="U869">
        <v>17.54</v>
      </c>
      <c r="V869">
        <v>35.25</v>
      </c>
      <c r="W869">
        <v>1.18</v>
      </c>
    </row>
    <row r="870" spans="1:23" x14ac:dyDescent="0.3">
      <c r="A870">
        <v>869</v>
      </c>
      <c r="B870" t="s">
        <v>913</v>
      </c>
      <c r="C870" t="s">
        <v>38</v>
      </c>
      <c r="D870">
        <v>167</v>
      </c>
      <c r="E870">
        <v>5170</v>
      </c>
      <c r="F870" s="3">
        <v>241</v>
      </c>
      <c r="G870">
        <v>24</v>
      </c>
      <c r="H870">
        <v>4</v>
      </c>
      <c r="I870" s="5">
        <v>2.39520958083832E-2</v>
      </c>
      <c r="J870" s="3">
        <v>309</v>
      </c>
      <c r="K870" s="1">
        <v>45617</v>
      </c>
      <c r="L870" t="s">
        <v>25</v>
      </c>
      <c r="M870" t="s">
        <v>31</v>
      </c>
      <c r="N870" t="s">
        <v>32</v>
      </c>
      <c r="O870" t="s">
        <v>28</v>
      </c>
      <c r="P870" t="s">
        <v>54</v>
      </c>
      <c r="Q870" s="6">
        <v>1.44437125748503</v>
      </c>
      <c r="R870">
        <v>3.23</v>
      </c>
      <c r="S870">
        <v>10.050000000000001</v>
      </c>
      <c r="T870">
        <v>60.3</v>
      </c>
      <c r="U870">
        <v>28.1</v>
      </c>
      <c r="V870">
        <v>77.25</v>
      </c>
      <c r="W870">
        <v>1.28</v>
      </c>
    </row>
    <row r="871" spans="1:23" x14ac:dyDescent="0.3">
      <c r="A871">
        <v>870</v>
      </c>
      <c r="B871" t="s">
        <v>914</v>
      </c>
      <c r="C871" t="s">
        <v>24</v>
      </c>
      <c r="D871">
        <v>113</v>
      </c>
      <c r="E871">
        <v>5916</v>
      </c>
      <c r="F871" s="3">
        <v>235</v>
      </c>
      <c r="G871">
        <v>18</v>
      </c>
      <c r="H871">
        <v>5</v>
      </c>
      <c r="I871" s="5">
        <v>4.4247787610619399E-2</v>
      </c>
      <c r="J871" s="3">
        <v>238</v>
      </c>
      <c r="K871" s="1">
        <v>45608</v>
      </c>
      <c r="L871" t="s">
        <v>25</v>
      </c>
      <c r="M871" t="s">
        <v>31</v>
      </c>
      <c r="N871" t="s">
        <v>32</v>
      </c>
      <c r="O871" t="s">
        <v>28</v>
      </c>
      <c r="P871" t="s">
        <v>41</v>
      </c>
      <c r="Q871" s="6">
        <v>2.07592920353982</v>
      </c>
      <c r="R871">
        <v>1.91</v>
      </c>
      <c r="S871">
        <v>13.03</v>
      </c>
      <c r="T871">
        <v>46.92</v>
      </c>
      <c r="U871">
        <v>1.46</v>
      </c>
      <c r="V871">
        <v>47.6</v>
      </c>
      <c r="W871">
        <v>1.01</v>
      </c>
    </row>
    <row r="872" spans="1:23" x14ac:dyDescent="0.3">
      <c r="A872">
        <v>871</v>
      </c>
      <c r="B872" t="s">
        <v>915</v>
      </c>
      <c r="C872" t="s">
        <v>43</v>
      </c>
      <c r="D872">
        <v>175</v>
      </c>
      <c r="E872">
        <v>4958</v>
      </c>
      <c r="F872" s="3">
        <v>246</v>
      </c>
      <c r="G872">
        <v>22</v>
      </c>
      <c r="H872">
        <v>10</v>
      </c>
      <c r="I872" s="5">
        <v>5.7142857142857099E-2</v>
      </c>
      <c r="J872" s="3">
        <v>363</v>
      </c>
      <c r="K872" s="1">
        <v>45617</v>
      </c>
      <c r="L872" t="s">
        <v>25</v>
      </c>
      <c r="M872" t="s">
        <v>31</v>
      </c>
      <c r="N872" t="s">
        <v>44</v>
      </c>
      <c r="O872" t="s">
        <v>28</v>
      </c>
      <c r="P872" t="s">
        <v>54</v>
      </c>
      <c r="Q872" s="6">
        <v>1.40548571428571</v>
      </c>
      <c r="R872">
        <v>3.53</v>
      </c>
      <c r="S872">
        <v>11.18</v>
      </c>
      <c r="T872">
        <v>24.6</v>
      </c>
      <c r="U872">
        <v>47.58</v>
      </c>
      <c r="V872">
        <v>36.299999999999997</v>
      </c>
      <c r="W872">
        <v>1.48</v>
      </c>
    </row>
    <row r="873" spans="1:23" x14ac:dyDescent="0.3">
      <c r="A873">
        <v>872</v>
      </c>
      <c r="B873" t="s">
        <v>916</v>
      </c>
      <c r="C873" t="s">
        <v>24</v>
      </c>
      <c r="D873">
        <v>112</v>
      </c>
      <c r="E873">
        <v>5538</v>
      </c>
      <c r="F873" s="3">
        <v>226</v>
      </c>
      <c r="G873">
        <v>22</v>
      </c>
      <c r="H873">
        <v>4</v>
      </c>
      <c r="I873" s="5">
        <v>3.5714285714285698E-2</v>
      </c>
      <c r="J873" s="3">
        <v>186.85714285714201</v>
      </c>
      <c r="K873" s="1">
        <v>45618</v>
      </c>
      <c r="L873" t="s">
        <v>25</v>
      </c>
      <c r="M873" t="s">
        <v>26</v>
      </c>
      <c r="N873" t="s">
        <v>44</v>
      </c>
      <c r="O873" t="s">
        <v>28</v>
      </c>
      <c r="P873" t="s">
        <v>45</v>
      </c>
      <c r="Q873" s="6">
        <v>2.0148214285714201</v>
      </c>
      <c r="R873">
        <v>2.02</v>
      </c>
      <c r="S873">
        <v>10.26</v>
      </c>
      <c r="T873">
        <v>56.42</v>
      </c>
      <c r="U873">
        <v>-17.2</v>
      </c>
      <c r="V873">
        <v>46.71</v>
      </c>
      <c r="W873">
        <v>0.83</v>
      </c>
    </row>
    <row r="874" spans="1:23" x14ac:dyDescent="0.3">
      <c r="A874">
        <v>873</v>
      </c>
      <c r="B874" t="s">
        <v>917</v>
      </c>
      <c r="C874" t="s">
        <v>35</v>
      </c>
      <c r="D874">
        <v>194</v>
      </c>
      <c r="E874">
        <v>5309</v>
      </c>
      <c r="F874" s="3">
        <v>191</v>
      </c>
      <c r="G874">
        <v>19</v>
      </c>
      <c r="H874">
        <v>10</v>
      </c>
      <c r="I874" s="5">
        <v>5.1546391752577303E-2</v>
      </c>
      <c r="J874" s="3">
        <v>360</v>
      </c>
      <c r="K874" s="1">
        <v>45609</v>
      </c>
      <c r="L874" t="s">
        <v>25</v>
      </c>
      <c r="M874" t="s">
        <v>26</v>
      </c>
      <c r="N874" t="s">
        <v>40</v>
      </c>
      <c r="O874" t="s">
        <v>28</v>
      </c>
      <c r="P874" t="s">
        <v>33</v>
      </c>
      <c r="Q874" s="6">
        <v>0.98659793814432994</v>
      </c>
      <c r="R874">
        <v>3.65</v>
      </c>
      <c r="S874">
        <v>10.07</v>
      </c>
      <c r="T874">
        <v>19.14</v>
      </c>
      <c r="U874">
        <v>88.09</v>
      </c>
      <c r="V874">
        <v>36</v>
      </c>
      <c r="W874">
        <v>1.88</v>
      </c>
    </row>
    <row r="875" spans="1:23" x14ac:dyDescent="0.3">
      <c r="A875">
        <v>874</v>
      </c>
      <c r="B875" t="s">
        <v>918</v>
      </c>
      <c r="C875" t="s">
        <v>35</v>
      </c>
      <c r="D875">
        <v>138</v>
      </c>
      <c r="E875">
        <v>4539</v>
      </c>
      <c r="F875" s="3">
        <v>244</v>
      </c>
      <c r="G875">
        <v>18</v>
      </c>
      <c r="H875">
        <v>6</v>
      </c>
      <c r="I875" s="5">
        <v>4.3478260869565202E-2</v>
      </c>
      <c r="J875" s="3">
        <v>334</v>
      </c>
      <c r="K875" s="1">
        <v>45624</v>
      </c>
      <c r="L875" t="s">
        <v>25</v>
      </c>
      <c r="M875" t="s">
        <v>31</v>
      </c>
      <c r="N875" t="s">
        <v>49</v>
      </c>
      <c r="O875" t="s">
        <v>28</v>
      </c>
      <c r="P875" t="s">
        <v>54</v>
      </c>
      <c r="Q875" s="6">
        <v>1.77101449275362</v>
      </c>
      <c r="R875">
        <v>3.04</v>
      </c>
      <c r="S875">
        <v>13.58</v>
      </c>
      <c r="T875">
        <v>40.729999999999997</v>
      </c>
      <c r="U875">
        <v>36.659999999999997</v>
      </c>
      <c r="V875">
        <v>55.67</v>
      </c>
      <c r="W875">
        <v>1.37</v>
      </c>
    </row>
    <row r="876" spans="1:23" x14ac:dyDescent="0.3">
      <c r="A876">
        <v>875</v>
      </c>
      <c r="B876" t="s">
        <v>919</v>
      </c>
      <c r="C876" t="s">
        <v>24</v>
      </c>
      <c r="D876">
        <v>82</v>
      </c>
      <c r="E876">
        <v>4622</v>
      </c>
      <c r="F876" s="3">
        <v>204</v>
      </c>
      <c r="G876">
        <v>17</v>
      </c>
      <c r="H876">
        <v>9</v>
      </c>
      <c r="I876" s="5">
        <v>0.109756097560975</v>
      </c>
      <c r="J876" s="3">
        <v>281</v>
      </c>
      <c r="K876" s="1">
        <v>45608</v>
      </c>
      <c r="L876" t="s">
        <v>25</v>
      </c>
      <c r="M876" t="s">
        <v>31</v>
      </c>
      <c r="N876" t="s">
        <v>44</v>
      </c>
      <c r="O876" t="s">
        <v>28</v>
      </c>
      <c r="P876" t="s">
        <v>41</v>
      </c>
      <c r="Q876" s="6">
        <v>2.48768292682926</v>
      </c>
      <c r="R876">
        <v>1.77</v>
      </c>
      <c r="S876">
        <v>12</v>
      </c>
      <c r="T876">
        <v>22.67</v>
      </c>
      <c r="U876">
        <v>37.75</v>
      </c>
      <c r="V876">
        <v>31.22</v>
      </c>
      <c r="W876">
        <v>1.38</v>
      </c>
    </row>
    <row r="877" spans="1:23" x14ac:dyDescent="0.3">
      <c r="A877">
        <v>876</v>
      </c>
      <c r="B877" t="s">
        <v>920</v>
      </c>
      <c r="C877" t="s">
        <v>43</v>
      </c>
      <c r="D877">
        <v>102</v>
      </c>
      <c r="E877">
        <v>3355</v>
      </c>
      <c r="F877" s="3">
        <v>194</v>
      </c>
      <c r="G877">
        <v>26</v>
      </c>
      <c r="H877">
        <v>9</v>
      </c>
      <c r="I877" s="5">
        <v>8.8235294117646995E-2</v>
      </c>
      <c r="J877" s="3">
        <v>400</v>
      </c>
      <c r="K877" s="1">
        <v>45607</v>
      </c>
      <c r="L877" t="s">
        <v>25</v>
      </c>
      <c r="M877" t="s">
        <v>31</v>
      </c>
      <c r="N877" t="s">
        <v>27</v>
      </c>
      <c r="O877" t="s">
        <v>28</v>
      </c>
      <c r="P877" t="s">
        <v>59</v>
      </c>
      <c r="Q877" s="6">
        <v>1.8977450980392101</v>
      </c>
      <c r="R877">
        <v>3.04</v>
      </c>
      <c r="S877">
        <v>7.44</v>
      </c>
      <c r="T877">
        <v>21.51</v>
      </c>
      <c r="U877">
        <v>106.64</v>
      </c>
      <c r="V877">
        <v>44.44</v>
      </c>
      <c r="W877">
        <v>2.0699999999999998</v>
      </c>
    </row>
    <row r="878" spans="1:23" x14ac:dyDescent="0.3">
      <c r="A878">
        <v>877</v>
      </c>
      <c r="B878" t="s">
        <v>921</v>
      </c>
      <c r="C878" t="s">
        <v>24</v>
      </c>
      <c r="D878">
        <v>179</v>
      </c>
      <c r="E878">
        <v>4992</v>
      </c>
      <c r="F878" s="3">
        <v>221</v>
      </c>
      <c r="G878">
        <v>27</v>
      </c>
      <c r="H878">
        <v>10</v>
      </c>
      <c r="I878" s="5">
        <v>5.5865921787709397E-2</v>
      </c>
      <c r="J878" s="3">
        <v>217</v>
      </c>
      <c r="K878" s="1">
        <v>45602</v>
      </c>
      <c r="L878" t="s">
        <v>25</v>
      </c>
      <c r="M878" t="s">
        <v>39</v>
      </c>
      <c r="N878" t="s">
        <v>27</v>
      </c>
      <c r="O878" t="s">
        <v>28</v>
      </c>
      <c r="P878" t="s">
        <v>33</v>
      </c>
      <c r="Q878" s="6">
        <v>1.23731843575419</v>
      </c>
      <c r="R878">
        <v>3.59</v>
      </c>
      <c r="S878">
        <v>8.1999999999999993</v>
      </c>
      <c r="T878">
        <v>22.15</v>
      </c>
      <c r="U878">
        <v>-2.02</v>
      </c>
      <c r="V878">
        <v>21.7</v>
      </c>
      <c r="W878">
        <v>0.98</v>
      </c>
    </row>
    <row r="879" spans="1:23" x14ac:dyDescent="0.3">
      <c r="A879">
        <v>878</v>
      </c>
      <c r="B879" t="s">
        <v>922</v>
      </c>
      <c r="C879" t="s">
        <v>35</v>
      </c>
      <c r="D879">
        <v>93</v>
      </c>
      <c r="E879">
        <v>3015</v>
      </c>
      <c r="F879" s="3">
        <v>232</v>
      </c>
      <c r="G879">
        <v>21</v>
      </c>
      <c r="H879">
        <v>4</v>
      </c>
      <c r="I879" s="5">
        <v>4.3010752688171998E-2</v>
      </c>
      <c r="J879" s="3">
        <v>361</v>
      </c>
      <c r="K879" s="1">
        <v>45622</v>
      </c>
      <c r="L879" t="s">
        <v>25</v>
      </c>
      <c r="M879" t="s">
        <v>31</v>
      </c>
      <c r="N879" t="s">
        <v>27</v>
      </c>
      <c r="O879" t="s">
        <v>28</v>
      </c>
      <c r="P879" t="s">
        <v>41</v>
      </c>
      <c r="Q879" s="6">
        <v>2.4947311827956899</v>
      </c>
      <c r="R879">
        <v>3.08</v>
      </c>
      <c r="S879">
        <v>11.05</v>
      </c>
      <c r="T879">
        <v>58</v>
      </c>
      <c r="U879">
        <v>55.6</v>
      </c>
      <c r="V879">
        <v>90.25</v>
      </c>
      <c r="W879">
        <v>1.56</v>
      </c>
    </row>
    <row r="880" spans="1:23" x14ac:dyDescent="0.3">
      <c r="A880">
        <v>879</v>
      </c>
      <c r="B880" t="s">
        <v>923</v>
      </c>
      <c r="C880" t="s">
        <v>38</v>
      </c>
      <c r="D880">
        <v>152</v>
      </c>
      <c r="E880">
        <v>4662</v>
      </c>
      <c r="F880" s="3">
        <v>249</v>
      </c>
      <c r="G880">
        <v>24</v>
      </c>
      <c r="H880">
        <v>7</v>
      </c>
      <c r="I880" s="5">
        <v>4.6052631578947303E-2</v>
      </c>
      <c r="J880" s="3">
        <v>398</v>
      </c>
      <c r="K880" s="1">
        <v>45607</v>
      </c>
      <c r="L880" t="s">
        <v>25</v>
      </c>
      <c r="M880" t="s">
        <v>26</v>
      </c>
      <c r="N880" t="s">
        <v>44</v>
      </c>
      <c r="O880" t="s">
        <v>28</v>
      </c>
      <c r="P880" t="s">
        <v>59</v>
      </c>
      <c r="Q880" s="6">
        <v>1.63901315789473</v>
      </c>
      <c r="R880">
        <v>3.26</v>
      </c>
      <c r="S880">
        <v>10.38</v>
      </c>
      <c r="T880">
        <v>35.590000000000003</v>
      </c>
      <c r="U880">
        <v>59.76</v>
      </c>
      <c r="V880">
        <v>56.86</v>
      </c>
      <c r="W880">
        <v>1.6</v>
      </c>
    </row>
    <row r="881" spans="1:23" x14ac:dyDescent="0.3">
      <c r="A881">
        <v>880</v>
      </c>
      <c r="B881" t="s">
        <v>924</v>
      </c>
      <c r="C881" t="s">
        <v>38</v>
      </c>
      <c r="D881">
        <v>81</v>
      </c>
      <c r="E881">
        <v>3766</v>
      </c>
      <c r="F881" s="3">
        <v>213</v>
      </c>
      <c r="G881">
        <v>27</v>
      </c>
      <c r="H881">
        <v>7</v>
      </c>
      <c r="I881" s="5">
        <v>8.6419753086419707E-2</v>
      </c>
      <c r="J881" s="3">
        <v>241</v>
      </c>
      <c r="K881" s="1">
        <v>45623</v>
      </c>
      <c r="L881" t="s">
        <v>25</v>
      </c>
      <c r="M881" t="s">
        <v>26</v>
      </c>
      <c r="N881" t="s">
        <v>44</v>
      </c>
      <c r="O881" t="s">
        <v>28</v>
      </c>
      <c r="P881" t="s">
        <v>33</v>
      </c>
      <c r="Q881" s="6">
        <v>2.6311111111111098</v>
      </c>
      <c r="R881">
        <v>2.15</v>
      </c>
      <c r="S881">
        <v>7.89</v>
      </c>
      <c r="T881">
        <v>30.45</v>
      </c>
      <c r="U881">
        <v>13.08</v>
      </c>
      <c r="V881">
        <v>34.43</v>
      </c>
      <c r="W881">
        <v>1.1299999999999999</v>
      </c>
    </row>
    <row r="882" spans="1:23" x14ac:dyDescent="0.3">
      <c r="A882">
        <v>881</v>
      </c>
      <c r="B882" t="s">
        <v>925</v>
      </c>
      <c r="C882" t="s">
        <v>24</v>
      </c>
      <c r="D882">
        <v>130</v>
      </c>
      <c r="E882">
        <v>5774</v>
      </c>
      <c r="F882" s="3">
        <v>242</v>
      </c>
      <c r="G882">
        <v>11</v>
      </c>
      <c r="H882">
        <v>7</v>
      </c>
      <c r="I882" s="5">
        <v>5.3846153846153801E-2</v>
      </c>
      <c r="J882" s="3">
        <v>349</v>
      </c>
      <c r="K882" s="1">
        <v>45616</v>
      </c>
      <c r="L882" t="s">
        <v>25</v>
      </c>
      <c r="M882" t="s">
        <v>26</v>
      </c>
      <c r="N882" t="s">
        <v>32</v>
      </c>
      <c r="O882" t="s">
        <v>28</v>
      </c>
      <c r="P882" t="s">
        <v>33</v>
      </c>
      <c r="Q882" s="6">
        <v>1.8613076923076901</v>
      </c>
      <c r="R882">
        <v>2.25</v>
      </c>
      <c r="S882">
        <v>22</v>
      </c>
      <c r="T882">
        <v>34.57</v>
      </c>
      <c r="U882">
        <v>44.23</v>
      </c>
      <c r="V882">
        <v>49.86</v>
      </c>
      <c r="W882">
        <v>1.44</v>
      </c>
    </row>
    <row r="883" spans="1:23" x14ac:dyDescent="0.3">
      <c r="A883">
        <v>882</v>
      </c>
      <c r="B883" t="s">
        <v>926</v>
      </c>
      <c r="C883" t="s">
        <v>38</v>
      </c>
      <c r="D883">
        <v>110</v>
      </c>
      <c r="E883">
        <v>4542</v>
      </c>
      <c r="F883" s="3">
        <v>228</v>
      </c>
      <c r="G883">
        <v>20</v>
      </c>
      <c r="H883">
        <v>4</v>
      </c>
      <c r="I883" s="5">
        <v>3.6363636363636299E-2</v>
      </c>
      <c r="J883" s="3">
        <v>290</v>
      </c>
      <c r="K883" s="1">
        <v>45607</v>
      </c>
      <c r="L883" t="s">
        <v>25</v>
      </c>
      <c r="M883" t="s">
        <v>26</v>
      </c>
      <c r="N883" t="s">
        <v>40</v>
      </c>
      <c r="O883" t="s">
        <v>28</v>
      </c>
      <c r="P883" t="s">
        <v>59</v>
      </c>
      <c r="Q883" s="6">
        <v>2.0722727272727202</v>
      </c>
      <c r="R883">
        <v>2.42</v>
      </c>
      <c r="S883">
        <v>11.4</v>
      </c>
      <c r="T883">
        <v>56.99</v>
      </c>
      <c r="U883">
        <v>27.22</v>
      </c>
      <c r="V883">
        <v>72.5</v>
      </c>
      <c r="W883">
        <v>1.27</v>
      </c>
    </row>
    <row r="884" spans="1:23" x14ac:dyDescent="0.3">
      <c r="A884">
        <v>883</v>
      </c>
      <c r="B884" t="s">
        <v>927</v>
      </c>
      <c r="C884" t="s">
        <v>43</v>
      </c>
      <c r="D884">
        <v>122</v>
      </c>
      <c r="E884">
        <v>5179</v>
      </c>
      <c r="F884" s="3">
        <v>189</v>
      </c>
      <c r="G884">
        <v>11</v>
      </c>
      <c r="H884">
        <v>4</v>
      </c>
      <c r="I884" s="5">
        <v>3.2786885245901599E-2</v>
      </c>
      <c r="J884" s="3">
        <v>308</v>
      </c>
      <c r="K884" s="1">
        <v>45614</v>
      </c>
      <c r="L884" t="s">
        <v>25</v>
      </c>
      <c r="M884" t="s">
        <v>39</v>
      </c>
      <c r="N884" t="s">
        <v>49</v>
      </c>
      <c r="O884" t="s">
        <v>28</v>
      </c>
      <c r="P884" t="s">
        <v>59</v>
      </c>
      <c r="Q884" s="6">
        <v>1.5454545454545401</v>
      </c>
      <c r="R884">
        <v>2.36</v>
      </c>
      <c r="S884">
        <v>17.14</v>
      </c>
      <c r="T884">
        <v>47.14</v>
      </c>
      <c r="U884">
        <v>63.36</v>
      </c>
      <c r="V884">
        <v>77</v>
      </c>
      <c r="W884">
        <v>1.63</v>
      </c>
    </row>
    <row r="885" spans="1:23" x14ac:dyDescent="0.3">
      <c r="A885">
        <v>884</v>
      </c>
      <c r="B885" t="s">
        <v>928</v>
      </c>
      <c r="C885" t="s">
        <v>38</v>
      </c>
      <c r="D885">
        <v>113</v>
      </c>
      <c r="E885">
        <v>5265</v>
      </c>
      <c r="F885" s="3">
        <v>184</v>
      </c>
      <c r="G885">
        <v>27</v>
      </c>
      <c r="H885">
        <v>5</v>
      </c>
      <c r="I885" s="5">
        <v>4.4247787610619399E-2</v>
      </c>
      <c r="J885" s="3">
        <v>276</v>
      </c>
      <c r="K885" s="1">
        <v>45616</v>
      </c>
      <c r="L885" t="s">
        <v>25</v>
      </c>
      <c r="M885" t="s">
        <v>39</v>
      </c>
      <c r="N885" t="s">
        <v>36</v>
      </c>
      <c r="O885" t="s">
        <v>28</v>
      </c>
      <c r="P885" t="s">
        <v>33</v>
      </c>
      <c r="Q885" s="6">
        <v>1.63017699115044</v>
      </c>
      <c r="R885">
        <v>2.15</v>
      </c>
      <c r="S885">
        <v>6.82</v>
      </c>
      <c r="T885">
        <v>36.840000000000003</v>
      </c>
      <c r="U885">
        <v>49.83</v>
      </c>
      <c r="V885">
        <v>55.2</v>
      </c>
      <c r="W885">
        <v>1.5</v>
      </c>
    </row>
    <row r="886" spans="1:23" x14ac:dyDescent="0.3">
      <c r="A886">
        <v>885</v>
      </c>
      <c r="B886" t="s">
        <v>929</v>
      </c>
      <c r="C886" t="s">
        <v>35</v>
      </c>
      <c r="D886">
        <v>140</v>
      </c>
      <c r="E886">
        <v>5297</v>
      </c>
      <c r="F886" s="3">
        <v>224</v>
      </c>
      <c r="G886">
        <v>28</v>
      </c>
      <c r="H886">
        <v>6</v>
      </c>
      <c r="I886" s="5">
        <v>4.2857142857142802E-2</v>
      </c>
      <c r="J886" s="3">
        <v>333</v>
      </c>
      <c r="K886" s="1">
        <v>45617</v>
      </c>
      <c r="L886" t="s">
        <v>25</v>
      </c>
      <c r="M886" t="s">
        <v>31</v>
      </c>
      <c r="N886" t="s">
        <v>32</v>
      </c>
      <c r="O886" t="s">
        <v>28</v>
      </c>
      <c r="P886" t="s">
        <v>54</v>
      </c>
      <c r="Q886" s="6">
        <v>1.59928571428571</v>
      </c>
      <c r="R886">
        <v>2.64</v>
      </c>
      <c r="S886">
        <v>8</v>
      </c>
      <c r="T886">
        <v>37.32</v>
      </c>
      <c r="U886">
        <v>48.73</v>
      </c>
      <c r="V886">
        <v>55.5</v>
      </c>
      <c r="W886">
        <v>1.49</v>
      </c>
    </row>
    <row r="887" spans="1:23" x14ac:dyDescent="0.3">
      <c r="A887">
        <v>886</v>
      </c>
      <c r="B887" t="s">
        <v>930</v>
      </c>
      <c r="C887" t="s">
        <v>43</v>
      </c>
      <c r="D887">
        <v>170</v>
      </c>
      <c r="E887">
        <v>3347</v>
      </c>
      <c r="F887" s="3">
        <v>248</v>
      </c>
      <c r="G887">
        <v>27</v>
      </c>
      <c r="H887">
        <v>3</v>
      </c>
      <c r="I887" s="5">
        <v>1.7647058823529401E-2</v>
      </c>
      <c r="J887" s="3">
        <v>351</v>
      </c>
      <c r="K887" s="1">
        <v>45616</v>
      </c>
      <c r="L887" t="s">
        <v>25</v>
      </c>
      <c r="M887" t="s">
        <v>26</v>
      </c>
      <c r="N887" t="s">
        <v>27</v>
      </c>
      <c r="O887" t="s">
        <v>28</v>
      </c>
      <c r="P887" t="s">
        <v>33</v>
      </c>
      <c r="Q887" s="6">
        <v>1.46141176470588</v>
      </c>
      <c r="R887">
        <v>5.08</v>
      </c>
      <c r="S887">
        <v>9.1999999999999993</v>
      </c>
      <c r="T887">
        <v>82.81</v>
      </c>
      <c r="U887">
        <v>41.28</v>
      </c>
      <c r="V887">
        <v>117</v>
      </c>
      <c r="W887">
        <v>1.41</v>
      </c>
    </row>
    <row r="888" spans="1:23" x14ac:dyDescent="0.3">
      <c r="A888">
        <v>887</v>
      </c>
      <c r="B888" t="s">
        <v>931</v>
      </c>
      <c r="C888" t="s">
        <v>38</v>
      </c>
      <c r="D888">
        <v>176</v>
      </c>
      <c r="E888">
        <v>5960</v>
      </c>
      <c r="F888" s="3">
        <v>245</v>
      </c>
      <c r="G888">
        <v>19</v>
      </c>
      <c r="H888">
        <v>8</v>
      </c>
      <c r="I888" s="5">
        <v>4.54545454545454E-2</v>
      </c>
      <c r="J888" s="3">
        <v>359</v>
      </c>
      <c r="K888" s="1">
        <v>45621</v>
      </c>
      <c r="L888" t="s">
        <v>25</v>
      </c>
      <c r="M888" t="s">
        <v>39</v>
      </c>
      <c r="N888" t="s">
        <v>49</v>
      </c>
      <c r="O888" t="s">
        <v>28</v>
      </c>
      <c r="P888" t="s">
        <v>59</v>
      </c>
      <c r="Q888" s="6">
        <v>1.39392045454545</v>
      </c>
      <c r="R888">
        <v>2.95</v>
      </c>
      <c r="S888">
        <v>12.91</v>
      </c>
      <c r="T888">
        <v>30.67</v>
      </c>
      <c r="U888">
        <v>46.33</v>
      </c>
      <c r="V888">
        <v>44.88</v>
      </c>
      <c r="W888">
        <v>1.46</v>
      </c>
    </row>
    <row r="889" spans="1:23" x14ac:dyDescent="0.3">
      <c r="A889">
        <v>888</v>
      </c>
      <c r="B889" t="s">
        <v>932</v>
      </c>
      <c r="C889" t="s">
        <v>43</v>
      </c>
      <c r="D889">
        <v>156</v>
      </c>
      <c r="E889">
        <v>5143</v>
      </c>
      <c r="F889" s="3">
        <v>246</v>
      </c>
      <c r="G889">
        <v>19</v>
      </c>
      <c r="H889">
        <v>5</v>
      </c>
      <c r="I889" s="5">
        <v>3.2051282051282E-2</v>
      </c>
      <c r="J889" s="3">
        <v>275</v>
      </c>
      <c r="K889" s="1">
        <v>45601</v>
      </c>
      <c r="L889" t="s">
        <v>25</v>
      </c>
      <c r="M889" t="s">
        <v>31</v>
      </c>
      <c r="N889" t="s">
        <v>40</v>
      </c>
      <c r="O889" t="s">
        <v>28</v>
      </c>
      <c r="P889" t="s">
        <v>41</v>
      </c>
      <c r="Q889" s="6">
        <v>1.57884615384615</v>
      </c>
      <c r="R889">
        <v>3.03</v>
      </c>
      <c r="S889">
        <v>12.96</v>
      </c>
      <c r="T889">
        <v>49.26</v>
      </c>
      <c r="U889">
        <v>11.65</v>
      </c>
      <c r="V889">
        <v>55</v>
      </c>
      <c r="W889">
        <v>1.1200000000000001</v>
      </c>
    </row>
    <row r="890" spans="1:23" x14ac:dyDescent="0.3">
      <c r="A890">
        <v>889</v>
      </c>
      <c r="B890" t="s">
        <v>933</v>
      </c>
      <c r="C890" t="s">
        <v>38</v>
      </c>
      <c r="D890">
        <v>195</v>
      </c>
      <c r="E890">
        <v>5265</v>
      </c>
      <c r="F890" s="3">
        <v>242</v>
      </c>
      <c r="G890">
        <v>10</v>
      </c>
      <c r="H890">
        <v>4</v>
      </c>
      <c r="I890" s="5">
        <v>2.0512820512820499E-2</v>
      </c>
      <c r="J890" s="3">
        <v>347</v>
      </c>
      <c r="K890" s="1">
        <v>45604</v>
      </c>
      <c r="L890" t="s">
        <v>25</v>
      </c>
      <c r="M890" t="s">
        <v>39</v>
      </c>
      <c r="N890" t="s">
        <v>44</v>
      </c>
      <c r="O890" t="s">
        <v>28</v>
      </c>
      <c r="P890" t="s">
        <v>45</v>
      </c>
      <c r="Q890" s="6">
        <v>1.2410256410256399</v>
      </c>
      <c r="R890">
        <v>3.7</v>
      </c>
      <c r="S890">
        <v>24.2</v>
      </c>
      <c r="T890">
        <v>60.5</v>
      </c>
      <c r="U890">
        <v>43.39</v>
      </c>
      <c r="V890">
        <v>86.75</v>
      </c>
      <c r="W890">
        <v>1.43</v>
      </c>
    </row>
    <row r="891" spans="1:23" x14ac:dyDescent="0.3">
      <c r="A891">
        <v>890</v>
      </c>
      <c r="B891" t="s">
        <v>934</v>
      </c>
      <c r="C891" t="s">
        <v>35</v>
      </c>
      <c r="D891">
        <v>162</v>
      </c>
      <c r="E891">
        <v>4396</v>
      </c>
      <c r="F891" s="3">
        <v>184</v>
      </c>
      <c r="G891">
        <v>18</v>
      </c>
      <c r="H891">
        <v>4</v>
      </c>
      <c r="I891" s="5">
        <v>2.4691358024691301E-2</v>
      </c>
      <c r="J891" s="3">
        <v>215</v>
      </c>
      <c r="K891" s="1">
        <v>45614</v>
      </c>
      <c r="L891" t="s">
        <v>25</v>
      </c>
      <c r="M891" t="s">
        <v>39</v>
      </c>
      <c r="N891" t="s">
        <v>36</v>
      </c>
      <c r="O891" t="s">
        <v>28</v>
      </c>
      <c r="P891" t="s">
        <v>59</v>
      </c>
      <c r="Q891" s="6">
        <v>1.1355555555555501</v>
      </c>
      <c r="R891">
        <v>3.69</v>
      </c>
      <c r="S891">
        <v>10.220000000000001</v>
      </c>
      <c r="T891">
        <v>45.99</v>
      </c>
      <c r="U891">
        <v>16.87</v>
      </c>
      <c r="V891">
        <v>53.75</v>
      </c>
      <c r="W891">
        <v>1.17</v>
      </c>
    </row>
    <row r="892" spans="1:23" x14ac:dyDescent="0.3">
      <c r="A892">
        <v>891</v>
      </c>
      <c r="B892" t="s">
        <v>935</v>
      </c>
      <c r="C892" t="s">
        <v>43</v>
      </c>
      <c r="D892">
        <v>138</v>
      </c>
      <c r="E892">
        <v>4381</v>
      </c>
      <c r="F892" s="3">
        <v>192</v>
      </c>
      <c r="G892">
        <v>28</v>
      </c>
      <c r="H892">
        <v>7</v>
      </c>
      <c r="I892" s="5">
        <v>5.0724637681159403E-2</v>
      </c>
      <c r="J892" s="3">
        <v>358</v>
      </c>
      <c r="K892" s="1">
        <v>45597</v>
      </c>
      <c r="L892" t="s">
        <v>25</v>
      </c>
      <c r="M892" t="s">
        <v>39</v>
      </c>
      <c r="N892" t="s">
        <v>40</v>
      </c>
      <c r="O892" t="s">
        <v>28</v>
      </c>
      <c r="P892" t="s">
        <v>45</v>
      </c>
      <c r="Q892" s="6">
        <v>1.3880434782608599</v>
      </c>
      <c r="R892">
        <v>3.15</v>
      </c>
      <c r="S892">
        <v>6.84</v>
      </c>
      <c r="T892">
        <v>27.36</v>
      </c>
      <c r="U892">
        <v>86.9</v>
      </c>
      <c r="V892">
        <v>51.14</v>
      </c>
      <c r="W892">
        <v>1.87</v>
      </c>
    </row>
    <row r="893" spans="1:23" x14ac:dyDescent="0.3">
      <c r="A893">
        <v>892</v>
      </c>
      <c r="B893" t="s">
        <v>936</v>
      </c>
      <c r="C893" t="s">
        <v>35</v>
      </c>
      <c r="D893">
        <v>177</v>
      </c>
      <c r="E893">
        <v>3965</v>
      </c>
      <c r="F893" s="3">
        <v>226</v>
      </c>
      <c r="G893">
        <v>15</v>
      </c>
      <c r="H893">
        <v>4</v>
      </c>
      <c r="I893" s="5">
        <v>2.2598870056497099E-2</v>
      </c>
      <c r="J893" s="3">
        <v>312</v>
      </c>
      <c r="K893" s="1">
        <v>45618</v>
      </c>
      <c r="L893" t="s">
        <v>25</v>
      </c>
      <c r="M893" t="s">
        <v>31</v>
      </c>
      <c r="N893" t="s">
        <v>44</v>
      </c>
      <c r="O893" t="s">
        <v>28</v>
      </c>
      <c r="P893" t="s">
        <v>45</v>
      </c>
      <c r="Q893" s="6">
        <v>1.2758192090395399</v>
      </c>
      <c r="R893">
        <v>4.46</v>
      </c>
      <c r="S893">
        <v>15.05</v>
      </c>
      <c r="T893">
        <v>56.46</v>
      </c>
      <c r="U893">
        <v>38.159999999999997</v>
      </c>
      <c r="V893">
        <v>78</v>
      </c>
      <c r="W893">
        <v>1.38</v>
      </c>
    </row>
    <row r="894" spans="1:23" x14ac:dyDescent="0.3">
      <c r="A894">
        <v>893</v>
      </c>
      <c r="B894" t="s">
        <v>937</v>
      </c>
      <c r="C894" t="s">
        <v>24</v>
      </c>
      <c r="D894">
        <v>159</v>
      </c>
      <c r="E894">
        <v>3366</v>
      </c>
      <c r="F894" s="3">
        <v>217</v>
      </c>
      <c r="G894">
        <v>21</v>
      </c>
      <c r="H894">
        <v>7</v>
      </c>
      <c r="I894" s="5">
        <v>4.40251572327044E-2</v>
      </c>
      <c r="J894" s="3">
        <v>309</v>
      </c>
      <c r="K894" s="1">
        <v>45613</v>
      </c>
      <c r="L894" t="s">
        <v>25</v>
      </c>
      <c r="M894" t="s">
        <v>39</v>
      </c>
      <c r="N894" t="s">
        <v>44</v>
      </c>
      <c r="O894" t="s">
        <v>28</v>
      </c>
      <c r="P894" t="s">
        <v>50</v>
      </c>
      <c r="Q894" s="6">
        <v>1.3664779874213799</v>
      </c>
      <c r="R894">
        <v>4.72</v>
      </c>
      <c r="S894">
        <v>10.35</v>
      </c>
      <c r="T894">
        <v>31.04</v>
      </c>
      <c r="U894">
        <v>42.22</v>
      </c>
      <c r="V894">
        <v>44.14</v>
      </c>
      <c r="W894">
        <v>1.42</v>
      </c>
    </row>
    <row r="895" spans="1:23" x14ac:dyDescent="0.3">
      <c r="A895">
        <v>894</v>
      </c>
      <c r="B895" t="s">
        <v>938</v>
      </c>
      <c r="C895" t="s">
        <v>35</v>
      </c>
      <c r="D895">
        <v>111</v>
      </c>
      <c r="E895">
        <v>4026</v>
      </c>
      <c r="F895" s="3">
        <v>229</v>
      </c>
      <c r="G895">
        <v>13</v>
      </c>
      <c r="H895">
        <v>3</v>
      </c>
      <c r="I895" s="5">
        <v>2.7027027027027001E-2</v>
      </c>
      <c r="J895" s="3">
        <v>293</v>
      </c>
      <c r="K895" s="1">
        <v>45597</v>
      </c>
      <c r="L895" t="s">
        <v>25</v>
      </c>
      <c r="M895" t="s">
        <v>26</v>
      </c>
      <c r="N895" t="s">
        <v>27</v>
      </c>
      <c r="O895" t="s">
        <v>28</v>
      </c>
      <c r="P895" t="s">
        <v>45</v>
      </c>
      <c r="Q895" s="6">
        <v>2.06315315315315</v>
      </c>
      <c r="R895">
        <v>2.76</v>
      </c>
      <c r="S895">
        <v>17.62</v>
      </c>
      <c r="T895">
        <v>76.34</v>
      </c>
      <c r="U895">
        <v>27.94</v>
      </c>
      <c r="V895">
        <v>97.67</v>
      </c>
      <c r="W895">
        <v>1.28</v>
      </c>
    </row>
    <row r="896" spans="1:23" x14ac:dyDescent="0.3">
      <c r="A896">
        <v>895</v>
      </c>
      <c r="B896" t="s">
        <v>939</v>
      </c>
      <c r="C896" t="s">
        <v>24</v>
      </c>
      <c r="D896">
        <v>184</v>
      </c>
      <c r="E896">
        <v>5560</v>
      </c>
      <c r="F896" s="3">
        <v>189</v>
      </c>
      <c r="G896">
        <v>14</v>
      </c>
      <c r="H896">
        <v>6</v>
      </c>
      <c r="I896" s="5">
        <v>3.2608695652173898E-2</v>
      </c>
      <c r="J896" s="3">
        <v>255</v>
      </c>
      <c r="K896" s="1">
        <v>45613</v>
      </c>
      <c r="L896" t="s">
        <v>25</v>
      </c>
      <c r="M896" t="s">
        <v>39</v>
      </c>
      <c r="N896" t="s">
        <v>36</v>
      </c>
      <c r="O896" t="s">
        <v>28</v>
      </c>
      <c r="P896" t="s">
        <v>50</v>
      </c>
      <c r="Q896" s="6">
        <v>1.02793478260869</v>
      </c>
      <c r="R896">
        <v>3.31</v>
      </c>
      <c r="S896">
        <v>13.51</v>
      </c>
      <c r="T896">
        <v>31.52</v>
      </c>
      <c r="U896">
        <v>34.82</v>
      </c>
      <c r="V896">
        <v>42.5</v>
      </c>
      <c r="W896">
        <v>1.35</v>
      </c>
    </row>
    <row r="897" spans="1:23" x14ac:dyDescent="0.3">
      <c r="A897">
        <v>896</v>
      </c>
      <c r="B897" t="s">
        <v>940</v>
      </c>
      <c r="C897" t="s">
        <v>35</v>
      </c>
      <c r="D897">
        <v>128</v>
      </c>
      <c r="E897">
        <v>4500</v>
      </c>
      <c r="F897" s="3">
        <v>188</v>
      </c>
      <c r="G897">
        <v>10</v>
      </c>
      <c r="H897">
        <v>3</v>
      </c>
      <c r="I897" s="5">
        <v>2.34375E-2</v>
      </c>
      <c r="J897" s="3">
        <v>222</v>
      </c>
      <c r="K897" s="1">
        <v>45610</v>
      </c>
      <c r="L897" t="s">
        <v>25</v>
      </c>
      <c r="M897" t="s">
        <v>26</v>
      </c>
      <c r="N897" t="s">
        <v>44</v>
      </c>
      <c r="O897" t="s">
        <v>28</v>
      </c>
      <c r="P897" t="s">
        <v>54</v>
      </c>
      <c r="Q897" s="6">
        <v>1.4703906250000001</v>
      </c>
      <c r="R897">
        <v>2.84</v>
      </c>
      <c r="S897">
        <v>18.82</v>
      </c>
      <c r="T897">
        <v>62.74</v>
      </c>
      <c r="U897">
        <v>17.95</v>
      </c>
      <c r="V897">
        <v>74</v>
      </c>
      <c r="W897">
        <v>1.18</v>
      </c>
    </row>
    <row r="898" spans="1:23" x14ac:dyDescent="0.3">
      <c r="A898">
        <v>897</v>
      </c>
      <c r="B898" t="s">
        <v>941</v>
      </c>
      <c r="C898" t="s">
        <v>35</v>
      </c>
      <c r="D898">
        <v>164</v>
      </c>
      <c r="E898">
        <v>3851</v>
      </c>
      <c r="F898" s="3">
        <v>219</v>
      </c>
      <c r="G898">
        <v>22</v>
      </c>
      <c r="H898">
        <v>6</v>
      </c>
      <c r="I898" s="5">
        <v>3.65853658536585E-2</v>
      </c>
      <c r="J898" s="3">
        <v>303</v>
      </c>
      <c r="K898" s="1">
        <v>45605</v>
      </c>
      <c r="L898" t="s">
        <v>25</v>
      </c>
      <c r="M898" t="s">
        <v>31</v>
      </c>
      <c r="N898" t="s">
        <v>27</v>
      </c>
      <c r="O898" t="s">
        <v>28</v>
      </c>
      <c r="P898" t="s">
        <v>29</v>
      </c>
      <c r="Q898" s="6">
        <v>1.33628048780487</v>
      </c>
      <c r="R898">
        <v>4.26</v>
      </c>
      <c r="S898">
        <v>9.9600000000000009</v>
      </c>
      <c r="T898">
        <v>36.520000000000003</v>
      </c>
      <c r="U898">
        <v>38.26</v>
      </c>
      <c r="V898">
        <v>50.5</v>
      </c>
      <c r="W898">
        <v>1.38</v>
      </c>
    </row>
    <row r="899" spans="1:23" x14ac:dyDescent="0.3">
      <c r="A899">
        <v>898</v>
      </c>
      <c r="B899" t="s">
        <v>942</v>
      </c>
      <c r="C899" t="s">
        <v>38</v>
      </c>
      <c r="D899">
        <v>120</v>
      </c>
      <c r="E899">
        <v>3464</v>
      </c>
      <c r="F899" s="3">
        <v>228</v>
      </c>
      <c r="G899">
        <v>19</v>
      </c>
      <c r="H899">
        <v>4</v>
      </c>
      <c r="I899" s="5">
        <v>3.3333333333333298E-2</v>
      </c>
      <c r="J899" s="3">
        <v>291</v>
      </c>
      <c r="K899" s="1">
        <v>45618</v>
      </c>
      <c r="L899" t="s">
        <v>25</v>
      </c>
      <c r="M899" t="s">
        <v>39</v>
      </c>
      <c r="N899" t="s">
        <v>44</v>
      </c>
      <c r="O899" t="s">
        <v>28</v>
      </c>
      <c r="P899" t="s">
        <v>45</v>
      </c>
      <c r="Q899" s="6">
        <v>1.9025000000000001</v>
      </c>
      <c r="R899">
        <v>3.46</v>
      </c>
      <c r="S899">
        <v>12.02</v>
      </c>
      <c r="T899">
        <v>57.08</v>
      </c>
      <c r="U899">
        <v>27.46</v>
      </c>
      <c r="V899">
        <v>72.75</v>
      </c>
      <c r="W899">
        <v>1.27</v>
      </c>
    </row>
    <row r="900" spans="1:23" x14ac:dyDescent="0.3">
      <c r="A900">
        <v>899</v>
      </c>
      <c r="B900" t="s">
        <v>943</v>
      </c>
      <c r="C900" t="s">
        <v>35</v>
      </c>
      <c r="D900">
        <v>89</v>
      </c>
      <c r="E900">
        <v>3248</v>
      </c>
      <c r="F900" s="3">
        <v>239</v>
      </c>
      <c r="G900">
        <v>10</v>
      </c>
      <c r="H900">
        <v>4</v>
      </c>
      <c r="I900" s="5">
        <v>4.49438202247191E-2</v>
      </c>
      <c r="J900" s="3">
        <v>186.85714285714201</v>
      </c>
      <c r="K900" s="1">
        <v>45607</v>
      </c>
      <c r="L900" t="s">
        <v>25</v>
      </c>
      <c r="M900" t="s">
        <v>31</v>
      </c>
      <c r="N900" t="s">
        <v>27</v>
      </c>
      <c r="O900" t="s">
        <v>28</v>
      </c>
      <c r="P900" t="s">
        <v>59</v>
      </c>
      <c r="Q900" s="6">
        <v>2.6901123595505601</v>
      </c>
      <c r="R900">
        <v>2.74</v>
      </c>
      <c r="S900">
        <v>23.94</v>
      </c>
      <c r="T900">
        <v>59.86</v>
      </c>
      <c r="U900">
        <v>-21.95</v>
      </c>
      <c r="V900">
        <v>46.71</v>
      </c>
      <c r="W900">
        <v>0.78</v>
      </c>
    </row>
    <row r="901" spans="1:23" x14ac:dyDescent="0.3">
      <c r="A901">
        <v>900</v>
      </c>
      <c r="B901" t="s">
        <v>944</v>
      </c>
      <c r="C901" t="s">
        <v>43</v>
      </c>
      <c r="D901">
        <v>91</v>
      </c>
      <c r="E901">
        <v>3721</v>
      </c>
      <c r="F901" s="3">
        <v>231</v>
      </c>
      <c r="G901">
        <v>24</v>
      </c>
      <c r="H901">
        <v>6</v>
      </c>
      <c r="I901" s="5">
        <v>6.5934065934065894E-2</v>
      </c>
      <c r="J901" s="3">
        <v>280.28571428571399</v>
      </c>
      <c r="K901" s="1">
        <v>45610</v>
      </c>
      <c r="L901" t="s">
        <v>25</v>
      </c>
      <c r="M901" t="s">
        <v>39</v>
      </c>
      <c r="N901" t="s">
        <v>44</v>
      </c>
      <c r="O901" t="s">
        <v>28</v>
      </c>
      <c r="P901" t="s">
        <v>54</v>
      </c>
      <c r="Q901" s="6">
        <v>2.5434065934065901</v>
      </c>
      <c r="R901">
        <v>2.4500000000000002</v>
      </c>
      <c r="S901">
        <v>9.64</v>
      </c>
      <c r="T901">
        <v>38.57</v>
      </c>
      <c r="U901">
        <v>21.1</v>
      </c>
      <c r="V901">
        <v>46.71</v>
      </c>
      <c r="W901">
        <v>1.21</v>
      </c>
    </row>
    <row r="902" spans="1:23" x14ac:dyDescent="0.3">
      <c r="A902">
        <v>901</v>
      </c>
      <c r="B902" t="s">
        <v>945</v>
      </c>
      <c r="C902" t="s">
        <v>24</v>
      </c>
      <c r="D902">
        <v>143</v>
      </c>
      <c r="E902">
        <v>4143</v>
      </c>
      <c r="F902" s="3">
        <v>192</v>
      </c>
      <c r="G902">
        <v>20</v>
      </c>
      <c r="H902">
        <v>5</v>
      </c>
      <c r="I902" s="5">
        <v>3.4965034965034898E-2</v>
      </c>
      <c r="J902" s="3">
        <v>298</v>
      </c>
      <c r="K902" s="1">
        <v>45626</v>
      </c>
      <c r="L902" t="s">
        <v>25</v>
      </c>
      <c r="M902" t="s">
        <v>39</v>
      </c>
      <c r="N902" t="s">
        <v>49</v>
      </c>
      <c r="O902" t="s">
        <v>28</v>
      </c>
      <c r="P902" t="s">
        <v>29</v>
      </c>
      <c r="Q902" s="6">
        <v>1.34041958041958</v>
      </c>
      <c r="R902">
        <v>3.45</v>
      </c>
      <c r="S902">
        <v>9.58</v>
      </c>
      <c r="T902">
        <v>38.340000000000003</v>
      </c>
      <c r="U902">
        <v>55.47</v>
      </c>
      <c r="V902">
        <v>59.6</v>
      </c>
      <c r="W902">
        <v>1.55</v>
      </c>
    </row>
    <row r="903" spans="1:23" x14ac:dyDescent="0.3">
      <c r="A903">
        <v>902</v>
      </c>
      <c r="B903" t="s">
        <v>946</v>
      </c>
      <c r="C903" t="s">
        <v>35</v>
      </c>
      <c r="D903">
        <v>176</v>
      </c>
      <c r="E903">
        <v>5768</v>
      </c>
      <c r="F903" s="3">
        <v>239</v>
      </c>
      <c r="G903">
        <v>14</v>
      </c>
      <c r="H903">
        <v>8</v>
      </c>
      <c r="I903" s="5">
        <v>4.54545454545454E-2</v>
      </c>
      <c r="J903" s="3">
        <v>207</v>
      </c>
      <c r="K903" s="1">
        <v>45598</v>
      </c>
      <c r="L903" t="s">
        <v>25</v>
      </c>
      <c r="M903" t="s">
        <v>39</v>
      </c>
      <c r="N903" t="s">
        <v>36</v>
      </c>
      <c r="O903" t="s">
        <v>28</v>
      </c>
      <c r="P903" t="s">
        <v>29</v>
      </c>
      <c r="Q903" s="6">
        <v>1.35761363636363</v>
      </c>
      <c r="R903">
        <v>3.05</v>
      </c>
      <c r="S903">
        <v>17.07</v>
      </c>
      <c r="T903">
        <v>29.87</v>
      </c>
      <c r="U903">
        <v>-13.37</v>
      </c>
      <c r="V903">
        <v>25.88</v>
      </c>
      <c r="W903">
        <v>0.87</v>
      </c>
    </row>
    <row r="904" spans="1:23" x14ac:dyDescent="0.3">
      <c r="A904">
        <v>903</v>
      </c>
      <c r="B904" t="s">
        <v>947</v>
      </c>
      <c r="C904" t="s">
        <v>43</v>
      </c>
      <c r="D904">
        <v>151</v>
      </c>
      <c r="E904">
        <v>4408</v>
      </c>
      <c r="F904" s="3">
        <v>214</v>
      </c>
      <c r="G904">
        <v>20</v>
      </c>
      <c r="H904">
        <v>5</v>
      </c>
      <c r="I904" s="5">
        <v>3.3112582781456901E-2</v>
      </c>
      <c r="J904" s="3">
        <v>388</v>
      </c>
      <c r="K904" s="1">
        <v>45617</v>
      </c>
      <c r="L904" t="s">
        <v>25</v>
      </c>
      <c r="M904" t="s">
        <v>26</v>
      </c>
      <c r="N904" t="s">
        <v>32</v>
      </c>
      <c r="O904" t="s">
        <v>28</v>
      </c>
      <c r="P904" t="s">
        <v>54</v>
      </c>
      <c r="Q904" s="6">
        <v>1.41913907284768</v>
      </c>
      <c r="R904">
        <v>3.43</v>
      </c>
      <c r="S904">
        <v>10.71</v>
      </c>
      <c r="T904">
        <v>42.86</v>
      </c>
      <c r="U904">
        <v>81.06</v>
      </c>
      <c r="V904">
        <v>77.599999999999994</v>
      </c>
      <c r="W904">
        <v>1.81</v>
      </c>
    </row>
    <row r="905" spans="1:23" x14ac:dyDescent="0.3">
      <c r="A905">
        <v>904</v>
      </c>
      <c r="B905" t="s">
        <v>948</v>
      </c>
      <c r="C905" t="s">
        <v>38</v>
      </c>
      <c r="D905">
        <v>134</v>
      </c>
      <c r="E905">
        <v>3623</v>
      </c>
      <c r="F905" s="3">
        <v>222</v>
      </c>
      <c r="G905">
        <v>19</v>
      </c>
      <c r="H905">
        <v>5</v>
      </c>
      <c r="I905" s="5">
        <v>3.7313432835820802E-2</v>
      </c>
      <c r="J905" s="3">
        <v>395</v>
      </c>
      <c r="K905" s="1">
        <v>45620</v>
      </c>
      <c r="L905" t="s">
        <v>25</v>
      </c>
      <c r="M905" t="s">
        <v>26</v>
      </c>
      <c r="N905" t="s">
        <v>36</v>
      </c>
      <c r="O905" t="s">
        <v>28</v>
      </c>
      <c r="P905" t="s">
        <v>50</v>
      </c>
      <c r="Q905" s="6">
        <v>1.65410447761194</v>
      </c>
      <c r="R905">
        <v>3.7</v>
      </c>
      <c r="S905">
        <v>11.67</v>
      </c>
      <c r="T905">
        <v>44.33</v>
      </c>
      <c r="U905">
        <v>78.209999999999994</v>
      </c>
      <c r="V905">
        <v>79</v>
      </c>
      <c r="W905">
        <v>1.78</v>
      </c>
    </row>
    <row r="906" spans="1:23" x14ac:dyDescent="0.3">
      <c r="A906">
        <v>905</v>
      </c>
      <c r="B906" t="s">
        <v>949</v>
      </c>
      <c r="C906" t="s">
        <v>24</v>
      </c>
      <c r="D906">
        <v>191</v>
      </c>
      <c r="E906">
        <v>3057</v>
      </c>
      <c r="F906" s="3">
        <v>223</v>
      </c>
      <c r="G906">
        <v>27</v>
      </c>
      <c r="H906">
        <v>6</v>
      </c>
      <c r="I906" s="5">
        <v>3.1413612565444997E-2</v>
      </c>
      <c r="J906" s="3">
        <v>247</v>
      </c>
      <c r="K906" s="1">
        <v>45599</v>
      </c>
      <c r="L906" t="s">
        <v>25</v>
      </c>
      <c r="M906" t="s">
        <v>26</v>
      </c>
      <c r="N906" t="s">
        <v>36</v>
      </c>
      <c r="O906" t="s">
        <v>28</v>
      </c>
      <c r="P906" t="s">
        <v>50</v>
      </c>
      <c r="Q906" s="6">
        <v>1.1690052356020899</v>
      </c>
      <c r="R906">
        <v>6.25</v>
      </c>
      <c r="S906">
        <v>8.27</v>
      </c>
      <c r="T906">
        <v>37.21</v>
      </c>
      <c r="U906">
        <v>10.62</v>
      </c>
      <c r="V906">
        <v>41.17</v>
      </c>
      <c r="W906">
        <v>1.1100000000000001</v>
      </c>
    </row>
    <row r="907" spans="1:23" x14ac:dyDescent="0.3">
      <c r="A907">
        <v>906</v>
      </c>
      <c r="B907" t="s">
        <v>950</v>
      </c>
      <c r="C907" t="s">
        <v>35</v>
      </c>
      <c r="D907">
        <v>170</v>
      </c>
      <c r="E907">
        <v>3144</v>
      </c>
      <c r="F907" s="3">
        <v>266</v>
      </c>
      <c r="G907">
        <v>21</v>
      </c>
      <c r="H907">
        <v>3</v>
      </c>
      <c r="I907" s="5">
        <v>1.7647058823529401E-2</v>
      </c>
      <c r="J907" s="3">
        <v>346</v>
      </c>
      <c r="K907" s="1">
        <v>45601</v>
      </c>
      <c r="L907" t="s">
        <v>25</v>
      </c>
      <c r="M907" t="s">
        <v>26</v>
      </c>
      <c r="N907" t="s">
        <v>36</v>
      </c>
      <c r="O907" t="s">
        <v>28</v>
      </c>
      <c r="P907" t="s">
        <v>41</v>
      </c>
      <c r="Q907" s="6">
        <v>1.56753061615001</v>
      </c>
      <c r="R907">
        <v>5.41</v>
      </c>
      <c r="S907">
        <v>12.69</v>
      </c>
      <c r="T907">
        <v>88.83</v>
      </c>
      <c r="U907">
        <v>29.84</v>
      </c>
      <c r="V907">
        <v>115.33</v>
      </c>
      <c r="W907">
        <v>1.3</v>
      </c>
    </row>
    <row r="908" spans="1:23" x14ac:dyDescent="0.3">
      <c r="A908">
        <v>907</v>
      </c>
      <c r="B908" t="s">
        <v>951</v>
      </c>
      <c r="C908" t="s">
        <v>43</v>
      </c>
      <c r="D908">
        <v>112</v>
      </c>
      <c r="E908">
        <v>3989</v>
      </c>
      <c r="F908" s="3">
        <v>229</v>
      </c>
      <c r="G908">
        <v>10</v>
      </c>
      <c r="H908">
        <v>8</v>
      </c>
      <c r="I908" s="5">
        <v>7.1428571428571397E-2</v>
      </c>
      <c r="J908" s="3">
        <v>370</v>
      </c>
      <c r="K908" s="1">
        <v>45609</v>
      </c>
      <c r="L908" t="s">
        <v>25</v>
      </c>
      <c r="M908" t="s">
        <v>31</v>
      </c>
      <c r="N908" t="s">
        <v>49</v>
      </c>
      <c r="O908" t="s">
        <v>28</v>
      </c>
      <c r="P908" t="s">
        <v>33</v>
      </c>
      <c r="Q908" s="6">
        <v>2.04232142857142</v>
      </c>
      <c r="R908">
        <v>2.81</v>
      </c>
      <c r="S908">
        <v>22.87</v>
      </c>
      <c r="T908">
        <v>28.59</v>
      </c>
      <c r="U908">
        <v>61.76</v>
      </c>
      <c r="V908">
        <v>46.25</v>
      </c>
      <c r="W908">
        <v>1.62</v>
      </c>
    </row>
    <row r="909" spans="1:23" x14ac:dyDescent="0.3">
      <c r="A909">
        <v>908</v>
      </c>
      <c r="B909" t="s">
        <v>952</v>
      </c>
      <c r="C909" t="s">
        <v>38</v>
      </c>
      <c r="D909">
        <v>169</v>
      </c>
      <c r="E909">
        <v>3619</v>
      </c>
      <c r="F909" s="3">
        <v>247</v>
      </c>
      <c r="G909">
        <v>28</v>
      </c>
      <c r="H909">
        <v>3</v>
      </c>
      <c r="I909" s="5">
        <v>1.7751479289940801E-2</v>
      </c>
      <c r="J909" s="3">
        <v>276</v>
      </c>
      <c r="K909" s="1">
        <v>45621</v>
      </c>
      <c r="L909" t="s">
        <v>25</v>
      </c>
      <c r="M909" t="s">
        <v>26</v>
      </c>
      <c r="N909" t="s">
        <v>44</v>
      </c>
      <c r="O909" t="s">
        <v>28</v>
      </c>
      <c r="P909" t="s">
        <v>59</v>
      </c>
      <c r="Q909" s="6">
        <v>1.45952662721893</v>
      </c>
      <c r="R909">
        <v>4.67</v>
      </c>
      <c r="S909">
        <v>8.81</v>
      </c>
      <c r="T909">
        <v>82.22</v>
      </c>
      <c r="U909">
        <v>11.89</v>
      </c>
      <c r="V909">
        <v>92</v>
      </c>
      <c r="W909">
        <v>1.1200000000000001</v>
      </c>
    </row>
    <row r="910" spans="1:23" x14ac:dyDescent="0.3">
      <c r="A910">
        <v>909</v>
      </c>
      <c r="B910" t="s">
        <v>953</v>
      </c>
      <c r="C910" t="s">
        <v>35</v>
      </c>
      <c r="D910">
        <v>172</v>
      </c>
      <c r="E910">
        <v>4696</v>
      </c>
      <c r="F910" s="3">
        <v>242</v>
      </c>
      <c r="G910">
        <v>26</v>
      </c>
      <c r="H910">
        <v>3</v>
      </c>
      <c r="I910" s="5">
        <v>1.7441860465116199E-2</v>
      </c>
      <c r="J910" s="3">
        <v>351</v>
      </c>
      <c r="K910" s="1">
        <v>45602</v>
      </c>
      <c r="L910" t="s">
        <v>25</v>
      </c>
      <c r="M910" t="s">
        <v>26</v>
      </c>
      <c r="N910" t="s">
        <v>32</v>
      </c>
      <c r="O910" t="s">
        <v>28</v>
      </c>
      <c r="P910" t="s">
        <v>33</v>
      </c>
      <c r="Q910" s="6">
        <v>1.4079651162790601</v>
      </c>
      <c r="R910">
        <v>3.66</v>
      </c>
      <c r="S910">
        <v>9.31</v>
      </c>
      <c r="T910">
        <v>80.72</v>
      </c>
      <c r="U910">
        <v>44.94</v>
      </c>
      <c r="V910">
        <v>117</v>
      </c>
      <c r="W910">
        <v>1.45</v>
      </c>
    </row>
    <row r="911" spans="1:23" x14ac:dyDescent="0.3">
      <c r="A911">
        <v>910</v>
      </c>
      <c r="B911" t="s">
        <v>954</v>
      </c>
      <c r="C911" t="s">
        <v>38</v>
      </c>
      <c r="D911">
        <v>162</v>
      </c>
      <c r="E911">
        <v>5684</v>
      </c>
      <c r="F911" s="3">
        <v>219</v>
      </c>
      <c r="G911">
        <v>30</v>
      </c>
      <c r="H911">
        <v>7</v>
      </c>
      <c r="I911" s="5">
        <v>4.3209876543209798E-2</v>
      </c>
      <c r="J911" s="3">
        <v>264</v>
      </c>
      <c r="K911" s="1">
        <v>45622</v>
      </c>
      <c r="L911" t="s">
        <v>25</v>
      </c>
      <c r="M911" t="s">
        <v>26</v>
      </c>
      <c r="N911" t="s">
        <v>32</v>
      </c>
      <c r="O911" t="s">
        <v>28</v>
      </c>
      <c r="P911" t="s">
        <v>41</v>
      </c>
      <c r="Q911" s="6">
        <v>1.35234567901234</v>
      </c>
      <c r="R911">
        <v>2.85</v>
      </c>
      <c r="S911">
        <v>7.3</v>
      </c>
      <c r="T911">
        <v>31.3</v>
      </c>
      <c r="U911">
        <v>20.5</v>
      </c>
      <c r="V911">
        <v>37.71</v>
      </c>
      <c r="W911">
        <v>1.21</v>
      </c>
    </row>
    <row r="912" spans="1:23" x14ac:dyDescent="0.3">
      <c r="A912">
        <v>911</v>
      </c>
      <c r="B912" t="s">
        <v>955</v>
      </c>
      <c r="C912" t="s">
        <v>43</v>
      </c>
      <c r="D912">
        <v>183</v>
      </c>
      <c r="E912">
        <v>4197</v>
      </c>
      <c r="F912" s="3">
        <v>243</v>
      </c>
      <c r="G912">
        <v>29</v>
      </c>
      <c r="H912">
        <v>8</v>
      </c>
      <c r="I912" s="5">
        <v>4.3715846994535498E-2</v>
      </c>
      <c r="J912" s="3">
        <v>325</v>
      </c>
      <c r="K912" s="1">
        <v>45605</v>
      </c>
      <c r="L912" t="s">
        <v>25</v>
      </c>
      <c r="M912" t="s">
        <v>31</v>
      </c>
      <c r="N912" t="s">
        <v>40</v>
      </c>
      <c r="O912" t="s">
        <v>28</v>
      </c>
      <c r="P912" t="s">
        <v>29</v>
      </c>
      <c r="Q912" s="6">
        <v>1.3289071038251301</v>
      </c>
      <c r="R912">
        <v>4.3600000000000003</v>
      </c>
      <c r="S912">
        <v>8.39</v>
      </c>
      <c r="T912">
        <v>30.4</v>
      </c>
      <c r="U912">
        <v>33.64</v>
      </c>
      <c r="V912">
        <v>40.619999999999997</v>
      </c>
      <c r="W912">
        <v>1.34</v>
      </c>
    </row>
    <row r="913" spans="1:23" x14ac:dyDescent="0.3">
      <c r="A913">
        <v>912</v>
      </c>
      <c r="B913" t="s">
        <v>956</v>
      </c>
      <c r="C913" t="s">
        <v>35</v>
      </c>
      <c r="D913">
        <v>108</v>
      </c>
      <c r="E913">
        <v>5949</v>
      </c>
      <c r="F913" s="3">
        <v>184</v>
      </c>
      <c r="G913">
        <v>23</v>
      </c>
      <c r="H913">
        <v>8</v>
      </c>
      <c r="I913" s="5">
        <v>7.4074074074074001E-2</v>
      </c>
      <c r="J913" s="3">
        <v>405</v>
      </c>
      <c r="K913" s="1">
        <v>45619</v>
      </c>
      <c r="L913" t="s">
        <v>25</v>
      </c>
      <c r="M913" t="s">
        <v>26</v>
      </c>
      <c r="N913" t="s">
        <v>40</v>
      </c>
      <c r="O913" t="s">
        <v>28</v>
      </c>
      <c r="P913" t="s">
        <v>29</v>
      </c>
      <c r="Q913" s="6">
        <v>1.7060185185185099</v>
      </c>
      <c r="R913">
        <v>1.82</v>
      </c>
      <c r="S913">
        <v>8.01</v>
      </c>
      <c r="T913">
        <v>23.03</v>
      </c>
      <c r="U913">
        <v>119.81</v>
      </c>
      <c r="V913">
        <v>50.62</v>
      </c>
      <c r="W913">
        <v>2.2000000000000002</v>
      </c>
    </row>
    <row r="914" spans="1:23" x14ac:dyDescent="0.3">
      <c r="A914">
        <v>913</v>
      </c>
      <c r="B914" t="s">
        <v>957</v>
      </c>
      <c r="C914" t="s">
        <v>43</v>
      </c>
      <c r="D914">
        <v>126</v>
      </c>
      <c r="E914">
        <v>3784</v>
      </c>
      <c r="F914" s="3">
        <v>192</v>
      </c>
      <c r="G914">
        <v>24</v>
      </c>
      <c r="H914">
        <v>5</v>
      </c>
      <c r="I914" s="5">
        <v>3.9682539682539597E-2</v>
      </c>
      <c r="J914" s="3">
        <v>398</v>
      </c>
      <c r="K914" s="1">
        <v>45624</v>
      </c>
      <c r="L914" t="s">
        <v>25</v>
      </c>
      <c r="M914" t="s">
        <v>31</v>
      </c>
      <c r="N914" t="s">
        <v>49</v>
      </c>
      <c r="O914" t="s">
        <v>28</v>
      </c>
      <c r="P914" t="s">
        <v>54</v>
      </c>
      <c r="Q914" s="6">
        <v>1.5243795620437901</v>
      </c>
      <c r="R914">
        <v>3.33</v>
      </c>
      <c r="S914">
        <v>8</v>
      </c>
      <c r="T914">
        <v>38.409999999999997</v>
      </c>
      <c r="U914">
        <v>107.21</v>
      </c>
      <c r="V914">
        <v>79.599999999999994</v>
      </c>
      <c r="W914">
        <v>2.0699999999999998</v>
      </c>
    </row>
    <row r="915" spans="1:23" x14ac:dyDescent="0.3">
      <c r="A915">
        <v>914</v>
      </c>
      <c r="B915" t="s">
        <v>958</v>
      </c>
      <c r="C915" t="s">
        <v>38</v>
      </c>
      <c r="D915">
        <v>174</v>
      </c>
      <c r="E915">
        <v>3570</v>
      </c>
      <c r="F915" s="3">
        <v>223</v>
      </c>
      <c r="G915">
        <v>25</v>
      </c>
      <c r="H915">
        <v>3</v>
      </c>
      <c r="I915" s="5">
        <v>1.72413793103448E-2</v>
      </c>
      <c r="J915" s="3">
        <v>140.142857142857</v>
      </c>
      <c r="K915" s="1">
        <v>45615</v>
      </c>
      <c r="L915" t="s">
        <v>25</v>
      </c>
      <c r="M915" t="s">
        <v>39</v>
      </c>
      <c r="N915" t="s">
        <v>27</v>
      </c>
      <c r="O915" t="s">
        <v>28</v>
      </c>
      <c r="P915" t="s">
        <v>41</v>
      </c>
      <c r="Q915" s="6">
        <v>1.27959770114942</v>
      </c>
      <c r="R915">
        <v>4.87</v>
      </c>
      <c r="S915">
        <v>8.91</v>
      </c>
      <c r="T915">
        <v>74.22</v>
      </c>
      <c r="U915">
        <v>-37.06</v>
      </c>
      <c r="V915">
        <v>46.71</v>
      </c>
      <c r="W915">
        <v>0.63</v>
      </c>
    </row>
    <row r="916" spans="1:23" x14ac:dyDescent="0.3">
      <c r="A916">
        <v>915</v>
      </c>
      <c r="B916" t="s">
        <v>959</v>
      </c>
      <c r="C916" t="s">
        <v>24</v>
      </c>
      <c r="D916">
        <v>122</v>
      </c>
      <c r="E916">
        <v>4632</v>
      </c>
      <c r="F916" s="3">
        <v>237</v>
      </c>
      <c r="G916">
        <v>13</v>
      </c>
      <c r="H916">
        <v>6</v>
      </c>
      <c r="I916" s="5">
        <v>4.9180327868852403E-2</v>
      </c>
      <c r="J916" s="3">
        <v>204</v>
      </c>
      <c r="K916" s="1">
        <v>45611</v>
      </c>
      <c r="L916" t="s">
        <v>25</v>
      </c>
      <c r="M916" t="s">
        <v>26</v>
      </c>
      <c r="N916" t="s">
        <v>32</v>
      </c>
      <c r="O916" t="s">
        <v>28</v>
      </c>
      <c r="P916" t="s">
        <v>45</v>
      </c>
      <c r="Q916" s="6">
        <v>1.9390983606557299</v>
      </c>
      <c r="R916">
        <v>2.63</v>
      </c>
      <c r="S916">
        <v>18.2</v>
      </c>
      <c r="T916">
        <v>39.43</v>
      </c>
      <c r="U916">
        <v>-13.77</v>
      </c>
      <c r="V916">
        <v>34</v>
      </c>
      <c r="W916">
        <v>0.86</v>
      </c>
    </row>
    <row r="917" spans="1:23" x14ac:dyDescent="0.3">
      <c r="A917">
        <v>916</v>
      </c>
      <c r="B917" t="s">
        <v>960</v>
      </c>
      <c r="C917" t="s">
        <v>35</v>
      </c>
      <c r="D917">
        <v>191</v>
      </c>
      <c r="E917">
        <v>3457</v>
      </c>
      <c r="F917" s="3">
        <v>238</v>
      </c>
      <c r="G917">
        <v>27</v>
      </c>
      <c r="H917">
        <v>10</v>
      </c>
      <c r="I917" s="5">
        <v>5.23560209424083E-2</v>
      </c>
      <c r="J917" s="3">
        <v>467.142857142857</v>
      </c>
      <c r="K917" s="1">
        <v>45601</v>
      </c>
      <c r="L917" t="s">
        <v>25</v>
      </c>
      <c r="M917" t="s">
        <v>26</v>
      </c>
      <c r="N917" t="s">
        <v>32</v>
      </c>
      <c r="O917" t="s">
        <v>28</v>
      </c>
      <c r="P917" t="s">
        <v>41</v>
      </c>
      <c r="Q917" s="6">
        <v>1.2439790575916201</v>
      </c>
      <c r="R917">
        <v>5.53</v>
      </c>
      <c r="S917">
        <v>8.8000000000000007</v>
      </c>
      <c r="T917">
        <v>23.76</v>
      </c>
      <c r="U917">
        <v>96.61</v>
      </c>
      <c r="V917">
        <v>46.71</v>
      </c>
      <c r="W917">
        <v>1.97</v>
      </c>
    </row>
    <row r="918" spans="1:23" x14ac:dyDescent="0.3">
      <c r="A918">
        <v>917</v>
      </c>
      <c r="B918" t="s">
        <v>961</v>
      </c>
      <c r="C918" t="s">
        <v>24</v>
      </c>
      <c r="D918">
        <v>122</v>
      </c>
      <c r="E918">
        <v>4525</v>
      </c>
      <c r="F918" s="3">
        <v>203</v>
      </c>
      <c r="G918">
        <v>23</v>
      </c>
      <c r="H918">
        <v>8</v>
      </c>
      <c r="I918" s="5">
        <v>6.5573770491803199E-2</v>
      </c>
      <c r="J918" s="3">
        <v>306</v>
      </c>
      <c r="K918" s="1">
        <v>45618</v>
      </c>
      <c r="L918" t="s">
        <v>25</v>
      </c>
      <c r="M918" t="s">
        <v>39</v>
      </c>
      <c r="N918" t="s">
        <v>40</v>
      </c>
      <c r="O918" t="s">
        <v>28</v>
      </c>
      <c r="P918" t="s">
        <v>45</v>
      </c>
      <c r="Q918" s="6">
        <v>1.6630327868852399</v>
      </c>
      <c r="R918">
        <v>2.7</v>
      </c>
      <c r="S918">
        <v>8.82</v>
      </c>
      <c r="T918">
        <v>25.36</v>
      </c>
      <c r="U918">
        <v>50.82</v>
      </c>
      <c r="V918">
        <v>38.25</v>
      </c>
      <c r="W918">
        <v>1.51</v>
      </c>
    </row>
    <row r="919" spans="1:23" x14ac:dyDescent="0.3">
      <c r="A919">
        <v>918</v>
      </c>
      <c r="B919" t="s">
        <v>962</v>
      </c>
      <c r="C919" t="s">
        <v>24</v>
      </c>
      <c r="D919">
        <v>175</v>
      </c>
      <c r="E919">
        <v>4850</v>
      </c>
      <c r="F919" s="3">
        <v>186</v>
      </c>
      <c r="G919">
        <v>28</v>
      </c>
      <c r="H919">
        <v>10</v>
      </c>
      <c r="I919" s="5">
        <v>5.7142857142857099E-2</v>
      </c>
      <c r="J919" s="3">
        <v>404</v>
      </c>
      <c r="K919" s="1">
        <v>45614</v>
      </c>
      <c r="L919" t="s">
        <v>25</v>
      </c>
      <c r="M919" t="s">
        <v>26</v>
      </c>
      <c r="N919" t="s">
        <v>49</v>
      </c>
      <c r="O919" t="s">
        <v>28</v>
      </c>
      <c r="P919" t="s">
        <v>59</v>
      </c>
      <c r="Q919" s="6">
        <v>1.0642857142857101</v>
      </c>
      <c r="R919">
        <v>3.61</v>
      </c>
      <c r="S919">
        <v>6.65</v>
      </c>
      <c r="T919">
        <v>18.62</v>
      </c>
      <c r="U919">
        <v>116.91</v>
      </c>
      <c r="V919">
        <v>40.4</v>
      </c>
      <c r="W919">
        <v>2.17</v>
      </c>
    </row>
    <row r="920" spans="1:23" x14ac:dyDescent="0.3">
      <c r="A920">
        <v>919</v>
      </c>
      <c r="B920" t="s">
        <v>963</v>
      </c>
      <c r="C920" t="s">
        <v>35</v>
      </c>
      <c r="D920">
        <v>123</v>
      </c>
      <c r="E920">
        <v>4938</v>
      </c>
      <c r="F920" s="3">
        <v>181</v>
      </c>
      <c r="G920">
        <v>24</v>
      </c>
      <c r="H920">
        <v>9</v>
      </c>
      <c r="I920" s="5">
        <v>7.3170731707316999E-2</v>
      </c>
      <c r="J920" s="3">
        <v>356</v>
      </c>
      <c r="K920" s="1">
        <v>45617</v>
      </c>
      <c r="L920" t="s">
        <v>25</v>
      </c>
      <c r="M920" t="s">
        <v>39</v>
      </c>
      <c r="N920" t="s">
        <v>32</v>
      </c>
      <c r="O920" t="s">
        <v>28</v>
      </c>
      <c r="P920" t="s">
        <v>54</v>
      </c>
      <c r="Q920" s="6">
        <v>1.4686178861788599</v>
      </c>
      <c r="R920">
        <v>2.4900000000000002</v>
      </c>
      <c r="S920">
        <v>7.53</v>
      </c>
      <c r="T920">
        <v>20.07</v>
      </c>
      <c r="U920">
        <v>97.08</v>
      </c>
      <c r="V920">
        <v>39.56</v>
      </c>
      <c r="W920">
        <v>1.97</v>
      </c>
    </row>
    <row r="921" spans="1:23" x14ac:dyDescent="0.3">
      <c r="A921">
        <v>920</v>
      </c>
      <c r="B921" t="s">
        <v>964</v>
      </c>
      <c r="C921" t="s">
        <v>43</v>
      </c>
      <c r="D921">
        <v>135</v>
      </c>
      <c r="E921">
        <v>5748</v>
      </c>
      <c r="F921" s="3">
        <v>239</v>
      </c>
      <c r="G921">
        <v>20</v>
      </c>
      <c r="H921">
        <v>7</v>
      </c>
      <c r="I921" s="5">
        <v>5.1851851851851802E-2</v>
      </c>
      <c r="J921" s="3">
        <v>249</v>
      </c>
      <c r="K921" s="1">
        <v>45617</v>
      </c>
      <c r="L921" t="s">
        <v>25</v>
      </c>
      <c r="M921" t="s">
        <v>39</v>
      </c>
      <c r="N921" t="s">
        <v>49</v>
      </c>
      <c r="O921" t="s">
        <v>28</v>
      </c>
      <c r="P921" t="s">
        <v>54</v>
      </c>
      <c r="Q921" s="6">
        <v>1.772</v>
      </c>
      <c r="R921">
        <v>2.35</v>
      </c>
      <c r="S921">
        <v>11.96</v>
      </c>
      <c r="T921">
        <v>34.17</v>
      </c>
      <c r="U921">
        <v>4.09</v>
      </c>
      <c r="V921">
        <v>35.57</v>
      </c>
      <c r="W921">
        <v>1.04</v>
      </c>
    </row>
    <row r="922" spans="1:23" x14ac:dyDescent="0.3">
      <c r="A922">
        <v>921</v>
      </c>
      <c r="B922" t="s">
        <v>965</v>
      </c>
      <c r="C922" t="s">
        <v>38</v>
      </c>
      <c r="D922">
        <v>140</v>
      </c>
      <c r="E922">
        <v>4622</v>
      </c>
      <c r="F922" s="3">
        <v>188</v>
      </c>
      <c r="G922">
        <v>24</v>
      </c>
      <c r="H922">
        <v>5</v>
      </c>
      <c r="I922" s="5">
        <v>3.5714285714285698E-2</v>
      </c>
      <c r="J922" s="3">
        <v>408</v>
      </c>
      <c r="K922" s="1">
        <v>45607</v>
      </c>
      <c r="L922" t="s">
        <v>25</v>
      </c>
      <c r="M922" t="s">
        <v>39</v>
      </c>
      <c r="N922" t="s">
        <v>49</v>
      </c>
      <c r="O922" t="s">
        <v>28</v>
      </c>
      <c r="P922" t="s">
        <v>59</v>
      </c>
      <c r="Q922" s="6">
        <v>1.3417857142857099</v>
      </c>
      <c r="R922">
        <v>3.03</v>
      </c>
      <c r="S922">
        <v>7.83</v>
      </c>
      <c r="T922">
        <v>37.57</v>
      </c>
      <c r="U922">
        <v>117.19</v>
      </c>
      <c r="V922">
        <v>81.599999999999994</v>
      </c>
      <c r="W922">
        <v>2.17</v>
      </c>
    </row>
    <row r="923" spans="1:23" x14ac:dyDescent="0.3">
      <c r="A923">
        <v>922</v>
      </c>
      <c r="B923" t="s">
        <v>966</v>
      </c>
      <c r="C923" t="s">
        <v>38</v>
      </c>
      <c r="D923">
        <v>90</v>
      </c>
      <c r="E923">
        <v>5596</v>
      </c>
      <c r="F923" s="3">
        <v>188</v>
      </c>
      <c r="G923">
        <v>12</v>
      </c>
      <c r="H923">
        <v>4</v>
      </c>
      <c r="I923" s="5">
        <v>4.4444444444444398E-2</v>
      </c>
      <c r="J923" s="3">
        <v>186.85714285714201</v>
      </c>
      <c r="K923" s="1">
        <v>45613</v>
      </c>
      <c r="L923" t="s">
        <v>25</v>
      </c>
      <c r="M923" t="s">
        <v>31</v>
      </c>
      <c r="N923" t="s">
        <v>44</v>
      </c>
      <c r="O923" t="s">
        <v>28</v>
      </c>
      <c r="P923" t="s">
        <v>50</v>
      </c>
      <c r="Q923" s="6">
        <v>2.0893333333333302</v>
      </c>
      <c r="R923">
        <v>1.61</v>
      </c>
      <c r="S923">
        <v>15.67</v>
      </c>
      <c r="T923">
        <v>47.01</v>
      </c>
      <c r="U923">
        <v>-0.63</v>
      </c>
      <c r="V923">
        <v>46.71</v>
      </c>
      <c r="W923">
        <v>0.99</v>
      </c>
    </row>
    <row r="924" spans="1:23" x14ac:dyDescent="0.3">
      <c r="A924">
        <v>923</v>
      </c>
      <c r="B924" t="s">
        <v>967</v>
      </c>
      <c r="C924" t="s">
        <v>43</v>
      </c>
      <c r="D924">
        <v>161</v>
      </c>
      <c r="E924">
        <v>5308</v>
      </c>
      <c r="F924" s="3">
        <v>234</v>
      </c>
      <c r="G924">
        <v>27</v>
      </c>
      <c r="H924">
        <v>8</v>
      </c>
      <c r="I924" s="5">
        <v>4.9689440993788803E-2</v>
      </c>
      <c r="J924" s="3">
        <v>235</v>
      </c>
      <c r="K924" s="1">
        <v>45612</v>
      </c>
      <c r="L924" t="s">
        <v>25</v>
      </c>
      <c r="M924" t="s">
        <v>39</v>
      </c>
      <c r="N924" t="s">
        <v>49</v>
      </c>
      <c r="O924" t="s">
        <v>28</v>
      </c>
      <c r="P924" t="s">
        <v>29</v>
      </c>
      <c r="Q924" s="6">
        <v>1.45403726708074</v>
      </c>
      <c r="R924">
        <v>3.03</v>
      </c>
      <c r="S924">
        <v>8.67</v>
      </c>
      <c r="T924">
        <v>29.26</v>
      </c>
      <c r="U924">
        <v>0.38</v>
      </c>
      <c r="V924">
        <v>29.38</v>
      </c>
      <c r="W924">
        <v>1</v>
      </c>
    </row>
    <row r="925" spans="1:23" x14ac:dyDescent="0.3">
      <c r="A925">
        <v>924</v>
      </c>
      <c r="B925" t="s">
        <v>968</v>
      </c>
      <c r="C925" t="s">
        <v>35</v>
      </c>
      <c r="D925">
        <v>89</v>
      </c>
      <c r="E925">
        <v>3069</v>
      </c>
      <c r="F925" s="3">
        <v>205</v>
      </c>
      <c r="G925">
        <v>19</v>
      </c>
      <c r="H925">
        <v>6</v>
      </c>
      <c r="I925" s="5">
        <v>6.7415730337078594E-2</v>
      </c>
      <c r="J925" s="3">
        <v>310</v>
      </c>
      <c r="K925" s="1">
        <v>45624</v>
      </c>
      <c r="L925" t="s">
        <v>25</v>
      </c>
      <c r="M925" t="s">
        <v>26</v>
      </c>
      <c r="N925" t="s">
        <v>36</v>
      </c>
      <c r="O925" t="s">
        <v>28</v>
      </c>
      <c r="P925" t="s">
        <v>54</v>
      </c>
      <c r="Q925" s="6">
        <v>2.30752808988764</v>
      </c>
      <c r="R925">
        <v>2.9</v>
      </c>
      <c r="S925">
        <v>10.81</v>
      </c>
      <c r="T925">
        <v>34.229999999999997</v>
      </c>
      <c r="U925">
        <v>50.95</v>
      </c>
      <c r="V925">
        <v>51.67</v>
      </c>
      <c r="W925">
        <v>1.51</v>
      </c>
    </row>
    <row r="926" spans="1:23" x14ac:dyDescent="0.3">
      <c r="A926">
        <v>925</v>
      </c>
      <c r="B926" t="s">
        <v>969</v>
      </c>
      <c r="C926" t="s">
        <v>43</v>
      </c>
      <c r="D926">
        <v>128</v>
      </c>
      <c r="E926">
        <v>4221</v>
      </c>
      <c r="F926" s="3">
        <v>181</v>
      </c>
      <c r="G926">
        <v>24</v>
      </c>
      <c r="H926">
        <v>10</v>
      </c>
      <c r="I926" s="5">
        <v>7.8125E-2</v>
      </c>
      <c r="J926" s="3">
        <v>221</v>
      </c>
      <c r="K926" s="1">
        <v>45609</v>
      </c>
      <c r="L926" t="s">
        <v>25</v>
      </c>
      <c r="M926" t="s">
        <v>39</v>
      </c>
      <c r="N926" t="s">
        <v>27</v>
      </c>
      <c r="O926" t="s">
        <v>28</v>
      </c>
      <c r="P926" t="s">
        <v>33</v>
      </c>
      <c r="Q926" s="6">
        <v>1.4127343750000001</v>
      </c>
      <c r="R926">
        <v>3.03</v>
      </c>
      <c r="S926">
        <v>7.53</v>
      </c>
      <c r="T926">
        <v>18.079999999999998</v>
      </c>
      <c r="U926">
        <v>22.21</v>
      </c>
      <c r="V926">
        <v>22.1</v>
      </c>
      <c r="W926">
        <v>1.22</v>
      </c>
    </row>
    <row r="927" spans="1:23" x14ac:dyDescent="0.3">
      <c r="A927">
        <v>926</v>
      </c>
      <c r="B927" t="s">
        <v>970</v>
      </c>
      <c r="C927" t="s">
        <v>24</v>
      </c>
      <c r="D927">
        <v>148</v>
      </c>
      <c r="E927">
        <v>4514</v>
      </c>
      <c r="F927" s="3">
        <v>204</v>
      </c>
      <c r="G927">
        <v>23</v>
      </c>
      <c r="H927">
        <v>3</v>
      </c>
      <c r="I927" s="5">
        <v>2.0270270270270199E-2</v>
      </c>
      <c r="J927" s="3">
        <v>331</v>
      </c>
      <c r="K927" s="1">
        <v>45601</v>
      </c>
      <c r="L927" t="s">
        <v>25</v>
      </c>
      <c r="M927" t="s">
        <v>26</v>
      </c>
      <c r="N927" t="s">
        <v>36</v>
      </c>
      <c r="O927" t="s">
        <v>28</v>
      </c>
      <c r="P927" t="s">
        <v>41</v>
      </c>
      <c r="Q927" s="6">
        <v>1.3752702702702699</v>
      </c>
      <c r="R927">
        <v>3.28</v>
      </c>
      <c r="S927">
        <v>8.85</v>
      </c>
      <c r="T927">
        <v>67.849999999999994</v>
      </c>
      <c r="U927">
        <v>62.62</v>
      </c>
      <c r="V927">
        <v>110.33</v>
      </c>
      <c r="W927">
        <v>1.63</v>
      </c>
    </row>
    <row r="928" spans="1:23" x14ac:dyDescent="0.3">
      <c r="A928">
        <v>927</v>
      </c>
      <c r="B928" t="s">
        <v>971</v>
      </c>
      <c r="C928" t="s">
        <v>24</v>
      </c>
      <c r="D928">
        <v>96</v>
      </c>
      <c r="E928">
        <v>3468</v>
      </c>
      <c r="F928" s="3">
        <v>228</v>
      </c>
      <c r="G928">
        <v>16</v>
      </c>
      <c r="H928">
        <v>9</v>
      </c>
      <c r="I928" s="5">
        <v>9.375E-2</v>
      </c>
      <c r="J928" s="3">
        <v>211</v>
      </c>
      <c r="K928" s="1">
        <v>45600</v>
      </c>
      <c r="L928" t="s">
        <v>25</v>
      </c>
      <c r="M928" t="s">
        <v>26</v>
      </c>
      <c r="N928" t="s">
        <v>27</v>
      </c>
      <c r="O928" t="s">
        <v>28</v>
      </c>
      <c r="P928" t="s">
        <v>59</v>
      </c>
      <c r="Q928" s="6">
        <v>2.3792708333333299</v>
      </c>
      <c r="R928">
        <v>2.77</v>
      </c>
      <c r="S928">
        <v>14.28</v>
      </c>
      <c r="T928">
        <v>25.38</v>
      </c>
      <c r="U928">
        <v>-7.62</v>
      </c>
      <c r="V928">
        <v>23.44</v>
      </c>
      <c r="W928">
        <v>0.92</v>
      </c>
    </row>
    <row r="929" spans="1:23" x14ac:dyDescent="0.3">
      <c r="A929">
        <v>928</v>
      </c>
      <c r="B929" t="s">
        <v>972</v>
      </c>
      <c r="C929" t="s">
        <v>38</v>
      </c>
      <c r="D929">
        <v>126</v>
      </c>
      <c r="E929">
        <v>3613</v>
      </c>
      <c r="F929" s="3">
        <v>209</v>
      </c>
      <c r="G929">
        <v>18</v>
      </c>
      <c r="H929">
        <v>7</v>
      </c>
      <c r="I929" s="5">
        <v>5.5555555555555497E-2</v>
      </c>
      <c r="J929" s="3">
        <v>226</v>
      </c>
      <c r="K929" s="1">
        <v>45602</v>
      </c>
      <c r="L929" t="s">
        <v>25</v>
      </c>
      <c r="M929" t="s">
        <v>26</v>
      </c>
      <c r="N929" t="s">
        <v>27</v>
      </c>
      <c r="O929" t="s">
        <v>28</v>
      </c>
      <c r="P929" t="s">
        <v>33</v>
      </c>
      <c r="Q929" s="6">
        <v>1.6566666666666601</v>
      </c>
      <c r="R929">
        <v>3.49</v>
      </c>
      <c r="S929">
        <v>11.6</v>
      </c>
      <c r="T929">
        <v>29.82</v>
      </c>
      <c r="U929">
        <v>8.27</v>
      </c>
      <c r="V929">
        <v>32.29</v>
      </c>
      <c r="W929">
        <v>1.08</v>
      </c>
    </row>
    <row r="930" spans="1:23" x14ac:dyDescent="0.3">
      <c r="A930">
        <v>929</v>
      </c>
      <c r="B930" t="s">
        <v>973</v>
      </c>
      <c r="C930" t="s">
        <v>35</v>
      </c>
      <c r="D930">
        <v>115</v>
      </c>
      <c r="E930">
        <v>3234</v>
      </c>
      <c r="F930" s="3">
        <v>228</v>
      </c>
      <c r="G930">
        <v>30</v>
      </c>
      <c r="H930">
        <v>3</v>
      </c>
      <c r="I930" s="5">
        <v>2.6086956521739101E-2</v>
      </c>
      <c r="J930" s="3">
        <v>260</v>
      </c>
      <c r="K930" s="1">
        <v>45609</v>
      </c>
      <c r="L930" t="s">
        <v>25</v>
      </c>
      <c r="M930" t="s">
        <v>39</v>
      </c>
      <c r="N930" t="s">
        <v>27</v>
      </c>
      <c r="O930" t="s">
        <v>28</v>
      </c>
      <c r="P930" t="s">
        <v>33</v>
      </c>
      <c r="Q930" s="6">
        <v>1.98060869565217</v>
      </c>
      <c r="R930">
        <v>3.56</v>
      </c>
      <c r="S930">
        <v>7.59</v>
      </c>
      <c r="T930">
        <v>75.92</v>
      </c>
      <c r="U930">
        <v>14.15</v>
      </c>
      <c r="V930">
        <v>86.67</v>
      </c>
      <c r="W930">
        <v>1.1399999999999999</v>
      </c>
    </row>
    <row r="931" spans="1:23" x14ac:dyDescent="0.3">
      <c r="A931">
        <v>930</v>
      </c>
      <c r="B931" t="s">
        <v>974</v>
      </c>
      <c r="C931" t="s">
        <v>43</v>
      </c>
      <c r="D931">
        <v>135</v>
      </c>
      <c r="E931">
        <v>5436</v>
      </c>
      <c r="F931" s="3">
        <v>246</v>
      </c>
      <c r="G931">
        <v>28</v>
      </c>
      <c r="H931">
        <v>9</v>
      </c>
      <c r="I931" s="5">
        <v>6.6666666666666596E-2</v>
      </c>
      <c r="J931" s="3">
        <v>297</v>
      </c>
      <c r="K931" s="1">
        <v>45599</v>
      </c>
      <c r="L931" t="s">
        <v>25</v>
      </c>
      <c r="M931" t="s">
        <v>26</v>
      </c>
      <c r="N931" t="s">
        <v>36</v>
      </c>
      <c r="O931" t="s">
        <v>28</v>
      </c>
      <c r="P931" t="s">
        <v>50</v>
      </c>
      <c r="Q931" s="6">
        <v>1.8211851851851799</v>
      </c>
      <c r="R931">
        <v>2.48</v>
      </c>
      <c r="S931">
        <v>8.7799999999999994</v>
      </c>
      <c r="T931">
        <v>27.32</v>
      </c>
      <c r="U931">
        <v>20.8</v>
      </c>
      <c r="V931">
        <v>33</v>
      </c>
      <c r="W931">
        <v>1.21</v>
      </c>
    </row>
    <row r="932" spans="1:23" x14ac:dyDescent="0.3">
      <c r="A932">
        <v>931</v>
      </c>
      <c r="B932" t="s">
        <v>975</v>
      </c>
      <c r="C932" t="s">
        <v>35</v>
      </c>
      <c r="D932">
        <v>158</v>
      </c>
      <c r="E932">
        <v>4519</v>
      </c>
      <c r="F932" s="3">
        <v>192</v>
      </c>
      <c r="G932">
        <v>26</v>
      </c>
      <c r="H932">
        <v>4</v>
      </c>
      <c r="I932" s="5">
        <v>2.53164556962025E-2</v>
      </c>
      <c r="J932" s="3">
        <v>186.85714285714201</v>
      </c>
      <c r="K932" s="1">
        <v>45625</v>
      </c>
      <c r="L932" t="s">
        <v>25</v>
      </c>
      <c r="M932" t="s">
        <v>26</v>
      </c>
      <c r="N932" t="s">
        <v>36</v>
      </c>
      <c r="O932" t="s">
        <v>28</v>
      </c>
      <c r="P932" t="s">
        <v>45</v>
      </c>
      <c r="Q932" s="6">
        <v>1.21417721518987</v>
      </c>
      <c r="R932">
        <v>3.5</v>
      </c>
      <c r="S932">
        <v>7.38</v>
      </c>
      <c r="T932">
        <v>47.96</v>
      </c>
      <c r="U932">
        <v>-2.6</v>
      </c>
      <c r="V932">
        <v>46.71</v>
      </c>
      <c r="W932">
        <v>0.97</v>
      </c>
    </row>
    <row r="933" spans="1:23" x14ac:dyDescent="0.3">
      <c r="A933">
        <v>932</v>
      </c>
      <c r="B933" t="s">
        <v>976</v>
      </c>
      <c r="C933" t="s">
        <v>24</v>
      </c>
      <c r="D933">
        <v>80</v>
      </c>
      <c r="E933">
        <v>3777</v>
      </c>
      <c r="F933" s="3">
        <v>200</v>
      </c>
      <c r="G933">
        <v>12</v>
      </c>
      <c r="H933">
        <v>7</v>
      </c>
      <c r="I933" s="5">
        <v>8.7499999999999994E-2</v>
      </c>
      <c r="J933" s="3">
        <v>346</v>
      </c>
      <c r="K933" s="1">
        <v>45618</v>
      </c>
      <c r="L933" t="s">
        <v>25</v>
      </c>
      <c r="M933" t="s">
        <v>26</v>
      </c>
      <c r="N933" t="s">
        <v>27</v>
      </c>
      <c r="O933" t="s">
        <v>28</v>
      </c>
      <c r="P933" t="s">
        <v>45</v>
      </c>
      <c r="Q933" s="6">
        <v>2.4940000000000002</v>
      </c>
      <c r="R933">
        <v>2.12</v>
      </c>
      <c r="S933">
        <v>16.63</v>
      </c>
      <c r="T933">
        <v>28.5</v>
      </c>
      <c r="U933">
        <v>73.42</v>
      </c>
      <c r="V933">
        <v>49.43</v>
      </c>
      <c r="W933">
        <v>1.73</v>
      </c>
    </row>
    <row r="934" spans="1:23" x14ac:dyDescent="0.3">
      <c r="A934">
        <v>933</v>
      </c>
      <c r="B934" t="s">
        <v>977</v>
      </c>
      <c r="C934" t="s">
        <v>43</v>
      </c>
      <c r="D934">
        <v>190</v>
      </c>
      <c r="E934">
        <v>3461</v>
      </c>
      <c r="F934" s="3">
        <v>205</v>
      </c>
      <c r="G934">
        <v>28</v>
      </c>
      <c r="H934">
        <v>10</v>
      </c>
      <c r="I934" s="5">
        <v>5.2631578947368397E-2</v>
      </c>
      <c r="J934" s="3">
        <v>330</v>
      </c>
      <c r="K934" s="1">
        <v>45621</v>
      </c>
      <c r="L934" t="s">
        <v>25</v>
      </c>
      <c r="M934" t="s">
        <v>31</v>
      </c>
      <c r="N934" t="s">
        <v>44</v>
      </c>
      <c r="O934" t="s">
        <v>28</v>
      </c>
      <c r="P934" t="s">
        <v>59</v>
      </c>
      <c r="Q934" s="6">
        <v>1.08010526315789</v>
      </c>
      <c r="R934">
        <v>5.49</v>
      </c>
      <c r="S934">
        <v>7.33</v>
      </c>
      <c r="T934">
        <v>20.52</v>
      </c>
      <c r="U934">
        <v>60.8</v>
      </c>
      <c r="V934">
        <v>33</v>
      </c>
      <c r="W934">
        <v>1.61</v>
      </c>
    </row>
    <row r="935" spans="1:23" x14ac:dyDescent="0.3">
      <c r="A935">
        <v>934</v>
      </c>
      <c r="B935" t="s">
        <v>978</v>
      </c>
      <c r="C935" t="s">
        <v>43</v>
      </c>
      <c r="D935">
        <v>135</v>
      </c>
      <c r="E935">
        <v>4575</v>
      </c>
      <c r="F935" s="3">
        <v>242</v>
      </c>
      <c r="G935">
        <v>10</v>
      </c>
      <c r="H935">
        <v>5</v>
      </c>
      <c r="I935" s="5">
        <v>3.7037037037037E-2</v>
      </c>
      <c r="J935" s="3">
        <v>317</v>
      </c>
      <c r="K935" s="1">
        <v>45618</v>
      </c>
      <c r="L935" t="s">
        <v>25</v>
      </c>
      <c r="M935" t="s">
        <v>26</v>
      </c>
      <c r="N935" t="s">
        <v>32</v>
      </c>
      <c r="O935" t="s">
        <v>28</v>
      </c>
      <c r="P935" t="s">
        <v>45</v>
      </c>
      <c r="Q935" s="6">
        <v>1.79199999999999</v>
      </c>
      <c r="R935">
        <v>2.95</v>
      </c>
      <c r="S935">
        <v>24.19</v>
      </c>
      <c r="T935">
        <v>48.38</v>
      </c>
      <c r="U935">
        <v>31.04</v>
      </c>
      <c r="V935">
        <v>63.4</v>
      </c>
      <c r="W935">
        <v>1.31</v>
      </c>
    </row>
    <row r="936" spans="1:23" x14ac:dyDescent="0.3">
      <c r="A936">
        <v>935</v>
      </c>
      <c r="B936" t="s">
        <v>979</v>
      </c>
      <c r="C936" t="s">
        <v>43</v>
      </c>
      <c r="D936">
        <v>149</v>
      </c>
      <c r="E936">
        <v>3471</v>
      </c>
      <c r="F936" s="3">
        <v>242</v>
      </c>
      <c r="G936">
        <v>23</v>
      </c>
      <c r="H936">
        <v>4</v>
      </c>
      <c r="I936" s="5">
        <v>2.68456375838926E-2</v>
      </c>
      <c r="J936" s="3">
        <v>395</v>
      </c>
      <c r="K936" s="1">
        <v>45615</v>
      </c>
      <c r="L936" t="s">
        <v>25</v>
      </c>
      <c r="M936" t="s">
        <v>26</v>
      </c>
      <c r="N936" t="s">
        <v>40</v>
      </c>
      <c r="O936" t="s">
        <v>28</v>
      </c>
      <c r="P936" t="s">
        <v>41</v>
      </c>
      <c r="Q936" s="6">
        <v>1.6251006711409299</v>
      </c>
      <c r="R936">
        <v>4.29</v>
      </c>
      <c r="S936">
        <v>10.53</v>
      </c>
      <c r="T936">
        <v>60.54</v>
      </c>
      <c r="U936">
        <v>63.13</v>
      </c>
      <c r="V936">
        <v>98.75</v>
      </c>
      <c r="W936">
        <v>1.63</v>
      </c>
    </row>
    <row r="937" spans="1:23" x14ac:dyDescent="0.3">
      <c r="A937">
        <v>936</v>
      </c>
      <c r="B937" t="s">
        <v>980</v>
      </c>
      <c r="C937" t="s">
        <v>35</v>
      </c>
      <c r="D937">
        <v>164</v>
      </c>
      <c r="E937">
        <v>3115</v>
      </c>
      <c r="F937" s="3">
        <v>233</v>
      </c>
      <c r="G937">
        <v>10</v>
      </c>
      <c r="H937">
        <v>8</v>
      </c>
      <c r="I937" s="5">
        <v>4.8780487804878002E-2</v>
      </c>
      <c r="J937" s="3">
        <v>368</v>
      </c>
      <c r="K937" s="1">
        <v>45600</v>
      </c>
      <c r="L937" t="s">
        <v>25</v>
      </c>
      <c r="M937" t="s">
        <v>39</v>
      </c>
      <c r="N937" t="s">
        <v>36</v>
      </c>
      <c r="O937" t="s">
        <v>28</v>
      </c>
      <c r="P937" t="s">
        <v>59</v>
      </c>
      <c r="Q937" s="6">
        <v>1.4184146341463399</v>
      </c>
      <c r="R937">
        <v>5.26</v>
      </c>
      <c r="S937">
        <v>23.26</v>
      </c>
      <c r="T937">
        <v>29.08</v>
      </c>
      <c r="U937">
        <v>58.2</v>
      </c>
      <c r="V937">
        <v>46</v>
      </c>
      <c r="W937">
        <v>1.58</v>
      </c>
    </row>
    <row r="938" spans="1:23" x14ac:dyDescent="0.3">
      <c r="A938">
        <v>937</v>
      </c>
      <c r="B938" t="s">
        <v>981</v>
      </c>
      <c r="C938" t="s">
        <v>43</v>
      </c>
      <c r="D938">
        <v>132</v>
      </c>
      <c r="E938">
        <v>5428</v>
      </c>
      <c r="F938" s="3">
        <v>181</v>
      </c>
      <c r="G938">
        <v>10</v>
      </c>
      <c r="H938">
        <v>7</v>
      </c>
      <c r="I938" s="5">
        <v>5.3030303030302997E-2</v>
      </c>
      <c r="J938" s="3">
        <v>353</v>
      </c>
      <c r="K938" s="1">
        <v>45612</v>
      </c>
      <c r="L938" t="s">
        <v>25</v>
      </c>
      <c r="M938" t="s">
        <v>26</v>
      </c>
      <c r="N938" t="s">
        <v>32</v>
      </c>
      <c r="O938" t="s">
        <v>28</v>
      </c>
      <c r="P938" t="s">
        <v>29</v>
      </c>
      <c r="Q938" s="6">
        <v>1.36916666666666</v>
      </c>
      <c r="R938">
        <v>2.4300000000000002</v>
      </c>
      <c r="S938">
        <v>18.07</v>
      </c>
      <c r="T938">
        <v>25.82</v>
      </c>
      <c r="U938">
        <v>95.32</v>
      </c>
      <c r="V938">
        <v>50.43</v>
      </c>
      <c r="W938">
        <v>1.95</v>
      </c>
    </row>
    <row r="939" spans="1:23" x14ac:dyDescent="0.3">
      <c r="A939">
        <v>938</v>
      </c>
      <c r="B939" t="s">
        <v>982</v>
      </c>
      <c r="C939" t="s">
        <v>38</v>
      </c>
      <c r="D939">
        <v>198</v>
      </c>
      <c r="E939">
        <v>4499</v>
      </c>
      <c r="F939" s="3">
        <v>245</v>
      </c>
      <c r="G939">
        <v>27</v>
      </c>
      <c r="H939">
        <v>7</v>
      </c>
      <c r="I939" s="5">
        <v>3.5353535353535297E-2</v>
      </c>
      <c r="J939" s="3">
        <v>238</v>
      </c>
      <c r="K939" s="1">
        <v>45597</v>
      </c>
      <c r="L939" t="s">
        <v>25</v>
      </c>
      <c r="M939" t="s">
        <v>39</v>
      </c>
      <c r="N939" t="s">
        <v>44</v>
      </c>
      <c r="O939" t="s">
        <v>28</v>
      </c>
      <c r="P939" t="s">
        <v>45</v>
      </c>
      <c r="Q939" s="6">
        <v>1.23858585858585</v>
      </c>
      <c r="R939">
        <v>4.4000000000000004</v>
      </c>
      <c r="S939">
        <v>9.08</v>
      </c>
      <c r="T939">
        <v>35.03</v>
      </c>
      <c r="U939">
        <v>-2.95</v>
      </c>
      <c r="V939">
        <v>34</v>
      </c>
      <c r="W939">
        <v>0.97</v>
      </c>
    </row>
    <row r="940" spans="1:23" x14ac:dyDescent="0.3">
      <c r="A940">
        <v>939</v>
      </c>
      <c r="B940" t="s">
        <v>983</v>
      </c>
      <c r="C940" t="s">
        <v>35</v>
      </c>
      <c r="D940">
        <v>153</v>
      </c>
      <c r="E940">
        <v>3285</v>
      </c>
      <c r="F940" s="3">
        <v>226</v>
      </c>
      <c r="G940">
        <v>12</v>
      </c>
      <c r="H940">
        <v>7</v>
      </c>
      <c r="I940" s="5">
        <v>4.5751633986928102E-2</v>
      </c>
      <c r="J940" s="3">
        <v>375</v>
      </c>
      <c r="K940" s="1">
        <v>45617</v>
      </c>
      <c r="L940" t="s">
        <v>25</v>
      </c>
      <c r="M940" t="s">
        <v>26</v>
      </c>
      <c r="N940" t="s">
        <v>44</v>
      </c>
      <c r="O940" t="s">
        <v>28</v>
      </c>
      <c r="P940" t="s">
        <v>54</v>
      </c>
      <c r="Q940" s="6">
        <v>1.47882352941176</v>
      </c>
      <c r="R940">
        <v>4.66</v>
      </c>
      <c r="S940">
        <v>18.86</v>
      </c>
      <c r="T940">
        <v>32.32</v>
      </c>
      <c r="U940">
        <v>65.739999999999995</v>
      </c>
      <c r="V940">
        <v>53.57</v>
      </c>
      <c r="W940">
        <v>1.66</v>
      </c>
    </row>
    <row r="941" spans="1:23" x14ac:dyDescent="0.3">
      <c r="A941">
        <v>940</v>
      </c>
      <c r="B941" t="s">
        <v>984</v>
      </c>
      <c r="C941" t="s">
        <v>24</v>
      </c>
      <c r="D941">
        <v>142</v>
      </c>
      <c r="E941">
        <v>3431</v>
      </c>
      <c r="F941" s="3">
        <v>235</v>
      </c>
      <c r="G941">
        <v>19</v>
      </c>
      <c r="H941">
        <v>7</v>
      </c>
      <c r="I941" s="5">
        <v>4.92957746478873E-2</v>
      </c>
      <c r="J941" s="3">
        <v>272</v>
      </c>
      <c r="K941" s="1">
        <v>45604</v>
      </c>
      <c r="L941" t="s">
        <v>25</v>
      </c>
      <c r="M941" t="s">
        <v>26</v>
      </c>
      <c r="N941" t="s">
        <v>36</v>
      </c>
      <c r="O941" t="s">
        <v>28</v>
      </c>
      <c r="P941" t="s">
        <v>45</v>
      </c>
      <c r="Q941" s="6">
        <v>1.65556338028169</v>
      </c>
      <c r="R941">
        <v>4.1399999999999997</v>
      </c>
      <c r="S941">
        <v>12.37</v>
      </c>
      <c r="T941">
        <v>33.58</v>
      </c>
      <c r="U941">
        <v>15.7</v>
      </c>
      <c r="V941">
        <v>38.86</v>
      </c>
      <c r="W941">
        <v>1.1599999999999999</v>
      </c>
    </row>
    <row r="942" spans="1:23" x14ac:dyDescent="0.3">
      <c r="A942">
        <v>941</v>
      </c>
      <c r="B942" t="s">
        <v>985</v>
      </c>
      <c r="C942" t="s">
        <v>35</v>
      </c>
      <c r="D942">
        <v>91</v>
      </c>
      <c r="E942">
        <v>4600</v>
      </c>
      <c r="F942" s="3">
        <v>194</v>
      </c>
      <c r="G942">
        <v>19</v>
      </c>
      <c r="H942">
        <v>7</v>
      </c>
      <c r="I942" s="5">
        <v>7.69230769230769E-2</v>
      </c>
      <c r="J942" s="3">
        <v>256</v>
      </c>
      <c r="K942" s="1">
        <v>45615</v>
      </c>
      <c r="L942" t="s">
        <v>25</v>
      </c>
      <c r="M942" t="s">
        <v>31</v>
      </c>
      <c r="N942" t="s">
        <v>36</v>
      </c>
      <c r="O942" t="s">
        <v>28</v>
      </c>
      <c r="P942" t="s">
        <v>41</v>
      </c>
      <c r="Q942" s="6">
        <v>2.13340659340659</v>
      </c>
      <c r="R942">
        <v>1.98</v>
      </c>
      <c r="S942">
        <v>10.220000000000001</v>
      </c>
      <c r="T942">
        <v>27.73</v>
      </c>
      <c r="U942">
        <v>31.86</v>
      </c>
      <c r="V942">
        <v>36.57</v>
      </c>
      <c r="W942">
        <v>1.32</v>
      </c>
    </row>
    <row r="943" spans="1:23" x14ac:dyDescent="0.3">
      <c r="A943">
        <v>942</v>
      </c>
      <c r="B943" t="s">
        <v>986</v>
      </c>
      <c r="C943" t="s">
        <v>43</v>
      </c>
      <c r="D943">
        <v>154</v>
      </c>
      <c r="E943">
        <v>4804</v>
      </c>
      <c r="F943" s="3">
        <v>191</v>
      </c>
      <c r="G943">
        <v>21</v>
      </c>
      <c r="H943">
        <v>3</v>
      </c>
      <c r="I943" s="5">
        <v>1.94805194805194E-2</v>
      </c>
      <c r="J943" s="3">
        <v>310</v>
      </c>
      <c r="K943" s="1">
        <v>45619</v>
      </c>
      <c r="L943" t="s">
        <v>25</v>
      </c>
      <c r="M943" t="s">
        <v>26</v>
      </c>
      <c r="N943" t="s">
        <v>40</v>
      </c>
      <c r="O943" t="s">
        <v>28</v>
      </c>
      <c r="P943" t="s">
        <v>29</v>
      </c>
      <c r="Q943" s="6">
        <v>1.24012987012987</v>
      </c>
      <c r="R943">
        <v>3.21</v>
      </c>
      <c r="S943">
        <v>9.09</v>
      </c>
      <c r="T943">
        <v>63.66</v>
      </c>
      <c r="U943">
        <v>62.32</v>
      </c>
      <c r="V943">
        <v>103.33</v>
      </c>
      <c r="W943">
        <v>1.62</v>
      </c>
    </row>
    <row r="944" spans="1:23" x14ac:dyDescent="0.3">
      <c r="A944">
        <v>943</v>
      </c>
      <c r="B944" t="s">
        <v>987</v>
      </c>
      <c r="C944" t="s">
        <v>24</v>
      </c>
      <c r="D944">
        <v>115</v>
      </c>
      <c r="E944">
        <v>5472</v>
      </c>
      <c r="F944" s="3">
        <v>230</v>
      </c>
      <c r="G944">
        <v>26</v>
      </c>
      <c r="H944">
        <v>4</v>
      </c>
      <c r="I944" s="5">
        <v>3.4782608695652098E-2</v>
      </c>
      <c r="J944" s="3">
        <v>260</v>
      </c>
      <c r="K944" s="1">
        <v>45603</v>
      </c>
      <c r="L944" t="s">
        <v>25</v>
      </c>
      <c r="M944" t="s">
        <v>31</v>
      </c>
      <c r="N944" t="s">
        <v>27</v>
      </c>
      <c r="O944" t="s">
        <v>28</v>
      </c>
      <c r="P944" t="s">
        <v>54</v>
      </c>
      <c r="Q944" s="6">
        <v>2.00252173913043</v>
      </c>
      <c r="R944">
        <v>2.1</v>
      </c>
      <c r="S944">
        <v>8.86</v>
      </c>
      <c r="T944">
        <v>57.57</v>
      </c>
      <c r="U944">
        <v>12.9</v>
      </c>
      <c r="V944">
        <v>65</v>
      </c>
      <c r="W944">
        <v>1.1299999999999999</v>
      </c>
    </row>
    <row r="945" spans="1:23" x14ac:dyDescent="0.3">
      <c r="A945">
        <v>944</v>
      </c>
      <c r="B945" t="s">
        <v>988</v>
      </c>
      <c r="C945" t="s">
        <v>43</v>
      </c>
      <c r="D945">
        <v>86</v>
      </c>
      <c r="E945">
        <v>5493</v>
      </c>
      <c r="F945" s="3">
        <v>191</v>
      </c>
      <c r="G945">
        <v>18</v>
      </c>
      <c r="H945">
        <v>9</v>
      </c>
      <c r="I945" s="5">
        <v>0.104651162790697</v>
      </c>
      <c r="J945" s="3">
        <v>246</v>
      </c>
      <c r="K945" s="1">
        <v>45616</v>
      </c>
      <c r="L945" t="s">
        <v>25</v>
      </c>
      <c r="M945" t="s">
        <v>39</v>
      </c>
      <c r="N945" t="s">
        <v>32</v>
      </c>
      <c r="O945" t="s">
        <v>28</v>
      </c>
      <c r="P945" t="s">
        <v>33</v>
      </c>
      <c r="Q945" s="6">
        <v>2.2241860465116199</v>
      </c>
      <c r="R945">
        <v>1.57</v>
      </c>
      <c r="S945">
        <v>10.63</v>
      </c>
      <c r="T945">
        <v>21.25</v>
      </c>
      <c r="U945">
        <v>28.61</v>
      </c>
      <c r="V945">
        <v>27.33</v>
      </c>
      <c r="W945">
        <v>1.29</v>
      </c>
    </row>
    <row r="946" spans="1:23" x14ac:dyDescent="0.3">
      <c r="A946">
        <v>945</v>
      </c>
      <c r="B946" t="s">
        <v>989</v>
      </c>
      <c r="C946" t="s">
        <v>24</v>
      </c>
      <c r="D946">
        <v>116</v>
      </c>
      <c r="E946">
        <v>3188</v>
      </c>
      <c r="F946" s="3">
        <v>239</v>
      </c>
      <c r="G946">
        <v>15</v>
      </c>
      <c r="H946">
        <v>10</v>
      </c>
      <c r="I946" s="5">
        <v>8.6206896551724102E-2</v>
      </c>
      <c r="J946" s="3">
        <v>292</v>
      </c>
      <c r="K946" s="1">
        <v>45610</v>
      </c>
      <c r="L946" t="s">
        <v>25</v>
      </c>
      <c r="M946" t="s">
        <v>39</v>
      </c>
      <c r="N946" t="s">
        <v>44</v>
      </c>
      <c r="O946" t="s">
        <v>28</v>
      </c>
      <c r="P946" t="s">
        <v>54</v>
      </c>
      <c r="Q946" s="6">
        <v>2.0570689655172401</v>
      </c>
      <c r="R946">
        <v>3.64</v>
      </c>
      <c r="S946">
        <v>15.91</v>
      </c>
      <c r="T946">
        <v>23.86</v>
      </c>
      <c r="U946">
        <v>22.37</v>
      </c>
      <c r="V946">
        <v>29.2</v>
      </c>
      <c r="W946">
        <v>1.22</v>
      </c>
    </row>
    <row r="947" spans="1:23" x14ac:dyDescent="0.3">
      <c r="A947">
        <v>946</v>
      </c>
      <c r="B947" t="s">
        <v>990</v>
      </c>
      <c r="C947" t="s">
        <v>35</v>
      </c>
      <c r="D947">
        <v>144</v>
      </c>
      <c r="E947">
        <v>3579</v>
      </c>
      <c r="F947" s="3">
        <v>238</v>
      </c>
      <c r="G947">
        <v>21</v>
      </c>
      <c r="H947">
        <v>10</v>
      </c>
      <c r="I947" s="5">
        <v>6.9444444444444406E-2</v>
      </c>
      <c r="J947" s="3">
        <v>236</v>
      </c>
      <c r="K947" s="1">
        <v>45598</v>
      </c>
      <c r="L947" t="s">
        <v>25</v>
      </c>
      <c r="M947" t="s">
        <v>26</v>
      </c>
      <c r="N947" t="s">
        <v>32</v>
      </c>
      <c r="O947" t="s">
        <v>28</v>
      </c>
      <c r="P947" t="s">
        <v>29</v>
      </c>
      <c r="Q947" s="6">
        <v>1.6525694444444401</v>
      </c>
      <c r="R947">
        <v>4.0199999999999996</v>
      </c>
      <c r="S947">
        <v>11.33</v>
      </c>
      <c r="T947">
        <v>23.8</v>
      </c>
      <c r="U947">
        <v>-0.83</v>
      </c>
      <c r="V947">
        <v>23.6</v>
      </c>
      <c r="W947">
        <v>0.99</v>
      </c>
    </row>
    <row r="948" spans="1:23" x14ac:dyDescent="0.3">
      <c r="A948">
        <v>947</v>
      </c>
      <c r="B948" t="s">
        <v>991</v>
      </c>
      <c r="C948" t="s">
        <v>24</v>
      </c>
      <c r="D948">
        <v>101</v>
      </c>
      <c r="E948">
        <v>4198</v>
      </c>
      <c r="F948" s="3">
        <v>204</v>
      </c>
      <c r="G948">
        <v>30</v>
      </c>
      <c r="H948">
        <v>10</v>
      </c>
      <c r="I948" s="5">
        <v>9.9009900990099001E-2</v>
      </c>
      <c r="J948" s="3">
        <v>335</v>
      </c>
      <c r="K948" s="1">
        <v>45617</v>
      </c>
      <c r="L948" t="s">
        <v>25</v>
      </c>
      <c r="M948" t="s">
        <v>26</v>
      </c>
      <c r="N948" t="s">
        <v>40</v>
      </c>
      <c r="O948" t="s">
        <v>28</v>
      </c>
      <c r="P948" t="s">
        <v>54</v>
      </c>
      <c r="Q948" s="6">
        <v>2.02069306930693</v>
      </c>
      <c r="R948">
        <v>2.41</v>
      </c>
      <c r="S948">
        <v>6.8</v>
      </c>
      <c r="T948">
        <v>20.41</v>
      </c>
      <c r="U948">
        <v>64.14</v>
      </c>
      <c r="V948">
        <v>33.5</v>
      </c>
      <c r="W948">
        <v>1.64</v>
      </c>
    </row>
    <row r="949" spans="1:23" x14ac:dyDescent="0.3">
      <c r="A949">
        <v>948</v>
      </c>
      <c r="B949" t="s">
        <v>992</v>
      </c>
      <c r="C949" t="s">
        <v>38</v>
      </c>
      <c r="D949">
        <v>116</v>
      </c>
      <c r="E949">
        <v>4224</v>
      </c>
      <c r="F949" s="3">
        <v>246</v>
      </c>
      <c r="G949">
        <v>10</v>
      </c>
      <c r="H949">
        <v>5</v>
      </c>
      <c r="I949" s="5">
        <v>4.3103448275862002E-2</v>
      </c>
      <c r="J949" s="3">
        <v>215</v>
      </c>
      <c r="K949" s="1">
        <v>45601</v>
      </c>
      <c r="L949" t="s">
        <v>25</v>
      </c>
      <c r="M949" t="s">
        <v>39</v>
      </c>
      <c r="N949" t="s">
        <v>36</v>
      </c>
      <c r="O949" t="s">
        <v>28</v>
      </c>
      <c r="P949" t="s">
        <v>41</v>
      </c>
      <c r="Q949" s="6">
        <v>2.12060344827586</v>
      </c>
      <c r="R949">
        <v>2.75</v>
      </c>
      <c r="S949">
        <v>24.6</v>
      </c>
      <c r="T949">
        <v>49.2</v>
      </c>
      <c r="U949">
        <v>-12.6</v>
      </c>
      <c r="V949">
        <v>43</v>
      </c>
      <c r="W949">
        <v>0.87</v>
      </c>
    </row>
    <row r="950" spans="1:23" x14ac:dyDescent="0.3">
      <c r="A950">
        <v>949</v>
      </c>
      <c r="B950" t="s">
        <v>993</v>
      </c>
      <c r="C950" t="s">
        <v>35</v>
      </c>
      <c r="D950">
        <v>187</v>
      </c>
      <c r="E950">
        <v>3199</v>
      </c>
      <c r="F950" s="3">
        <v>193</v>
      </c>
      <c r="G950">
        <v>24</v>
      </c>
      <c r="H950">
        <v>6</v>
      </c>
      <c r="I950" s="5">
        <v>3.20855614973262E-2</v>
      </c>
      <c r="J950" s="3">
        <v>292</v>
      </c>
      <c r="K950" s="1">
        <v>45616</v>
      </c>
      <c r="L950" t="s">
        <v>25</v>
      </c>
      <c r="M950" t="s">
        <v>39</v>
      </c>
      <c r="N950" t="s">
        <v>44</v>
      </c>
      <c r="O950" t="s">
        <v>28</v>
      </c>
      <c r="P950" t="s">
        <v>33</v>
      </c>
      <c r="Q950" s="6">
        <v>1.0336363636363599</v>
      </c>
      <c r="R950">
        <v>5.85</v>
      </c>
      <c r="S950">
        <v>8.0500000000000007</v>
      </c>
      <c r="T950">
        <v>32.21</v>
      </c>
      <c r="U950">
        <v>51.07</v>
      </c>
      <c r="V950">
        <v>48.67</v>
      </c>
      <c r="W950">
        <v>1.51</v>
      </c>
    </row>
    <row r="951" spans="1:23" x14ac:dyDescent="0.3">
      <c r="A951">
        <v>950</v>
      </c>
      <c r="B951" t="s">
        <v>994</v>
      </c>
      <c r="C951" t="s">
        <v>24</v>
      </c>
      <c r="D951">
        <v>114</v>
      </c>
      <c r="E951">
        <v>4333</v>
      </c>
      <c r="F951" s="3">
        <v>193</v>
      </c>
      <c r="G951">
        <v>26</v>
      </c>
      <c r="H951">
        <v>6</v>
      </c>
      <c r="I951" s="5">
        <v>5.2631578947368397E-2</v>
      </c>
      <c r="J951" s="3">
        <v>351</v>
      </c>
      <c r="K951" s="1">
        <v>45604</v>
      </c>
      <c r="L951" t="s">
        <v>25</v>
      </c>
      <c r="M951" t="s">
        <v>39</v>
      </c>
      <c r="N951" t="s">
        <v>40</v>
      </c>
      <c r="O951" t="s">
        <v>28</v>
      </c>
      <c r="P951" t="s">
        <v>45</v>
      </c>
      <c r="Q951" s="6">
        <v>1.6913157894736801</v>
      </c>
      <c r="R951">
        <v>2.63</v>
      </c>
      <c r="S951">
        <v>7.42</v>
      </c>
      <c r="T951">
        <v>32.14</v>
      </c>
      <c r="U951">
        <v>82.04</v>
      </c>
      <c r="V951">
        <v>58.5</v>
      </c>
      <c r="W951">
        <v>1.82</v>
      </c>
    </row>
    <row r="952" spans="1:23" x14ac:dyDescent="0.3">
      <c r="A952">
        <v>951</v>
      </c>
      <c r="B952" t="s">
        <v>995</v>
      </c>
      <c r="C952" t="s">
        <v>24</v>
      </c>
      <c r="D952">
        <v>141</v>
      </c>
      <c r="E952">
        <v>3617</v>
      </c>
      <c r="F952" s="3">
        <v>199</v>
      </c>
      <c r="G952">
        <v>20</v>
      </c>
      <c r="H952">
        <v>9</v>
      </c>
      <c r="I952" s="5">
        <v>6.3829787234042507E-2</v>
      </c>
      <c r="J952" s="3">
        <v>379</v>
      </c>
      <c r="K952" s="1">
        <v>45617</v>
      </c>
      <c r="L952" t="s">
        <v>25</v>
      </c>
      <c r="M952" t="s">
        <v>26</v>
      </c>
      <c r="N952" t="s">
        <v>32</v>
      </c>
      <c r="O952" t="s">
        <v>28</v>
      </c>
      <c r="P952" t="s">
        <v>54</v>
      </c>
      <c r="Q952" s="6">
        <v>1.4079432624113399</v>
      </c>
      <c r="R952">
        <v>3.9</v>
      </c>
      <c r="S952">
        <v>9.93</v>
      </c>
      <c r="T952">
        <v>22.06</v>
      </c>
      <c r="U952">
        <v>90.91</v>
      </c>
      <c r="V952">
        <v>42.11</v>
      </c>
      <c r="W952">
        <v>1.91</v>
      </c>
    </row>
    <row r="953" spans="1:23" x14ac:dyDescent="0.3">
      <c r="A953">
        <v>952</v>
      </c>
      <c r="B953" t="s">
        <v>996</v>
      </c>
      <c r="C953" t="s">
        <v>35</v>
      </c>
      <c r="D953">
        <v>167</v>
      </c>
      <c r="E953">
        <v>5588</v>
      </c>
      <c r="F953" s="3">
        <v>182</v>
      </c>
      <c r="G953">
        <v>18</v>
      </c>
      <c r="H953">
        <v>9</v>
      </c>
      <c r="I953" s="5">
        <v>5.3892215568862201E-2</v>
      </c>
      <c r="J953" s="3">
        <v>420.42857142857099</v>
      </c>
      <c r="K953" s="1">
        <v>45619</v>
      </c>
      <c r="L953" t="s">
        <v>25</v>
      </c>
      <c r="M953" t="s">
        <v>39</v>
      </c>
      <c r="N953" t="s">
        <v>40</v>
      </c>
      <c r="O953" t="s">
        <v>28</v>
      </c>
      <c r="P953" t="s">
        <v>29</v>
      </c>
      <c r="Q953" s="6">
        <v>1.0895209580838301</v>
      </c>
      <c r="R953">
        <v>2.99</v>
      </c>
      <c r="S953">
        <v>10.11</v>
      </c>
      <c r="T953">
        <v>20.22</v>
      </c>
      <c r="U953">
        <v>131.07</v>
      </c>
      <c r="V953">
        <v>46.71</v>
      </c>
      <c r="W953">
        <v>2.31</v>
      </c>
    </row>
    <row r="954" spans="1:23" x14ac:dyDescent="0.3">
      <c r="A954">
        <v>953</v>
      </c>
      <c r="B954" t="s">
        <v>997</v>
      </c>
      <c r="C954" t="s">
        <v>43</v>
      </c>
      <c r="D954">
        <v>186</v>
      </c>
      <c r="E954">
        <v>4689</v>
      </c>
      <c r="F954" s="3">
        <v>204</v>
      </c>
      <c r="G954">
        <v>26</v>
      </c>
      <c r="H954">
        <v>6</v>
      </c>
      <c r="I954" s="5">
        <v>3.2258064516128997E-2</v>
      </c>
      <c r="J954" s="3">
        <v>395</v>
      </c>
      <c r="K954" s="1">
        <v>45617</v>
      </c>
      <c r="L954" t="s">
        <v>25</v>
      </c>
      <c r="M954" t="s">
        <v>26</v>
      </c>
      <c r="N954" t="s">
        <v>36</v>
      </c>
      <c r="O954" t="s">
        <v>28</v>
      </c>
      <c r="P954" t="s">
        <v>54</v>
      </c>
      <c r="Q954" s="6">
        <v>1.0984408602150499</v>
      </c>
      <c r="R954">
        <v>3.97</v>
      </c>
      <c r="S954">
        <v>7.86</v>
      </c>
      <c r="T954">
        <v>34.049999999999997</v>
      </c>
      <c r="U954">
        <v>93.33</v>
      </c>
      <c r="V954">
        <v>65.83</v>
      </c>
      <c r="W954">
        <v>1.93</v>
      </c>
    </row>
    <row r="955" spans="1:23" x14ac:dyDescent="0.3">
      <c r="A955">
        <v>954</v>
      </c>
      <c r="B955" t="s">
        <v>998</v>
      </c>
      <c r="C955" t="s">
        <v>24</v>
      </c>
      <c r="D955">
        <v>147</v>
      </c>
      <c r="E955">
        <v>4846</v>
      </c>
      <c r="F955" s="3">
        <v>206</v>
      </c>
      <c r="G955">
        <v>21</v>
      </c>
      <c r="H955">
        <v>7</v>
      </c>
      <c r="I955" s="5">
        <v>4.7619047619047603E-2</v>
      </c>
      <c r="J955" s="3">
        <v>311</v>
      </c>
      <c r="K955" s="1">
        <v>45624</v>
      </c>
      <c r="L955" t="s">
        <v>25</v>
      </c>
      <c r="M955" t="s">
        <v>31</v>
      </c>
      <c r="N955" t="s">
        <v>36</v>
      </c>
      <c r="O955" t="s">
        <v>28</v>
      </c>
      <c r="P955" t="s">
        <v>54</v>
      </c>
      <c r="Q955" s="6">
        <v>1.4040816326530601</v>
      </c>
      <c r="R955">
        <v>3.03</v>
      </c>
      <c r="S955">
        <v>9.83</v>
      </c>
      <c r="T955">
        <v>29.49</v>
      </c>
      <c r="U955">
        <v>50.68</v>
      </c>
      <c r="V955">
        <v>44.43</v>
      </c>
      <c r="W955">
        <v>1.51</v>
      </c>
    </row>
    <row r="956" spans="1:23" x14ac:dyDescent="0.3">
      <c r="A956">
        <v>955</v>
      </c>
      <c r="B956" t="s">
        <v>999</v>
      </c>
      <c r="C956" t="s">
        <v>35</v>
      </c>
      <c r="D956">
        <v>136</v>
      </c>
      <c r="E956">
        <v>3441</v>
      </c>
      <c r="F956" s="3">
        <v>236</v>
      </c>
      <c r="G956">
        <v>26</v>
      </c>
      <c r="H956">
        <v>9</v>
      </c>
      <c r="I956" s="5">
        <v>6.6176470588235295E-2</v>
      </c>
      <c r="J956" s="3">
        <v>298</v>
      </c>
      <c r="K956" s="1">
        <v>45611</v>
      </c>
      <c r="L956" t="s">
        <v>25</v>
      </c>
      <c r="M956" t="s">
        <v>26</v>
      </c>
      <c r="N956" t="s">
        <v>27</v>
      </c>
      <c r="O956" t="s">
        <v>28</v>
      </c>
      <c r="P956" t="s">
        <v>45</v>
      </c>
      <c r="Q956" s="6">
        <v>1.7368382352941101</v>
      </c>
      <c r="R956">
        <v>3.95</v>
      </c>
      <c r="S956">
        <v>9.09</v>
      </c>
      <c r="T956">
        <v>26.25</v>
      </c>
      <c r="U956">
        <v>26.16</v>
      </c>
      <c r="V956">
        <v>33.11</v>
      </c>
      <c r="W956">
        <v>1.26</v>
      </c>
    </row>
    <row r="957" spans="1:23" x14ac:dyDescent="0.3">
      <c r="A957">
        <v>956</v>
      </c>
      <c r="B957" t="s">
        <v>1000</v>
      </c>
      <c r="C957" t="s">
        <v>43</v>
      </c>
      <c r="D957">
        <v>185</v>
      </c>
      <c r="E957">
        <v>3719</v>
      </c>
      <c r="F957" s="3">
        <v>246</v>
      </c>
      <c r="G957">
        <v>17</v>
      </c>
      <c r="H957">
        <v>9</v>
      </c>
      <c r="I957" s="5">
        <v>4.8648648648648603E-2</v>
      </c>
      <c r="J957" s="3">
        <v>249</v>
      </c>
      <c r="K957" s="1">
        <v>45605</v>
      </c>
      <c r="L957" t="s">
        <v>25</v>
      </c>
      <c r="M957" t="s">
        <v>31</v>
      </c>
      <c r="N957" t="s">
        <v>44</v>
      </c>
      <c r="O957" t="s">
        <v>28</v>
      </c>
      <c r="P957" t="s">
        <v>29</v>
      </c>
      <c r="Q957" s="6">
        <v>1.3292432432432399</v>
      </c>
      <c r="R957">
        <v>4.97</v>
      </c>
      <c r="S957">
        <v>14.47</v>
      </c>
      <c r="T957">
        <v>27.32</v>
      </c>
      <c r="U957">
        <v>1.26</v>
      </c>
      <c r="V957">
        <v>27.67</v>
      </c>
      <c r="W957">
        <v>1.01</v>
      </c>
    </row>
    <row r="958" spans="1:23" x14ac:dyDescent="0.3">
      <c r="A958">
        <v>957</v>
      </c>
      <c r="B958" t="s">
        <v>1001</v>
      </c>
      <c r="C958" t="s">
        <v>35</v>
      </c>
      <c r="D958">
        <v>162</v>
      </c>
      <c r="E958">
        <v>3337</v>
      </c>
      <c r="F958" s="3">
        <v>201</v>
      </c>
      <c r="G958">
        <v>11</v>
      </c>
      <c r="H958">
        <v>9</v>
      </c>
      <c r="I958" s="5">
        <v>5.5555555555555497E-2</v>
      </c>
      <c r="J958" s="3">
        <v>371</v>
      </c>
      <c r="K958" s="1">
        <v>45612</v>
      </c>
      <c r="L958" t="s">
        <v>25</v>
      </c>
      <c r="M958" t="s">
        <v>31</v>
      </c>
      <c r="N958" t="s">
        <v>32</v>
      </c>
      <c r="O958" t="s">
        <v>28</v>
      </c>
      <c r="P958" t="s">
        <v>29</v>
      </c>
      <c r="Q958" s="6">
        <v>1.2403703703703699</v>
      </c>
      <c r="R958">
        <v>4.8499999999999996</v>
      </c>
      <c r="S958">
        <v>18.27</v>
      </c>
      <c r="T958">
        <v>22.33</v>
      </c>
      <c r="U958">
        <v>84.63</v>
      </c>
      <c r="V958">
        <v>41.22</v>
      </c>
      <c r="W958">
        <v>1.85</v>
      </c>
    </row>
    <row r="959" spans="1:23" x14ac:dyDescent="0.3">
      <c r="A959">
        <v>958</v>
      </c>
      <c r="B959" t="s">
        <v>1002</v>
      </c>
      <c r="C959" t="s">
        <v>35</v>
      </c>
      <c r="D959">
        <v>91</v>
      </c>
      <c r="E959">
        <v>3694</v>
      </c>
      <c r="F959" s="3">
        <v>234</v>
      </c>
      <c r="G959">
        <v>23</v>
      </c>
      <c r="H959">
        <v>5</v>
      </c>
      <c r="I959" s="5">
        <v>5.4945054945054903E-2</v>
      </c>
      <c r="J959" s="3">
        <v>233.57142857142799</v>
      </c>
      <c r="K959" s="1">
        <v>45620</v>
      </c>
      <c r="L959" t="s">
        <v>25</v>
      </c>
      <c r="M959" t="s">
        <v>26</v>
      </c>
      <c r="N959" t="s">
        <v>44</v>
      </c>
      <c r="O959" t="s">
        <v>28</v>
      </c>
      <c r="P959" t="s">
        <v>50</v>
      </c>
      <c r="Q959" s="6">
        <v>2.5716483516483502</v>
      </c>
      <c r="R959">
        <v>2.46</v>
      </c>
      <c r="S959">
        <v>10.17</v>
      </c>
      <c r="T959">
        <v>46.8</v>
      </c>
      <c r="U959">
        <v>-0.19</v>
      </c>
      <c r="V959">
        <v>46.71</v>
      </c>
      <c r="W959">
        <v>1</v>
      </c>
    </row>
    <row r="960" spans="1:23" x14ac:dyDescent="0.3">
      <c r="A960">
        <v>959</v>
      </c>
      <c r="B960" t="s">
        <v>1003</v>
      </c>
      <c r="C960" t="s">
        <v>38</v>
      </c>
      <c r="D960">
        <v>109</v>
      </c>
      <c r="E960">
        <v>5641</v>
      </c>
      <c r="F960" s="3">
        <v>224</v>
      </c>
      <c r="G960">
        <v>30</v>
      </c>
      <c r="H960">
        <v>4</v>
      </c>
      <c r="I960" s="5">
        <v>3.6697247706422E-2</v>
      </c>
      <c r="J960" s="3">
        <v>312</v>
      </c>
      <c r="K960" s="1">
        <v>45609</v>
      </c>
      <c r="L960" t="s">
        <v>25</v>
      </c>
      <c r="M960" t="s">
        <v>39</v>
      </c>
      <c r="N960" t="s">
        <v>49</v>
      </c>
      <c r="O960" t="s">
        <v>28</v>
      </c>
      <c r="P960" t="s">
        <v>33</v>
      </c>
      <c r="Q960" s="6">
        <v>2.05834862385321</v>
      </c>
      <c r="R960">
        <v>1.93</v>
      </c>
      <c r="S960">
        <v>7.48</v>
      </c>
      <c r="T960">
        <v>56.09</v>
      </c>
      <c r="U960">
        <v>39.06</v>
      </c>
      <c r="V960">
        <v>78</v>
      </c>
      <c r="W960">
        <v>1.39</v>
      </c>
    </row>
    <row r="961" spans="1:23" x14ac:dyDescent="0.3">
      <c r="A961">
        <v>960</v>
      </c>
      <c r="B961" t="s">
        <v>1004</v>
      </c>
      <c r="C961" t="s">
        <v>35</v>
      </c>
      <c r="D961">
        <v>88</v>
      </c>
      <c r="E961">
        <v>3992</v>
      </c>
      <c r="F961" s="3">
        <v>195</v>
      </c>
      <c r="G961">
        <v>14</v>
      </c>
      <c r="H961">
        <v>4</v>
      </c>
      <c r="I961" s="5">
        <v>4.54545454545454E-2</v>
      </c>
      <c r="J961" s="3">
        <v>251</v>
      </c>
      <c r="K961" s="1">
        <v>45611</v>
      </c>
      <c r="L961" t="s">
        <v>25</v>
      </c>
      <c r="M961" t="s">
        <v>26</v>
      </c>
      <c r="N961" t="s">
        <v>32</v>
      </c>
      <c r="O961" t="s">
        <v>28</v>
      </c>
      <c r="P961" t="s">
        <v>45</v>
      </c>
      <c r="Q961" s="6">
        <v>2.2202272727272701</v>
      </c>
      <c r="R961">
        <v>2.2000000000000002</v>
      </c>
      <c r="S961">
        <v>13.96</v>
      </c>
      <c r="T961">
        <v>48.84</v>
      </c>
      <c r="U961">
        <v>28.47</v>
      </c>
      <c r="V961">
        <v>62.75</v>
      </c>
      <c r="W961">
        <v>1.28</v>
      </c>
    </row>
    <row r="962" spans="1:23" x14ac:dyDescent="0.3">
      <c r="A962">
        <v>961</v>
      </c>
      <c r="B962" t="s">
        <v>1005</v>
      </c>
      <c r="C962" t="s">
        <v>38</v>
      </c>
      <c r="D962">
        <v>189</v>
      </c>
      <c r="E962">
        <v>3411</v>
      </c>
      <c r="F962" s="3">
        <v>205</v>
      </c>
      <c r="G962">
        <v>28</v>
      </c>
      <c r="H962">
        <v>7</v>
      </c>
      <c r="I962" s="5">
        <v>3.7037037037037E-2</v>
      </c>
      <c r="J962" s="3">
        <v>234</v>
      </c>
      <c r="K962" s="1">
        <v>45623</v>
      </c>
      <c r="L962" t="s">
        <v>25</v>
      </c>
      <c r="M962" t="s">
        <v>26</v>
      </c>
      <c r="N962" t="s">
        <v>49</v>
      </c>
      <c r="O962" t="s">
        <v>28</v>
      </c>
      <c r="P962" t="s">
        <v>33</v>
      </c>
      <c r="Q962" s="6">
        <v>1.0860317460317399</v>
      </c>
      <c r="R962">
        <v>5.54</v>
      </c>
      <c r="S962">
        <v>7.33</v>
      </c>
      <c r="T962">
        <v>29.32</v>
      </c>
      <c r="U962">
        <v>14</v>
      </c>
      <c r="V962">
        <v>33.43</v>
      </c>
      <c r="W962">
        <v>1.1399999999999999</v>
      </c>
    </row>
    <row r="963" spans="1:23" x14ac:dyDescent="0.3">
      <c r="A963">
        <v>962</v>
      </c>
      <c r="B963" t="s">
        <v>1006</v>
      </c>
      <c r="C963" t="s">
        <v>43</v>
      </c>
      <c r="D963">
        <v>154</v>
      </c>
      <c r="E963">
        <v>3099</v>
      </c>
      <c r="F963" s="3">
        <v>219</v>
      </c>
      <c r="G963">
        <v>30</v>
      </c>
      <c r="H963">
        <v>6</v>
      </c>
      <c r="I963" s="5">
        <v>3.8961038961038898E-2</v>
      </c>
      <c r="J963" s="3">
        <v>279</v>
      </c>
      <c r="K963" s="1">
        <v>45606</v>
      </c>
      <c r="L963" t="s">
        <v>25</v>
      </c>
      <c r="M963" t="s">
        <v>26</v>
      </c>
      <c r="N963" t="s">
        <v>36</v>
      </c>
      <c r="O963" t="s">
        <v>28</v>
      </c>
      <c r="P963" t="s">
        <v>50</v>
      </c>
      <c r="Q963" s="6">
        <v>1.4201298701298699</v>
      </c>
      <c r="R963">
        <v>4.97</v>
      </c>
      <c r="S963">
        <v>7.29</v>
      </c>
      <c r="T963">
        <v>36.450000000000003</v>
      </c>
      <c r="U963">
        <v>27.57</v>
      </c>
      <c r="V963">
        <v>46.5</v>
      </c>
      <c r="W963">
        <v>1.28</v>
      </c>
    </row>
    <row r="964" spans="1:23" x14ac:dyDescent="0.3">
      <c r="A964">
        <v>963</v>
      </c>
      <c r="B964" t="s">
        <v>1007</v>
      </c>
      <c r="C964" t="s">
        <v>38</v>
      </c>
      <c r="D964">
        <v>106</v>
      </c>
      <c r="E964">
        <v>3017</v>
      </c>
      <c r="F964" s="3">
        <v>243</v>
      </c>
      <c r="G964">
        <v>24</v>
      </c>
      <c r="H964">
        <v>5</v>
      </c>
      <c r="I964" s="5">
        <v>4.71698113207547E-2</v>
      </c>
      <c r="J964" s="3">
        <v>347</v>
      </c>
      <c r="K964" s="1">
        <v>45600</v>
      </c>
      <c r="L964" t="s">
        <v>25</v>
      </c>
      <c r="M964" t="s">
        <v>31</v>
      </c>
      <c r="N964" t="s">
        <v>27</v>
      </c>
      <c r="O964" t="s">
        <v>28</v>
      </c>
      <c r="P964" t="s">
        <v>59</v>
      </c>
      <c r="Q964" s="6">
        <v>2.2897169811320701</v>
      </c>
      <c r="R964">
        <v>3.51</v>
      </c>
      <c r="S964">
        <v>10.11</v>
      </c>
      <c r="T964">
        <v>48.54</v>
      </c>
      <c r="U964">
        <v>42.97</v>
      </c>
      <c r="V964">
        <v>69.400000000000006</v>
      </c>
      <c r="W964">
        <v>1.43</v>
      </c>
    </row>
    <row r="965" spans="1:23" x14ac:dyDescent="0.3">
      <c r="A965">
        <v>964</v>
      </c>
      <c r="B965" t="s">
        <v>1008</v>
      </c>
      <c r="C965" t="s">
        <v>35</v>
      </c>
      <c r="D965">
        <v>134</v>
      </c>
      <c r="E965">
        <v>4419</v>
      </c>
      <c r="F965" s="3">
        <v>202</v>
      </c>
      <c r="G965">
        <v>17</v>
      </c>
      <c r="H965">
        <v>5</v>
      </c>
      <c r="I965" s="5">
        <v>3.7313432835820802E-2</v>
      </c>
      <c r="J965" s="3">
        <v>401</v>
      </c>
      <c r="K965" s="1">
        <v>45619</v>
      </c>
      <c r="L965" t="s">
        <v>25</v>
      </c>
      <c r="M965" t="s">
        <v>39</v>
      </c>
      <c r="N965" t="s">
        <v>40</v>
      </c>
      <c r="O965" t="s">
        <v>28</v>
      </c>
      <c r="P965" t="s">
        <v>29</v>
      </c>
      <c r="Q965" s="6">
        <v>1.5098507462686499</v>
      </c>
      <c r="R965">
        <v>3.03</v>
      </c>
      <c r="S965">
        <v>11.9</v>
      </c>
      <c r="T965">
        <v>40.46</v>
      </c>
      <c r="U965">
        <v>98.2</v>
      </c>
      <c r="V965">
        <v>80.2</v>
      </c>
      <c r="W965">
        <v>1.98</v>
      </c>
    </row>
    <row r="966" spans="1:23" x14ac:dyDescent="0.3">
      <c r="A966">
        <v>965</v>
      </c>
      <c r="B966" t="s">
        <v>1009</v>
      </c>
      <c r="C966" t="s">
        <v>43</v>
      </c>
      <c r="D966">
        <v>84</v>
      </c>
      <c r="E966">
        <v>5662</v>
      </c>
      <c r="F966" s="3">
        <v>229</v>
      </c>
      <c r="G966">
        <v>25</v>
      </c>
      <c r="H966">
        <v>9</v>
      </c>
      <c r="I966" s="5">
        <v>0.107142857142857</v>
      </c>
      <c r="J966" s="3">
        <v>406</v>
      </c>
      <c r="K966" s="1">
        <v>45622</v>
      </c>
      <c r="L966" t="s">
        <v>25</v>
      </c>
      <c r="M966" t="s">
        <v>26</v>
      </c>
      <c r="N966" t="s">
        <v>49</v>
      </c>
      <c r="O966" t="s">
        <v>28</v>
      </c>
      <c r="P966" t="s">
        <v>41</v>
      </c>
      <c r="Q966" s="6">
        <v>2.72166666666666</v>
      </c>
      <c r="R966">
        <v>1.48</v>
      </c>
      <c r="S966">
        <v>9.14</v>
      </c>
      <c r="T966">
        <v>25.4</v>
      </c>
      <c r="U966">
        <v>77.59</v>
      </c>
      <c r="V966">
        <v>45.11</v>
      </c>
      <c r="W966">
        <v>1.78</v>
      </c>
    </row>
    <row r="967" spans="1:23" x14ac:dyDescent="0.3">
      <c r="A967">
        <v>966</v>
      </c>
      <c r="B967" t="s">
        <v>1010</v>
      </c>
      <c r="C967" t="s">
        <v>24</v>
      </c>
      <c r="D967">
        <v>190</v>
      </c>
      <c r="E967">
        <v>4476</v>
      </c>
      <c r="F967" s="3">
        <v>198</v>
      </c>
      <c r="G967">
        <v>12</v>
      </c>
      <c r="H967">
        <v>4</v>
      </c>
      <c r="I967" s="5">
        <v>2.1052631578947299E-2</v>
      </c>
      <c r="J967" s="3">
        <v>204</v>
      </c>
      <c r="K967" s="1">
        <v>45603</v>
      </c>
      <c r="L967" t="s">
        <v>25</v>
      </c>
      <c r="M967" t="s">
        <v>26</v>
      </c>
      <c r="N967" t="s">
        <v>36</v>
      </c>
      <c r="O967" t="s">
        <v>28</v>
      </c>
      <c r="P967" t="s">
        <v>54</v>
      </c>
      <c r="Q967" s="6">
        <v>1.0430526315789399</v>
      </c>
      <c r="R967">
        <v>4.24</v>
      </c>
      <c r="S967">
        <v>16.52</v>
      </c>
      <c r="T967">
        <v>49.54</v>
      </c>
      <c r="U967">
        <v>2.94</v>
      </c>
      <c r="V967">
        <v>51</v>
      </c>
      <c r="W967">
        <v>1.03</v>
      </c>
    </row>
    <row r="968" spans="1:23" x14ac:dyDescent="0.3">
      <c r="A968">
        <v>967</v>
      </c>
      <c r="B968" t="s">
        <v>1011</v>
      </c>
      <c r="C968" t="s">
        <v>24</v>
      </c>
      <c r="D968">
        <v>156</v>
      </c>
      <c r="E968">
        <v>4771</v>
      </c>
      <c r="F968" s="3">
        <v>199</v>
      </c>
      <c r="G968">
        <v>26</v>
      </c>
      <c r="H968">
        <v>8</v>
      </c>
      <c r="I968" s="5">
        <v>5.1282051282051197E-2</v>
      </c>
      <c r="J968" s="3">
        <v>372</v>
      </c>
      <c r="K968" s="1">
        <v>45600</v>
      </c>
      <c r="L968" t="s">
        <v>25</v>
      </c>
      <c r="M968" t="s">
        <v>39</v>
      </c>
      <c r="N968" t="s">
        <v>36</v>
      </c>
      <c r="O968" t="s">
        <v>28</v>
      </c>
      <c r="P968" t="s">
        <v>59</v>
      </c>
      <c r="Q968" s="6">
        <v>1.2775641025641</v>
      </c>
      <c r="R968">
        <v>3.27</v>
      </c>
      <c r="S968">
        <v>7.67</v>
      </c>
      <c r="T968">
        <v>24.91</v>
      </c>
      <c r="U968">
        <v>86.65</v>
      </c>
      <c r="V968">
        <v>46.5</v>
      </c>
      <c r="W968">
        <v>1.87</v>
      </c>
    </row>
    <row r="969" spans="1:23" x14ac:dyDescent="0.3">
      <c r="A969">
        <v>968</v>
      </c>
      <c r="B969" t="s">
        <v>1012</v>
      </c>
      <c r="C969" t="s">
        <v>35</v>
      </c>
      <c r="D969">
        <v>167</v>
      </c>
      <c r="E969">
        <v>5510</v>
      </c>
      <c r="F969" s="3">
        <v>199</v>
      </c>
      <c r="G969">
        <v>23</v>
      </c>
      <c r="H969">
        <v>9</v>
      </c>
      <c r="I969" s="5">
        <v>5.3892215568862201E-2</v>
      </c>
      <c r="J969" s="3">
        <v>217</v>
      </c>
      <c r="K969" s="1">
        <v>45610</v>
      </c>
      <c r="L969" t="s">
        <v>25</v>
      </c>
      <c r="M969" t="s">
        <v>26</v>
      </c>
      <c r="N969" t="s">
        <v>32</v>
      </c>
      <c r="O969" t="s">
        <v>28</v>
      </c>
      <c r="P969" t="s">
        <v>54</v>
      </c>
      <c r="Q969" s="6">
        <v>1.1911377245508901</v>
      </c>
      <c r="R969">
        <v>3.03</v>
      </c>
      <c r="S969">
        <v>8.65</v>
      </c>
      <c r="T969">
        <v>22.1</v>
      </c>
      <c r="U969">
        <v>9.09</v>
      </c>
      <c r="V969">
        <v>24.11</v>
      </c>
      <c r="W969">
        <v>1.0900000000000001</v>
      </c>
    </row>
    <row r="970" spans="1:23" x14ac:dyDescent="0.3">
      <c r="A970">
        <v>969</v>
      </c>
      <c r="B970" t="s">
        <v>1013</v>
      </c>
      <c r="C970" t="s">
        <v>43</v>
      </c>
      <c r="D970">
        <v>170</v>
      </c>
      <c r="E970">
        <v>4786</v>
      </c>
      <c r="F970" s="3">
        <v>203</v>
      </c>
      <c r="G970">
        <v>27</v>
      </c>
      <c r="H970">
        <v>6</v>
      </c>
      <c r="I970" s="5">
        <v>3.5294117647058802E-2</v>
      </c>
      <c r="J970" s="3">
        <v>280</v>
      </c>
      <c r="K970" s="1">
        <v>45600</v>
      </c>
      <c r="L970" t="s">
        <v>25</v>
      </c>
      <c r="M970" t="s">
        <v>31</v>
      </c>
      <c r="N970" t="s">
        <v>40</v>
      </c>
      <c r="O970" t="s">
        <v>28</v>
      </c>
      <c r="P970" t="s">
        <v>59</v>
      </c>
      <c r="Q970" s="6">
        <v>1.19188235294117</v>
      </c>
      <c r="R970">
        <v>3.55</v>
      </c>
      <c r="S970">
        <v>7.5</v>
      </c>
      <c r="T970">
        <v>33.770000000000003</v>
      </c>
      <c r="U970">
        <v>38.19</v>
      </c>
      <c r="V970">
        <v>46.67</v>
      </c>
      <c r="W970">
        <v>1.38</v>
      </c>
    </row>
    <row r="971" spans="1:23" x14ac:dyDescent="0.3">
      <c r="A971">
        <v>970</v>
      </c>
      <c r="B971" t="s">
        <v>1014</v>
      </c>
      <c r="C971" t="s">
        <v>43</v>
      </c>
      <c r="D971">
        <v>86</v>
      </c>
      <c r="E971">
        <v>3964</v>
      </c>
      <c r="F971" s="3">
        <v>193</v>
      </c>
      <c r="G971">
        <v>26</v>
      </c>
      <c r="H971">
        <v>5</v>
      </c>
      <c r="I971" s="5">
        <v>5.8139534883720902E-2</v>
      </c>
      <c r="J971" s="3">
        <v>334</v>
      </c>
      <c r="K971" s="1">
        <v>45619</v>
      </c>
      <c r="L971" t="s">
        <v>25</v>
      </c>
      <c r="M971" t="s">
        <v>26</v>
      </c>
      <c r="N971" t="s">
        <v>27</v>
      </c>
      <c r="O971" t="s">
        <v>28</v>
      </c>
      <c r="P971" t="s">
        <v>29</v>
      </c>
      <c r="Q971" s="6">
        <v>2.2459302325581301</v>
      </c>
      <c r="R971">
        <v>2.17</v>
      </c>
      <c r="S971">
        <v>7.43</v>
      </c>
      <c r="T971">
        <v>38.630000000000003</v>
      </c>
      <c r="U971">
        <v>72.92</v>
      </c>
      <c r="V971">
        <v>66.8</v>
      </c>
      <c r="W971">
        <v>1.73</v>
      </c>
    </row>
    <row r="972" spans="1:23" x14ac:dyDescent="0.3">
      <c r="A972">
        <v>971</v>
      </c>
      <c r="B972" t="s">
        <v>1015</v>
      </c>
      <c r="C972" t="s">
        <v>35</v>
      </c>
      <c r="D972">
        <v>143</v>
      </c>
      <c r="E972">
        <v>5317</v>
      </c>
      <c r="F972" s="3">
        <v>236</v>
      </c>
      <c r="G972">
        <v>10</v>
      </c>
      <c r="H972">
        <v>3</v>
      </c>
      <c r="I972" s="5">
        <v>2.09790209790209E-2</v>
      </c>
      <c r="J972" s="3">
        <v>380</v>
      </c>
      <c r="K972" s="1">
        <v>45612</v>
      </c>
      <c r="L972" t="s">
        <v>25</v>
      </c>
      <c r="M972" t="s">
        <v>39</v>
      </c>
      <c r="N972" t="s">
        <v>36</v>
      </c>
      <c r="O972" t="s">
        <v>28</v>
      </c>
      <c r="P972" t="s">
        <v>29</v>
      </c>
      <c r="Q972" s="6">
        <v>1.6529370629370601</v>
      </c>
      <c r="R972">
        <v>2.69</v>
      </c>
      <c r="S972">
        <v>23.64</v>
      </c>
      <c r="T972">
        <v>78.790000000000006</v>
      </c>
      <c r="U972">
        <v>60.76</v>
      </c>
      <c r="V972">
        <v>126.67</v>
      </c>
      <c r="W972">
        <v>1.61</v>
      </c>
    </row>
    <row r="973" spans="1:23" x14ac:dyDescent="0.3">
      <c r="A973">
        <v>972</v>
      </c>
      <c r="B973" t="s">
        <v>1016</v>
      </c>
      <c r="C973" t="s">
        <v>43</v>
      </c>
      <c r="D973">
        <v>84</v>
      </c>
      <c r="E973">
        <v>3454</v>
      </c>
      <c r="F973" s="3">
        <v>207</v>
      </c>
      <c r="G973">
        <v>23</v>
      </c>
      <c r="H973">
        <v>3</v>
      </c>
      <c r="I973" s="5">
        <v>3.5714285714285698E-2</v>
      </c>
      <c r="J973" s="3">
        <v>321</v>
      </c>
      <c r="K973" s="1">
        <v>45613</v>
      </c>
      <c r="L973" t="s">
        <v>25</v>
      </c>
      <c r="M973" t="s">
        <v>26</v>
      </c>
      <c r="N973" t="s">
        <v>27</v>
      </c>
      <c r="O973" t="s">
        <v>28</v>
      </c>
      <c r="P973" t="s">
        <v>50</v>
      </c>
      <c r="Q973" s="6">
        <v>2.4619047619047598</v>
      </c>
      <c r="R973">
        <v>2.4300000000000002</v>
      </c>
      <c r="S973">
        <v>8.99</v>
      </c>
      <c r="T973">
        <v>68.930000000000007</v>
      </c>
      <c r="U973">
        <v>55.22</v>
      </c>
      <c r="V973">
        <v>107</v>
      </c>
      <c r="W973">
        <v>1.55</v>
      </c>
    </row>
    <row r="974" spans="1:23" x14ac:dyDescent="0.3">
      <c r="A974">
        <v>973</v>
      </c>
      <c r="B974" t="s">
        <v>1017</v>
      </c>
      <c r="C974" t="s">
        <v>35</v>
      </c>
      <c r="D974">
        <v>145</v>
      </c>
      <c r="E974">
        <v>3804</v>
      </c>
      <c r="F974" s="3">
        <v>237</v>
      </c>
      <c r="G974">
        <v>29</v>
      </c>
      <c r="H974">
        <v>8</v>
      </c>
      <c r="I974" s="5">
        <v>5.5172413793103399E-2</v>
      </c>
      <c r="J974" s="3">
        <v>271</v>
      </c>
      <c r="K974" s="1">
        <v>45619</v>
      </c>
      <c r="L974" t="s">
        <v>25</v>
      </c>
      <c r="M974" t="s">
        <v>39</v>
      </c>
      <c r="N974" t="s">
        <v>32</v>
      </c>
      <c r="O974" t="s">
        <v>28</v>
      </c>
      <c r="P974" t="s">
        <v>29</v>
      </c>
      <c r="Q974" s="6">
        <v>1.63393103448275</v>
      </c>
      <c r="R974">
        <v>3.81</v>
      </c>
      <c r="S974">
        <v>8.17</v>
      </c>
      <c r="T974">
        <v>29.62</v>
      </c>
      <c r="U974">
        <v>14.38</v>
      </c>
      <c r="V974">
        <v>33.880000000000003</v>
      </c>
      <c r="W974">
        <v>1.1399999999999999</v>
      </c>
    </row>
    <row r="975" spans="1:23" x14ac:dyDescent="0.3">
      <c r="A975">
        <v>974</v>
      </c>
      <c r="B975" t="s">
        <v>1018</v>
      </c>
      <c r="C975" t="s">
        <v>38</v>
      </c>
      <c r="D975">
        <v>126</v>
      </c>
      <c r="E975">
        <v>4670</v>
      </c>
      <c r="F975" s="3">
        <v>235</v>
      </c>
      <c r="G975">
        <v>25</v>
      </c>
      <c r="H975">
        <v>8</v>
      </c>
      <c r="I975" s="5">
        <v>6.3492063492063405E-2</v>
      </c>
      <c r="J975" s="3">
        <v>300</v>
      </c>
      <c r="K975" s="1">
        <v>45619</v>
      </c>
      <c r="L975" t="s">
        <v>25</v>
      </c>
      <c r="M975" t="s">
        <v>26</v>
      </c>
      <c r="N975" t="s">
        <v>44</v>
      </c>
      <c r="O975" t="s">
        <v>28</v>
      </c>
      <c r="P975" t="s">
        <v>29</v>
      </c>
      <c r="Q975" s="6">
        <v>1.86230158730158</v>
      </c>
      <c r="R975">
        <v>2.7</v>
      </c>
      <c r="S975">
        <v>9.39</v>
      </c>
      <c r="T975">
        <v>29.33</v>
      </c>
      <c r="U975">
        <v>27.85</v>
      </c>
      <c r="V975">
        <v>37.5</v>
      </c>
      <c r="W975">
        <v>1.28</v>
      </c>
    </row>
    <row r="976" spans="1:23" x14ac:dyDescent="0.3">
      <c r="A976">
        <v>975</v>
      </c>
      <c r="B976" t="s">
        <v>1019</v>
      </c>
      <c r="C976" t="s">
        <v>43</v>
      </c>
      <c r="D976">
        <v>156</v>
      </c>
      <c r="E976">
        <v>3273</v>
      </c>
      <c r="F976" s="3">
        <v>189</v>
      </c>
      <c r="G976">
        <v>14</v>
      </c>
      <c r="H976">
        <v>6</v>
      </c>
      <c r="I976" s="5">
        <v>3.8461538461538401E-2</v>
      </c>
      <c r="J976" s="3">
        <v>380</v>
      </c>
      <c r="K976" s="1">
        <v>45611</v>
      </c>
      <c r="L976" t="s">
        <v>25</v>
      </c>
      <c r="M976" t="s">
        <v>31</v>
      </c>
      <c r="N976" t="s">
        <v>36</v>
      </c>
      <c r="O976" t="s">
        <v>28</v>
      </c>
      <c r="P976" t="s">
        <v>45</v>
      </c>
      <c r="Q976" s="6">
        <v>1.21384615384615</v>
      </c>
      <c r="R976">
        <v>4.7699999999999996</v>
      </c>
      <c r="S976">
        <v>13.53</v>
      </c>
      <c r="T976">
        <v>31.56</v>
      </c>
      <c r="U976">
        <v>100.68</v>
      </c>
      <c r="V976">
        <v>63.33</v>
      </c>
      <c r="W976">
        <v>2.0099999999999998</v>
      </c>
    </row>
    <row r="977" spans="1:23" x14ac:dyDescent="0.3">
      <c r="A977">
        <v>976</v>
      </c>
      <c r="B977" t="s">
        <v>1020</v>
      </c>
      <c r="C977" t="s">
        <v>43</v>
      </c>
      <c r="D977">
        <v>124</v>
      </c>
      <c r="E977">
        <v>4236</v>
      </c>
      <c r="F977" s="3">
        <v>182</v>
      </c>
      <c r="G977">
        <v>18</v>
      </c>
      <c r="H977">
        <v>9</v>
      </c>
      <c r="I977" s="5">
        <v>7.25806451612903E-2</v>
      </c>
      <c r="J977" s="3">
        <v>404</v>
      </c>
      <c r="K977" s="1">
        <v>45618</v>
      </c>
      <c r="L977" t="s">
        <v>25</v>
      </c>
      <c r="M977" t="s">
        <v>26</v>
      </c>
      <c r="N977" t="s">
        <v>40</v>
      </c>
      <c r="O977" t="s">
        <v>28</v>
      </c>
      <c r="P977" t="s">
        <v>45</v>
      </c>
      <c r="Q977" s="6">
        <v>1.4679032258064499</v>
      </c>
      <c r="R977">
        <v>2.93</v>
      </c>
      <c r="S977">
        <v>10.11</v>
      </c>
      <c r="T977">
        <v>20.22</v>
      </c>
      <c r="U977">
        <v>121.95</v>
      </c>
      <c r="V977">
        <v>44.89</v>
      </c>
      <c r="W977">
        <v>2.2200000000000002</v>
      </c>
    </row>
    <row r="978" spans="1:23" x14ac:dyDescent="0.3">
      <c r="A978">
        <v>977</v>
      </c>
      <c r="B978" t="s">
        <v>1021</v>
      </c>
      <c r="C978" t="s">
        <v>38</v>
      </c>
      <c r="D978">
        <v>197</v>
      </c>
      <c r="E978">
        <v>5866</v>
      </c>
      <c r="F978" s="3">
        <v>218</v>
      </c>
      <c r="G978">
        <v>28</v>
      </c>
      <c r="H978">
        <v>7</v>
      </c>
      <c r="I978" s="5">
        <v>3.5532994923857801E-2</v>
      </c>
      <c r="J978" s="3">
        <v>272</v>
      </c>
      <c r="K978" s="1">
        <v>45614</v>
      </c>
      <c r="L978" t="s">
        <v>25</v>
      </c>
      <c r="M978" t="s">
        <v>31</v>
      </c>
      <c r="N978" t="s">
        <v>27</v>
      </c>
      <c r="O978" t="s">
        <v>28</v>
      </c>
      <c r="P978" t="s">
        <v>59</v>
      </c>
      <c r="Q978" s="6">
        <v>1.1056345177664899</v>
      </c>
      <c r="R978">
        <v>3.36</v>
      </c>
      <c r="S978">
        <v>7.78</v>
      </c>
      <c r="T978">
        <v>31.12</v>
      </c>
      <c r="U978">
        <v>24.88</v>
      </c>
      <c r="V978">
        <v>38.86</v>
      </c>
      <c r="W978">
        <v>1.25</v>
      </c>
    </row>
    <row r="979" spans="1:23" x14ac:dyDescent="0.3">
      <c r="A979">
        <v>978</v>
      </c>
      <c r="B979" t="s">
        <v>1022</v>
      </c>
      <c r="C979" t="s">
        <v>24</v>
      </c>
      <c r="D979">
        <v>106</v>
      </c>
      <c r="E979">
        <v>3102</v>
      </c>
      <c r="F979" s="3">
        <v>215</v>
      </c>
      <c r="G979">
        <v>12</v>
      </c>
      <c r="H979">
        <v>5</v>
      </c>
      <c r="I979" s="5">
        <v>4.71698113207547E-2</v>
      </c>
      <c r="J979" s="3">
        <v>384</v>
      </c>
      <c r="K979" s="1">
        <v>45621</v>
      </c>
      <c r="L979" t="s">
        <v>25</v>
      </c>
      <c r="M979" t="s">
        <v>31</v>
      </c>
      <c r="N979" t="s">
        <v>27</v>
      </c>
      <c r="O979" t="s">
        <v>28</v>
      </c>
      <c r="P979" t="s">
        <v>59</v>
      </c>
      <c r="Q979" s="6">
        <v>2.0241509433962199</v>
      </c>
      <c r="R979">
        <v>3.42</v>
      </c>
      <c r="S979">
        <v>17.88</v>
      </c>
      <c r="T979">
        <v>42.91</v>
      </c>
      <c r="U979">
        <v>78.97</v>
      </c>
      <c r="V979">
        <v>76.8</v>
      </c>
      <c r="W979">
        <v>1.79</v>
      </c>
    </row>
    <row r="980" spans="1:23" x14ac:dyDescent="0.3">
      <c r="A980">
        <v>979</v>
      </c>
      <c r="B980" t="s">
        <v>1023</v>
      </c>
      <c r="C980" t="s">
        <v>43</v>
      </c>
      <c r="D980">
        <v>129</v>
      </c>
      <c r="E980">
        <v>4856</v>
      </c>
      <c r="F980" s="3">
        <v>230</v>
      </c>
      <c r="G980">
        <v>23</v>
      </c>
      <c r="H980">
        <v>7</v>
      </c>
      <c r="I980" s="5">
        <v>5.4263565891472798E-2</v>
      </c>
      <c r="J980" s="3">
        <v>351</v>
      </c>
      <c r="K980" s="1">
        <v>45621</v>
      </c>
      <c r="L980" t="s">
        <v>25</v>
      </c>
      <c r="M980" t="s">
        <v>39</v>
      </c>
      <c r="N980" t="s">
        <v>27</v>
      </c>
      <c r="O980" t="s">
        <v>28</v>
      </c>
      <c r="P980" t="s">
        <v>59</v>
      </c>
      <c r="Q980" s="6">
        <v>1.78395348837209</v>
      </c>
      <c r="R980">
        <v>2.66</v>
      </c>
      <c r="S980">
        <v>10.01</v>
      </c>
      <c r="T980">
        <v>32.880000000000003</v>
      </c>
      <c r="U980">
        <v>52.52</v>
      </c>
      <c r="V980">
        <v>50.14</v>
      </c>
      <c r="W980">
        <v>1.53</v>
      </c>
    </row>
    <row r="981" spans="1:23" x14ac:dyDescent="0.3">
      <c r="A981">
        <v>980</v>
      </c>
      <c r="B981" t="s">
        <v>1024</v>
      </c>
      <c r="C981" t="s">
        <v>43</v>
      </c>
      <c r="D981">
        <v>93</v>
      </c>
      <c r="E981">
        <v>4054</v>
      </c>
      <c r="F981" s="3">
        <v>245</v>
      </c>
      <c r="G981">
        <v>11</v>
      </c>
      <c r="H981">
        <v>8</v>
      </c>
      <c r="I981" s="5">
        <v>8.6021505376343996E-2</v>
      </c>
      <c r="J981" s="3">
        <v>218</v>
      </c>
      <c r="K981" s="1">
        <v>45620</v>
      </c>
      <c r="L981" t="s">
        <v>25</v>
      </c>
      <c r="M981" t="s">
        <v>26</v>
      </c>
      <c r="N981" t="s">
        <v>44</v>
      </c>
      <c r="O981" t="s">
        <v>28</v>
      </c>
      <c r="P981" t="s">
        <v>50</v>
      </c>
      <c r="Q981" s="6">
        <v>2.6315053763440801</v>
      </c>
      <c r="R981">
        <v>2.29</v>
      </c>
      <c r="S981">
        <v>22.25</v>
      </c>
      <c r="T981">
        <v>30.59</v>
      </c>
      <c r="U981">
        <v>-10.92</v>
      </c>
      <c r="V981">
        <v>27.25</v>
      </c>
      <c r="W981">
        <v>0.89</v>
      </c>
    </row>
    <row r="982" spans="1:23" x14ac:dyDescent="0.3">
      <c r="A982">
        <v>981</v>
      </c>
      <c r="B982" t="s">
        <v>1025</v>
      </c>
      <c r="C982" t="s">
        <v>38</v>
      </c>
      <c r="D982">
        <v>96</v>
      </c>
      <c r="E982">
        <v>4074</v>
      </c>
      <c r="F982" s="3">
        <v>220</v>
      </c>
      <c r="G982">
        <v>16</v>
      </c>
      <c r="H982">
        <v>8</v>
      </c>
      <c r="I982" s="5">
        <v>8.3333333333333301E-2</v>
      </c>
      <c r="J982" s="3">
        <v>373.71428571428498</v>
      </c>
      <c r="K982" s="1">
        <v>45603</v>
      </c>
      <c r="L982" t="s">
        <v>25</v>
      </c>
      <c r="M982" t="s">
        <v>39</v>
      </c>
      <c r="N982" t="s">
        <v>36</v>
      </c>
      <c r="O982" t="s">
        <v>28</v>
      </c>
      <c r="P982" t="s">
        <v>54</v>
      </c>
      <c r="Q982" s="6">
        <v>2.288125</v>
      </c>
      <c r="R982">
        <v>2.36</v>
      </c>
      <c r="S982">
        <v>13.73</v>
      </c>
      <c r="T982">
        <v>27.46</v>
      </c>
      <c r="U982">
        <v>70.13</v>
      </c>
      <c r="V982">
        <v>46.71</v>
      </c>
      <c r="W982">
        <v>1.7</v>
      </c>
    </row>
    <row r="983" spans="1:23" x14ac:dyDescent="0.3">
      <c r="A983">
        <v>982</v>
      </c>
      <c r="B983" t="s">
        <v>1026</v>
      </c>
      <c r="C983" t="s">
        <v>43</v>
      </c>
      <c r="D983">
        <v>135</v>
      </c>
      <c r="E983">
        <v>4430</v>
      </c>
      <c r="F983" s="3">
        <v>196</v>
      </c>
      <c r="G983">
        <v>12</v>
      </c>
      <c r="H983">
        <v>9</v>
      </c>
      <c r="I983" s="5">
        <v>6.6666666666666596E-2</v>
      </c>
      <c r="J983" s="3">
        <v>280</v>
      </c>
      <c r="K983" s="1">
        <v>45604</v>
      </c>
      <c r="L983" t="s">
        <v>25</v>
      </c>
      <c r="M983" t="s">
        <v>31</v>
      </c>
      <c r="N983" t="s">
        <v>49</v>
      </c>
      <c r="O983" t="s">
        <v>28</v>
      </c>
      <c r="P983" t="s">
        <v>45</v>
      </c>
      <c r="Q983" s="6">
        <v>1.45318518518518</v>
      </c>
      <c r="R983">
        <v>3.05</v>
      </c>
      <c r="S983">
        <v>16.350000000000001</v>
      </c>
      <c r="T983">
        <v>21.8</v>
      </c>
      <c r="U983">
        <v>42.73</v>
      </c>
      <c r="V983">
        <v>31.11</v>
      </c>
      <c r="W983">
        <v>1.43</v>
      </c>
    </row>
    <row r="984" spans="1:23" x14ac:dyDescent="0.3">
      <c r="A984">
        <v>983</v>
      </c>
      <c r="B984" t="s">
        <v>1027</v>
      </c>
      <c r="C984" t="s">
        <v>38</v>
      </c>
      <c r="D984">
        <v>138</v>
      </c>
      <c r="E984">
        <v>5356</v>
      </c>
      <c r="F984" s="3">
        <v>205</v>
      </c>
      <c r="G984">
        <v>15</v>
      </c>
      <c r="H984">
        <v>9</v>
      </c>
      <c r="I984" s="5">
        <v>6.5217391304347797E-2</v>
      </c>
      <c r="J984" s="3">
        <v>259</v>
      </c>
      <c r="K984" s="1">
        <v>45618</v>
      </c>
      <c r="L984" t="s">
        <v>25</v>
      </c>
      <c r="M984" t="s">
        <v>31</v>
      </c>
      <c r="N984" t="s">
        <v>44</v>
      </c>
      <c r="O984" t="s">
        <v>28</v>
      </c>
      <c r="P984" t="s">
        <v>45</v>
      </c>
      <c r="Q984" s="6">
        <v>1.48449275362318</v>
      </c>
      <c r="R984">
        <v>2.58</v>
      </c>
      <c r="S984">
        <v>13.66</v>
      </c>
      <c r="T984">
        <v>22.76</v>
      </c>
      <c r="U984">
        <v>26.43</v>
      </c>
      <c r="V984">
        <v>28.78</v>
      </c>
      <c r="W984">
        <v>1.26</v>
      </c>
    </row>
    <row r="985" spans="1:23" x14ac:dyDescent="0.3">
      <c r="A985">
        <v>984</v>
      </c>
      <c r="B985" t="s">
        <v>1028</v>
      </c>
      <c r="C985" t="s">
        <v>43</v>
      </c>
      <c r="D985">
        <v>92</v>
      </c>
      <c r="E985">
        <v>4898</v>
      </c>
      <c r="F985" s="3">
        <v>247</v>
      </c>
      <c r="G985">
        <v>19</v>
      </c>
      <c r="H985">
        <v>4</v>
      </c>
      <c r="I985" s="5">
        <v>4.3478260869565202E-2</v>
      </c>
      <c r="J985" s="3">
        <v>402</v>
      </c>
      <c r="K985" s="1">
        <v>45603</v>
      </c>
      <c r="L985" t="s">
        <v>25</v>
      </c>
      <c r="M985" t="s">
        <v>26</v>
      </c>
      <c r="N985" t="s">
        <v>40</v>
      </c>
      <c r="O985" t="s">
        <v>28</v>
      </c>
      <c r="P985" t="s">
        <v>54</v>
      </c>
      <c r="Q985" s="6">
        <v>2.69010869565217</v>
      </c>
      <c r="R985">
        <v>1.88</v>
      </c>
      <c r="S985">
        <v>13.03</v>
      </c>
      <c r="T985">
        <v>61.87</v>
      </c>
      <c r="U985">
        <v>62.43</v>
      </c>
      <c r="V985">
        <v>100.5</v>
      </c>
      <c r="W985">
        <v>1.62</v>
      </c>
    </row>
    <row r="986" spans="1:23" x14ac:dyDescent="0.3">
      <c r="A986">
        <v>985</v>
      </c>
      <c r="B986" t="s">
        <v>1029</v>
      </c>
      <c r="C986" t="s">
        <v>24</v>
      </c>
      <c r="D986">
        <v>151</v>
      </c>
      <c r="E986">
        <v>5301</v>
      </c>
      <c r="F986" s="3">
        <v>232</v>
      </c>
      <c r="G986">
        <v>13</v>
      </c>
      <c r="H986">
        <v>9</v>
      </c>
      <c r="I986" s="5">
        <v>5.9602649006622502E-2</v>
      </c>
      <c r="J986" s="3">
        <v>386</v>
      </c>
      <c r="K986" s="1">
        <v>45601</v>
      </c>
      <c r="L986" t="s">
        <v>25</v>
      </c>
      <c r="M986" t="s">
        <v>31</v>
      </c>
      <c r="N986" t="s">
        <v>36</v>
      </c>
      <c r="O986" t="s">
        <v>28</v>
      </c>
      <c r="P986" t="s">
        <v>41</v>
      </c>
      <c r="Q986" s="6">
        <v>1.53682119205298</v>
      </c>
      <c r="R986">
        <v>2.85</v>
      </c>
      <c r="S986">
        <v>17.850000000000001</v>
      </c>
      <c r="T986">
        <v>25.78</v>
      </c>
      <c r="U986">
        <v>66.34</v>
      </c>
      <c r="V986">
        <v>42.89</v>
      </c>
      <c r="W986">
        <v>1.66</v>
      </c>
    </row>
    <row r="987" spans="1:23" x14ac:dyDescent="0.3">
      <c r="A987">
        <v>986</v>
      </c>
      <c r="B987" t="s">
        <v>1030</v>
      </c>
      <c r="C987" t="s">
        <v>24</v>
      </c>
      <c r="D987">
        <v>189</v>
      </c>
      <c r="E987">
        <v>3031</v>
      </c>
      <c r="F987" s="3">
        <v>210</v>
      </c>
      <c r="G987">
        <v>25</v>
      </c>
      <c r="H987">
        <v>6</v>
      </c>
      <c r="I987" s="5">
        <v>3.1746031746031703E-2</v>
      </c>
      <c r="J987" s="3">
        <v>395</v>
      </c>
      <c r="K987" s="1">
        <v>45622</v>
      </c>
      <c r="L987" t="s">
        <v>25</v>
      </c>
      <c r="M987" t="s">
        <v>39</v>
      </c>
      <c r="N987" t="s">
        <v>44</v>
      </c>
      <c r="O987" t="s">
        <v>28</v>
      </c>
      <c r="P987" t="s">
        <v>41</v>
      </c>
      <c r="Q987" s="6">
        <v>1.1102645502645501</v>
      </c>
      <c r="R987">
        <v>6.24</v>
      </c>
      <c r="S987">
        <v>8.39</v>
      </c>
      <c r="T987">
        <v>34.97</v>
      </c>
      <c r="U987">
        <v>88.24</v>
      </c>
      <c r="V987">
        <v>65.83</v>
      </c>
      <c r="W987">
        <v>1.88</v>
      </c>
    </row>
    <row r="988" spans="1:23" x14ac:dyDescent="0.3">
      <c r="A988">
        <v>987</v>
      </c>
      <c r="B988" t="s">
        <v>1031</v>
      </c>
      <c r="C988" t="s">
        <v>24</v>
      </c>
      <c r="D988">
        <v>97</v>
      </c>
      <c r="E988">
        <v>3410</v>
      </c>
      <c r="F988" s="3">
        <v>181</v>
      </c>
      <c r="G988">
        <v>24</v>
      </c>
      <c r="H988">
        <v>5</v>
      </c>
      <c r="I988" s="5">
        <v>5.1546391752577303E-2</v>
      </c>
      <c r="J988" s="3">
        <v>313</v>
      </c>
      <c r="K988" s="1">
        <v>45603</v>
      </c>
      <c r="L988" t="s">
        <v>25</v>
      </c>
      <c r="M988" t="s">
        <v>39</v>
      </c>
      <c r="N988" t="s">
        <v>49</v>
      </c>
      <c r="O988" t="s">
        <v>28</v>
      </c>
      <c r="P988" t="s">
        <v>54</v>
      </c>
      <c r="Q988" s="6">
        <v>1.8610309278350501</v>
      </c>
      <c r="R988">
        <v>2.84</v>
      </c>
      <c r="S988">
        <v>7.52</v>
      </c>
      <c r="T988">
        <v>36.1</v>
      </c>
      <c r="U988">
        <v>73.39</v>
      </c>
      <c r="V988">
        <v>62.6</v>
      </c>
      <c r="W988">
        <v>1.73</v>
      </c>
    </row>
    <row r="989" spans="1:23" x14ac:dyDescent="0.3">
      <c r="A989">
        <v>988</v>
      </c>
      <c r="B989" t="s">
        <v>1032</v>
      </c>
      <c r="C989" t="s">
        <v>35</v>
      </c>
      <c r="D989">
        <v>178</v>
      </c>
      <c r="E989">
        <v>4745</v>
      </c>
      <c r="F989" s="3">
        <v>201</v>
      </c>
      <c r="G989">
        <v>12</v>
      </c>
      <c r="H989">
        <v>9</v>
      </c>
      <c r="I989" s="5">
        <v>5.0561797752808897E-2</v>
      </c>
      <c r="J989" s="3">
        <v>321</v>
      </c>
      <c r="K989" s="1">
        <v>45614</v>
      </c>
      <c r="L989" t="s">
        <v>25</v>
      </c>
      <c r="M989" t="s">
        <v>26</v>
      </c>
      <c r="N989" t="s">
        <v>27</v>
      </c>
      <c r="O989" t="s">
        <v>28</v>
      </c>
      <c r="P989" t="s">
        <v>59</v>
      </c>
      <c r="Q989" s="6">
        <v>1.1270224719101101</v>
      </c>
      <c r="R989">
        <v>3.75</v>
      </c>
      <c r="S989">
        <v>16.72</v>
      </c>
      <c r="T989">
        <v>22.29</v>
      </c>
      <c r="U989">
        <v>60.01</v>
      </c>
      <c r="V989">
        <v>35.67</v>
      </c>
      <c r="W989">
        <v>1.6</v>
      </c>
    </row>
    <row r="990" spans="1:23" x14ac:dyDescent="0.3">
      <c r="A990">
        <v>989</v>
      </c>
      <c r="B990" t="s">
        <v>1033</v>
      </c>
      <c r="C990" t="s">
        <v>43</v>
      </c>
      <c r="D990">
        <v>164</v>
      </c>
      <c r="E990">
        <v>3024</v>
      </c>
      <c r="F990" s="3">
        <v>192</v>
      </c>
      <c r="G990">
        <v>12</v>
      </c>
      <c r="H990">
        <v>8</v>
      </c>
      <c r="I990" s="5">
        <v>4.8780487804878002E-2</v>
      </c>
      <c r="J990" s="3">
        <v>408</v>
      </c>
      <c r="K990" s="1">
        <v>45603</v>
      </c>
      <c r="L990" t="s">
        <v>25</v>
      </c>
      <c r="M990" t="s">
        <v>26</v>
      </c>
      <c r="N990" t="s">
        <v>32</v>
      </c>
      <c r="O990" t="s">
        <v>28</v>
      </c>
      <c r="P990" t="s">
        <v>54</v>
      </c>
      <c r="Q990" s="6">
        <v>1.1728048780487801</v>
      </c>
      <c r="R990">
        <v>5.42</v>
      </c>
      <c r="S990">
        <v>16.03</v>
      </c>
      <c r="T990">
        <v>24.04</v>
      </c>
      <c r="U990">
        <v>112.12</v>
      </c>
      <c r="V990">
        <v>51</v>
      </c>
      <c r="W990">
        <v>2.12</v>
      </c>
    </row>
    <row r="991" spans="1:23" x14ac:dyDescent="0.3">
      <c r="A991">
        <v>990</v>
      </c>
      <c r="B991" t="s">
        <v>1034</v>
      </c>
      <c r="C991" t="s">
        <v>43</v>
      </c>
      <c r="D991">
        <v>94</v>
      </c>
      <c r="E991">
        <v>5435</v>
      </c>
      <c r="F991" s="3">
        <v>231</v>
      </c>
      <c r="G991">
        <v>21</v>
      </c>
      <c r="H991">
        <v>5</v>
      </c>
      <c r="I991" s="5">
        <v>5.31914893617021E-2</v>
      </c>
      <c r="J991" s="3">
        <v>227</v>
      </c>
      <c r="K991" s="1">
        <v>45599</v>
      </c>
      <c r="L991" t="s">
        <v>25</v>
      </c>
      <c r="M991" t="s">
        <v>26</v>
      </c>
      <c r="N991" t="s">
        <v>36</v>
      </c>
      <c r="O991" t="s">
        <v>28</v>
      </c>
      <c r="P991" t="s">
        <v>50</v>
      </c>
      <c r="Q991" s="6">
        <v>2.4619148936170201</v>
      </c>
      <c r="R991">
        <v>1.73</v>
      </c>
      <c r="S991">
        <v>11.02</v>
      </c>
      <c r="T991">
        <v>46.28</v>
      </c>
      <c r="U991">
        <v>-1.91</v>
      </c>
      <c r="V991">
        <v>45.4</v>
      </c>
      <c r="W991">
        <v>0.98</v>
      </c>
    </row>
    <row r="992" spans="1:23" x14ac:dyDescent="0.3">
      <c r="A992">
        <v>991</v>
      </c>
      <c r="B992" t="s">
        <v>1035</v>
      </c>
      <c r="C992" t="s">
        <v>43</v>
      </c>
      <c r="D992">
        <v>176</v>
      </c>
      <c r="E992">
        <v>3021</v>
      </c>
      <c r="F992" s="3">
        <v>205</v>
      </c>
      <c r="G992">
        <v>29</v>
      </c>
      <c r="H992">
        <v>7</v>
      </c>
      <c r="I992" s="5">
        <v>3.9772727272727203E-2</v>
      </c>
      <c r="J992" s="3">
        <v>331</v>
      </c>
      <c r="K992" s="1">
        <v>45609</v>
      </c>
      <c r="L992" t="s">
        <v>25</v>
      </c>
      <c r="M992" t="s">
        <v>39</v>
      </c>
      <c r="N992" t="s">
        <v>44</v>
      </c>
      <c r="O992" t="s">
        <v>28</v>
      </c>
      <c r="P992" t="s">
        <v>33</v>
      </c>
      <c r="Q992" s="6">
        <v>1.1621022727272701</v>
      </c>
      <c r="R992">
        <v>5.83</v>
      </c>
      <c r="S992">
        <v>7.05</v>
      </c>
      <c r="T992">
        <v>29.22</v>
      </c>
      <c r="U992">
        <v>61.83</v>
      </c>
      <c r="V992">
        <v>47.29</v>
      </c>
      <c r="W992">
        <v>1.62</v>
      </c>
    </row>
    <row r="993" spans="1:23" x14ac:dyDescent="0.3">
      <c r="A993">
        <v>992</v>
      </c>
      <c r="B993" t="s">
        <v>1036</v>
      </c>
      <c r="C993" t="s">
        <v>24</v>
      </c>
      <c r="D993">
        <v>165</v>
      </c>
      <c r="E993">
        <v>5335</v>
      </c>
      <c r="F993" s="3">
        <v>193</v>
      </c>
      <c r="G993">
        <v>23</v>
      </c>
      <c r="H993">
        <v>5</v>
      </c>
      <c r="I993" s="5">
        <v>3.03030303030303E-2</v>
      </c>
      <c r="J993" s="3">
        <v>286</v>
      </c>
      <c r="K993" s="1">
        <v>45608</v>
      </c>
      <c r="L993" t="s">
        <v>25</v>
      </c>
      <c r="M993" t="s">
        <v>31</v>
      </c>
      <c r="N993" t="s">
        <v>40</v>
      </c>
      <c r="O993" t="s">
        <v>28</v>
      </c>
      <c r="P993" t="s">
        <v>41</v>
      </c>
      <c r="Q993" s="6">
        <v>1.1668484848484799</v>
      </c>
      <c r="R993">
        <v>3.09</v>
      </c>
      <c r="S993">
        <v>8.3699999999999992</v>
      </c>
      <c r="T993">
        <v>38.51</v>
      </c>
      <c r="U993">
        <v>48.55</v>
      </c>
      <c r="V993">
        <v>57.2</v>
      </c>
      <c r="W993">
        <v>1.49</v>
      </c>
    </row>
    <row r="994" spans="1:23" x14ac:dyDescent="0.3">
      <c r="A994">
        <v>993</v>
      </c>
      <c r="B994" t="s">
        <v>1037</v>
      </c>
      <c r="C994" t="s">
        <v>35</v>
      </c>
      <c r="D994">
        <v>188</v>
      </c>
      <c r="E994">
        <v>4081</v>
      </c>
      <c r="F994" s="3">
        <v>237</v>
      </c>
      <c r="G994">
        <v>18</v>
      </c>
      <c r="H994">
        <v>8</v>
      </c>
      <c r="I994" s="5">
        <v>4.2553191489361701E-2</v>
      </c>
      <c r="J994" s="3">
        <v>377</v>
      </c>
      <c r="K994" s="1">
        <v>45602</v>
      </c>
      <c r="L994" t="s">
        <v>25</v>
      </c>
      <c r="M994" t="s">
        <v>39</v>
      </c>
      <c r="N994" t="s">
        <v>32</v>
      </c>
      <c r="O994" t="s">
        <v>28</v>
      </c>
      <c r="P994" t="s">
        <v>33</v>
      </c>
      <c r="Q994" s="6">
        <v>1.2609042553191401</v>
      </c>
      <c r="R994">
        <v>4.6100000000000003</v>
      </c>
      <c r="S994">
        <v>13.17</v>
      </c>
      <c r="T994">
        <v>29.63</v>
      </c>
      <c r="U994">
        <v>59.04</v>
      </c>
      <c r="V994">
        <v>47.12</v>
      </c>
      <c r="W994">
        <v>1.59</v>
      </c>
    </row>
    <row r="995" spans="1:23" x14ac:dyDescent="0.3">
      <c r="A995">
        <v>994</v>
      </c>
      <c r="B995" t="s">
        <v>1038</v>
      </c>
      <c r="C995" t="s">
        <v>38</v>
      </c>
      <c r="D995">
        <v>87</v>
      </c>
      <c r="E995">
        <v>4840</v>
      </c>
      <c r="F995" s="3">
        <v>206</v>
      </c>
      <c r="G995">
        <v>16</v>
      </c>
      <c r="H995">
        <v>6</v>
      </c>
      <c r="I995" s="5">
        <v>6.8965517241379296E-2</v>
      </c>
      <c r="J995" s="3">
        <v>212</v>
      </c>
      <c r="K995" s="1">
        <v>45605</v>
      </c>
      <c r="L995" t="s">
        <v>25</v>
      </c>
      <c r="M995" t="s">
        <v>26</v>
      </c>
      <c r="N995" t="s">
        <v>44</v>
      </c>
      <c r="O995" t="s">
        <v>28</v>
      </c>
      <c r="P995" t="s">
        <v>29</v>
      </c>
      <c r="Q995" s="6">
        <v>2.3645977011494201</v>
      </c>
      <c r="R995">
        <v>1.8</v>
      </c>
      <c r="S995">
        <v>12.86</v>
      </c>
      <c r="T995">
        <v>34.29</v>
      </c>
      <c r="U995">
        <v>3.05</v>
      </c>
      <c r="V995">
        <v>35.33</v>
      </c>
      <c r="W995">
        <v>1.03</v>
      </c>
    </row>
    <row r="996" spans="1:23" x14ac:dyDescent="0.3">
      <c r="A996">
        <v>995</v>
      </c>
      <c r="B996" t="s">
        <v>1039</v>
      </c>
      <c r="C996" t="s">
        <v>24</v>
      </c>
      <c r="D996">
        <v>106</v>
      </c>
      <c r="E996">
        <v>4738</v>
      </c>
      <c r="F996" s="3">
        <v>197</v>
      </c>
      <c r="G996">
        <v>17</v>
      </c>
      <c r="H996">
        <v>4</v>
      </c>
      <c r="I996" s="5">
        <v>3.7735849056603703E-2</v>
      </c>
      <c r="J996" s="3">
        <v>309</v>
      </c>
      <c r="K996" s="1">
        <v>45625</v>
      </c>
      <c r="L996" t="s">
        <v>25</v>
      </c>
      <c r="M996" t="s">
        <v>39</v>
      </c>
      <c r="N996" t="s">
        <v>40</v>
      </c>
      <c r="O996" t="s">
        <v>28</v>
      </c>
      <c r="P996" t="s">
        <v>45</v>
      </c>
      <c r="Q996" s="6">
        <v>1.8556603773584901</v>
      </c>
      <c r="R996">
        <v>2.2400000000000002</v>
      </c>
      <c r="S996">
        <v>11.57</v>
      </c>
      <c r="T996">
        <v>49.18</v>
      </c>
      <c r="U996">
        <v>57.09</v>
      </c>
      <c r="V996">
        <v>77.25</v>
      </c>
      <c r="W996">
        <v>1.57</v>
      </c>
    </row>
    <row r="997" spans="1:23" x14ac:dyDescent="0.3">
      <c r="A997">
        <v>996</v>
      </c>
      <c r="B997" t="s">
        <v>1040</v>
      </c>
      <c r="C997" t="s">
        <v>38</v>
      </c>
      <c r="D997">
        <v>198</v>
      </c>
      <c r="E997">
        <v>4181</v>
      </c>
      <c r="F997" s="3">
        <v>218</v>
      </c>
      <c r="G997">
        <v>10</v>
      </c>
      <c r="H997">
        <v>8</v>
      </c>
      <c r="I997" s="5">
        <v>4.0404040404040401E-2</v>
      </c>
      <c r="J997" s="3">
        <v>265</v>
      </c>
      <c r="K997" s="1">
        <v>45613</v>
      </c>
      <c r="L997" t="s">
        <v>25</v>
      </c>
      <c r="M997" t="s">
        <v>31</v>
      </c>
      <c r="N997" t="s">
        <v>40</v>
      </c>
      <c r="O997" t="s">
        <v>28</v>
      </c>
      <c r="P997" t="s">
        <v>50</v>
      </c>
      <c r="Q997" s="6">
        <v>1.1030303030302999</v>
      </c>
      <c r="R997">
        <v>4.74</v>
      </c>
      <c r="S997">
        <v>21.84</v>
      </c>
      <c r="T997">
        <v>27.3</v>
      </c>
      <c r="U997">
        <v>21.34</v>
      </c>
      <c r="V997">
        <v>33.119999999999997</v>
      </c>
      <c r="W997">
        <v>1.21</v>
      </c>
    </row>
    <row r="998" spans="1:23" x14ac:dyDescent="0.3">
      <c r="A998">
        <v>997</v>
      </c>
      <c r="B998" t="s">
        <v>1041</v>
      </c>
      <c r="C998" t="s">
        <v>43</v>
      </c>
      <c r="D998">
        <v>121</v>
      </c>
      <c r="E998">
        <v>5813</v>
      </c>
      <c r="F998" s="3">
        <v>203</v>
      </c>
      <c r="G998">
        <v>25</v>
      </c>
      <c r="H998">
        <v>6</v>
      </c>
      <c r="I998" s="5">
        <v>4.9586776859504099E-2</v>
      </c>
      <c r="J998" s="3">
        <v>250</v>
      </c>
      <c r="K998" s="1">
        <v>45610</v>
      </c>
      <c r="L998" t="s">
        <v>25</v>
      </c>
      <c r="M998" t="s">
        <v>39</v>
      </c>
      <c r="N998" t="s">
        <v>36</v>
      </c>
      <c r="O998" t="s">
        <v>28</v>
      </c>
      <c r="P998" t="s">
        <v>54</v>
      </c>
      <c r="Q998" s="6">
        <v>1.6770247933884199</v>
      </c>
      <c r="R998">
        <v>2.08</v>
      </c>
      <c r="S998">
        <v>8.1199999999999992</v>
      </c>
      <c r="T998">
        <v>33.82</v>
      </c>
      <c r="U998">
        <v>23.2</v>
      </c>
      <c r="V998">
        <v>41.67</v>
      </c>
      <c r="W998">
        <v>1.23</v>
      </c>
    </row>
    <row r="999" spans="1:23" x14ac:dyDescent="0.3">
      <c r="A999">
        <v>998</v>
      </c>
      <c r="B999" t="s">
        <v>1042</v>
      </c>
      <c r="C999" t="s">
        <v>24</v>
      </c>
      <c r="D999">
        <v>120</v>
      </c>
      <c r="E999">
        <v>4303</v>
      </c>
      <c r="F999" s="3">
        <v>203</v>
      </c>
      <c r="G999">
        <v>21</v>
      </c>
      <c r="H999">
        <v>4</v>
      </c>
      <c r="I999" s="5">
        <v>3.3333333333333298E-2</v>
      </c>
      <c r="J999" s="3">
        <v>211</v>
      </c>
      <c r="K999" s="1">
        <v>45622</v>
      </c>
      <c r="L999" t="s">
        <v>25</v>
      </c>
      <c r="M999" t="s">
        <v>39</v>
      </c>
      <c r="N999" t="s">
        <v>44</v>
      </c>
      <c r="O999" t="s">
        <v>28</v>
      </c>
      <c r="P999" t="s">
        <v>41</v>
      </c>
      <c r="Q999" s="6">
        <v>1.69</v>
      </c>
      <c r="R999">
        <v>2.79</v>
      </c>
      <c r="S999">
        <v>9.66</v>
      </c>
      <c r="T999">
        <v>50.7</v>
      </c>
      <c r="U999">
        <v>4.04</v>
      </c>
      <c r="V999">
        <v>52.75</v>
      </c>
      <c r="W999">
        <v>1.04</v>
      </c>
    </row>
    <row r="1000" spans="1:23" x14ac:dyDescent="0.3">
      <c r="A1000">
        <v>999</v>
      </c>
      <c r="B1000" t="s">
        <v>1043</v>
      </c>
      <c r="C1000" t="s">
        <v>38</v>
      </c>
      <c r="D1000">
        <v>189</v>
      </c>
      <c r="E1000">
        <v>5201</v>
      </c>
      <c r="F1000" s="3">
        <v>211</v>
      </c>
      <c r="G1000">
        <v>21</v>
      </c>
      <c r="H1000">
        <v>10</v>
      </c>
      <c r="I1000" s="5">
        <v>5.29100529100529E-2</v>
      </c>
      <c r="J1000" s="3">
        <v>318</v>
      </c>
      <c r="K1000" s="1">
        <v>45607</v>
      </c>
      <c r="L1000" t="s">
        <v>25</v>
      </c>
      <c r="M1000" t="s">
        <v>31</v>
      </c>
      <c r="N1000" t="s">
        <v>32</v>
      </c>
      <c r="O1000" t="s">
        <v>28</v>
      </c>
      <c r="P1000" t="s">
        <v>59</v>
      </c>
      <c r="Q1000" s="6">
        <v>1.1157142857142801</v>
      </c>
      <c r="R1000">
        <v>3.63</v>
      </c>
      <c r="S1000">
        <v>10.039999999999999</v>
      </c>
      <c r="T1000">
        <v>21.09</v>
      </c>
      <c r="U1000">
        <v>50.8</v>
      </c>
      <c r="V1000">
        <v>31.8</v>
      </c>
      <c r="W1000">
        <v>1.51</v>
      </c>
    </row>
    <row r="1001" spans="1:23" x14ac:dyDescent="0.3">
      <c r="A1001">
        <v>1000</v>
      </c>
      <c r="B1001" t="s">
        <v>1044</v>
      </c>
      <c r="C1001" t="s">
        <v>24</v>
      </c>
      <c r="D1001">
        <v>131</v>
      </c>
      <c r="E1001">
        <v>4603</v>
      </c>
      <c r="F1001" s="3">
        <v>229</v>
      </c>
      <c r="G1001">
        <v>30</v>
      </c>
      <c r="H1001">
        <v>6</v>
      </c>
      <c r="I1001" s="5">
        <v>4.5801526717557203E-2</v>
      </c>
      <c r="J1001" s="3">
        <v>259</v>
      </c>
      <c r="K1001" s="1">
        <v>45599</v>
      </c>
      <c r="L1001" t="s">
        <v>25</v>
      </c>
      <c r="M1001" t="s">
        <v>39</v>
      </c>
      <c r="N1001" t="s">
        <v>49</v>
      </c>
      <c r="O1001" t="s">
        <v>28</v>
      </c>
      <c r="P1001" t="s">
        <v>50</v>
      </c>
      <c r="Q1001" s="6">
        <v>1.74526717557251</v>
      </c>
      <c r="R1001">
        <v>2.85</v>
      </c>
      <c r="S1001">
        <v>7.62</v>
      </c>
      <c r="T1001">
        <v>38.1</v>
      </c>
      <c r="U1001">
        <v>13.28</v>
      </c>
      <c r="V1001">
        <v>43.17</v>
      </c>
      <c r="W1001">
        <v>1.1299999999999999</v>
      </c>
    </row>
    <row r="1002" spans="1:23" x14ac:dyDescent="0.3">
      <c r="A1002">
        <v>1001</v>
      </c>
      <c r="B1002" t="s">
        <v>1045</v>
      </c>
      <c r="C1002" t="s">
        <v>35</v>
      </c>
      <c r="D1002">
        <v>99</v>
      </c>
      <c r="E1002">
        <v>4051</v>
      </c>
      <c r="F1002" s="3">
        <v>207</v>
      </c>
      <c r="G1002">
        <v>10</v>
      </c>
      <c r="H1002">
        <v>9</v>
      </c>
      <c r="I1002" s="5">
        <v>9.0909090909090898E-2</v>
      </c>
      <c r="J1002" s="3">
        <v>367</v>
      </c>
      <c r="K1002" s="1">
        <v>45610</v>
      </c>
      <c r="L1002" t="s">
        <v>25</v>
      </c>
      <c r="M1002" t="s">
        <v>31</v>
      </c>
      <c r="N1002" t="s">
        <v>49</v>
      </c>
      <c r="O1002" t="s">
        <v>28</v>
      </c>
      <c r="P1002" t="s">
        <v>54</v>
      </c>
      <c r="Q1002" s="6">
        <v>2.0951515151515099</v>
      </c>
      <c r="R1002">
        <v>2.44</v>
      </c>
      <c r="S1002">
        <v>20.74</v>
      </c>
      <c r="T1002">
        <v>23.05</v>
      </c>
      <c r="U1002">
        <v>76.94</v>
      </c>
      <c r="V1002">
        <v>40.78</v>
      </c>
      <c r="W1002">
        <v>1.77</v>
      </c>
    </row>
    <row r="1003" spans="1:23" x14ac:dyDescent="0.3">
      <c r="A1003">
        <v>1002</v>
      </c>
      <c r="B1003" t="s">
        <v>1046</v>
      </c>
      <c r="C1003" t="s">
        <v>24</v>
      </c>
      <c r="D1003">
        <v>199</v>
      </c>
      <c r="E1003">
        <v>4080</v>
      </c>
      <c r="F1003" s="3">
        <v>244</v>
      </c>
      <c r="G1003">
        <v>23</v>
      </c>
      <c r="H1003">
        <v>7</v>
      </c>
      <c r="I1003" s="5">
        <v>3.5175879396984903E-2</v>
      </c>
      <c r="J1003" s="3">
        <v>308</v>
      </c>
      <c r="K1003" s="1">
        <v>45611</v>
      </c>
      <c r="L1003" t="s">
        <v>25</v>
      </c>
      <c r="M1003" t="s">
        <v>26</v>
      </c>
      <c r="N1003" t="s">
        <v>40</v>
      </c>
      <c r="O1003" t="s">
        <v>28</v>
      </c>
      <c r="P1003" t="s">
        <v>45</v>
      </c>
      <c r="Q1003" s="6">
        <v>1.2251256281406999</v>
      </c>
      <c r="R1003">
        <v>4.88</v>
      </c>
      <c r="S1003">
        <v>10.6</v>
      </c>
      <c r="T1003">
        <v>34.83</v>
      </c>
      <c r="U1003">
        <v>26.33</v>
      </c>
      <c r="V1003">
        <v>44</v>
      </c>
      <c r="W1003">
        <v>1.26</v>
      </c>
    </row>
    <row r="1004" spans="1:23" x14ac:dyDescent="0.3">
      <c r="A1004">
        <v>1003</v>
      </c>
      <c r="B1004" t="s">
        <v>1047</v>
      </c>
      <c r="C1004" t="s">
        <v>38</v>
      </c>
      <c r="D1004">
        <v>180</v>
      </c>
      <c r="E1004">
        <v>4140</v>
      </c>
      <c r="F1004" s="3">
        <v>241</v>
      </c>
      <c r="G1004">
        <v>21</v>
      </c>
      <c r="H1004">
        <v>8</v>
      </c>
      <c r="I1004" s="5">
        <v>4.4444444444444398E-2</v>
      </c>
      <c r="J1004" s="3">
        <v>255</v>
      </c>
      <c r="K1004" s="1">
        <v>45607</v>
      </c>
      <c r="L1004" t="s">
        <v>25</v>
      </c>
      <c r="M1004" t="s">
        <v>26</v>
      </c>
      <c r="N1004" t="s">
        <v>44</v>
      </c>
      <c r="O1004" t="s">
        <v>28</v>
      </c>
      <c r="P1004" t="s">
        <v>59</v>
      </c>
      <c r="Q1004" s="6">
        <v>1.3375555555555501</v>
      </c>
      <c r="R1004">
        <v>4.3499999999999996</v>
      </c>
      <c r="S1004">
        <v>11.46</v>
      </c>
      <c r="T1004">
        <v>30.1</v>
      </c>
      <c r="U1004">
        <v>5.91</v>
      </c>
      <c r="V1004">
        <v>31.88</v>
      </c>
      <c r="W1004">
        <v>1.06</v>
      </c>
    </row>
    <row r="1005" spans="1:23" x14ac:dyDescent="0.3">
      <c r="A1005">
        <v>1004</v>
      </c>
      <c r="B1005" t="s">
        <v>1048</v>
      </c>
      <c r="C1005" t="s">
        <v>35</v>
      </c>
      <c r="D1005">
        <v>88</v>
      </c>
      <c r="E1005">
        <v>3333</v>
      </c>
      <c r="F1005" s="3">
        <v>193</v>
      </c>
      <c r="G1005">
        <v>29</v>
      </c>
      <c r="H1005">
        <v>3</v>
      </c>
      <c r="I1005" s="5">
        <v>3.4090909090908998E-2</v>
      </c>
      <c r="J1005" s="3">
        <v>285</v>
      </c>
      <c r="K1005" s="1">
        <v>45610</v>
      </c>
      <c r="L1005" t="s">
        <v>25</v>
      </c>
      <c r="M1005" t="s">
        <v>39</v>
      </c>
      <c r="N1005" t="s">
        <v>36</v>
      </c>
      <c r="O1005" t="s">
        <v>28</v>
      </c>
      <c r="P1005" t="s">
        <v>54</v>
      </c>
      <c r="Q1005" s="6">
        <v>2.19602272727272</v>
      </c>
      <c r="R1005">
        <v>2.64</v>
      </c>
      <c r="S1005">
        <v>6.66</v>
      </c>
      <c r="T1005">
        <v>64.42</v>
      </c>
      <c r="U1005">
        <v>47.48</v>
      </c>
      <c r="V1005">
        <v>95</v>
      </c>
      <c r="W1005">
        <v>1.47</v>
      </c>
    </row>
    <row r="1006" spans="1:23" x14ac:dyDescent="0.3">
      <c r="A1006">
        <v>1005</v>
      </c>
      <c r="B1006" t="s">
        <v>1049</v>
      </c>
      <c r="C1006" t="s">
        <v>35</v>
      </c>
      <c r="D1006">
        <v>140</v>
      </c>
      <c r="E1006">
        <v>3689</v>
      </c>
      <c r="F1006" s="3">
        <v>249</v>
      </c>
      <c r="G1006">
        <v>20</v>
      </c>
      <c r="H1006">
        <v>9</v>
      </c>
      <c r="I1006" s="5">
        <v>6.4285714285714196E-2</v>
      </c>
      <c r="J1006" s="3">
        <v>271</v>
      </c>
      <c r="K1006" s="1">
        <v>45618</v>
      </c>
      <c r="L1006" t="s">
        <v>25</v>
      </c>
      <c r="M1006" t="s">
        <v>31</v>
      </c>
      <c r="N1006" t="s">
        <v>27</v>
      </c>
      <c r="O1006" t="s">
        <v>28</v>
      </c>
      <c r="P1006" t="s">
        <v>45</v>
      </c>
      <c r="Q1006" s="6">
        <v>1.7809285714285701</v>
      </c>
      <c r="R1006">
        <v>3.8</v>
      </c>
      <c r="S1006">
        <v>12.47</v>
      </c>
      <c r="T1006">
        <v>27.7</v>
      </c>
      <c r="U1006">
        <v>8.69</v>
      </c>
      <c r="V1006">
        <v>30.11</v>
      </c>
      <c r="W1006">
        <v>1.0900000000000001</v>
      </c>
    </row>
    <row r="1007" spans="1:23" x14ac:dyDescent="0.3">
      <c r="A1007">
        <v>1006</v>
      </c>
      <c r="B1007" t="s">
        <v>1050</v>
      </c>
      <c r="C1007" t="s">
        <v>38</v>
      </c>
      <c r="D1007">
        <v>166</v>
      </c>
      <c r="E1007">
        <v>4665</v>
      </c>
      <c r="F1007" s="3">
        <v>224</v>
      </c>
      <c r="G1007">
        <v>23</v>
      </c>
      <c r="H1007">
        <v>9</v>
      </c>
      <c r="I1007" s="5">
        <v>5.4216867469879498E-2</v>
      </c>
      <c r="J1007" s="3">
        <v>287</v>
      </c>
      <c r="K1007" s="1">
        <v>45603</v>
      </c>
      <c r="L1007" t="s">
        <v>25</v>
      </c>
      <c r="M1007" t="s">
        <v>39</v>
      </c>
      <c r="N1007" t="s">
        <v>36</v>
      </c>
      <c r="O1007" t="s">
        <v>28</v>
      </c>
      <c r="P1007" t="s">
        <v>54</v>
      </c>
      <c r="Q1007" s="6">
        <v>1.34909638554216</v>
      </c>
      <c r="R1007">
        <v>3.56</v>
      </c>
      <c r="S1007">
        <v>9.74</v>
      </c>
      <c r="T1007">
        <v>24.88</v>
      </c>
      <c r="U1007">
        <v>28.15</v>
      </c>
      <c r="V1007">
        <v>31.89</v>
      </c>
      <c r="W1007">
        <v>1.28</v>
      </c>
    </row>
    <row r="1008" spans="1:23" x14ac:dyDescent="0.3">
      <c r="A1008">
        <v>1007</v>
      </c>
      <c r="B1008" t="s">
        <v>1051</v>
      </c>
      <c r="C1008" t="s">
        <v>43</v>
      </c>
      <c r="D1008">
        <v>185</v>
      </c>
      <c r="E1008">
        <v>3670</v>
      </c>
      <c r="F1008" s="3">
        <v>199</v>
      </c>
      <c r="G1008">
        <v>30</v>
      </c>
      <c r="H1008">
        <v>4</v>
      </c>
      <c r="I1008" s="5">
        <v>2.1621621621621599E-2</v>
      </c>
      <c r="J1008" s="3">
        <v>294</v>
      </c>
      <c r="K1008" s="1">
        <v>45609</v>
      </c>
      <c r="L1008" t="s">
        <v>25</v>
      </c>
      <c r="M1008" t="s">
        <v>26</v>
      </c>
      <c r="N1008" t="s">
        <v>40</v>
      </c>
      <c r="O1008" t="s">
        <v>28</v>
      </c>
      <c r="P1008" t="s">
        <v>33</v>
      </c>
      <c r="Q1008" s="6">
        <v>1.0738378378378299</v>
      </c>
      <c r="R1008">
        <v>5.04</v>
      </c>
      <c r="S1008">
        <v>6.62</v>
      </c>
      <c r="T1008">
        <v>49.66</v>
      </c>
      <c r="U1008">
        <v>47.99</v>
      </c>
      <c r="V1008">
        <v>73.5</v>
      </c>
      <c r="W1008">
        <v>1.48</v>
      </c>
    </row>
    <row r="1009" spans="1:23" x14ac:dyDescent="0.3">
      <c r="A1009">
        <v>1008</v>
      </c>
      <c r="B1009" t="s">
        <v>1052</v>
      </c>
      <c r="C1009" t="s">
        <v>35</v>
      </c>
      <c r="D1009">
        <v>139</v>
      </c>
      <c r="E1009">
        <v>4036</v>
      </c>
      <c r="F1009" s="3">
        <v>242</v>
      </c>
      <c r="G1009">
        <v>25</v>
      </c>
      <c r="H1009">
        <v>5</v>
      </c>
      <c r="I1009" s="5">
        <v>3.5971223021582698E-2</v>
      </c>
      <c r="J1009" s="3">
        <v>271</v>
      </c>
      <c r="K1009" s="1">
        <v>45622</v>
      </c>
      <c r="L1009" t="s">
        <v>25</v>
      </c>
      <c r="M1009" t="s">
        <v>39</v>
      </c>
      <c r="N1009" t="s">
        <v>27</v>
      </c>
      <c r="O1009" t="s">
        <v>28</v>
      </c>
      <c r="P1009" t="s">
        <v>41</v>
      </c>
      <c r="Q1009" s="6">
        <v>1.74187050359712</v>
      </c>
      <c r="R1009">
        <v>3.44</v>
      </c>
      <c r="S1009">
        <v>9.68</v>
      </c>
      <c r="T1009">
        <v>48.42</v>
      </c>
      <c r="U1009">
        <v>11.93</v>
      </c>
      <c r="V1009">
        <v>54.2</v>
      </c>
      <c r="W1009">
        <v>1.1200000000000001</v>
      </c>
    </row>
    <row r="1010" spans="1:23" x14ac:dyDescent="0.3">
      <c r="A1010">
        <v>1009</v>
      </c>
      <c r="B1010" t="s">
        <v>1053</v>
      </c>
      <c r="C1010" t="s">
        <v>43</v>
      </c>
      <c r="D1010">
        <v>142</v>
      </c>
      <c r="E1010">
        <v>4497</v>
      </c>
      <c r="F1010" s="3">
        <v>199</v>
      </c>
      <c r="G1010">
        <v>27</v>
      </c>
      <c r="H1010">
        <v>3</v>
      </c>
      <c r="I1010" s="5">
        <v>2.1126760563380202E-2</v>
      </c>
      <c r="J1010" s="3">
        <v>323</v>
      </c>
      <c r="K1010" s="1">
        <v>45626</v>
      </c>
      <c r="L1010" t="s">
        <v>25</v>
      </c>
      <c r="M1010" t="s">
        <v>39</v>
      </c>
      <c r="N1010" t="s">
        <v>49</v>
      </c>
      <c r="O1010" t="s">
        <v>28</v>
      </c>
      <c r="P1010" t="s">
        <v>29</v>
      </c>
      <c r="Q1010" s="6">
        <v>1.4012676056338</v>
      </c>
      <c r="R1010">
        <v>3.16</v>
      </c>
      <c r="S1010">
        <v>7.37</v>
      </c>
      <c r="T1010">
        <v>66.33</v>
      </c>
      <c r="U1010">
        <v>62.33</v>
      </c>
      <c r="V1010">
        <v>107.67</v>
      </c>
      <c r="W1010">
        <v>1.62</v>
      </c>
    </row>
    <row r="1011" spans="1:23" x14ac:dyDescent="0.3">
      <c r="A1011">
        <v>1010</v>
      </c>
      <c r="B1011" t="s">
        <v>1054</v>
      </c>
      <c r="C1011" t="s">
        <v>38</v>
      </c>
      <c r="D1011">
        <v>173</v>
      </c>
      <c r="E1011">
        <v>3705</v>
      </c>
      <c r="F1011" s="3">
        <v>197</v>
      </c>
      <c r="G1011">
        <v>20</v>
      </c>
      <c r="H1011">
        <v>10</v>
      </c>
      <c r="I1011" s="5">
        <v>5.7803468208092401E-2</v>
      </c>
      <c r="J1011" s="3">
        <v>206</v>
      </c>
      <c r="K1011" s="1">
        <v>45622</v>
      </c>
      <c r="L1011" t="s">
        <v>25</v>
      </c>
      <c r="M1011" t="s">
        <v>26</v>
      </c>
      <c r="N1011" t="s">
        <v>40</v>
      </c>
      <c r="O1011" t="s">
        <v>28</v>
      </c>
      <c r="P1011" t="s">
        <v>41</v>
      </c>
      <c r="Q1011" s="6">
        <v>1.1387861271676301</v>
      </c>
      <c r="R1011">
        <v>4.67</v>
      </c>
      <c r="S1011">
        <v>9.85</v>
      </c>
      <c r="T1011">
        <v>19.7</v>
      </c>
      <c r="U1011">
        <v>4.5599999999999996</v>
      </c>
      <c r="V1011">
        <v>20.6</v>
      </c>
      <c r="W1011">
        <v>1.05</v>
      </c>
    </row>
    <row r="1012" spans="1:23" x14ac:dyDescent="0.3">
      <c r="A1012">
        <v>1011</v>
      </c>
      <c r="B1012" t="s">
        <v>1055</v>
      </c>
      <c r="C1012" t="s">
        <v>38</v>
      </c>
      <c r="D1012">
        <v>177</v>
      </c>
      <c r="E1012">
        <v>5849</v>
      </c>
      <c r="F1012" s="3">
        <v>274</v>
      </c>
      <c r="G1012">
        <v>27</v>
      </c>
      <c r="H1012">
        <v>3</v>
      </c>
      <c r="I1012" s="5">
        <v>1.6949152542372801E-2</v>
      </c>
      <c r="J1012" s="3">
        <v>234</v>
      </c>
      <c r="K1012" s="1">
        <v>45621</v>
      </c>
      <c r="L1012" t="s">
        <v>25</v>
      </c>
      <c r="M1012" t="s">
        <v>39</v>
      </c>
      <c r="N1012" t="s">
        <v>27</v>
      </c>
      <c r="O1012" t="s">
        <v>28</v>
      </c>
      <c r="P1012" t="s">
        <v>59</v>
      </c>
      <c r="Q1012" s="6">
        <v>1.5486459462801201</v>
      </c>
      <c r="R1012">
        <v>3.03</v>
      </c>
      <c r="S1012">
        <v>10.15</v>
      </c>
      <c r="T1012">
        <v>91.37</v>
      </c>
      <c r="U1012">
        <v>-14.63</v>
      </c>
      <c r="V1012">
        <v>78</v>
      </c>
      <c r="W1012">
        <v>0.85</v>
      </c>
    </row>
    <row r="1013" spans="1:23" x14ac:dyDescent="0.3">
      <c r="A1013">
        <v>1012</v>
      </c>
      <c r="B1013" t="s">
        <v>1056</v>
      </c>
      <c r="C1013" t="s">
        <v>43</v>
      </c>
      <c r="D1013">
        <v>153</v>
      </c>
      <c r="E1013">
        <v>5283</v>
      </c>
      <c r="F1013" s="3">
        <v>206</v>
      </c>
      <c r="G1013">
        <v>24</v>
      </c>
      <c r="H1013">
        <v>3</v>
      </c>
      <c r="I1013" s="5">
        <v>1.9607843137254902E-2</v>
      </c>
      <c r="J1013" s="3">
        <v>325</v>
      </c>
      <c r="K1013" s="1">
        <v>45606</v>
      </c>
      <c r="L1013" t="s">
        <v>25</v>
      </c>
      <c r="M1013" t="s">
        <v>26</v>
      </c>
      <c r="N1013" t="s">
        <v>27</v>
      </c>
      <c r="O1013" t="s">
        <v>28</v>
      </c>
      <c r="P1013" t="s">
        <v>50</v>
      </c>
      <c r="Q1013" s="6">
        <v>1.34457516339869</v>
      </c>
      <c r="R1013">
        <v>2.9</v>
      </c>
      <c r="S1013">
        <v>8.57</v>
      </c>
      <c r="T1013">
        <v>68.569999999999993</v>
      </c>
      <c r="U1013">
        <v>57.98</v>
      </c>
      <c r="V1013">
        <v>108.33</v>
      </c>
      <c r="W1013">
        <v>1.58</v>
      </c>
    </row>
    <row r="1014" spans="1:23" x14ac:dyDescent="0.3">
      <c r="A1014">
        <v>1013</v>
      </c>
      <c r="B1014" t="s">
        <v>1057</v>
      </c>
      <c r="C1014" t="s">
        <v>35</v>
      </c>
      <c r="D1014">
        <v>104</v>
      </c>
      <c r="E1014">
        <v>5203</v>
      </c>
      <c r="F1014" s="3">
        <v>241</v>
      </c>
      <c r="G1014">
        <v>17</v>
      </c>
      <c r="H1014">
        <v>6</v>
      </c>
      <c r="I1014" s="5">
        <v>5.7692307692307598E-2</v>
      </c>
      <c r="J1014" s="3">
        <v>238</v>
      </c>
      <c r="K1014" s="1">
        <v>45624</v>
      </c>
      <c r="L1014" t="s">
        <v>25</v>
      </c>
      <c r="M1014" t="s">
        <v>31</v>
      </c>
      <c r="N1014" t="s">
        <v>36</v>
      </c>
      <c r="O1014" t="s">
        <v>28</v>
      </c>
      <c r="P1014" t="s">
        <v>54</v>
      </c>
      <c r="Q1014" s="6">
        <v>2.3187500000000001</v>
      </c>
      <c r="R1014">
        <v>2</v>
      </c>
      <c r="S1014">
        <v>14.19</v>
      </c>
      <c r="T1014">
        <v>40.19</v>
      </c>
      <c r="U1014">
        <v>-1.31</v>
      </c>
      <c r="V1014">
        <v>39.67</v>
      </c>
      <c r="W1014">
        <v>0.99</v>
      </c>
    </row>
    <row r="1015" spans="1:23" x14ac:dyDescent="0.3">
      <c r="A1015">
        <v>1014</v>
      </c>
      <c r="B1015" t="s">
        <v>1058</v>
      </c>
      <c r="C1015" t="s">
        <v>38</v>
      </c>
      <c r="D1015">
        <v>120</v>
      </c>
      <c r="E1015">
        <v>4243</v>
      </c>
      <c r="F1015" s="3">
        <v>198</v>
      </c>
      <c r="G1015">
        <v>15</v>
      </c>
      <c r="H1015">
        <v>10</v>
      </c>
      <c r="I1015" s="5">
        <v>8.3333333333333301E-2</v>
      </c>
      <c r="J1015" s="3">
        <v>386</v>
      </c>
      <c r="K1015" s="1">
        <v>45623</v>
      </c>
      <c r="L1015" t="s">
        <v>25</v>
      </c>
      <c r="M1015" t="s">
        <v>26</v>
      </c>
      <c r="N1015" t="s">
        <v>40</v>
      </c>
      <c r="O1015" t="s">
        <v>28</v>
      </c>
      <c r="P1015" t="s">
        <v>33</v>
      </c>
      <c r="Q1015" s="6">
        <v>1.65408333333333</v>
      </c>
      <c r="R1015">
        <v>2.83</v>
      </c>
      <c r="S1015">
        <v>13.23</v>
      </c>
      <c r="T1015">
        <v>19.850000000000001</v>
      </c>
      <c r="U1015">
        <v>94.47</v>
      </c>
      <c r="V1015">
        <v>38.6</v>
      </c>
      <c r="W1015">
        <v>1.94</v>
      </c>
    </row>
    <row r="1016" spans="1:23" x14ac:dyDescent="0.3">
      <c r="A1016">
        <v>1015</v>
      </c>
      <c r="B1016" t="s">
        <v>1059</v>
      </c>
      <c r="C1016" t="s">
        <v>43</v>
      </c>
      <c r="D1016">
        <v>100</v>
      </c>
      <c r="E1016">
        <v>3716</v>
      </c>
      <c r="F1016" s="3">
        <v>248</v>
      </c>
      <c r="G1016">
        <v>23</v>
      </c>
      <c r="H1016">
        <v>8</v>
      </c>
      <c r="I1016" s="5">
        <v>0.08</v>
      </c>
      <c r="J1016" s="3">
        <v>393</v>
      </c>
      <c r="K1016" s="1">
        <v>45610</v>
      </c>
      <c r="L1016" t="s">
        <v>25</v>
      </c>
      <c r="M1016" t="s">
        <v>31</v>
      </c>
      <c r="N1016" t="s">
        <v>27</v>
      </c>
      <c r="O1016" t="s">
        <v>28</v>
      </c>
      <c r="P1016" t="s">
        <v>54</v>
      </c>
      <c r="Q1016" s="6">
        <v>2.4794999999999998</v>
      </c>
      <c r="R1016">
        <v>2.69</v>
      </c>
      <c r="S1016">
        <v>10.78</v>
      </c>
      <c r="T1016">
        <v>30.99</v>
      </c>
      <c r="U1016">
        <v>58.5</v>
      </c>
      <c r="V1016">
        <v>49.12</v>
      </c>
      <c r="W1016">
        <v>1.58</v>
      </c>
    </row>
    <row r="1017" spans="1:23" x14ac:dyDescent="0.3">
      <c r="A1017">
        <v>1016</v>
      </c>
      <c r="B1017" t="s">
        <v>1060</v>
      </c>
      <c r="C1017" t="s">
        <v>38</v>
      </c>
      <c r="D1017">
        <v>106</v>
      </c>
      <c r="E1017">
        <v>3646</v>
      </c>
      <c r="F1017" s="3">
        <v>238</v>
      </c>
      <c r="G1017">
        <v>28</v>
      </c>
      <c r="H1017">
        <v>7</v>
      </c>
      <c r="I1017" s="5">
        <v>6.6037735849056603E-2</v>
      </c>
      <c r="J1017" s="3">
        <v>319</v>
      </c>
      <c r="K1017" s="1">
        <v>45598</v>
      </c>
      <c r="L1017" t="s">
        <v>25</v>
      </c>
      <c r="M1017" t="s">
        <v>31</v>
      </c>
      <c r="N1017" t="s">
        <v>49</v>
      </c>
      <c r="O1017" t="s">
        <v>28</v>
      </c>
      <c r="P1017" t="s">
        <v>29</v>
      </c>
      <c r="Q1017" s="6">
        <v>2.2442452830188602</v>
      </c>
      <c r="R1017">
        <v>2.91</v>
      </c>
      <c r="S1017">
        <v>8.5</v>
      </c>
      <c r="T1017">
        <v>33.979999999999997</v>
      </c>
      <c r="U1017">
        <v>34.1</v>
      </c>
      <c r="V1017">
        <v>45.57</v>
      </c>
      <c r="W1017">
        <v>1.34</v>
      </c>
    </row>
    <row r="1018" spans="1:23" x14ac:dyDescent="0.3">
      <c r="A1018">
        <v>1017</v>
      </c>
      <c r="B1018" t="s">
        <v>1061</v>
      </c>
      <c r="C1018" t="s">
        <v>38</v>
      </c>
      <c r="D1018">
        <v>136</v>
      </c>
      <c r="E1018">
        <v>4101</v>
      </c>
      <c r="F1018" s="3">
        <v>227</v>
      </c>
      <c r="G1018">
        <v>28</v>
      </c>
      <c r="H1018">
        <v>9</v>
      </c>
      <c r="I1018" s="5">
        <v>6.6176470588235295E-2</v>
      </c>
      <c r="J1018" s="3">
        <v>262</v>
      </c>
      <c r="K1018" s="1">
        <v>45615</v>
      </c>
      <c r="L1018" t="s">
        <v>25</v>
      </c>
      <c r="M1018" t="s">
        <v>39</v>
      </c>
      <c r="N1018" t="s">
        <v>27</v>
      </c>
      <c r="O1018" t="s">
        <v>28</v>
      </c>
      <c r="P1018" t="s">
        <v>41</v>
      </c>
      <c r="Q1018" s="6">
        <v>1.6722794117647</v>
      </c>
      <c r="R1018">
        <v>3.32</v>
      </c>
      <c r="S1018">
        <v>8.1199999999999992</v>
      </c>
      <c r="T1018">
        <v>25.27</v>
      </c>
      <c r="U1018">
        <v>15.2</v>
      </c>
      <c r="V1018">
        <v>29.11</v>
      </c>
      <c r="W1018">
        <v>1.1499999999999999</v>
      </c>
    </row>
    <row r="1019" spans="1:23" x14ac:dyDescent="0.3">
      <c r="A1019">
        <v>1018</v>
      </c>
      <c r="B1019" t="s">
        <v>1062</v>
      </c>
      <c r="C1019" t="s">
        <v>38</v>
      </c>
      <c r="D1019">
        <v>121</v>
      </c>
      <c r="E1019">
        <v>3366</v>
      </c>
      <c r="F1019" s="3">
        <v>247</v>
      </c>
      <c r="G1019">
        <v>25</v>
      </c>
      <c r="H1019">
        <v>6</v>
      </c>
      <c r="I1019" s="5">
        <v>4.9586776859504099E-2</v>
      </c>
      <c r="J1019" s="3">
        <v>239</v>
      </c>
      <c r="K1019" s="1">
        <v>45598</v>
      </c>
      <c r="L1019" t="s">
        <v>25</v>
      </c>
      <c r="M1019" t="s">
        <v>26</v>
      </c>
      <c r="N1019" t="s">
        <v>44</v>
      </c>
      <c r="O1019" t="s">
        <v>28</v>
      </c>
      <c r="P1019" t="s">
        <v>29</v>
      </c>
      <c r="Q1019" s="6">
        <v>2.0376859504132199</v>
      </c>
      <c r="R1019">
        <v>3.59</v>
      </c>
      <c r="S1019">
        <v>9.86</v>
      </c>
      <c r="T1019">
        <v>41.09</v>
      </c>
      <c r="U1019">
        <v>-3.07</v>
      </c>
      <c r="V1019">
        <v>39.83</v>
      </c>
      <c r="W1019">
        <v>0.97</v>
      </c>
    </row>
    <row r="1020" spans="1:23" x14ac:dyDescent="0.3">
      <c r="A1020">
        <v>1019</v>
      </c>
      <c r="B1020" t="s">
        <v>1063</v>
      </c>
      <c r="C1020" t="s">
        <v>38</v>
      </c>
      <c r="D1020">
        <v>153</v>
      </c>
      <c r="E1020">
        <v>3381</v>
      </c>
      <c r="F1020" s="3">
        <v>231</v>
      </c>
      <c r="G1020">
        <v>29</v>
      </c>
      <c r="H1020">
        <v>5</v>
      </c>
      <c r="I1020" s="5">
        <v>3.2679738562091498E-2</v>
      </c>
      <c r="J1020" s="3">
        <v>361</v>
      </c>
      <c r="K1020" s="1">
        <v>45624</v>
      </c>
      <c r="L1020" t="s">
        <v>25</v>
      </c>
      <c r="M1020" t="s">
        <v>39</v>
      </c>
      <c r="N1020" t="s">
        <v>32</v>
      </c>
      <c r="O1020" t="s">
        <v>28</v>
      </c>
      <c r="P1020" t="s">
        <v>54</v>
      </c>
      <c r="Q1020" s="6">
        <v>1.51209150326797</v>
      </c>
      <c r="R1020">
        <v>4.53</v>
      </c>
      <c r="S1020">
        <v>7.98</v>
      </c>
      <c r="T1020">
        <v>46.27</v>
      </c>
      <c r="U1020">
        <v>56.04</v>
      </c>
      <c r="V1020">
        <v>72.2</v>
      </c>
      <c r="W1020">
        <v>1.56</v>
      </c>
    </row>
    <row r="1021" spans="1:23" x14ac:dyDescent="0.3">
      <c r="A1021">
        <v>1020</v>
      </c>
      <c r="B1021" t="s">
        <v>1064</v>
      </c>
      <c r="C1021" t="s">
        <v>43</v>
      </c>
      <c r="D1021">
        <v>111</v>
      </c>
      <c r="E1021">
        <v>5003</v>
      </c>
      <c r="F1021" s="3">
        <v>213</v>
      </c>
      <c r="G1021">
        <v>29</v>
      </c>
      <c r="H1021">
        <v>3</v>
      </c>
      <c r="I1021" s="5">
        <v>2.7027027027027001E-2</v>
      </c>
      <c r="J1021" s="3">
        <v>396</v>
      </c>
      <c r="K1021" s="1">
        <v>45621</v>
      </c>
      <c r="L1021" t="s">
        <v>25</v>
      </c>
      <c r="M1021" t="s">
        <v>39</v>
      </c>
      <c r="N1021" t="s">
        <v>49</v>
      </c>
      <c r="O1021" t="s">
        <v>28</v>
      </c>
      <c r="P1021" t="s">
        <v>59</v>
      </c>
      <c r="Q1021" s="6">
        <v>1.9219819819819799</v>
      </c>
      <c r="R1021">
        <v>2.2200000000000002</v>
      </c>
      <c r="S1021">
        <v>7.36</v>
      </c>
      <c r="T1021">
        <v>71.11</v>
      </c>
      <c r="U1021">
        <v>85.62</v>
      </c>
      <c r="V1021">
        <v>132</v>
      </c>
      <c r="W1021">
        <v>1.86</v>
      </c>
    </row>
    <row r="1022" spans="1:23" x14ac:dyDescent="0.3">
      <c r="A1022">
        <v>1021</v>
      </c>
      <c r="B1022" t="s">
        <v>1065</v>
      </c>
      <c r="C1022" t="s">
        <v>35</v>
      </c>
      <c r="D1022">
        <v>156</v>
      </c>
      <c r="E1022">
        <v>5415</v>
      </c>
      <c r="F1022" s="3">
        <v>198</v>
      </c>
      <c r="G1022">
        <v>29</v>
      </c>
      <c r="H1022">
        <v>7</v>
      </c>
      <c r="I1022" s="5">
        <v>4.4871794871794803E-2</v>
      </c>
      <c r="J1022" s="3">
        <v>391</v>
      </c>
      <c r="K1022" s="1">
        <v>45613</v>
      </c>
      <c r="L1022" t="s">
        <v>25</v>
      </c>
      <c r="M1022" t="s">
        <v>26</v>
      </c>
      <c r="N1022" t="s">
        <v>40</v>
      </c>
      <c r="O1022" t="s">
        <v>28</v>
      </c>
      <c r="P1022" t="s">
        <v>50</v>
      </c>
      <c r="Q1022" s="6">
        <v>1.27096153846153</v>
      </c>
      <c r="R1022">
        <v>2.88</v>
      </c>
      <c r="S1022">
        <v>6.84</v>
      </c>
      <c r="T1022">
        <v>28.32</v>
      </c>
      <c r="U1022">
        <v>97.21</v>
      </c>
      <c r="V1022">
        <v>55.86</v>
      </c>
      <c r="W1022">
        <v>1.97</v>
      </c>
    </row>
    <row r="1023" spans="1:23" x14ac:dyDescent="0.3">
      <c r="A1023">
        <v>1022</v>
      </c>
      <c r="B1023" t="s">
        <v>1066</v>
      </c>
      <c r="C1023" t="s">
        <v>35</v>
      </c>
      <c r="D1023">
        <v>137</v>
      </c>
      <c r="E1023">
        <v>3838</v>
      </c>
      <c r="F1023" s="3">
        <v>227</v>
      </c>
      <c r="G1023">
        <v>18</v>
      </c>
      <c r="H1023">
        <v>6</v>
      </c>
      <c r="I1023" s="5">
        <v>4.3795620437956199E-2</v>
      </c>
      <c r="J1023" s="3">
        <v>280.28571428571399</v>
      </c>
      <c r="K1023" s="1">
        <v>45623</v>
      </c>
      <c r="L1023" t="s">
        <v>25</v>
      </c>
      <c r="M1023" t="s">
        <v>39</v>
      </c>
      <c r="N1023" t="s">
        <v>49</v>
      </c>
      <c r="O1023" t="s">
        <v>28</v>
      </c>
      <c r="P1023" t="s">
        <v>33</v>
      </c>
      <c r="Q1023" s="6">
        <v>1.6563503649635001</v>
      </c>
      <c r="R1023">
        <v>3.57</v>
      </c>
      <c r="S1023">
        <v>12.61</v>
      </c>
      <c r="T1023">
        <v>37.82</v>
      </c>
      <c r="U1023">
        <v>23.52</v>
      </c>
      <c r="V1023">
        <v>46.71</v>
      </c>
      <c r="W1023">
        <v>1.24</v>
      </c>
    </row>
    <row r="1024" spans="1:23" x14ac:dyDescent="0.3">
      <c r="A1024">
        <v>1023</v>
      </c>
      <c r="B1024" t="s">
        <v>1067</v>
      </c>
      <c r="C1024" t="s">
        <v>38</v>
      </c>
      <c r="D1024">
        <v>138</v>
      </c>
      <c r="E1024">
        <v>3002</v>
      </c>
      <c r="F1024" s="3">
        <v>246</v>
      </c>
      <c r="G1024">
        <v>24</v>
      </c>
      <c r="H1024">
        <v>6</v>
      </c>
      <c r="I1024" s="5">
        <v>4.3478260869565202E-2</v>
      </c>
      <c r="J1024" s="3">
        <v>312</v>
      </c>
      <c r="K1024" s="1">
        <v>45597</v>
      </c>
      <c r="L1024" t="s">
        <v>25</v>
      </c>
      <c r="M1024" t="s">
        <v>39</v>
      </c>
      <c r="N1024" t="s">
        <v>27</v>
      </c>
      <c r="O1024" t="s">
        <v>28</v>
      </c>
      <c r="P1024" t="s">
        <v>45</v>
      </c>
      <c r="Q1024" s="6">
        <v>1.78478260869565</v>
      </c>
      <c r="R1024">
        <v>4.5999999999999996</v>
      </c>
      <c r="S1024">
        <v>10.26</v>
      </c>
      <c r="T1024">
        <v>41.05</v>
      </c>
      <c r="U1024">
        <v>26.67</v>
      </c>
      <c r="V1024">
        <v>52</v>
      </c>
      <c r="W1024">
        <v>1.27</v>
      </c>
    </row>
    <row r="1025" spans="1:23" x14ac:dyDescent="0.3">
      <c r="A1025">
        <v>1024</v>
      </c>
      <c r="B1025" t="s">
        <v>1068</v>
      </c>
      <c r="C1025" t="s">
        <v>43</v>
      </c>
      <c r="D1025">
        <v>96</v>
      </c>
      <c r="E1025">
        <v>3958</v>
      </c>
      <c r="F1025" s="3">
        <v>238</v>
      </c>
      <c r="G1025">
        <v>17</v>
      </c>
      <c r="H1025">
        <v>4</v>
      </c>
      <c r="I1025" s="5">
        <v>4.1666666666666602E-2</v>
      </c>
      <c r="J1025" s="3">
        <v>357</v>
      </c>
      <c r="K1025" s="1">
        <v>45603</v>
      </c>
      <c r="L1025" t="s">
        <v>25</v>
      </c>
      <c r="M1025" t="s">
        <v>31</v>
      </c>
      <c r="N1025" t="s">
        <v>44</v>
      </c>
      <c r="O1025" t="s">
        <v>28</v>
      </c>
      <c r="P1025" t="s">
        <v>54</v>
      </c>
      <c r="Q1025" s="6">
        <v>2.4797916666666602</v>
      </c>
      <c r="R1025">
        <v>2.4300000000000002</v>
      </c>
      <c r="S1025">
        <v>14</v>
      </c>
      <c r="T1025">
        <v>59.52</v>
      </c>
      <c r="U1025">
        <v>49.96</v>
      </c>
      <c r="V1025">
        <v>89.25</v>
      </c>
      <c r="W1025">
        <v>1.5</v>
      </c>
    </row>
    <row r="1026" spans="1:23" x14ac:dyDescent="0.3">
      <c r="A1026">
        <v>1025</v>
      </c>
      <c r="B1026" t="s">
        <v>1069</v>
      </c>
      <c r="C1026" t="s">
        <v>43</v>
      </c>
      <c r="D1026">
        <v>180</v>
      </c>
      <c r="E1026">
        <v>3060</v>
      </c>
      <c r="F1026" s="3">
        <v>194</v>
      </c>
      <c r="G1026">
        <v>21</v>
      </c>
      <c r="H1026">
        <v>5</v>
      </c>
      <c r="I1026" s="5">
        <v>2.77777777777777E-2</v>
      </c>
      <c r="J1026" s="3">
        <v>292</v>
      </c>
      <c r="K1026" s="1">
        <v>45606</v>
      </c>
      <c r="L1026" t="s">
        <v>25</v>
      </c>
      <c r="M1026" t="s">
        <v>39</v>
      </c>
      <c r="N1026" t="s">
        <v>44</v>
      </c>
      <c r="O1026" t="s">
        <v>28</v>
      </c>
      <c r="P1026" t="s">
        <v>50</v>
      </c>
      <c r="Q1026" s="6">
        <v>1.08038888888888</v>
      </c>
      <c r="R1026">
        <v>5.88</v>
      </c>
      <c r="S1026">
        <v>9.26</v>
      </c>
      <c r="T1026">
        <v>38.89</v>
      </c>
      <c r="U1026">
        <v>50.15</v>
      </c>
      <c r="V1026">
        <v>58.4</v>
      </c>
      <c r="W1026">
        <v>1.5</v>
      </c>
    </row>
    <row r="1027" spans="1:23" x14ac:dyDescent="0.3">
      <c r="A1027">
        <v>1026</v>
      </c>
      <c r="B1027" t="s">
        <v>1070</v>
      </c>
      <c r="C1027" t="s">
        <v>38</v>
      </c>
      <c r="D1027">
        <v>132</v>
      </c>
      <c r="E1027">
        <v>5514</v>
      </c>
      <c r="F1027" s="3">
        <v>209</v>
      </c>
      <c r="G1027">
        <v>16</v>
      </c>
      <c r="H1027">
        <v>7</v>
      </c>
      <c r="I1027" s="5">
        <v>5.3030303030302997E-2</v>
      </c>
      <c r="J1027" s="3">
        <v>219</v>
      </c>
      <c r="K1027" s="1">
        <v>45622</v>
      </c>
      <c r="L1027" t="s">
        <v>25</v>
      </c>
      <c r="M1027" t="s">
        <v>31</v>
      </c>
      <c r="N1027" t="s">
        <v>44</v>
      </c>
      <c r="O1027" t="s">
        <v>28</v>
      </c>
      <c r="P1027" t="s">
        <v>41</v>
      </c>
      <c r="Q1027" s="6">
        <v>1.58007575757575</v>
      </c>
      <c r="R1027">
        <v>2.39</v>
      </c>
      <c r="S1027">
        <v>13.04</v>
      </c>
      <c r="T1027">
        <v>29.8</v>
      </c>
      <c r="U1027">
        <v>5</v>
      </c>
      <c r="V1027">
        <v>31.29</v>
      </c>
      <c r="W1027">
        <v>1.05</v>
      </c>
    </row>
    <row r="1028" spans="1:23" x14ac:dyDescent="0.3">
      <c r="A1028">
        <v>1027</v>
      </c>
      <c r="B1028" t="s">
        <v>1071</v>
      </c>
      <c r="C1028" t="s">
        <v>24</v>
      </c>
      <c r="D1028">
        <v>147</v>
      </c>
      <c r="E1028">
        <v>5373</v>
      </c>
      <c r="F1028" s="3">
        <v>234</v>
      </c>
      <c r="G1028">
        <v>20</v>
      </c>
      <c r="H1028">
        <v>7</v>
      </c>
      <c r="I1028" s="5">
        <v>4.7619047619047603E-2</v>
      </c>
      <c r="J1028" s="3">
        <v>344</v>
      </c>
      <c r="K1028" s="1">
        <v>45597</v>
      </c>
      <c r="L1028" t="s">
        <v>25</v>
      </c>
      <c r="M1028" t="s">
        <v>26</v>
      </c>
      <c r="N1028" t="s">
        <v>32</v>
      </c>
      <c r="O1028" t="s">
        <v>28</v>
      </c>
      <c r="P1028" t="s">
        <v>45</v>
      </c>
      <c r="Q1028" s="6">
        <v>1.5896598639455699</v>
      </c>
      <c r="R1028">
        <v>2.74</v>
      </c>
      <c r="S1028">
        <v>11.68</v>
      </c>
      <c r="T1028">
        <v>33.380000000000003</v>
      </c>
      <c r="U1028">
        <v>47.21</v>
      </c>
      <c r="V1028">
        <v>49.14</v>
      </c>
      <c r="W1028">
        <v>1.47</v>
      </c>
    </row>
    <row r="1029" spans="1:23" x14ac:dyDescent="0.3">
      <c r="A1029">
        <v>1028</v>
      </c>
      <c r="B1029" t="s">
        <v>1072</v>
      </c>
      <c r="C1029" t="s">
        <v>35</v>
      </c>
      <c r="D1029">
        <v>84</v>
      </c>
      <c r="E1029">
        <v>4720</v>
      </c>
      <c r="F1029" s="3">
        <v>214</v>
      </c>
      <c r="G1029">
        <v>20</v>
      </c>
      <c r="H1029">
        <v>5</v>
      </c>
      <c r="I1029" s="5">
        <v>5.95238095238095E-2</v>
      </c>
      <c r="J1029" s="3">
        <v>288</v>
      </c>
      <c r="K1029" s="1">
        <v>45617</v>
      </c>
      <c r="L1029" t="s">
        <v>25</v>
      </c>
      <c r="M1029" t="s">
        <v>39</v>
      </c>
      <c r="N1029" t="s">
        <v>32</v>
      </c>
      <c r="O1029" t="s">
        <v>28</v>
      </c>
      <c r="P1029" t="s">
        <v>54</v>
      </c>
      <c r="Q1029" s="6">
        <v>2.5438095238095202</v>
      </c>
      <c r="R1029">
        <v>1.78</v>
      </c>
      <c r="S1029">
        <v>10.68</v>
      </c>
      <c r="T1029">
        <v>42.74</v>
      </c>
      <c r="U1029">
        <v>34.78</v>
      </c>
      <c r="V1029">
        <v>57.6</v>
      </c>
      <c r="W1029">
        <v>1.35</v>
      </c>
    </row>
    <row r="1030" spans="1:23" x14ac:dyDescent="0.3">
      <c r="A1030">
        <v>1029</v>
      </c>
      <c r="B1030" t="s">
        <v>1073</v>
      </c>
      <c r="C1030" t="s">
        <v>35</v>
      </c>
      <c r="D1030">
        <v>82</v>
      </c>
      <c r="E1030">
        <v>4330</v>
      </c>
      <c r="F1030" s="3">
        <v>229</v>
      </c>
      <c r="G1030">
        <v>18</v>
      </c>
      <c r="H1030">
        <v>8</v>
      </c>
      <c r="I1030" s="5">
        <v>9.7560975609756101E-2</v>
      </c>
      <c r="J1030" s="3">
        <v>308</v>
      </c>
      <c r="K1030" s="1">
        <v>45600</v>
      </c>
      <c r="L1030" t="s">
        <v>25</v>
      </c>
      <c r="M1030" t="s">
        <v>26</v>
      </c>
      <c r="N1030" t="s">
        <v>49</v>
      </c>
      <c r="O1030" t="s">
        <v>28</v>
      </c>
      <c r="P1030" t="s">
        <v>59</v>
      </c>
      <c r="Q1030" s="6">
        <v>2.7887804878048699</v>
      </c>
      <c r="R1030">
        <v>1.89</v>
      </c>
      <c r="S1030">
        <v>12.7</v>
      </c>
      <c r="T1030">
        <v>28.58</v>
      </c>
      <c r="U1030">
        <v>34.69</v>
      </c>
      <c r="V1030">
        <v>38.5</v>
      </c>
      <c r="W1030">
        <v>1.35</v>
      </c>
    </row>
    <row r="1031" spans="1:23" x14ac:dyDescent="0.3">
      <c r="A1031">
        <v>1030</v>
      </c>
      <c r="B1031" t="s">
        <v>1074</v>
      </c>
      <c r="C1031" t="s">
        <v>24</v>
      </c>
      <c r="D1031">
        <v>173</v>
      </c>
      <c r="E1031">
        <v>4365</v>
      </c>
      <c r="F1031" s="3">
        <v>271</v>
      </c>
      <c r="G1031">
        <v>28</v>
      </c>
      <c r="H1031">
        <v>9</v>
      </c>
      <c r="I1031" s="5">
        <v>5.2023121387283197E-2</v>
      </c>
      <c r="J1031" s="3">
        <v>268</v>
      </c>
      <c r="K1031" s="1">
        <v>45602</v>
      </c>
      <c r="L1031" t="s">
        <v>25</v>
      </c>
      <c r="M1031" t="s">
        <v>26</v>
      </c>
      <c r="N1031" t="s">
        <v>36</v>
      </c>
      <c r="O1031" t="s">
        <v>28</v>
      </c>
      <c r="P1031" t="s">
        <v>33</v>
      </c>
      <c r="Q1031" s="6">
        <v>1.56753061615001</v>
      </c>
      <c r="R1031">
        <v>3.96</v>
      </c>
      <c r="S1031">
        <v>9.69</v>
      </c>
      <c r="T1031">
        <v>30.13</v>
      </c>
      <c r="U1031">
        <v>-1.17</v>
      </c>
      <c r="V1031">
        <v>29.78</v>
      </c>
      <c r="W1031">
        <v>0.99</v>
      </c>
    </row>
    <row r="1032" spans="1:23" x14ac:dyDescent="0.3">
      <c r="A1032">
        <v>1031</v>
      </c>
      <c r="B1032" t="s">
        <v>1075</v>
      </c>
      <c r="C1032" t="s">
        <v>43</v>
      </c>
      <c r="D1032">
        <v>89</v>
      </c>
      <c r="E1032">
        <v>5899</v>
      </c>
      <c r="F1032" s="3">
        <v>227</v>
      </c>
      <c r="G1032">
        <v>13</v>
      </c>
      <c r="H1032">
        <v>7</v>
      </c>
      <c r="I1032" s="5">
        <v>7.8651685393258397E-2</v>
      </c>
      <c r="J1032" s="3">
        <v>216</v>
      </c>
      <c r="K1032" s="1">
        <v>45606</v>
      </c>
      <c r="L1032" t="s">
        <v>25</v>
      </c>
      <c r="M1032" t="s">
        <v>31</v>
      </c>
      <c r="N1032" t="s">
        <v>40</v>
      </c>
      <c r="O1032" t="s">
        <v>28</v>
      </c>
      <c r="P1032" t="s">
        <v>50</v>
      </c>
      <c r="Q1032" s="6">
        <v>2.5499999999999998</v>
      </c>
      <c r="R1032">
        <v>1.51</v>
      </c>
      <c r="S1032">
        <v>17.46</v>
      </c>
      <c r="T1032">
        <v>32.42</v>
      </c>
      <c r="U1032">
        <v>-4.82</v>
      </c>
      <c r="V1032">
        <v>30.86</v>
      </c>
      <c r="W1032">
        <v>0.95</v>
      </c>
    </row>
    <row r="1033" spans="1:23" x14ac:dyDescent="0.3">
      <c r="A1033">
        <v>1032</v>
      </c>
      <c r="B1033" t="s">
        <v>1076</v>
      </c>
      <c r="C1033" t="s">
        <v>24</v>
      </c>
      <c r="D1033">
        <v>198</v>
      </c>
      <c r="E1033">
        <v>3500</v>
      </c>
      <c r="F1033" s="3">
        <v>207</v>
      </c>
      <c r="G1033">
        <v>19</v>
      </c>
      <c r="H1033">
        <v>6</v>
      </c>
      <c r="I1033" s="5">
        <v>3.03030303030303E-2</v>
      </c>
      <c r="J1033" s="3">
        <v>344</v>
      </c>
      <c r="K1033" s="1">
        <v>45607</v>
      </c>
      <c r="L1033" t="s">
        <v>25</v>
      </c>
      <c r="M1033" t="s">
        <v>31</v>
      </c>
      <c r="N1033" t="s">
        <v>49</v>
      </c>
      <c r="O1033" t="s">
        <v>28</v>
      </c>
      <c r="P1033" t="s">
        <v>59</v>
      </c>
      <c r="Q1033" s="6">
        <v>1.04484848484848</v>
      </c>
      <c r="R1033">
        <v>5.66</v>
      </c>
      <c r="S1033">
        <v>10.89</v>
      </c>
      <c r="T1033">
        <v>34.479999999999997</v>
      </c>
      <c r="U1033">
        <v>66.28</v>
      </c>
      <c r="V1033">
        <v>57.33</v>
      </c>
      <c r="W1033">
        <v>1.66</v>
      </c>
    </row>
    <row r="1034" spans="1:23" x14ac:dyDescent="0.3">
      <c r="A1034">
        <v>1033</v>
      </c>
      <c r="B1034" t="s">
        <v>1077</v>
      </c>
      <c r="C1034" t="s">
        <v>35</v>
      </c>
      <c r="D1034">
        <v>135</v>
      </c>
      <c r="E1034">
        <v>4155</v>
      </c>
      <c r="F1034" s="3">
        <v>208</v>
      </c>
      <c r="G1034">
        <v>25</v>
      </c>
      <c r="H1034">
        <v>9</v>
      </c>
      <c r="I1034" s="5">
        <v>6.6666666666666596E-2</v>
      </c>
      <c r="J1034" s="3">
        <v>268</v>
      </c>
      <c r="K1034" s="1">
        <v>45599</v>
      </c>
      <c r="L1034" t="s">
        <v>25</v>
      </c>
      <c r="M1034" t="s">
        <v>26</v>
      </c>
      <c r="N1034" t="s">
        <v>44</v>
      </c>
      <c r="O1034" t="s">
        <v>28</v>
      </c>
      <c r="P1034" t="s">
        <v>50</v>
      </c>
      <c r="Q1034" s="6">
        <v>1.5393333333333299</v>
      </c>
      <c r="R1034">
        <v>3.25</v>
      </c>
      <c r="S1034">
        <v>8.31</v>
      </c>
      <c r="T1034">
        <v>23.09</v>
      </c>
      <c r="U1034">
        <v>28.96</v>
      </c>
      <c r="V1034">
        <v>29.78</v>
      </c>
      <c r="W1034">
        <v>1.29</v>
      </c>
    </row>
    <row r="1035" spans="1:23" x14ac:dyDescent="0.3">
      <c r="A1035">
        <v>1034</v>
      </c>
      <c r="B1035" t="s">
        <v>1078</v>
      </c>
      <c r="C1035" t="s">
        <v>43</v>
      </c>
      <c r="D1035">
        <v>94</v>
      </c>
      <c r="E1035">
        <v>5437</v>
      </c>
      <c r="F1035" s="3">
        <v>190</v>
      </c>
      <c r="G1035">
        <v>16</v>
      </c>
      <c r="H1035">
        <v>6</v>
      </c>
      <c r="I1035" s="5">
        <v>6.3829787234042507E-2</v>
      </c>
      <c r="J1035" s="3">
        <v>252</v>
      </c>
      <c r="K1035" s="1">
        <v>45612</v>
      </c>
      <c r="L1035" t="s">
        <v>25</v>
      </c>
      <c r="M1035" t="s">
        <v>39</v>
      </c>
      <c r="N1035" t="s">
        <v>40</v>
      </c>
      <c r="O1035" t="s">
        <v>28</v>
      </c>
      <c r="P1035" t="s">
        <v>29</v>
      </c>
      <c r="Q1035" s="6">
        <v>2.02648936170212</v>
      </c>
      <c r="R1035">
        <v>1.73</v>
      </c>
      <c r="S1035">
        <v>11.91</v>
      </c>
      <c r="T1035">
        <v>31.75</v>
      </c>
      <c r="U1035">
        <v>32.29</v>
      </c>
      <c r="V1035">
        <v>42</v>
      </c>
      <c r="W1035">
        <v>1.32</v>
      </c>
    </row>
    <row r="1036" spans="1:23" x14ac:dyDescent="0.3">
      <c r="A1036">
        <v>1035</v>
      </c>
      <c r="B1036" t="s">
        <v>1079</v>
      </c>
      <c r="C1036" t="s">
        <v>35</v>
      </c>
      <c r="D1036">
        <v>151</v>
      </c>
      <c r="E1036">
        <v>3251</v>
      </c>
      <c r="F1036" s="3">
        <v>225</v>
      </c>
      <c r="G1036">
        <v>13</v>
      </c>
      <c r="H1036">
        <v>6</v>
      </c>
      <c r="I1036" s="5">
        <v>3.9735099337748297E-2</v>
      </c>
      <c r="J1036" s="3">
        <v>280.28571428571399</v>
      </c>
      <c r="K1036" s="1">
        <v>45617</v>
      </c>
      <c r="L1036" t="s">
        <v>25</v>
      </c>
      <c r="M1036" t="s">
        <v>26</v>
      </c>
      <c r="N1036" t="s">
        <v>27</v>
      </c>
      <c r="O1036" t="s">
        <v>28</v>
      </c>
      <c r="P1036" t="s">
        <v>54</v>
      </c>
      <c r="Q1036" s="6">
        <v>1.4887417218543</v>
      </c>
      <c r="R1036">
        <v>4.6399999999999997</v>
      </c>
      <c r="S1036">
        <v>17.29</v>
      </c>
      <c r="T1036">
        <v>37.47</v>
      </c>
      <c r="U1036">
        <v>24.68</v>
      </c>
      <c r="V1036">
        <v>46.71</v>
      </c>
      <c r="W1036">
        <v>1.25</v>
      </c>
    </row>
    <row r="1037" spans="1:23" x14ac:dyDescent="0.3">
      <c r="A1037">
        <v>1036</v>
      </c>
      <c r="B1037" t="s">
        <v>1080</v>
      </c>
      <c r="C1037" t="s">
        <v>38</v>
      </c>
      <c r="D1037">
        <v>113</v>
      </c>
      <c r="E1037">
        <v>5392</v>
      </c>
      <c r="F1037" s="3">
        <v>205</v>
      </c>
      <c r="G1037">
        <v>28</v>
      </c>
      <c r="H1037">
        <v>3</v>
      </c>
      <c r="I1037" s="5">
        <v>2.6548672566371601E-2</v>
      </c>
      <c r="J1037" s="3">
        <v>247</v>
      </c>
      <c r="K1037" s="1">
        <v>45613</v>
      </c>
      <c r="L1037" t="s">
        <v>25</v>
      </c>
      <c r="M1037" t="s">
        <v>31</v>
      </c>
      <c r="N1037" t="s">
        <v>44</v>
      </c>
      <c r="O1037" t="s">
        <v>28</v>
      </c>
      <c r="P1037" t="s">
        <v>50</v>
      </c>
      <c r="Q1037" s="6">
        <v>1.81530973451327</v>
      </c>
      <c r="R1037">
        <v>2.1</v>
      </c>
      <c r="S1037">
        <v>7.33</v>
      </c>
      <c r="T1037">
        <v>68.38</v>
      </c>
      <c r="U1037">
        <v>20.41</v>
      </c>
      <c r="V1037">
        <v>82.33</v>
      </c>
      <c r="W1037">
        <v>1.2</v>
      </c>
    </row>
    <row r="1038" spans="1:23" x14ac:dyDescent="0.3">
      <c r="A1038">
        <v>1037</v>
      </c>
      <c r="B1038" t="s">
        <v>1081</v>
      </c>
      <c r="C1038" t="s">
        <v>24</v>
      </c>
      <c r="D1038">
        <v>164</v>
      </c>
      <c r="E1038">
        <v>5403</v>
      </c>
      <c r="F1038" s="3">
        <v>213</v>
      </c>
      <c r="G1038">
        <v>11</v>
      </c>
      <c r="H1038">
        <v>8</v>
      </c>
      <c r="I1038" s="5">
        <v>4.8780487804878002E-2</v>
      </c>
      <c r="J1038" s="3">
        <v>373.71428571428498</v>
      </c>
      <c r="K1038" s="1">
        <v>45618</v>
      </c>
      <c r="L1038" t="s">
        <v>25</v>
      </c>
      <c r="M1038" t="s">
        <v>26</v>
      </c>
      <c r="N1038" t="s">
        <v>49</v>
      </c>
      <c r="O1038" t="s">
        <v>28</v>
      </c>
      <c r="P1038" t="s">
        <v>45</v>
      </c>
      <c r="Q1038" s="6">
        <v>1.2987804878048701</v>
      </c>
      <c r="R1038">
        <v>3.04</v>
      </c>
      <c r="S1038">
        <v>19.36</v>
      </c>
      <c r="T1038">
        <v>26.62</v>
      </c>
      <c r="U1038">
        <v>75.45</v>
      </c>
      <c r="V1038">
        <v>46.71</v>
      </c>
      <c r="W1038">
        <v>1.75</v>
      </c>
    </row>
    <row r="1039" spans="1:23" x14ac:dyDescent="0.3">
      <c r="A1039">
        <v>1038</v>
      </c>
      <c r="B1039" t="s">
        <v>1082</v>
      </c>
      <c r="C1039" t="s">
        <v>43</v>
      </c>
      <c r="D1039">
        <v>135</v>
      </c>
      <c r="E1039">
        <v>5054</v>
      </c>
      <c r="F1039" s="3">
        <v>224</v>
      </c>
      <c r="G1039">
        <v>16</v>
      </c>
      <c r="H1039">
        <v>6</v>
      </c>
      <c r="I1039" s="5">
        <v>4.4444444444444398E-2</v>
      </c>
      <c r="J1039" s="3">
        <v>360</v>
      </c>
      <c r="K1039" s="1">
        <v>45603</v>
      </c>
      <c r="L1039" t="s">
        <v>25</v>
      </c>
      <c r="M1039" t="s">
        <v>31</v>
      </c>
      <c r="N1039" t="s">
        <v>40</v>
      </c>
      <c r="O1039" t="s">
        <v>28</v>
      </c>
      <c r="P1039" t="s">
        <v>54</v>
      </c>
      <c r="Q1039" s="6">
        <v>1.65948148148148</v>
      </c>
      <c r="R1039">
        <v>2.67</v>
      </c>
      <c r="S1039">
        <v>14</v>
      </c>
      <c r="T1039">
        <v>37.340000000000003</v>
      </c>
      <c r="U1039">
        <v>60.69</v>
      </c>
      <c r="V1039">
        <v>60</v>
      </c>
      <c r="W1039">
        <v>1.61</v>
      </c>
    </row>
    <row r="1040" spans="1:23" x14ac:dyDescent="0.3">
      <c r="A1040">
        <v>1039</v>
      </c>
      <c r="B1040" t="s">
        <v>1083</v>
      </c>
      <c r="C1040" t="s">
        <v>43</v>
      </c>
      <c r="D1040">
        <v>116</v>
      </c>
      <c r="E1040">
        <v>5757</v>
      </c>
      <c r="F1040" s="3">
        <v>219</v>
      </c>
      <c r="G1040">
        <v>10</v>
      </c>
      <c r="H1040">
        <v>7</v>
      </c>
      <c r="I1040" s="5">
        <v>6.0344827586206899E-2</v>
      </c>
      <c r="J1040" s="3">
        <v>374</v>
      </c>
      <c r="K1040" s="1">
        <v>45619</v>
      </c>
      <c r="L1040" t="s">
        <v>25</v>
      </c>
      <c r="M1040" t="s">
        <v>31</v>
      </c>
      <c r="N1040" t="s">
        <v>44</v>
      </c>
      <c r="O1040" t="s">
        <v>28</v>
      </c>
      <c r="P1040" t="s">
        <v>29</v>
      </c>
      <c r="Q1040" s="6">
        <v>1.88525862068965</v>
      </c>
      <c r="R1040">
        <v>2.0099999999999998</v>
      </c>
      <c r="S1040">
        <v>21.87</v>
      </c>
      <c r="T1040">
        <v>31.24</v>
      </c>
      <c r="U1040">
        <v>71.02</v>
      </c>
      <c r="V1040">
        <v>53.43</v>
      </c>
      <c r="W1040">
        <v>1.71</v>
      </c>
    </row>
    <row r="1041" spans="1:23" x14ac:dyDescent="0.3">
      <c r="A1041">
        <v>1040</v>
      </c>
      <c r="B1041" t="s">
        <v>1084</v>
      </c>
      <c r="C1041" t="s">
        <v>38</v>
      </c>
      <c r="D1041">
        <v>136</v>
      </c>
      <c r="E1041">
        <v>4485</v>
      </c>
      <c r="F1041" s="3">
        <v>220</v>
      </c>
      <c r="G1041">
        <v>14</v>
      </c>
      <c r="H1041">
        <v>6</v>
      </c>
      <c r="I1041" s="5">
        <v>4.4117647058823498E-2</v>
      </c>
      <c r="J1041" s="3">
        <v>368</v>
      </c>
      <c r="K1041" s="1">
        <v>45597</v>
      </c>
      <c r="L1041" t="s">
        <v>25</v>
      </c>
      <c r="M1041" t="s">
        <v>31</v>
      </c>
      <c r="N1041" t="s">
        <v>32</v>
      </c>
      <c r="O1041" t="s">
        <v>28</v>
      </c>
      <c r="P1041" t="s">
        <v>45</v>
      </c>
      <c r="Q1041" s="6">
        <v>1.6198529411764699</v>
      </c>
      <c r="R1041">
        <v>3.03</v>
      </c>
      <c r="S1041">
        <v>15.74</v>
      </c>
      <c r="T1041">
        <v>36.72</v>
      </c>
      <c r="U1041">
        <v>67.040000000000006</v>
      </c>
      <c r="V1041">
        <v>61.33</v>
      </c>
      <c r="W1041">
        <v>1.67</v>
      </c>
    </row>
    <row r="1042" spans="1:23" x14ac:dyDescent="0.3">
      <c r="A1042">
        <v>1041</v>
      </c>
      <c r="B1042" t="s">
        <v>1085</v>
      </c>
      <c r="C1042" t="s">
        <v>38</v>
      </c>
      <c r="D1042">
        <v>164</v>
      </c>
      <c r="E1042">
        <v>4053</v>
      </c>
      <c r="F1042" s="3">
        <v>245</v>
      </c>
      <c r="G1042">
        <v>28</v>
      </c>
      <c r="H1042">
        <v>7</v>
      </c>
      <c r="I1042" s="5">
        <v>4.2682926829268199E-2</v>
      </c>
      <c r="J1042" s="3">
        <v>282</v>
      </c>
      <c r="K1042" s="1">
        <v>45597</v>
      </c>
      <c r="L1042" t="s">
        <v>25</v>
      </c>
      <c r="M1042" t="s">
        <v>39</v>
      </c>
      <c r="N1042" t="s">
        <v>27</v>
      </c>
      <c r="O1042" t="s">
        <v>28</v>
      </c>
      <c r="P1042" t="s">
        <v>45</v>
      </c>
      <c r="Q1042" s="6">
        <v>1.49548780487804</v>
      </c>
      <c r="R1042">
        <v>4.05</v>
      </c>
      <c r="S1042">
        <v>8.76</v>
      </c>
      <c r="T1042">
        <v>35.04</v>
      </c>
      <c r="U1042">
        <v>14.98</v>
      </c>
      <c r="V1042">
        <v>40.29</v>
      </c>
      <c r="W1042">
        <v>1.1499999999999999</v>
      </c>
    </row>
    <row r="1043" spans="1:23" x14ac:dyDescent="0.3">
      <c r="A1043">
        <v>1042</v>
      </c>
      <c r="B1043" t="s">
        <v>1086</v>
      </c>
      <c r="C1043" t="s">
        <v>43</v>
      </c>
      <c r="D1043">
        <v>146</v>
      </c>
      <c r="E1043">
        <v>5733</v>
      </c>
      <c r="F1043" s="3">
        <v>225</v>
      </c>
      <c r="G1043">
        <v>26</v>
      </c>
      <c r="H1043">
        <v>3</v>
      </c>
      <c r="I1043" s="5">
        <v>2.0547945205479399E-2</v>
      </c>
      <c r="J1043" s="3">
        <v>338</v>
      </c>
      <c r="K1043" s="1">
        <v>45606</v>
      </c>
      <c r="L1043" t="s">
        <v>25</v>
      </c>
      <c r="M1043" t="s">
        <v>26</v>
      </c>
      <c r="N1043" t="s">
        <v>44</v>
      </c>
      <c r="O1043" t="s">
        <v>28</v>
      </c>
      <c r="P1043" t="s">
        <v>50</v>
      </c>
      <c r="Q1043" s="6">
        <v>1.5443835616438299</v>
      </c>
      <c r="R1043">
        <v>2.5499999999999998</v>
      </c>
      <c r="S1043">
        <v>8.67</v>
      </c>
      <c r="T1043">
        <v>75.16</v>
      </c>
      <c r="U1043">
        <v>49.9</v>
      </c>
      <c r="V1043">
        <v>112.67</v>
      </c>
      <c r="W1043">
        <v>1.5</v>
      </c>
    </row>
    <row r="1044" spans="1:23" x14ac:dyDescent="0.3">
      <c r="A1044">
        <v>1043</v>
      </c>
      <c r="B1044" t="s">
        <v>1087</v>
      </c>
      <c r="C1044" t="s">
        <v>43</v>
      </c>
      <c r="D1044">
        <v>181</v>
      </c>
      <c r="E1044">
        <v>3225</v>
      </c>
      <c r="F1044" s="3">
        <v>190</v>
      </c>
      <c r="G1044">
        <v>22</v>
      </c>
      <c r="H1044">
        <v>5</v>
      </c>
      <c r="I1044" s="5">
        <v>2.7624309392265099E-2</v>
      </c>
      <c r="J1044" s="3">
        <v>342</v>
      </c>
      <c r="K1044" s="1">
        <v>45606</v>
      </c>
      <c r="L1044" t="s">
        <v>25</v>
      </c>
      <c r="M1044" t="s">
        <v>31</v>
      </c>
      <c r="N1044" t="s">
        <v>27</v>
      </c>
      <c r="O1044" t="s">
        <v>28</v>
      </c>
      <c r="P1044" t="s">
        <v>50</v>
      </c>
      <c r="Q1044" s="6">
        <v>1.05110497237569</v>
      </c>
      <c r="R1044">
        <v>5.61</v>
      </c>
      <c r="S1044">
        <v>8.65</v>
      </c>
      <c r="T1044">
        <v>38.049999999999997</v>
      </c>
      <c r="U1044">
        <v>79.760000000000005</v>
      </c>
      <c r="V1044">
        <v>68.400000000000006</v>
      </c>
      <c r="W1044">
        <v>1.8</v>
      </c>
    </row>
    <row r="1045" spans="1:23" x14ac:dyDescent="0.3">
      <c r="A1045">
        <v>1044</v>
      </c>
      <c r="B1045" t="s">
        <v>1088</v>
      </c>
      <c r="C1045" t="s">
        <v>38</v>
      </c>
      <c r="D1045">
        <v>156</v>
      </c>
      <c r="E1045">
        <v>4170</v>
      </c>
      <c r="F1045" s="3">
        <v>245</v>
      </c>
      <c r="G1045">
        <v>29</v>
      </c>
      <c r="H1045">
        <v>3</v>
      </c>
      <c r="I1045" s="5">
        <v>1.9230769230769201E-2</v>
      </c>
      <c r="J1045" s="3">
        <v>400</v>
      </c>
      <c r="K1045" s="1">
        <v>45616</v>
      </c>
      <c r="L1045" t="s">
        <v>25</v>
      </c>
      <c r="M1045" t="s">
        <v>26</v>
      </c>
      <c r="N1045" t="s">
        <v>36</v>
      </c>
      <c r="O1045" t="s">
        <v>28</v>
      </c>
      <c r="P1045" t="s">
        <v>33</v>
      </c>
      <c r="Q1045" s="6">
        <v>1.5687179487179399</v>
      </c>
      <c r="R1045">
        <v>3.74</v>
      </c>
      <c r="S1045">
        <v>8.44</v>
      </c>
      <c r="T1045">
        <v>81.569999999999993</v>
      </c>
      <c r="U1045">
        <v>63.45</v>
      </c>
      <c r="V1045">
        <v>133.33000000000001</v>
      </c>
      <c r="W1045">
        <v>1.63</v>
      </c>
    </row>
    <row r="1046" spans="1:23" x14ac:dyDescent="0.3">
      <c r="A1046">
        <v>1045</v>
      </c>
      <c r="B1046" t="s">
        <v>1089</v>
      </c>
      <c r="C1046" t="s">
        <v>43</v>
      </c>
      <c r="D1046">
        <v>182</v>
      </c>
      <c r="E1046">
        <v>4039</v>
      </c>
      <c r="F1046" s="3">
        <v>240</v>
      </c>
      <c r="G1046">
        <v>12</v>
      </c>
      <c r="H1046">
        <v>7</v>
      </c>
      <c r="I1046" s="5">
        <v>3.8461538461538401E-2</v>
      </c>
      <c r="J1046" s="3">
        <v>248</v>
      </c>
      <c r="K1046" s="1">
        <v>45609</v>
      </c>
      <c r="L1046" t="s">
        <v>25</v>
      </c>
      <c r="M1046" t="s">
        <v>39</v>
      </c>
      <c r="N1046" t="s">
        <v>40</v>
      </c>
      <c r="O1046" t="s">
        <v>28</v>
      </c>
      <c r="P1046" t="s">
        <v>33</v>
      </c>
      <c r="Q1046" s="6">
        <v>1.32060439560439</v>
      </c>
      <c r="R1046">
        <v>4.51</v>
      </c>
      <c r="S1046">
        <v>20.03</v>
      </c>
      <c r="T1046">
        <v>34.340000000000003</v>
      </c>
      <c r="U1046">
        <v>3.18</v>
      </c>
      <c r="V1046">
        <v>35.43</v>
      </c>
      <c r="W1046">
        <v>1.03</v>
      </c>
    </row>
    <row r="1047" spans="1:23" x14ac:dyDescent="0.3">
      <c r="A1047">
        <v>1046</v>
      </c>
      <c r="B1047" t="s">
        <v>1090</v>
      </c>
      <c r="C1047" t="s">
        <v>24</v>
      </c>
      <c r="D1047">
        <v>137</v>
      </c>
      <c r="E1047">
        <v>3150</v>
      </c>
      <c r="F1047" s="3">
        <v>184</v>
      </c>
      <c r="G1047">
        <v>19</v>
      </c>
      <c r="H1047">
        <v>3</v>
      </c>
      <c r="I1047" s="5">
        <v>2.18978102189781E-2</v>
      </c>
      <c r="J1047" s="3">
        <v>249</v>
      </c>
      <c r="K1047" s="1">
        <v>45625</v>
      </c>
      <c r="L1047" t="s">
        <v>25</v>
      </c>
      <c r="M1047" t="s">
        <v>39</v>
      </c>
      <c r="N1047" t="s">
        <v>36</v>
      </c>
      <c r="O1047" t="s">
        <v>28</v>
      </c>
      <c r="P1047" t="s">
        <v>45</v>
      </c>
      <c r="Q1047" s="6">
        <v>1.3456934306569299</v>
      </c>
      <c r="R1047">
        <v>4.3499999999999996</v>
      </c>
      <c r="S1047">
        <v>9.6999999999999993</v>
      </c>
      <c r="T1047">
        <v>61.45</v>
      </c>
      <c r="U1047">
        <v>35.06</v>
      </c>
      <c r="V1047">
        <v>83</v>
      </c>
      <c r="W1047">
        <v>1.35</v>
      </c>
    </row>
    <row r="1048" spans="1:23" x14ac:dyDescent="0.3">
      <c r="A1048">
        <v>1047</v>
      </c>
      <c r="B1048" t="s">
        <v>1091</v>
      </c>
      <c r="C1048" t="s">
        <v>43</v>
      </c>
      <c r="D1048">
        <v>93</v>
      </c>
      <c r="E1048">
        <v>4498</v>
      </c>
      <c r="F1048" s="3">
        <v>238</v>
      </c>
      <c r="G1048">
        <v>27</v>
      </c>
      <c r="H1048">
        <v>3</v>
      </c>
      <c r="I1048" s="5">
        <v>3.2258064516128997E-2</v>
      </c>
      <c r="J1048" s="3">
        <v>225</v>
      </c>
      <c r="K1048" s="1">
        <v>45626</v>
      </c>
      <c r="L1048" t="s">
        <v>25</v>
      </c>
      <c r="M1048" t="s">
        <v>31</v>
      </c>
      <c r="N1048" t="s">
        <v>44</v>
      </c>
      <c r="O1048" t="s">
        <v>28</v>
      </c>
      <c r="P1048" t="s">
        <v>29</v>
      </c>
      <c r="Q1048" s="6">
        <v>2.5555913978494602</v>
      </c>
      <c r="R1048">
        <v>2.0699999999999998</v>
      </c>
      <c r="S1048">
        <v>8.8000000000000007</v>
      </c>
      <c r="T1048">
        <v>79.22</v>
      </c>
      <c r="U1048">
        <v>-5.33</v>
      </c>
      <c r="V1048">
        <v>75</v>
      </c>
      <c r="W1048">
        <v>0.95</v>
      </c>
    </row>
    <row r="1049" spans="1:23" x14ac:dyDescent="0.3">
      <c r="A1049">
        <v>1048</v>
      </c>
      <c r="B1049" t="s">
        <v>1092</v>
      </c>
      <c r="C1049" t="s">
        <v>35</v>
      </c>
      <c r="D1049">
        <v>136</v>
      </c>
      <c r="E1049">
        <v>4683</v>
      </c>
      <c r="F1049" s="3">
        <v>229</v>
      </c>
      <c r="G1049">
        <v>22</v>
      </c>
      <c r="H1049">
        <v>5</v>
      </c>
      <c r="I1049" s="5">
        <v>3.6764705882352901E-2</v>
      </c>
      <c r="J1049" s="3">
        <v>305</v>
      </c>
      <c r="K1049" s="1">
        <v>45615</v>
      </c>
      <c r="L1049" t="s">
        <v>25</v>
      </c>
      <c r="M1049" t="s">
        <v>26</v>
      </c>
      <c r="N1049" t="s">
        <v>27</v>
      </c>
      <c r="O1049" t="s">
        <v>28</v>
      </c>
      <c r="P1049" t="s">
        <v>41</v>
      </c>
      <c r="Q1049" s="6">
        <v>1.6824999999999899</v>
      </c>
      <c r="R1049">
        <v>2.9</v>
      </c>
      <c r="S1049">
        <v>10.4</v>
      </c>
      <c r="T1049">
        <v>45.76</v>
      </c>
      <c r="U1049">
        <v>33.29</v>
      </c>
      <c r="V1049">
        <v>61</v>
      </c>
      <c r="W1049">
        <v>1.33</v>
      </c>
    </row>
    <row r="1050" spans="1:23" x14ac:dyDescent="0.3">
      <c r="A1050">
        <v>1049</v>
      </c>
      <c r="B1050" t="s">
        <v>1093</v>
      </c>
      <c r="C1050" t="s">
        <v>24</v>
      </c>
      <c r="D1050">
        <v>194</v>
      </c>
      <c r="E1050">
        <v>5620</v>
      </c>
      <c r="F1050" s="3">
        <v>195</v>
      </c>
      <c r="G1050">
        <v>22</v>
      </c>
      <c r="H1050">
        <v>10</v>
      </c>
      <c r="I1050" s="5">
        <v>5.1546391752577303E-2</v>
      </c>
      <c r="J1050" s="3">
        <v>328</v>
      </c>
      <c r="K1050" s="1">
        <v>45604</v>
      </c>
      <c r="L1050" t="s">
        <v>25</v>
      </c>
      <c r="M1050" t="s">
        <v>39</v>
      </c>
      <c r="N1050" t="s">
        <v>32</v>
      </c>
      <c r="O1050" t="s">
        <v>28</v>
      </c>
      <c r="P1050" t="s">
        <v>45</v>
      </c>
      <c r="Q1050" s="6">
        <v>1.00469072164948</v>
      </c>
      <c r="R1050">
        <v>3.45</v>
      </c>
      <c r="S1050">
        <v>8.86</v>
      </c>
      <c r="T1050">
        <v>19.489999999999998</v>
      </c>
      <c r="U1050">
        <v>68.28</v>
      </c>
      <c r="V1050">
        <v>32.799999999999997</v>
      </c>
      <c r="W1050">
        <v>1.68</v>
      </c>
    </row>
    <row r="1051" spans="1:23" x14ac:dyDescent="0.3">
      <c r="A1051">
        <v>1050</v>
      </c>
      <c r="B1051" t="s">
        <v>1094</v>
      </c>
      <c r="C1051" t="s">
        <v>35</v>
      </c>
      <c r="D1051">
        <v>141</v>
      </c>
      <c r="E1051">
        <v>4653</v>
      </c>
      <c r="F1051" s="3">
        <v>195</v>
      </c>
      <c r="G1051">
        <v>11</v>
      </c>
      <c r="H1051">
        <v>5</v>
      </c>
      <c r="I1051" s="5">
        <v>3.54609929078014E-2</v>
      </c>
      <c r="J1051" s="3">
        <v>393</v>
      </c>
      <c r="K1051" s="1">
        <v>45608</v>
      </c>
      <c r="L1051" t="s">
        <v>25</v>
      </c>
      <c r="M1051" t="s">
        <v>39</v>
      </c>
      <c r="N1051" t="s">
        <v>27</v>
      </c>
      <c r="O1051" t="s">
        <v>28</v>
      </c>
      <c r="P1051" t="s">
        <v>41</v>
      </c>
      <c r="Q1051" s="6">
        <v>1.3829078014184299</v>
      </c>
      <c r="R1051">
        <v>3.03</v>
      </c>
      <c r="S1051">
        <v>17.73</v>
      </c>
      <c r="T1051">
        <v>39</v>
      </c>
      <c r="U1051">
        <v>101.55</v>
      </c>
      <c r="V1051">
        <v>78.599999999999994</v>
      </c>
      <c r="W1051">
        <v>2.02</v>
      </c>
    </row>
    <row r="1052" spans="1:23" x14ac:dyDescent="0.3">
      <c r="A1052">
        <v>1051</v>
      </c>
      <c r="B1052" t="s">
        <v>1095</v>
      </c>
      <c r="C1052" t="s">
        <v>38</v>
      </c>
      <c r="D1052">
        <v>181</v>
      </c>
      <c r="E1052">
        <v>3063</v>
      </c>
      <c r="F1052" s="3">
        <v>191</v>
      </c>
      <c r="G1052">
        <v>15</v>
      </c>
      <c r="H1052">
        <v>4</v>
      </c>
      <c r="I1052" s="5">
        <v>2.2099447513812098E-2</v>
      </c>
      <c r="J1052" s="3">
        <v>230</v>
      </c>
      <c r="K1052" s="1">
        <v>45617</v>
      </c>
      <c r="L1052" t="s">
        <v>25</v>
      </c>
      <c r="M1052" t="s">
        <v>26</v>
      </c>
      <c r="N1052" t="s">
        <v>40</v>
      </c>
      <c r="O1052" t="s">
        <v>28</v>
      </c>
      <c r="P1052" t="s">
        <v>54</v>
      </c>
      <c r="Q1052" s="6">
        <v>1.05541436464088</v>
      </c>
      <c r="R1052">
        <v>5.91</v>
      </c>
      <c r="S1052">
        <v>12.74</v>
      </c>
      <c r="T1052">
        <v>47.76</v>
      </c>
      <c r="U1052">
        <v>20.399999999999999</v>
      </c>
      <c r="V1052">
        <v>57.5</v>
      </c>
      <c r="W1052">
        <v>1.2</v>
      </c>
    </row>
    <row r="1053" spans="1:23" x14ac:dyDescent="0.3">
      <c r="A1053">
        <v>1052</v>
      </c>
      <c r="B1053" t="s">
        <v>1096</v>
      </c>
      <c r="C1053" t="s">
        <v>24</v>
      </c>
      <c r="D1053">
        <v>156</v>
      </c>
      <c r="E1053">
        <v>3273</v>
      </c>
      <c r="F1053" s="3">
        <v>245</v>
      </c>
      <c r="G1053">
        <v>30</v>
      </c>
      <c r="H1053">
        <v>8</v>
      </c>
      <c r="I1053" s="5">
        <v>5.1282051282051197E-2</v>
      </c>
      <c r="J1053" s="3">
        <v>373.71428571428498</v>
      </c>
      <c r="K1053" s="1">
        <v>45601</v>
      </c>
      <c r="L1053" t="s">
        <v>25</v>
      </c>
      <c r="M1053" t="s">
        <v>39</v>
      </c>
      <c r="N1053" t="s">
        <v>27</v>
      </c>
      <c r="O1053" t="s">
        <v>28</v>
      </c>
      <c r="P1053" t="s">
        <v>41</v>
      </c>
      <c r="Q1053" s="6">
        <v>1.57224358974358</v>
      </c>
      <c r="R1053">
        <v>4.7699999999999996</v>
      </c>
      <c r="S1053">
        <v>8.18</v>
      </c>
      <c r="T1053">
        <v>30.66</v>
      </c>
      <c r="U1053">
        <v>52.37</v>
      </c>
      <c r="V1053">
        <v>46.71</v>
      </c>
      <c r="W1053">
        <v>1.52</v>
      </c>
    </row>
    <row r="1054" spans="1:23" x14ac:dyDescent="0.3">
      <c r="A1054">
        <v>1053</v>
      </c>
      <c r="B1054" t="s">
        <v>1097</v>
      </c>
      <c r="C1054" t="s">
        <v>38</v>
      </c>
      <c r="D1054">
        <v>128</v>
      </c>
      <c r="E1054">
        <v>4314</v>
      </c>
      <c r="F1054" s="3">
        <v>182</v>
      </c>
      <c r="G1054">
        <v>28</v>
      </c>
      <c r="H1054">
        <v>5</v>
      </c>
      <c r="I1054" s="5">
        <v>3.90625E-2</v>
      </c>
      <c r="J1054" s="3">
        <v>297</v>
      </c>
      <c r="K1054" s="1">
        <v>45621</v>
      </c>
      <c r="L1054" t="s">
        <v>25</v>
      </c>
      <c r="M1054" t="s">
        <v>31</v>
      </c>
      <c r="N1054" t="s">
        <v>49</v>
      </c>
      <c r="O1054" t="s">
        <v>28</v>
      </c>
      <c r="P1054" t="s">
        <v>59</v>
      </c>
      <c r="Q1054" s="6">
        <v>1.4193750000000001</v>
      </c>
      <c r="R1054">
        <v>2.97</v>
      </c>
      <c r="S1054">
        <v>6.49</v>
      </c>
      <c r="T1054">
        <v>36.340000000000003</v>
      </c>
      <c r="U1054">
        <v>63.47</v>
      </c>
      <c r="V1054">
        <v>59.4</v>
      </c>
      <c r="W1054">
        <v>1.63</v>
      </c>
    </row>
    <row r="1055" spans="1:23" x14ac:dyDescent="0.3">
      <c r="A1055">
        <v>1054</v>
      </c>
      <c r="B1055" t="s">
        <v>1098</v>
      </c>
      <c r="C1055" t="s">
        <v>24</v>
      </c>
      <c r="D1055">
        <v>133</v>
      </c>
      <c r="E1055">
        <v>5945</v>
      </c>
      <c r="F1055" s="3">
        <v>223</v>
      </c>
      <c r="G1055">
        <v>16</v>
      </c>
      <c r="H1055">
        <v>6</v>
      </c>
      <c r="I1055" s="5">
        <v>4.5112781954887202E-2</v>
      </c>
      <c r="J1055" s="3">
        <v>271</v>
      </c>
      <c r="K1055" s="1">
        <v>45612</v>
      </c>
      <c r="L1055" t="s">
        <v>25</v>
      </c>
      <c r="M1055" t="s">
        <v>39</v>
      </c>
      <c r="N1055" t="s">
        <v>40</v>
      </c>
      <c r="O1055" t="s">
        <v>28</v>
      </c>
      <c r="P1055" t="s">
        <v>29</v>
      </c>
      <c r="Q1055" s="6">
        <v>1.67992481203007</v>
      </c>
      <c r="R1055">
        <v>2.2400000000000002</v>
      </c>
      <c r="S1055">
        <v>13.96</v>
      </c>
      <c r="T1055">
        <v>37.24</v>
      </c>
      <c r="U1055">
        <v>21.29</v>
      </c>
      <c r="V1055">
        <v>45.17</v>
      </c>
      <c r="W1055">
        <v>1.21</v>
      </c>
    </row>
    <row r="1056" spans="1:23" x14ac:dyDescent="0.3">
      <c r="A1056">
        <v>1055</v>
      </c>
      <c r="B1056" t="s">
        <v>1099</v>
      </c>
      <c r="C1056" t="s">
        <v>38</v>
      </c>
      <c r="D1056">
        <v>118</v>
      </c>
      <c r="E1056">
        <v>4794</v>
      </c>
      <c r="F1056" s="3">
        <v>233</v>
      </c>
      <c r="G1056">
        <v>17</v>
      </c>
      <c r="H1056">
        <v>3</v>
      </c>
      <c r="I1056" s="5">
        <v>2.5423728813559299E-2</v>
      </c>
      <c r="J1056" s="3">
        <v>348</v>
      </c>
      <c r="K1056" s="1">
        <v>45623</v>
      </c>
      <c r="L1056" t="s">
        <v>25</v>
      </c>
      <c r="M1056" t="s">
        <v>31</v>
      </c>
      <c r="N1056" t="s">
        <v>32</v>
      </c>
      <c r="O1056" t="s">
        <v>28</v>
      </c>
      <c r="P1056" t="s">
        <v>33</v>
      </c>
      <c r="Q1056" s="6">
        <v>1.97872881355932</v>
      </c>
      <c r="R1056">
        <v>2.46</v>
      </c>
      <c r="S1056">
        <v>13.73</v>
      </c>
      <c r="T1056">
        <v>77.83</v>
      </c>
      <c r="U1056">
        <v>49.04</v>
      </c>
      <c r="V1056">
        <v>116</v>
      </c>
      <c r="W1056">
        <v>1.49</v>
      </c>
    </row>
    <row r="1057" spans="1:23" x14ac:dyDescent="0.3">
      <c r="A1057">
        <v>1056</v>
      </c>
      <c r="B1057" t="s">
        <v>1100</v>
      </c>
      <c r="C1057" t="s">
        <v>24</v>
      </c>
      <c r="D1057">
        <v>191</v>
      </c>
      <c r="E1057">
        <v>5227</v>
      </c>
      <c r="F1057" s="3">
        <v>205</v>
      </c>
      <c r="G1057">
        <v>26</v>
      </c>
      <c r="H1057">
        <v>6</v>
      </c>
      <c r="I1057" s="5">
        <v>3.1413612565444997E-2</v>
      </c>
      <c r="J1057" s="3">
        <v>328</v>
      </c>
      <c r="K1057" s="1">
        <v>45616</v>
      </c>
      <c r="L1057" t="s">
        <v>25</v>
      </c>
      <c r="M1057" t="s">
        <v>31</v>
      </c>
      <c r="N1057" t="s">
        <v>32</v>
      </c>
      <c r="O1057" t="s">
        <v>28</v>
      </c>
      <c r="P1057" t="s">
        <v>33</v>
      </c>
      <c r="Q1057" s="6">
        <v>1.0726178010471199</v>
      </c>
      <c r="R1057">
        <v>3.65</v>
      </c>
      <c r="S1057">
        <v>7.88</v>
      </c>
      <c r="T1057">
        <v>34.15</v>
      </c>
      <c r="U1057">
        <v>60.1</v>
      </c>
      <c r="V1057">
        <v>54.67</v>
      </c>
      <c r="W1057">
        <v>1.6</v>
      </c>
    </row>
    <row r="1058" spans="1:23" x14ac:dyDescent="0.3">
      <c r="A1058">
        <v>1057</v>
      </c>
      <c r="B1058" t="s">
        <v>1101</v>
      </c>
      <c r="C1058" t="s">
        <v>38</v>
      </c>
      <c r="D1058">
        <v>172</v>
      </c>
      <c r="E1058">
        <v>4850</v>
      </c>
      <c r="F1058" s="3">
        <v>242</v>
      </c>
      <c r="G1058">
        <v>27</v>
      </c>
      <c r="H1058">
        <v>4</v>
      </c>
      <c r="I1058" s="5">
        <v>2.3255813953488299E-2</v>
      </c>
      <c r="J1058" s="3">
        <v>284</v>
      </c>
      <c r="K1058" s="1">
        <v>45617</v>
      </c>
      <c r="L1058" t="s">
        <v>25</v>
      </c>
      <c r="M1058" t="s">
        <v>39</v>
      </c>
      <c r="N1058" t="s">
        <v>36</v>
      </c>
      <c r="O1058" t="s">
        <v>28</v>
      </c>
      <c r="P1058" t="s">
        <v>54</v>
      </c>
      <c r="Q1058" s="6">
        <v>1.4088953488372</v>
      </c>
      <c r="R1058">
        <v>3.55</v>
      </c>
      <c r="S1058">
        <v>8.98</v>
      </c>
      <c r="T1058">
        <v>60.58</v>
      </c>
      <c r="U1058">
        <v>17.2</v>
      </c>
      <c r="V1058">
        <v>71</v>
      </c>
      <c r="W1058">
        <v>1.17</v>
      </c>
    </row>
    <row r="1059" spans="1:23" x14ac:dyDescent="0.3">
      <c r="A1059">
        <v>1058</v>
      </c>
      <c r="B1059" t="s">
        <v>1102</v>
      </c>
      <c r="C1059" t="s">
        <v>24</v>
      </c>
      <c r="D1059">
        <v>143</v>
      </c>
      <c r="E1059">
        <v>5314</v>
      </c>
      <c r="F1059" s="3">
        <v>222</v>
      </c>
      <c r="G1059">
        <v>21</v>
      </c>
      <c r="H1059">
        <v>9</v>
      </c>
      <c r="I1059" s="5">
        <v>6.2937062937062901E-2</v>
      </c>
      <c r="J1059" s="3">
        <v>420.42857142857099</v>
      </c>
      <c r="K1059" s="1">
        <v>45618</v>
      </c>
      <c r="L1059" t="s">
        <v>25</v>
      </c>
      <c r="M1059" t="s">
        <v>39</v>
      </c>
      <c r="N1059" t="s">
        <v>27</v>
      </c>
      <c r="O1059" t="s">
        <v>28</v>
      </c>
      <c r="P1059" t="s">
        <v>45</v>
      </c>
      <c r="Q1059" s="6">
        <v>1.55342657342657</v>
      </c>
      <c r="R1059">
        <v>2.69</v>
      </c>
      <c r="S1059">
        <v>10.58</v>
      </c>
      <c r="T1059">
        <v>24.68</v>
      </c>
      <c r="U1059">
        <v>89.26</v>
      </c>
      <c r="V1059">
        <v>46.71</v>
      </c>
      <c r="W1059">
        <v>1.89</v>
      </c>
    </row>
    <row r="1060" spans="1:23" x14ac:dyDescent="0.3">
      <c r="A1060">
        <v>1059</v>
      </c>
      <c r="B1060" t="s">
        <v>1103</v>
      </c>
      <c r="C1060" t="s">
        <v>38</v>
      </c>
      <c r="D1060">
        <v>110</v>
      </c>
      <c r="E1060">
        <v>4394</v>
      </c>
      <c r="F1060" s="3">
        <v>194</v>
      </c>
      <c r="G1060">
        <v>28</v>
      </c>
      <c r="H1060">
        <v>3</v>
      </c>
      <c r="I1060" s="5">
        <v>2.7272727272727199E-2</v>
      </c>
      <c r="J1060" s="3">
        <v>284</v>
      </c>
      <c r="K1060" s="1">
        <v>45621</v>
      </c>
      <c r="L1060" t="s">
        <v>25</v>
      </c>
      <c r="M1060" t="s">
        <v>39</v>
      </c>
      <c r="N1060" t="s">
        <v>49</v>
      </c>
      <c r="O1060" t="s">
        <v>28</v>
      </c>
      <c r="P1060" t="s">
        <v>59</v>
      </c>
      <c r="Q1060" s="6">
        <v>1.7657272727272699</v>
      </c>
      <c r="R1060">
        <v>2.5</v>
      </c>
      <c r="S1060">
        <v>6.94</v>
      </c>
      <c r="T1060">
        <v>64.739999999999995</v>
      </c>
      <c r="U1060">
        <v>46.22</v>
      </c>
      <c r="V1060">
        <v>94.67</v>
      </c>
      <c r="W1060">
        <v>1.46</v>
      </c>
    </row>
    <row r="1061" spans="1:23" x14ac:dyDescent="0.3">
      <c r="A1061">
        <v>1060</v>
      </c>
      <c r="B1061" t="s">
        <v>1104</v>
      </c>
      <c r="C1061" t="s">
        <v>35</v>
      </c>
      <c r="D1061">
        <v>119</v>
      </c>
      <c r="E1061">
        <v>5820</v>
      </c>
      <c r="F1061" s="3">
        <v>196</v>
      </c>
      <c r="G1061">
        <v>11</v>
      </c>
      <c r="H1061">
        <v>10</v>
      </c>
      <c r="I1061" s="5">
        <v>8.4033613445378103E-2</v>
      </c>
      <c r="J1061" s="3">
        <v>348</v>
      </c>
      <c r="K1061" s="1">
        <v>45618</v>
      </c>
      <c r="L1061" t="s">
        <v>25</v>
      </c>
      <c r="M1061" t="s">
        <v>39</v>
      </c>
      <c r="N1061" t="s">
        <v>27</v>
      </c>
      <c r="O1061" t="s">
        <v>28</v>
      </c>
      <c r="P1061" t="s">
        <v>45</v>
      </c>
      <c r="Q1061" s="6">
        <v>1.6505882352941099</v>
      </c>
      <c r="R1061">
        <v>2.04</v>
      </c>
      <c r="S1061">
        <v>17.86</v>
      </c>
      <c r="T1061">
        <v>19.64</v>
      </c>
      <c r="U1061">
        <v>77.17</v>
      </c>
      <c r="V1061">
        <v>34.799999999999997</v>
      </c>
      <c r="W1061">
        <v>1.77</v>
      </c>
    </row>
    <row r="1062" spans="1:23" x14ac:dyDescent="0.3">
      <c r="A1062">
        <v>1061</v>
      </c>
      <c r="B1062" t="s">
        <v>1105</v>
      </c>
      <c r="C1062" t="s">
        <v>35</v>
      </c>
      <c r="D1062">
        <v>178</v>
      </c>
      <c r="E1062">
        <v>5328</v>
      </c>
      <c r="F1062" s="3">
        <v>202</v>
      </c>
      <c r="G1062">
        <v>20</v>
      </c>
      <c r="H1062">
        <v>9</v>
      </c>
      <c r="I1062" s="5">
        <v>5.0561797752808897E-2</v>
      </c>
      <c r="J1062" s="3">
        <v>296</v>
      </c>
      <c r="K1062" s="1">
        <v>45617</v>
      </c>
      <c r="L1062" t="s">
        <v>25</v>
      </c>
      <c r="M1062" t="s">
        <v>31</v>
      </c>
      <c r="N1062" t="s">
        <v>32</v>
      </c>
      <c r="O1062" t="s">
        <v>28</v>
      </c>
      <c r="P1062" t="s">
        <v>54</v>
      </c>
      <c r="Q1062" s="6">
        <v>1.13426966292134</v>
      </c>
      <c r="R1062">
        <v>3.34</v>
      </c>
      <c r="S1062">
        <v>10.1</v>
      </c>
      <c r="T1062">
        <v>22.43</v>
      </c>
      <c r="U1062">
        <v>46.61</v>
      </c>
      <c r="V1062">
        <v>32.89</v>
      </c>
      <c r="W1062">
        <v>1.47</v>
      </c>
    </row>
    <row r="1063" spans="1:23" x14ac:dyDescent="0.3">
      <c r="A1063">
        <v>1062</v>
      </c>
      <c r="B1063" t="s">
        <v>1106</v>
      </c>
      <c r="C1063" t="s">
        <v>38</v>
      </c>
      <c r="D1063">
        <v>108</v>
      </c>
      <c r="E1063">
        <v>3557</v>
      </c>
      <c r="F1063" s="3">
        <v>191</v>
      </c>
      <c r="G1063">
        <v>17</v>
      </c>
      <c r="H1063">
        <v>4</v>
      </c>
      <c r="I1063" s="5">
        <v>3.7037037037037E-2</v>
      </c>
      <c r="J1063" s="3">
        <v>393</v>
      </c>
      <c r="K1063" s="1">
        <v>45624</v>
      </c>
      <c r="L1063" t="s">
        <v>25</v>
      </c>
      <c r="M1063" t="s">
        <v>26</v>
      </c>
      <c r="N1063" t="s">
        <v>36</v>
      </c>
      <c r="O1063" t="s">
        <v>28</v>
      </c>
      <c r="P1063" t="s">
        <v>54</v>
      </c>
      <c r="Q1063" s="6">
        <v>1.7670370370370301</v>
      </c>
      <c r="R1063">
        <v>3.04</v>
      </c>
      <c r="S1063">
        <v>11.23</v>
      </c>
      <c r="T1063">
        <v>47.71</v>
      </c>
      <c r="U1063">
        <v>105.93</v>
      </c>
      <c r="V1063">
        <v>98.25</v>
      </c>
      <c r="W1063">
        <v>2.06</v>
      </c>
    </row>
    <row r="1064" spans="1:23" x14ac:dyDescent="0.3">
      <c r="A1064">
        <v>1063</v>
      </c>
      <c r="B1064" t="s">
        <v>1107</v>
      </c>
      <c r="C1064" t="s">
        <v>43</v>
      </c>
      <c r="D1064">
        <v>95</v>
      </c>
      <c r="E1064">
        <v>4050</v>
      </c>
      <c r="F1064" s="3">
        <v>235</v>
      </c>
      <c r="G1064">
        <v>20</v>
      </c>
      <c r="H1064">
        <v>5</v>
      </c>
      <c r="I1064" s="5">
        <v>5.2631578947368397E-2</v>
      </c>
      <c r="J1064" s="3">
        <v>364</v>
      </c>
      <c r="K1064" s="1">
        <v>45614</v>
      </c>
      <c r="L1064" t="s">
        <v>25</v>
      </c>
      <c r="M1064" t="s">
        <v>31</v>
      </c>
      <c r="N1064" t="s">
        <v>36</v>
      </c>
      <c r="O1064" t="s">
        <v>28</v>
      </c>
      <c r="P1064" t="s">
        <v>59</v>
      </c>
      <c r="Q1064" s="6">
        <v>2.4714736842105198</v>
      </c>
      <c r="R1064">
        <v>2.35</v>
      </c>
      <c r="S1064">
        <v>11.74</v>
      </c>
      <c r="T1064">
        <v>46.96</v>
      </c>
      <c r="U1064">
        <v>55.03</v>
      </c>
      <c r="V1064">
        <v>72.8</v>
      </c>
      <c r="W1064">
        <v>1.55</v>
      </c>
    </row>
    <row r="1065" spans="1:23" x14ac:dyDescent="0.3">
      <c r="A1065">
        <v>1064</v>
      </c>
      <c r="B1065" t="s">
        <v>1108</v>
      </c>
      <c r="C1065" t="s">
        <v>43</v>
      </c>
      <c r="D1065">
        <v>198</v>
      </c>
      <c r="E1065">
        <v>3575</v>
      </c>
      <c r="F1065" s="3">
        <v>224</v>
      </c>
      <c r="G1065">
        <v>13</v>
      </c>
      <c r="H1065">
        <v>3</v>
      </c>
      <c r="I1065" s="5">
        <v>1.51515151515151E-2</v>
      </c>
      <c r="J1065" s="3">
        <v>218</v>
      </c>
      <c r="K1065" s="1">
        <v>45605</v>
      </c>
      <c r="L1065" t="s">
        <v>25</v>
      </c>
      <c r="M1065" t="s">
        <v>26</v>
      </c>
      <c r="N1065" t="s">
        <v>36</v>
      </c>
      <c r="O1065" t="s">
        <v>28</v>
      </c>
      <c r="P1065" t="s">
        <v>29</v>
      </c>
      <c r="Q1065" s="6">
        <v>1.1316666666666599</v>
      </c>
      <c r="R1065">
        <v>5.54</v>
      </c>
      <c r="S1065">
        <v>17.239999999999998</v>
      </c>
      <c r="T1065">
        <v>74.69</v>
      </c>
      <c r="U1065">
        <v>-2.71</v>
      </c>
      <c r="V1065">
        <v>72.67</v>
      </c>
      <c r="W1065">
        <v>0.97</v>
      </c>
    </row>
    <row r="1066" spans="1:23" x14ac:dyDescent="0.3">
      <c r="A1066">
        <v>1065</v>
      </c>
      <c r="B1066" t="s">
        <v>1109</v>
      </c>
      <c r="C1066" t="s">
        <v>35</v>
      </c>
      <c r="D1066">
        <v>134</v>
      </c>
      <c r="E1066">
        <v>5570</v>
      </c>
      <c r="F1066" s="3">
        <v>234</v>
      </c>
      <c r="G1066">
        <v>15</v>
      </c>
      <c r="H1066">
        <v>4</v>
      </c>
      <c r="I1066" s="5">
        <v>2.9850746268656699E-2</v>
      </c>
      <c r="J1066" s="3">
        <v>225</v>
      </c>
      <c r="K1066" s="1">
        <v>45623</v>
      </c>
      <c r="L1066" t="s">
        <v>25</v>
      </c>
      <c r="M1066" t="s">
        <v>31</v>
      </c>
      <c r="N1066" t="s">
        <v>32</v>
      </c>
      <c r="O1066" t="s">
        <v>28</v>
      </c>
      <c r="P1066" t="s">
        <v>33</v>
      </c>
      <c r="Q1066" s="6">
        <v>1.74455223880597</v>
      </c>
      <c r="R1066">
        <v>2.41</v>
      </c>
      <c r="S1066">
        <v>15.58</v>
      </c>
      <c r="T1066">
        <v>58.44</v>
      </c>
      <c r="U1066">
        <v>-3.75</v>
      </c>
      <c r="V1066">
        <v>56.25</v>
      </c>
      <c r="W1066">
        <v>0.96</v>
      </c>
    </row>
    <row r="1067" spans="1:23" x14ac:dyDescent="0.3">
      <c r="A1067">
        <v>1066</v>
      </c>
      <c r="B1067" t="s">
        <v>1110</v>
      </c>
      <c r="C1067" t="s">
        <v>38</v>
      </c>
      <c r="D1067">
        <v>83</v>
      </c>
      <c r="E1067">
        <v>4883</v>
      </c>
      <c r="F1067" s="3">
        <v>228</v>
      </c>
      <c r="G1067">
        <v>29</v>
      </c>
      <c r="H1067">
        <v>10</v>
      </c>
      <c r="I1067" s="5">
        <v>0.120481927710843</v>
      </c>
      <c r="J1067" s="3">
        <v>297</v>
      </c>
      <c r="K1067" s="1">
        <v>45603</v>
      </c>
      <c r="L1067" t="s">
        <v>25</v>
      </c>
      <c r="M1067" t="s">
        <v>31</v>
      </c>
      <c r="N1067" t="s">
        <v>27</v>
      </c>
      <c r="O1067" t="s">
        <v>28</v>
      </c>
      <c r="P1067" t="s">
        <v>54</v>
      </c>
      <c r="Q1067" s="6">
        <v>2.75060240963855</v>
      </c>
      <c r="R1067">
        <v>1.7</v>
      </c>
      <c r="S1067">
        <v>7.87</v>
      </c>
      <c r="T1067">
        <v>22.83</v>
      </c>
      <c r="U1067">
        <v>30.09</v>
      </c>
      <c r="V1067">
        <v>29.7</v>
      </c>
      <c r="W1067">
        <v>1.3</v>
      </c>
    </row>
    <row r="1068" spans="1:23" x14ac:dyDescent="0.3">
      <c r="A1068">
        <v>1067</v>
      </c>
      <c r="B1068" t="s">
        <v>1111</v>
      </c>
      <c r="C1068" t="s">
        <v>38</v>
      </c>
      <c r="D1068">
        <v>187</v>
      </c>
      <c r="E1068">
        <v>4753</v>
      </c>
      <c r="F1068" s="3">
        <v>236</v>
      </c>
      <c r="G1068">
        <v>13</v>
      </c>
      <c r="H1068">
        <v>3</v>
      </c>
      <c r="I1068" s="5">
        <v>1.60427807486631E-2</v>
      </c>
      <c r="J1068" s="3">
        <v>389</v>
      </c>
      <c r="K1068" s="1">
        <v>45614</v>
      </c>
      <c r="L1068" t="s">
        <v>25</v>
      </c>
      <c r="M1068" t="s">
        <v>26</v>
      </c>
      <c r="N1068" t="s">
        <v>36</v>
      </c>
      <c r="O1068" t="s">
        <v>28</v>
      </c>
      <c r="P1068" t="s">
        <v>59</v>
      </c>
      <c r="Q1068" s="6">
        <v>1.26219251336898</v>
      </c>
      <c r="R1068">
        <v>3.93</v>
      </c>
      <c r="S1068">
        <v>18.16</v>
      </c>
      <c r="T1068">
        <v>78.680000000000007</v>
      </c>
      <c r="U1068">
        <v>64.81</v>
      </c>
      <c r="V1068">
        <v>129.66999999999999</v>
      </c>
      <c r="W1068">
        <v>1.65</v>
      </c>
    </row>
    <row r="1069" spans="1:23" x14ac:dyDescent="0.3">
      <c r="A1069">
        <v>1068</v>
      </c>
      <c r="B1069" t="s">
        <v>1112</v>
      </c>
      <c r="C1069" t="s">
        <v>35</v>
      </c>
      <c r="D1069">
        <v>81</v>
      </c>
      <c r="E1069">
        <v>5653</v>
      </c>
      <c r="F1069" s="3">
        <v>245</v>
      </c>
      <c r="G1069">
        <v>23</v>
      </c>
      <c r="H1069">
        <v>8</v>
      </c>
      <c r="I1069" s="5">
        <v>9.8765432098765399E-2</v>
      </c>
      <c r="J1069" s="3">
        <v>255</v>
      </c>
      <c r="K1069" s="1">
        <v>45622</v>
      </c>
      <c r="L1069" t="s">
        <v>25</v>
      </c>
      <c r="M1069" t="s">
        <v>31</v>
      </c>
      <c r="N1069" t="s">
        <v>36</v>
      </c>
      <c r="O1069" t="s">
        <v>28</v>
      </c>
      <c r="P1069" t="s">
        <v>41</v>
      </c>
      <c r="Q1069" s="6">
        <v>3.0287654320987598</v>
      </c>
      <c r="R1069">
        <v>1.43</v>
      </c>
      <c r="S1069">
        <v>10.67</v>
      </c>
      <c r="T1069">
        <v>30.67</v>
      </c>
      <c r="U1069">
        <v>3.94</v>
      </c>
      <c r="V1069">
        <v>31.88</v>
      </c>
      <c r="W1069">
        <v>1.04</v>
      </c>
    </row>
    <row r="1070" spans="1:23" x14ac:dyDescent="0.3">
      <c r="A1070">
        <v>1069</v>
      </c>
      <c r="B1070" t="s">
        <v>1113</v>
      </c>
      <c r="C1070" t="s">
        <v>24</v>
      </c>
      <c r="D1070">
        <v>144</v>
      </c>
      <c r="E1070">
        <v>5750</v>
      </c>
      <c r="F1070" s="3">
        <v>184</v>
      </c>
      <c r="G1070">
        <v>19</v>
      </c>
      <c r="H1070">
        <v>8</v>
      </c>
      <c r="I1070" s="5">
        <v>5.5555555555555497E-2</v>
      </c>
      <c r="J1070" s="3">
        <v>224</v>
      </c>
      <c r="K1070" s="1">
        <v>45622</v>
      </c>
      <c r="L1070" t="s">
        <v>25</v>
      </c>
      <c r="M1070" t="s">
        <v>26</v>
      </c>
      <c r="N1070" t="s">
        <v>27</v>
      </c>
      <c r="O1070" t="s">
        <v>28</v>
      </c>
      <c r="P1070" t="s">
        <v>41</v>
      </c>
      <c r="Q1070" s="6">
        <v>1.2803472222222201</v>
      </c>
      <c r="R1070">
        <v>2.5</v>
      </c>
      <c r="S1070">
        <v>9.6999999999999993</v>
      </c>
      <c r="T1070">
        <v>23.05</v>
      </c>
      <c r="U1070">
        <v>21.49</v>
      </c>
      <c r="V1070">
        <v>28</v>
      </c>
      <c r="W1070">
        <v>1.21</v>
      </c>
    </row>
    <row r="1071" spans="1:23" x14ac:dyDescent="0.3">
      <c r="A1071">
        <v>1070</v>
      </c>
      <c r="B1071" t="s">
        <v>1114</v>
      </c>
      <c r="C1071" t="s">
        <v>38</v>
      </c>
      <c r="D1071">
        <v>161</v>
      </c>
      <c r="E1071">
        <v>5766</v>
      </c>
      <c r="F1071" s="3">
        <v>222</v>
      </c>
      <c r="G1071">
        <v>10</v>
      </c>
      <c r="H1071">
        <v>8</v>
      </c>
      <c r="I1071" s="5">
        <v>4.9689440993788803E-2</v>
      </c>
      <c r="J1071" s="3">
        <v>373</v>
      </c>
      <c r="K1071" s="1">
        <v>45609</v>
      </c>
      <c r="L1071" t="s">
        <v>25</v>
      </c>
      <c r="M1071" t="s">
        <v>39</v>
      </c>
      <c r="N1071" t="s">
        <v>44</v>
      </c>
      <c r="O1071" t="s">
        <v>28</v>
      </c>
      <c r="P1071" t="s">
        <v>33</v>
      </c>
      <c r="Q1071" s="6">
        <v>1.37844720496894</v>
      </c>
      <c r="R1071">
        <v>2.79</v>
      </c>
      <c r="S1071">
        <v>22.19</v>
      </c>
      <c r="T1071">
        <v>27.74</v>
      </c>
      <c r="U1071">
        <v>68.069999999999993</v>
      </c>
      <c r="V1071">
        <v>46.62</v>
      </c>
      <c r="W1071">
        <v>1.68</v>
      </c>
    </row>
    <row r="1072" spans="1:23" x14ac:dyDescent="0.3">
      <c r="A1072">
        <v>1071</v>
      </c>
      <c r="B1072" t="s">
        <v>1115</v>
      </c>
      <c r="C1072" t="s">
        <v>35</v>
      </c>
      <c r="D1072">
        <v>90</v>
      </c>
      <c r="E1072">
        <v>4424</v>
      </c>
      <c r="F1072" s="3">
        <v>220</v>
      </c>
      <c r="G1072">
        <v>10</v>
      </c>
      <c r="H1072">
        <v>4</v>
      </c>
      <c r="I1072" s="5">
        <v>4.4444444444444398E-2</v>
      </c>
      <c r="J1072" s="3">
        <v>285</v>
      </c>
      <c r="K1072" s="1">
        <v>45604</v>
      </c>
      <c r="L1072" t="s">
        <v>25</v>
      </c>
      <c r="M1072" t="s">
        <v>26</v>
      </c>
      <c r="N1072" t="s">
        <v>36</v>
      </c>
      <c r="O1072" t="s">
        <v>28</v>
      </c>
      <c r="P1072" t="s">
        <v>45</v>
      </c>
      <c r="Q1072" s="6">
        <v>2.4418888888888799</v>
      </c>
      <c r="R1072">
        <v>2.0299999999999998</v>
      </c>
      <c r="S1072">
        <v>21.98</v>
      </c>
      <c r="T1072">
        <v>54.94</v>
      </c>
      <c r="U1072">
        <v>29.68</v>
      </c>
      <c r="V1072">
        <v>71.25</v>
      </c>
      <c r="W1072">
        <v>1.3</v>
      </c>
    </row>
    <row r="1073" spans="1:23" x14ac:dyDescent="0.3">
      <c r="A1073">
        <v>1072</v>
      </c>
      <c r="B1073" t="s">
        <v>1116</v>
      </c>
      <c r="C1073" t="s">
        <v>43</v>
      </c>
      <c r="D1073">
        <v>128</v>
      </c>
      <c r="E1073">
        <v>5043</v>
      </c>
      <c r="F1073" s="3">
        <v>232</v>
      </c>
      <c r="G1073">
        <v>26</v>
      </c>
      <c r="H1073">
        <v>8</v>
      </c>
      <c r="I1073" s="5">
        <v>6.25E-2</v>
      </c>
      <c r="J1073" s="3">
        <v>308</v>
      </c>
      <c r="K1073" s="1">
        <v>45622</v>
      </c>
      <c r="L1073" t="s">
        <v>25</v>
      </c>
      <c r="M1073" t="s">
        <v>39</v>
      </c>
      <c r="N1073" t="s">
        <v>49</v>
      </c>
      <c r="O1073" t="s">
        <v>28</v>
      </c>
      <c r="P1073" t="s">
        <v>41</v>
      </c>
      <c r="Q1073" s="6">
        <v>1.8103125</v>
      </c>
      <c r="R1073">
        <v>2.54</v>
      </c>
      <c r="S1073">
        <v>8.91</v>
      </c>
      <c r="T1073">
        <v>28.96</v>
      </c>
      <c r="U1073">
        <v>32.92</v>
      </c>
      <c r="V1073">
        <v>38.5</v>
      </c>
      <c r="W1073">
        <v>1.33</v>
      </c>
    </row>
    <row r="1074" spans="1:23" x14ac:dyDescent="0.3">
      <c r="A1074">
        <v>1073</v>
      </c>
      <c r="B1074" t="s">
        <v>1117</v>
      </c>
      <c r="C1074" t="s">
        <v>38</v>
      </c>
      <c r="D1074">
        <v>195</v>
      </c>
      <c r="E1074">
        <v>4529</v>
      </c>
      <c r="F1074" s="3">
        <v>200</v>
      </c>
      <c r="G1074">
        <v>25</v>
      </c>
      <c r="H1074">
        <v>7</v>
      </c>
      <c r="I1074" s="5">
        <v>3.5897435897435798E-2</v>
      </c>
      <c r="J1074" s="3">
        <v>274</v>
      </c>
      <c r="K1074" s="1">
        <v>45626</v>
      </c>
      <c r="L1074" t="s">
        <v>25</v>
      </c>
      <c r="M1074" t="s">
        <v>39</v>
      </c>
      <c r="N1074" t="s">
        <v>40</v>
      </c>
      <c r="O1074" t="s">
        <v>28</v>
      </c>
      <c r="P1074" t="s">
        <v>29</v>
      </c>
      <c r="Q1074" s="6">
        <v>1.0274871794871701</v>
      </c>
      <c r="R1074">
        <v>4.3099999999999996</v>
      </c>
      <c r="S1074">
        <v>8.01</v>
      </c>
      <c r="T1074">
        <v>28.62</v>
      </c>
      <c r="U1074">
        <v>36.75</v>
      </c>
      <c r="V1074">
        <v>39.14</v>
      </c>
      <c r="W1074">
        <v>1.37</v>
      </c>
    </row>
    <row r="1075" spans="1:23" x14ac:dyDescent="0.3">
      <c r="A1075">
        <v>1074</v>
      </c>
      <c r="B1075" t="s">
        <v>1118</v>
      </c>
      <c r="C1075" t="s">
        <v>38</v>
      </c>
      <c r="D1075">
        <v>160</v>
      </c>
      <c r="E1075">
        <v>5751</v>
      </c>
      <c r="F1075" s="3">
        <v>244</v>
      </c>
      <c r="G1075">
        <v>28</v>
      </c>
      <c r="H1075">
        <v>4</v>
      </c>
      <c r="I1075" s="5">
        <v>2.5000000000000001E-2</v>
      </c>
      <c r="J1075" s="3">
        <v>368</v>
      </c>
      <c r="K1075" s="1">
        <v>45618</v>
      </c>
      <c r="L1075" t="s">
        <v>25</v>
      </c>
      <c r="M1075" t="s">
        <v>31</v>
      </c>
      <c r="N1075" t="s">
        <v>27</v>
      </c>
      <c r="O1075" t="s">
        <v>28</v>
      </c>
      <c r="P1075" t="s">
        <v>45</v>
      </c>
      <c r="Q1075" s="6">
        <v>1.5243795620437901</v>
      </c>
      <c r="R1075">
        <v>2.78</v>
      </c>
      <c r="S1075">
        <v>8.7100000000000009</v>
      </c>
      <c r="T1075">
        <v>60.98</v>
      </c>
      <c r="U1075">
        <v>50.88</v>
      </c>
      <c r="V1075">
        <v>92</v>
      </c>
      <c r="W1075">
        <v>1.51</v>
      </c>
    </row>
    <row r="1076" spans="1:23" x14ac:dyDescent="0.3">
      <c r="A1076">
        <v>1075</v>
      </c>
      <c r="B1076" t="s">
        <v>1119</v>
      </c>
      <c r="C1076" t="s">
        <v>24</v>
      </c>
      <c r="D1076">
        <v>176</v>
      </c>
      <c r="E1076">
        <v>4518</v>
      </c>
      <c r="F1076" s="3">
        <v>238</v>
      </c>
      <c r="G1076">
        <v>17</v>
      </c>
      <c r="H1076">
        <v>10</v>
      </c>
      <c r="I1076" s="5">
        <v>5.6818181818181802E-2</v>
      </c>
      <c r="J1076" s="3">
        <v>394</v>
      </c>
      <c r="K1076" s="1">
        <v>45607</v>
      </c>
      <c r="L1076" t="s">
        <v>25</v>
      </c>
      <c r="M1076" t="s">
        <v>26</v>
      </c>
      <c r="N1076" t="s">
        <v>49</v>
      </c>
      <c r="O1076" t="s">
        <v>28</v>
      </c>
      <c r="P1076" t="s">
        <v>59</v>
      </c>
      <c r="Q1076" s="6">
        <v>1.35198863636363</v>
      </c>
      <c r="R1076">
        <v>3.9</v>
      </c>
      <c r="S1076">
        <v>14</v>
      </c>
      <c r="T1076">
        <v>23.8</v>
      </c>
      <c r="U1076">
        <v>65.58</v>
      </c>
      <c r="V1076">
        <v>39.4</v>
      </c>
      <c r="W1076">
        <v>1.66</v>
      </c>
    </row>
    <row r="1077" spans="1:23" x14ac:dyDescent="0.3">
      <c r="A1077">
        <v>1076</v>
      </c>
      <c r="B1077" t="s">
        <v>1120</v>
      </c>
      <c r="C1077" t="s">
        <v>38</v>
      </c>
      <c r="D1077">
        <v>157</v>
      </c>
      <c r="E1077">
        <v>5201</v>
      </c>
      <c r="F1077" s="3">
        <v>229</v>
      </c>
      <c r="G1077">
        <v>14</v>
      </c>
      <c r="H1077">
        <v>8</v>
      </c>
      <c r="I1077" s="5">
        <v>5.0955414012738801E-2</v>
      </c>
      <c r="J1077" s="3">
        <v>298</v>
      </c>
      <c r="K1077" s="1">
        <v>45605</v>
      </c>
      <c r="L1077" t="s">
        <v>25</v>
      </c>
      <c r="M1077" t="s">
        <v>31</v>
      </c>
      <c r="N1077" t="s">
        <v>36</v>
      </c>
      <c r="O1077" t="s">
        <v>28</v>
      </c>
      <c r="P1077" t="s">
        <v>29</v>
      </c>
      <c r="Q1077" s="6">
        <v>1.4568152866241999</v>
      </c>
      <c r="R1077">
        <v>3.02</v>
      </c>
      <c r="S1077">
        <v>16.34</v>
      </c>
      <c r="T1077">
        <v>28.59</v>
      </c>
      <c r="U1077">
        <v>30.29</v>
      </c>
      <c r="V1077">
        <v>37.25</v>
      </c>
      <c r="W1077">
        <v>1.3</v>
      </c>
    </row>
    <row r="1078" spans="1:23" x14ac:dyDescent="0.3">
      <c r="A1078">
        <v>1077</v>
      </c>
      <c r="B1078" t="s">
        <v>1121</v>
      </c>
      <c r="C1078" t="s">
        <v>24</v>
      </c>
      <c r="D1078">
        <v>104</v>
      </c>
      <c r="E1078">
        <v>4735</v>
      </c>
      <c r="F1078" s="3">
        <v>234</v>
      </c>
      <c r="G1078">
        <v>19</v>
      </c>
      <c r="H1078">
        <v>6</v>
      </c>
      <c r="I1078" s="5">
        <v>5.7692307692307598E-2</v>
      </c>
      <c r="J1078" s="3">
        <v>305</v>
      </c>
      <c r="K1078" s="1">
        <v>45619</v>
      </c>
      <c r="L1078" t="s">
        <v>25</v>
      </c>
      <c r="M1078" t="s">
        <v>31</v>
      </c>
      <c r="N1078" t="s">
        <v>27</v>
      </c>
      <c r="O1078" t="s">
        <v>28</v>
      </c>
      <c r="P1078" t="s">
        <v>29</v>
      </c>
      <c r="Q1078" s="6">
        <v>2.2495192307692302</v>
      </c>
      <c r="R1078">
        <v>2.2000000000000002</v>
      </c>
      <c r="S1078">
        <v>12.31</v>
      </c>
      <c r="T1078">
        <v>38.99</v>
      </c>
      <c r="U1078">
        <v>30.37</v>
      </c>
      <c r="V1078">
        <v>50.83</v>
      </c>
      <c r="W1078">
        <v>1.3</v>
      </c>
    </row>
    <row r="1079" spans="1:23" x14ac:dyDescent="0.3">
      <c r="A1079">
        <v>1078</v>
      </c>
      <c r="B1079" t="s">
        <v>1122</v>
      </c>
      <c r="C1079" t="s">
        <v>38</v>
      </c>
      <c r="D1079">
        <v>117</v>
      </c>
      <c r="E1079">
        <v>3014</v>
      </c>
      <c r="F1079" s="3">
        <v>242</v>
      </c>
      <c r="G1079">
        <v>12</v>
      </c>
      <c r="H1079">
        <v>5</v>
      </c>
      <c r="I1079" s="5">
        <v>4.2735042735042701E-2</v>
      </c>
      <c r="J1079" s="3">
        <v>292</v>
      </c>
      <c r="K1079" s="1">
        <v>45625</v>
      </c>
      <c r="L1079" t="s">
        <v>25</v>
      </c>
      <c r="M1079" t="s">
        <v>31</v>
      </c>
      <c r="N1079" t="s">
        <v>27</v>
      </c>
      <c r="O1079" t="s">
        <v>28</v>
      </c>
      <c r="P1079" t="s">
        <v>45</v>
      </c>
      <c r="Q1079" s="6">
        <v>2.0704273504273498</v>
      </c>
      <c r="R1079">
        <v>3.88</v>
      </c>
      <c r="S1079">
        <v>20.190000000000001</v>
      </c>
      <c r="T1079">
        <v>48.45</v>
      </c>
      <c r="U1079">
        <v>20.54</v>
      </c>
      <c r="V1079">
        <v>58.4</v>
      </c>
      <c r="W1079">
        <v>1.21</v>
      </c>
    </row>
    <row r="1080" spans="1:23" x14ac:dyDescent="0.3">
      <c r="A1080">
        <v>1079</v>
      </c>
      <c r="B1080" t="s">
        <v>1123</v>
      </c>
      <c r="C1080" t="s">
        <v>35</v>
      </c>
      <c r="D1080">
        <v>138</v>
      </c>
      <c r="E1080">
        <v>5506</v>
      </c>
      <c r="F1080" s="3">
        <v>193</v>
      </c>
      <c r="G1080">
        <v>27</v>
      </c>
      <c r="H1080">
        <v>6</v>
      </c>
      <c r="I1080" s="5">
        <v>4.3478260869565202E-2</v>
      </c>
      <c r="J1080" s="3">
        <v>257</v>
      </c>
      <c r="K1080" s="1">
        <v>45598</v>
      </c>
      <c r="L1080" t="s">
        <v>25</v>
      </c>
      <c r="M1080" t="s">
        <v>39</v>
      </c>
      <c r="N1080" t="s">
        <v>27</v>
      </c>
      <c r="O1080" t="s">
        <v>28</v>
      </c>
      <c r="P1080" t="s">
        <v>29</v>
      </c>
      <c r="Q1080" s="6">
        <v>1.3977536231884</v>
      </c>
      <c r="R1080">
        <v>2.5099999999999998</v>
      </c>
      <c r="S1080">
        <v>7.14</v>
      </c>
      <c r="T1080">
        <v>32.15</v>
      </c>
      <c r="U1080">
        <v>33.24</v>
      </c>
      <c r="V1080">
        <v>42.83</v>
      </c>
      <c r="W1080">
        <v>1.33</v>
      </c>
    </row>
    <row r="1081" spans="1:23" x14ac:dyDescent="0.3">
      <c r="A1081">
        <v>1080</v>
      </c>
      <c r="B1081" t="s">
        <v>1124</v>
      </c>
      <c r="C1081" t="s">
        <v>38</v>
      </c>
      <c r="D1081">
        <v>84</v>
      </c>
      <c r="E1081">
        <v>3758</v>
      </c>
      <c r="F1081" s="3">
        <v>233</v>
      </c>
      <c r="G1081">
        <v>26</v>
      </c>
      <c r="H1081">
        <v>5</v>
      </c>
      <c r="I1081" s="5">
        <v>5.95238095238095E-2</v>
      </c>
      <c r="J1081" s="3">
        <v>282</v>
      </c>
      <c r="K1081" s="1">
        <v>45602</v>
      </c>
      <c r="L1081" t="s">
        <v>25</v>
      </c>
      <c r="M1081" t="s">
        <v>26</v>
      </c>
      <c r="N1081" t="s">
        <v>32</v>
      </c>
      <c r="O1081" t="s">
        <v>28</v>
      </c>
      <c r="P1081" t="s">
        <v>33</v>
      </c>
      <c r="Q1081" s="6">
        <v>2.7685714285714198</v>
      </c>
      <c r="R1081">
        <v>2.2400000000000002</v>
      </c>
      <c r="S1081">
        <v>8.94</v>
      </c>
      <c r="T1081">
        <v>46.51</v>
      </c>
      <c r="U1081">
        <v>21.26</v>
      </c>
      <c r="V1081">
        <v>56.4</v>
      </c>
      <c r="W1081">
        <v>1.21</v>
      </c>
    </row>
    <row r="1082" spans="1:23" x14ac:dyDescent="0.3">
      <c r="A1082">
        <v>1081</v>
      </c>
      <c r="B1082" t="s">
        <v>1125</v>
      </c>
      <c r="C1082" t="s">
        <v>38</v>
      </c>
      <c r="D1082">
        <v>102</v>
      </c>
      <c r="E1082">
        <v>4460</v>
      </c>
      <c r="F1082" s="3">
        <v>182</v>
      </c>
      <c r="G1082">
        <v>15</v>
      </c>
      <c r="H1082">
        <v>6</v>
      </c>
      <c r="I1082" s="5">
        <v>5.8823529411764698E-2</v>
      </c>
      <c r="J1082" s="3">
        <v>377</v>
      </c>
      <c r="K1082" s="1">
        <v>45610</v>
      </c>
      <c r="L1082" t="s">
        <v>25</v>
      </c>
      <c r="M1082" t="s">
        <v>39</v>
      </c>
      <c r="N1082" t="s">
        <v>36</v>
      </c>
      <c r="O1082" t="s">
        <v>28</v>
      </c>
      <c r="P1082" t="s">
        <v>54</v>
      </c>
      <c r="Q1082" s="6">
        <v>1.78656862745098</v>
      </c>
      <c r="R1082">
        <v>2.29</v>
      </c>
      <c r="S1082">
        <v>12.15</v>
      </c>
      <c r="T1082">
        <v>30.37</v>
      </c>
      <c r="U1082">
        <v>106.88</v>
      </c>
      <c r="V1082">
        <v>62.83</v>
      </c>
      <c r="W1082">
        <v>2.0699999999999998</v>
      </c>
    </row>
    <row r="1083" spans="1:23" x14ac:dyDescent="0.3">
      <c r="A1083">
        <v>1082</v>
      </c>
      <c r="B1083" t="s">
        <v>1126</v>
      </c>
      <c r="C1083" t="s">
        <v>35</v>
      </c>
      <c r="D1083">
        <v>122</v>
      </c>
      <c r="E1083">
        <v>5518</v>
      </c>
      <c r="F1083" s="3">
        <v>202</v>
      </c>
      <c r="G1083">
        <v>27</v>
      </c>
      <c r="H1083">
        <v>3</v>
      </c>
      <c r="I1083" s="5">
        <v>2.4590163934426201E-2</v>
      </c>
      <c r="J1083" s="3">
        <v>384</v>
      </c>
      <c r="K1083" s="1">
        <v>45607</v>
      </c>
      <c r="L1083" t="s">
        <v>25</v>
      </c>
      <c r="M1083" t="s">
        <v>39</v>
      </c>
      <c r="N1083" t="s">
        <v>49</v>
      </c>
      <c r="O1083" t="s">
        <v>28</v>
      </c>
      <c r="P1083" t="s">
        <v>59</v>
      </c>
      <c r="Q1083" s="6">
        <v>1.65573770491803</v>
      </c>
      <c r="R1083">
        <v>2.21</v>
      </c>
      <c r="S1083">
        <v>7.48</v>
      </c>
      <c r="T1083">
        <v>67.33</v>
      </c>
      <c r="U1083">
        <v>90.1</v>
      </c>
      <c r="V1083">
        <v>128</v>
      </c>
      <c r="W1083">
        <v>1.9</v>
      </c>
    </row>
    <row r="1084" spans="1:23" x14ac:dyDescent="0.3">
      <c r="A1084">
        <v>1083</v>
      </c>
      <c r="B1084" t="s">
        <v>1127</v>
      </c>
      <c r="C1084" t="s">
        <v>43</v>
      </c>
      <c r="D1084">
        <v>198</v>
      </c>
      <c r="E1084">
        <v>5542</v>
      </c>
      <c r="F1084" s="3">
        <v>235</v>
      </c>
      <c r="G1084">
        <v>10</v>
      </c>
      <c r="H1084">
        <v>10</v>
      </c>
      <c r="I1084" s="5">
        <v>5.0505050505050497E-2</v>
      </c>
      <c r="J1084" s="3">
        <v>328</v>
      </c>
      <c r="K1084" s="1">
        <v>45623</v>
      </c>
      <c r="L1084" t="s">
        <v>25</v>
      </c>
      <c r="M1084" t="s">
        <v>39</v>
      </c>
      <c r="N1084" t="s">
        <v>44</v>
      </c>
      <c r="O1084" t="s">
        <v>28</v>
      </c>
      <c r="P1084" t="s">
        <v>33</v>
      </c>
      <c r="Q1084" s="6">
        <v>1.1849494949494901</v>
      </c>
      <c r="R1084">
        <v>3.57</v>
      </c>
      <c r="S1084">
        <v>23.46</v>
      </c>
      <c r="T1084">
        <v>23.46</v>
      </c>
      <c r="U1084">
        <v>39.799999999999997</v>
      </c>
      <c r="V1084">
        <v>32.799999999999997</v>
      </c>
      <c r="W1084">
        <v>1.4</v>
      </c>
    </row>
    <row r="1085" spans="1:23" x14ac:dyDescent="0.3">
      <c r="A1085">
        <v>1084</v>
      </c>
      <c r="B1085" t="s">
        <v>1128</v>
      </c>
      <c r="C1085" t="s">
        <v>43</v>
      </c>
      <c r="D1085">
        <v>152</v>
      </c>
      <c r="E1085">
        <v>5678</v>
      </c>
      <c r="F1085" s="3">
        <v>204</v>
      </c>
      <c r="G1085">
        <v>22</v>
      </c>
      <c r="H1085">
        <v>4</v>
      </c>
      <c r="I1085" s="5">
        <v>2.6315789473684199E-2</v>
      </c>
      <c r="J1085" s="3">
        <v>366</v>
      </c>
      <c r="K1085" s="1">
        <v>45616</v>
      </c>
      <c r="L1085" t="s">
        <v>25</v>
      </c>
      <c r="M1085" t="s">
        <v>26</v>
      </c>
      <c r="N1085" t="s">
        <v>44</v>
      </c>
      <c r="O1085" t="s">
        <v>28</v>
      </c>
      <c r="P1085" t="s">
        <v>33</v>
      </c>
      <c r="Q1085" s="6">
        <v>1.3448026315789401</v>
      </c>
      <c r="R1085">
        <v>2.68</v>
      </c>
      <c r="S1085">
        <v>9.2899999999999991</v>
      </c>
      <c r="T1085">
        <v>51.1</v>
      </c>
      <c r="U1085">
        <v>79.05</v>
      </c>
      <c r="V1085">
        <v>91.5</v>
      </c>
      <c r="W1085">
        <v>1.79</v>
      </c>
    </row>
    <row r="1086" spans="1:23" x14ac:dyDescent="0.3">
      <c r="A1086">
        <v>1085</v>
      </c>
      <c r="B1086" t="s">
        <v>1129</v>
      </c>
      <c r="C1086" t="s">
        <v>24</v>
      </c>
      <c r="D1086">
        <v>147</v>
      </c>
      <c r="E1086">
        <v>4608</v>
      </c>
      <c r="F1086" s="3">
        <v>180</v>
      </c>
      <c r="G1086">
        <v>20</v>
      </c>
      <c r="H1086">
        <v>6</v>
      </c>
      <c r="I1086" s="5">
        <v>4.08163265306122E-2</v>
      </c>
      <c r="J1086" s="3">
        <v>276</v>
      </c>
      <c r="K1086" s="1">
        <v>45617</v>
      </c>
      <c r="L1086" t="s">
        <v>25</v>
      </c>
      <c r="M1086" t="s">
        <v>26</v>
      </c>
      <c r="N1086" t="s">
        <v>36</v>
      </c>
      <c r="O1086" t="s">
        <v>28</v>
      </c>
      <c r="P1086" t="s">
        <v>54</v>
      </c>
      <c r="Q1086" s="6">
        <v>1.2247619047619001</v>
      </c>
      <c r="R1086">
        <v>3.19</v>
      </c>
      <c r="S1086">
        <v>9</v>
      </c>
      <c r="T1086">
        <v>30.01</v>
      </c>
      <c r="U1086">
        <v>53.3</v>
      </c>
      <c r="V1086">
        <v>46</v>
      </c>
      <c r="W1086">
        <v>1.53</v>
      </c>
    </row>
    <row r="1087" spans="1:23" x14ac:dyDescent="0.3">
      <c r="A1087">
        <v>1086</v>
      </c>
      <c r="B1087" t="s">
        <v>1130</v>
      </c>
      <c r="C1087" t="s">
        <v>43</v>
      </c>
      <c r="D1087">
        <v>108</v>
      </c>
      <c r="E1087">
        <v>5448</v>
      </c>
      <c r="F1087" s="3">
        <v>230</v>
      </c>
      <c r="G1087">
        <v>12</v>
      </c>
      <c r="H1087">
        <v>10</v>
      </c>
      <c r="I1087" s="5">
        <v>9.2592592592592504E-2</v>
      </c>
      <c r="J1087" s="3">
        <v>212</v>
      </c>
      <c r="K1087" s="1">
        <v>45615</v>
      </c>
      <c r="L1087" t="s">
        <v>25</v>
      </c>
      <c r="M1087" t="s">
        <v>26</v>
      </c>
      <c r="N1087" t="s">
        <v>32</v>
      </c>
      <c r="O1087" t="s">
        <v>28</v>
      </c>
      <c r="P1087" t="s">
        <v>41</v>
      </c>
      <c r="Q1087" s="6">
        <v>2.1312037037036999</v>
      </c>
      <c r="R1087">
        <v>1.98</v>
      </c>
      <c r="S1087">
        <v>19.18</v>
      </c>
      <c r="T1087">
        <v>23.02</v>
      </c>
      <c r="U1087">
        <v>-7.89</v>
      </c>
      <c r="V1087">
        <v>21.2</v>
      </c>
      <c r="W1087">
        <v>0.92</v>
      </c>
    </row>
    <row r="1088" spans="1:23" x14ac:dyDescent="0.3">
      <c r="A1088">
        <v>1087</v>
      </c>
      <c r="B1088" t="s">
        <v>1131</v>
      </c>
      <c r="C1088" t="s">
        <v>35</v>
      </c>
      <c r="D1088">
        <v>137</v>
      </c>
      <c r="E1088">
        <v>5261</v>
      </c>
      <c r="F1088" s="3">
        <v>196</v>
      </c>
      <c r="G1088">
        <v>23</v>
      </c>
      <c r="H1088">
        <v>5</v>
      </c>
      <c r="I1088" s="5">
        <v>3.6496350364963501E-2</v>
      </c>
      <c r="J1088" s="3">
        <v>250</v>
      </c>
      <c r="K1088" s="1">
        <v>45622</v>
      </c>
      <c r="L1088" t="s">
        <v>25</v>
      </c>
      <c r="M1088" t="s">
        <v>39</v>
      </c>
      <c r="N1088" t="s">
        <v>40</v>
      </c>
      <c r="O1088" t="s">
        <v>28</v>
      </c>
      <c r="P1088" t="s">
        <v>41</v>
      </c>
      <c r="Q1088" s="6">
        <v>1.4341605839416001</v>
      </c>
      <c r="R1088">
        <v>2.6</v>
      </c>
      <c r="S1088">
        <v>8.5399999999999991</v>
      </c>
      <c r="T1088">
        <v>39.299999999999997</v>
      </c>
      <c r="U1088">
        <v>27.24</v>
      </c>
      <c r="V1088">
        <v>50</v>
      </c>
      <c r="W1088">
        <v>1.27</v>
      </c>
    </row>
    <row r="1089" spans="1:23" x14ac:dyDescent="0.3">
      <c r="A1089">
        <v>1088</v>
      </c>
      <c r="B1089" t="s">
        <v>1132</v>
      </c>
      <c r="C1089" t="s">
        <v>43</v>
      </c>
      <c r="D1089">
        <v>131</v>
      </c>
      <c r="E1089">
        <v>4320</v>
      </c>
      <c r="F1089" s="3">
        <v>209</v>
      </c>
      <c r="G1089">
        <v>16</v>
      </c>
      <c r="H1089">
        <v>9</v>
      </c>
      <c r="I1089" s="5">
        <v>6.8702290076335798E-2</v>
      </c>
      <c r="J1089" s="3">
        <v>336</v>
      </c>
      <c r="K1089" s="1">
        <v>45608</v>
      </c>
      <c r="L1089" t="s">
        <v>25</v>
      </c>
      <c r="M1089" t="s">
        <v>31</v>
      </c>
      <c r="N1089" t="s">
        <v>36</v>
      </c>
      <c r="O1089" t="s">
        <v>28</v>
      </c>
      <c r="P1089" t="s">
        <v>41</v>
      </c>
      <c r="Q1089" s="6">
        <v>1.59832061068702</v>
      </c>
      <c r="R1089">
        <v>3.03</v>
      </c>
      <c r="S1089">
        <v>13.09</v>
      </c>
      <c r="T1089">
        <v>23.26</v>
      </c>
      <c r="U1089">
        <v>60.47</v>
      </c>
      <c r="V1089">
        <v>37.33</v>
      </c>
      <c r="W1089">
        <v>1.6</v>
      </c>
    </row>
    <row r="1090" spans="1:23" x14ac:dyDescent="0.3">
      <c r="A1090">
        <v>1089</v>
      </c>
      <c r="B1090" t="s">
        <v>1133</v>
      </c>
      <c r="C1090" t="s">
        <v>38</v>
      </c>
      <c r="D1090">
        <v>80</v>
      </c>
      <c r="E1090">
        <v>3760</v>
      </c>
      <c r="F1090" s="3">
        <v>237</v>
      </c>
      <c r="G1090">
        <v>13</v>
      </c>
      <c r="H1090">
        <v>4</v>
      </c>
      <c r="I1090" s="5">
        <v>0.05</v>
      </c>
      <c r="J1090" s="3">
        <v>393</v>
      </c>
      <c r="K1090" s="1">
        <v>45617</v>
      </c>
      <c r="L1090" t="s">
        <v>25</v>
      </c>
      <c r="M1090" t="s">
        <v>26</v>
      </c>
      <c r="N1090" t="s">
        <v>27</v>
      </c>
      <c r="O1090" t="s">
        <v>28</v>
      </c>
      <c r="P1090" t="s">
        <v>54</v>
      </c>
      <c r="Q1090" s="6">
        <v>2.9602499999999998</v>
      </c>
      <c r="R1090">
        <v>2.13</v>
      </c>
      <c r="S1090">
        <v>18.22</v>
      </c>
      <c r="T1090">
        <v>59.2</v>
      </c>
      <c r="U1090">
        <v>65.95</v>
      </c>
      <c r="V1090">
        <v>98.25</v>
      </c>
      <c r="W1090">
        <v>1.66</v>
      </c>
    </row>
    <row r="1091" spans="1:23" x14ac:dyDescent="0.3">
      <c r="A1091">
        <v>1090</v>
      </c>
      <c r="B1091" t="s">
        <v>1134</v>
      </c>
      <c r="C1091" t="s">
        <v>43</v>
      </c>
      <c r="D1091">
        <v>114</v>
      </c>
      <c r="E1091">
        <v>4157</v>
      </c>
      <c r="F1091" s="3">
        <v>249</v>
      </c>
      <c r="G1091">
        <v>10</v>
      </c>
      <c r="H1091">
        <v>7</v>
      </c>
      <c r="I1091" s="5">
        <v>6.14035087719298E-2</v>
      </c>
      <c r="J1091" s="3">
        <v>341</v>
      </c>
      <c r="K1091" s="1">
        <v>45606</v>
      </c>
      <c r="L1091" t="s">
        <v>25</v>
      </c>
      <c r="M1091" t="s">
        <v>26</v>
      </c>
      <c r="N1091" t="s">
        <v>49</v>
      </c>
      <c r="O1091" t="s">
        <v>28</v>
      </c>
      <c r="P1091" t="s">
        <v>50</v>
      </c>
      <c r="Q1091" s="6">
        <v>2.1803508771929798</v>
      </c>
      <c r="R1091">
        <v>2.74</v>
      </c>
      <c r="S1091">
        <v>24.86</v>
      </c>
      <c r="T1091">
        <v>35.51</v>
      </c>
      <c r="U1091">
        <v>37.19</v>
      </c>
      <c r="V1091">
        <v>48.71</v>
      </c>
      <c r="W1091">
        <v>1.37</v>
      </c>
    </row>
    <row r="1092" spans="1:23" x14ac:dyDescent="0.3">
      <c r="A1092">
        <v>1091</v>
      </c>
      <c r="B1092" t="s">
        <v>1135</v>
      </c>
      <c r="C1092" t="s">
        <v>35</v>
      </c>
      <c r="D1092">
        <v>123</v>
      </c>
      <c r="E1092">
        <v>4580</v>
      </c>
      <c r="F1092" s="3">
        <v>223</v>
      </c>
      <c r="G1092">
        <v>15</v>
      </c>
      <c r="H1092">
        <v>7</v>
      </c>
      <c r="I1092" s="5">
        <v>5.6910569105690999E-2</v>
      </c>
      <c r="J1092" s="3">
        <v>329</v>
      </c>
      <c r="K1092" s="1">
        <v>45614</v>
      </c>
      <c r="L1092" t="s">
        <v>25</v>
      </c>
      <c r="M1092" t="s">
        <v>31</v>
      </c>
      <c r="N1092" t="s">
        <v>49</v>
      </c>
      <c r="O1092" t="s">
        <v>28</v>
      </c>
      <c r="P1092" t="s">
        <v>59</v>
      </c>
      <c r="Q1092" s="6">
        <v>1.8130081300812999</v>
      </c>
      <c r="R1092">
        <v>2.69</v>
      </c>
      <c r="S1092">
        <v>14.87</v>
      </c>
      <c r="T1092">
        <v>31.86</v>
      </c>
      <c r="U1092">
        <v>47.53</v>
      </c>
      <c r="V1092">
        <v>47</v>
      </c>
      <c r="W1092">
        <v>1.48</v>
      </c>
    </row>
    <row r="1093" spans="1:23" x14ac:dyDescent="0.3">
      <c r="A1093">
        <v>1092</v>
      </c>
      <c r="B1093" t="s">
        <v>1136</v>
      </c>
      <c r="C1093" t="s">
        <v>38</v>
      </c>
      <c r="D1093">
        <v>168</v>
      </c>
      <c r="E1093">
        <v>4068</v>
      </c>
      <c r="F1093" s="3">
        <v>234</v>
      </c>
      <c r="G1093">
        <v>23</v>
      </c>
      <c r="H1093">
        <v>5</v>
      </c>
      <c r="I1093" s="5">
        <v>2.9761904761904701E-2</v>
      </c>
      <c r="J1093" s="3">
        <v>334</v>
      </c>
      <c r="K1093" s="1">
        <v>45623</v>
      </c>
      <c r="L1093" t="s">
        <v>25</v>
      </c>
      <c r="M1093" t="s">
        <v>31</v>
      </c>
      <c r="N1093" t="s">
        <v>49</v>
      </c>
      <c r="O1093" t="s">
        <v>28</v>
      </c>
      <c r="P1093" t="s">
        <v>33</v>
      </c>
      <c r="Q1093" s="6">
        <v>1.3901190476190399</v>
      </c>
      <c r="R1093">
        <v>4.13</v>
      </c>
      <c r="S1093">
        <v>10.15</v>
      </c>
      <c r="T1093">
        <v>46.71</v>
      </c>
      <c r="U1093">
        <v>43.02</v>
      </c>
      <c r="V1093">
        <v>66.8</v>
      </c>
      <c r="W1093">
        <v>1.43</v>
      </c>
    </row>
    <row r="1094" spans="1:23" x14ac:dyDescent="0.3">
      <c r="A1094">
        <v>1093</v>
      </c>
      <c r="B1094" t="s">
        <v>1137</v>
      </c>
      <c r="C1094" t="s">
        <v>35</v>
      </c>
      <c r="D1094">
        <v>180</v>
      </c>
      <c r="E1094">
        <v>3072</v>
      </c>
      <c r="F1094" s="3">
        <v>218</v>
      </c>
      <c r="G1094">
        <v>28</v>
      </c>
      <c r="H1094">
        <v>9</v>
      </c>
      <c r="I1094" s="5">
        <v>0.05</v>
      </c>
      <c r="J1094" s="3">
        <v>245</v>
      </c>
      <c r="K1094" s="1">
        <v>45602</v>
      </c>
      <c r="L1094" t="s">
        <v>25</v>
      </c>
      <c r="M1094" t="s">
        <v>31</v>
      </c>
      <c r="N1094" t="s">
        <v>27</v>
      </c>
      <c r="O1094" t="s">
        <v>28</v>
      </c>
      <c r="P1094" t="s">
        <v>33</v>
      </c>
      <c r="Q1094" s="6">
        <v>1.2137222222222199</v>
      </c>
      <c r="R1094">
        <v>5.86</v>
      </c>
      <c r="S1094">
        <v>7.8</v>
      </c>
      <c r="T1094">
        <v>24.27</v>
      </c>
      <c r="U1094">
        <v>12.14</v>
      </c>
      <c r="V1094">
        <v>27.22</v>
      </c>
      <c r="W1094">
        <v>1.1200000000000001</v>
      </c>
    </row>
    <row r="1095" spans="1:23" x14ac:dyDescent="0.3">
      <c r="A1095">
        <v>1094</v>
      </c>
      <c r="B1095" t="s">
        <v>1138</v>
      </c>
      <c r="C1095" t="s">
        <v>35</v>
      </c>
      <c r="D1095">
        <v>117</v>
      </c>
      <c r="E1095">
        <v>5379</v>
      </c>
      <c r="F1095" s="3">
        <v>241</v>
      </c>
      <c r="G1095">
        <v>18</v>
      </c>
      <c r="H1095">
        <v>3</v>
      </c>
      <c r="I1095" s="5">
        <v>2.5641025641025599E-2</v>
      </c>
      <c r="J1095" s="3">
        <v>278</v>
      </c>
      <c r="K1095" s="1">
        <v>45602</v>
      </c>
      <c r="L1095" t="s">
        <v>25</v>
      </c>
      <c r="M1095" t="s">
        <v>39</v>
      </c>
      <c r="N1095" t="s">
        <v>49</v>
      </c>
      <c r="O1095" t="s">
        <v>28</v>
      </c>
      <c r="P1095" t="s">
        <v>33</v>
      </c>
      <c r="Q1095" s="6">
        <v>2.05709401709401</v>
      </c>
      <c r="R1095">
        <v>2.1800000000000002</v>
      </c>
      <c r="S1095">
        <v>13.37</v>
      </c>
      <c r="T1095">
        <v>80.23</v>
      </c>
      <c r="U1095">
        <v>15.51</v>
      </c>
      <c r="V1095">
        <v>92.67</v>
      </c>
      <c r="W1095">
        <v>1.1599999999999999</v>
      </c>
    </row>
    <row r="1096" spans="1:23" x14ac:dyDescent="0.3">
      <c r="A1096">
        <v>1095</v>
      </c>
      <c r="B1096" t="s">
        <v>1139</v>
      </c>
      <c r="C1096" t="s">
        <v>35</v>
      </c>
      <c r="D1096">
        <v>103</v>
      </c>
      <c r="E1096">
        <v>4885</v>
      </c>
      <c r="F1096" s="3">
        <v>221</v>
      </c>
      <c r="G1096">
        <v>21</v>
      </c>
      <c r="H1096">
        <v>10</v>
      </c>
      <c r="I1096" s="5">
        <v>9.7087378640776698E-2</v>
      </c>
      <c r="J1096" s="3">
        <v>467.142857142857</v>
      </c>
      <c r="K1096" s="1">
        <v>45621</v>
      </c>
      <c r="L1096" t="s">
        <v>25</v>
      </c>
      <c r="M1096" t="s">
        <v>31</v>
      </c>
      <c r="N1096" t="s">
        <v>44</v>
      </c>
      <c r="O1096" t="s">
        <v>28</v>
      </c>
      <c r="P1096" t="s">
        <v>59</v>
      </c>
      <c r="Q1096" s="6">
        <v>2.1461165048543598</v>
      </c>
      <c r="R1096">
        <v>2.11</v>
      </c>
      <c r="S1096">
        <v>10.53</v>
      </c>
      <c r="T1096">
        <v>22.1</v>
      </c>
      <c r="U1096">
        <v>111.33</v>
      </c>
      <c r="V1096">
        <v>46.71</v>
      </c>
      <c r="W1096">
        <v>2.11</v>
      </c>
    </row>
    <row r="1097" spans="1:23" x14ac:dyDescent="0.3">
      <c r="A1097">
        <v>1096</v>
      </c>
      <c r="B1097" t="s">
        <v>1140</v>
      </c>
      <c r="C1097" t="s">
        <v>43</v>
      </c>
      <c r="D1097">
        <v>140</v>
      </c>
      <c r="E1097">
        <v>5859</v>
      </c>
      <c r="F1097" s="3">
        <v>211</v>
      </c>
      <c r="G1097">
        <v>26</v>
      </c>
      <c r="H1097">
        <v>9</v>
      </c>
      <c r="I1097" s="5">
        <v>6.4285714285714196E-2</v>
      </c>
      <c r="J1097" s="3">
        <v>260</v>
      </c>
      <c r="K1097" s="1">
        <v>45611</v>
      </c>
      <c r="L1097" t="s">
        <v>25</v>
      </c>
      <c r="M1097" t="s">
        <v>26</v>
      </c>
      <c r="N1097" t="s">
        <v>40</v>
      </c>
      <c r="O1097" t="s">
        <v>28</v>
      </c>
      <c r="P1097" t="s">
        <v>45</v>
      </c>
      <c r="Q1097" s="6">
        <v>1.50771428571428</v>
      </c>
      <c r="R1097">
        <v>2.39</v>
      </c>
      <c r="S1097">
        <v>8.1199999999999992</v>
      </c>
      <c r="T1097">
        <v>23.45</v>
      </c>
      <c r="U1097">
        <v>23.18</v>
      </c>
      <c r="V1097">
        <v>28.89</v>
      </c>
      <c r="W1097">
        <v>1.23</v>
      </c>
    </row>
    <row r="1098" spans="1:23" x14ac:dyDescent="0.3">
      <c r="A1098">
        <v>1097</v>
      </c>
      <c r="B1098" t="s">
        <v>1141</v>
      </c>
      <c r="C1098" t="s">
        <v>38</v>
      </c>
      <c r="D1098">
        <v>158</v>
      </c>
      <c r="E1098">
        <v>4574</v>
      </c>
      <c r="F1098" s="3">
        <v>199</v>
      </c>
      <c r="G1098">
        <v>21</v>
      </c>
      <c r="H1098">
        <v>8</v>
      </c>
      <c r="I1098" s="5">
        <v>5.0632911392405E-2</v>
      </c>
      <c r="J1098" s="3">
        <v>348</v>
      </c>
      <c r="K1098" s="1">
        <v>45600</v>
      </c>
      <c r="L1098" t="s">
        <v>25</v>
      </c>
      <c r="M1098" t="s">
        <v>26</v>
      </c>
      <c r="N1098" t="s">
        <v>27</v>
      </c>
      <c r="O1098" t="s">
        <v>28</v>
      </c>
      <c r="P1098" t="s">
        <v>59</v>
      </c>
      <c r="Q1098" s="6">
        <v>1.25886075949367</v>
      </c>
      <c r="R1098">
        <v>3.45</v>
      </c>
      <c r="S1098">
        <v>9.4700000000000006</v>
      </c>
      <c r="T1098">
        <v>24.86</v>
      </c>
      <c r="U1098">
        <v>74.959999999999994</v>
      </c>
      <c r="V1098">
        <v>43.5</v>
      </c>
      <c r="W1098">
        <v>1.75</v>
      </c>
    </row>
    <row r="1099" spans="1:23" x14ac:dyDescent="0.3">
      <c r="A1099">
        <v>1098</v>
      </c>
      <c r="B1099" t="s">
        <v>1142</v>
      </c>
      <c r="C1099" t="s">
        <v>35</v>
      </c>
      <c r="D1099">
        <v>162</v>
      </c>
      <c r="E1099">
        <v>5911</v>
      </c>
      <c r="F1099" s="3">
        <v>232</v>
      </c>
      <c r="G1099">
        <v>12</v>
      </c>
      <c r="H1099">
        <v>7</v>
      </c>
      <c r="I1099" s="5">
        <v>4.3209876543209798E-2</v>
      </c>
      <c r="J1099" s="3">
        <v>329</v>
      </c>
      <c r="K1099" s="1">
        <v>45605</v>
      </c>
      <c r="L1099" t="s">
        <v>25</v>
      </c>
      <c r="M1099" t="s">
        <v>39</v>
      </c>
      <c r="N1099" t="s">
        <v>36</v>
      </c>
      <c r="O1099" t="s">
        <v>28</v>
      </c>
      <c r="P1099" t="s">
        <v>29</v>
      </c>
      <c r="Q1099" s="6">
        <v>1.43228395061728</v>
      </c>
      <c r="R1099">
        <v>2.74</v>
      </c>
      <c r="S1099">
        <v>19.34</v>
      </c>
      <c r="T1099">
        <v>33.15</v>
      </c>
      <c r="U1099">
        <v>41.79</v>
      </c>
      <c r="V1099">
        <v>47</v>
      </c>
      <c r="W1099">
        <v>1.42</v>
      </c>
    </row>
    <row r="1100" spans="1:23" x14ac:dyDescent="0.3">
      <c r="A1100">
        <v>1099</v>
      </c>
      <c r="B1100" t="s">
        <v>1143</v>
      </c>
      <c r="C1100" t="s">
        <v>35</v>
      </c>
      <c r="D1100">
        <v>122</v>
      </c>
      <c r="E1100">
        <v>3440</v>
      </c>
      <c r="F1100" s="3">
        <v>207</v>
      </c>
      <c r="G1100">
        <v>20</v>
      </c>
      <c r="H1100">
        <v>3</v>
      </c>
      <c r="I1100" s="5">
        <v>2.4590163934426201E-2</v>
      </c>
      <c r="J1100" s="3">
        <v>249</v>
      </c>
      <c r="K1100" s="1">
        <v>45620</v>
      </c>
      <c r="L1100" t="s">
        <v>25</v>
      </c>
      <c r="M1100" t="s">
        <v>39</v>
      </c>
      <c r="N1100" t="s">
        <v>44</v>
      </c>
      <c r="O1100" t="s">
        <v>28</v>
      </c>
      <c r="P1100" t="s">
        <v>50</v>
      </c>
      <c r="Q1100" s="6">
        <v>1.69491803278688</v>
      </c>
      <c r="R1100">
        <v>3.55</v>
      </c>
      <c r="S1100">
        <v>10.34</v>
      </c>
      <c r="T1100">
        <v>68.930000000000007</v>
      </c>
      <c r="U1100">
        <v>20.420000000000002</v>
      </c>
      <c r="V1100">
        <v>83</v>
      </c>
      <c r="W1100">
        <v>1.2</v>
      </c>
    </row>
    <row r="1101" spans="1:23" x14ac:dyDescent="0.3">
      <c r="A1101">
        <v>1100</v>
      </c>
      <c r="B1101" t="s">
        <v>1144</v>
      </c>
      <c r="C1101" t="s">
        <v>38</v>
      </c>
      <c r="D1101">
        <v>89</v>
      </c>
      <c r="E1101">
        <v>4319</v>
      </c>
      <c r="F1101" s="3">
        <v>199</v>
      </c>
      <c r="G1101">
        <v>23</v>
      </c>
      <c r="H1101">
        <v>10</v>
      </c>
      <c r="I1101" s="5">
        <v>0.112359550561797</v>
      </c>
      <c r="J1101" s="3">
        <v>404</v>
      </c>
      <c r="K1101" s="1">
        <v>45612</v>
      </c>
      <c r="L1101" t="s">
        <v>25</v>
      </c>
      <c r="M1101" t="s">
        <v>31</v>
      </c>
      <c r="N1101" t="s">
        <v>27</v>
      </c>
      <c r="O1101" t="s">
        <v>28</v>
      </c>
      <c r="P1101" t="s">
        <v>29</v>
      </c>
      <c r="Q1101" s="6">
        <v>2.2335955056179699</v>
      </c>
      <c r="R1101">
        <v>2.06</v>
      </c>
      <c r="S1101">
        <v>8.64</v>
      </c>
      <c r="T1101">
        <v>19.88</v>
      </c>
      <c r="U1101">
        <v>103.23</v>
      </c>
      <c r="V1101">
        <v>40.4</v>
      </c>
      <c r="W1101">
        <v>2.0299999999999998</v>
      </c>
    </row>
    <row r="1102" spans="1:23" x14ac:dyDescent="0.3">
      <c r="A1102">
        <v>1101</v>
      </c>
      <c r="B1102" t="s">
        <v>1145</v>
      </c>
      <c r="C1102" t="s">
        <v>24</v>
      </c>
      <c r="D1102">
        <v>119</v>
      </c>
      <c r="E1102">
        <v>3956</v>
      </c>
      <c r="F1102" s="3">
        <v>189</v>
      </c>
      <c r="G1102">
        <v>20</v>
      </c>
      <c r="H1102">
        <v>5</v>
      </c>
      <c r="I1102" s="5">
        <v>4.2016806722689003E-2</v>
      </c>
      <c r="J1102" s="3">
        <v>268</v>
      </c>
      <c r="K1102" s="1">
        <v>45611</v>
      </c>
      <c r="L1102" t="s">
        <v>25</v>
      </c>
      <c r="M1102" t="s">
        <v>39</v>
      </c>
      <c r="N1102" t="s">
        <v>40</v>
      </c>
      <c r="O1102" t="s">
        <v>28</v>
      </c>
      <c r="P1102" t="s">
        <v>45</v>
      </c>
      <c r="Q1102" s="6">
        <v>1.5842857142857101</v>
      </c>
      <c r="R1102">
        <v>3.01</v>
      </c>
      <c r="S1102">
        <v>9.43</v>
      </c>
      <c r="T1102">
        <v>37.71</v>
      </c>
      <c r="U1102">
        <v>42.15</v>
      </c>
      <c r="V1102">
        <v>53.6</v>
      </c>
      <c r="W1102">
        <v>1.42</v>
      </c>
    </row>
    <row r="1103" spans="1:23" x14ac:dyDescent="0.3">
      <c r="A1103">
        <v>1102</v>
      </c>
      <c r="B1103" t="s">
        <v>1146</v>
      </c>
      <c r="C1103" t="s">
        <v>35</v>
      </c>
      <c r="D1103">
        <v>155</v>
      </c>
      <c r="E1103">
        <v>4220</v>
      </c>
      <c r="F1103" s="3">
        <v>201</v>
      </c>
      <c r="G1103">
        <v>20</v>
      </c>
      <c r="H1103">
        <v>3</v>
      </c>
      <c r="I1103" s="5">
        <v>1.9354838709677399E-2</v>
      </c>
      <c r="J1103" s="3">
        <v>245</v>
      </c>
      <c r="K1103" s="1">
        <v>45626</v>
      </c>
      <c r="L1103" t="s">
        <v>25</v>
      </c>
      <c r="M1103" t="s">
        <v>31</v>
      </c>
      <c r="N1103" t="s">
        <v>32</v>
      </c>
      <c r="O1103" t="s">
        <v>28</v>
      </c>
      <c r="P1103" t="s">
        <v>29</v>
      </c>
      <c r="Q1103" s="6">
        <v>1.2955483870967699</v>
      </c>
      <c r="R1103">
        <v>3.67</v>
      </c>
      <c r="S1103">
        <v>10.039999999999999</v>
      </c>
      <c r="T1103">
        <v>66.94</v>
      </c>
      <c r="U1103">
        <v>22.01</v>
      </c>
      <c r="V1103">
        <v>81.67</v>
      </c>
      <c r="W1103">
        <v>1.22</v>
      </c>
    </row>
    <row r="1104" spans="1:23" x14ac:dyDescent="0.3">
      <c r="A1104">
        <v>1103</v>
      </c>
      <c r="B1104" t="s">
        <v>1147</v>
      </c>
      <c r="C1104" t="s">
        <v>38</v>
      </c>
      <c r="D1104">
        <v>112</v>
      </c>
      <c r="E1104">
        <v>3692</v>
      </c>
      <c r="F1104" s="3">
        <v>244</v>
      </c>
      <c r="G1104">
        <v>30</v>
      </c>
      <c r="H1104">
        <v>4</v>
      </c>
      <c r="I1104" s="5">
        <v>3.5714285714285698E-2</v>
      </c>
      <c r="J1104" s="3">
        <v>399</v>
      </c>
      <c r="K1104" s="1">
        <v>45597</v>
      </c>
      <c r="L1104" t="s">
        <v>25</v>
      </c>
      <c r="M1104" t="s">
        <v>31</v>
      </c>
      <c r="N1104" t="s">
        <v>49</v>
      </c>
      <c r="O1104" t="s">
        <v>28</v>
      </c>
      <c r="P1104" t="s">
        <v>45</v>
      </c>
      <c r="Q1104" s="6">
        <v>2.1749999999999998</v>
      </c>
      <c r="R1104">
        <v>3.03</v>
      </c>
      <c r="S1104">
        <v>8.1199999999999992</v>
      </c>
      <c r="T1104">
        <v>60.9</v>
      </c>
      <c r="U1104">
        <v>63.79</v>
      </c>
      <c r="V1104">
        <v>99.75</v>
      </c>
      <c r="W1104">
        <v>1.64</v>
      </c>
    </row>
    <row r="1105" spans="1:23" x14ac:dyDescent="0.3">
      <c r="A1105">
        <v>1104</v>
      </c>
      <c r="B1105" t="s">
        <v>1148</v>
      </c>
      <c r="C1105" t="s">
        <v>43</v>
      </c>
      <c r="D1105">
        <v>179</v>
      </c>
      <c r="E1105">
        <v>4188</v>
      </c>
      <c r="F1105" s="3">
        <v>231</v>
      </c>
      <c r="G1105">
        <v>25</v>
      </c>
      <c r="H1105">
        <v>9</v>
      </c>
      <c r="I1105" s="5">
        <v>5.0279329608938501E-2</v>
      </c>
      <c r="J1105" s="3">
        <v>395</v>
      </c>
      <c r="K1105" s="1">
        <v>45615</v>
      </c>
      <c r="L1105" t="s">
        <v>25</v>
      </c>
      <c r="M1105" t="s">
        <v>31</v>
      </c>
      <c r="N1105" t="s">
        <v>44</v>
      </c>
      <c r="O1105" t="s">
        <v>28</v>
      </c>
      <c r="P1105" t="s">
        <v>41</v>
      </c>
      <c r="Q1105" s="6">
        <v>1.2917877094971999</v>
      </c>
      <c r="R1105">
        <v>4.2699999999999996</v>
      </c>
      <c r="S1105">
        <v>9.25</v>
      </c>
      <c r="T1105">
        <v>25.69</v>
      </c>
      <c r="U1105">
        <v>70.83</v>
      </c>
      <c r="V1105">
        <v>43.89</v>
      </c>
      <c r="W1105">
        <v>1.71</v>
      </c>
    </row>
    <row r="1106" spans="1:23" x14ac:dyDescent="0.3">
      <c r="A1106">
        <v>1105</v>
      </c>
      <c r="B1106" t="s">
        <v>1149</v>
      </c>
      <c r="C1106" t="s">
        <v>35</v>
      </c>
      <c r="D1106">
        <v>194</v>
      </c>
      <c r="E1106">
        <v>6398</v>
      </c>
      <c r="F1106" s="3">
        <v>218</v>
      </c>
      <c r="G1106">
        <v>29</v>
      </c>
      <c r="H1106">
        <v>9</v>
      </c>
      <c r="I1106" s="5">
        <v>4.6391752577319499E-2</v>
      </c>
      <c r="J1106" s="3">
        <v>297</v>
      </c>
      <c r="K1106" s="1">
        <v>45621</v>
      </c>
      <c r="L1106" t="s">
        <v>25</v>
      </c>
      <c r="M1106" t="s">
        <v>31</v>
      </c>
      <c r="N1106" t="s">
        <v>32</v>
      </c>
      <c r="O1106" t="s">
        <v>28</v>
      </c>
      <c r="P1106" t="s">
        <v>59</v>
      </c>
      <c r="Q1106" s="6">
        <v>1.1233505154639101</v>
      </c>
      <c r="R1106">
        <v>3.03</v>
      </c>
      <c r="S1106">
        <v>7.51</v>
      </c>
      <c r="T1106">
        <v>24.21</v>
      </c>
      <c r="U1106">
        <v>36.28</v>
      </c>
      <c r="V1106">
        <v>33</v>
      </c>
      <c r="W1106">
        <v>1.36</v>
      </c>
    </row>
    <row r="1107" spans="1:23" x14ac:dyDescent="0.3">
      <c r="A1107">
        <v>1106</v>
      </c>
      <c r="B1107" t="s">
        <v>1150</v>
      </c>
      <c r="C1107" t="s">
        <v>24</v>
      </c>
      <c r="D1107">
        <v>101</v>
      </c>
      <c r="E1107">
        <v>3401</v>
      </c>
      <c r="F1107" s="3">
        <v>194</v>
      </c>
      <c r="G1107">
        <v>27</v>
      </c>
      <c r="H1107">
        <v>3</v>
      </c>
      <c r="I1107" s="5">
        <v>2.9702970297029702E-2</v>
      </c>
      <c r="J1107" s="3">
        <v>351</v>
      </c>
      <c r="K1107" s="1">
        <v>45607</v>
      </c>
      <c r="L1107" t="s">
        <v>25</v>
      </c>
      <c r="M1107" t="s">
        <v>31</v>
      </c>
      <c r="N1107" t="s">
        <v>27</v>
      </c>
      <c r="O1107" t="s">
        <v>28</v>
      </c>
      <c r="P1107" t="s">
        <v>59</v>
      </c>
      <c r="Q1107" s="6">
        <v>1.9219801980197999</v>
      </c>
      <c r="R1107">
        <v>2.97</v>
      </c>
      <c r="S1107">
        <v>7.19</v>
      </c>
      <c r="T1107">
        <v>64.709999999999994</v>
      </c>
      <c r="U1107">
        <v>80.819999999999993</v>
      </c>
      <c r="V1107">
        <v>117</v>
      </c>
      <c r="W1107">
        <v>1.81</v>
      </c>
    </row>
    <row r="1108" spans="1:23" x14ac:dyDescent="0.3">
      <c r="A1108">
        <v>1107</v>
      </c>
      <c r="B1108" t="s">
        <v>1151</v>
      </c>
      <c r="C1108" t="s">
        <v>24</v>
      </c>
      <c r="D1108">
        <v>110</v>
      </c>
      <c r="E1108">
        <v>3382</v>
      </c>
      <c r="F1108" s="3">
        <v>250</v>
      </c>
      <c r="G1108">
        <v>17</v>
      </c>
      <c r="H1108">
        <v>6</v>
      </c>
      <c r="I1108" s="5">
        <v>5.4545454545454501E-2</v>
      </c>
      <c r="J1108" s="3">
        <v>271</v>
      </c>
      <c r="K1108" s="1">
        <v>45618</v>
      </c>
      <c r="L1108" t="s">
        <v>25</v>
      </c>
      <c r="M1108" t="s">
        <v>31</v>
      </c>
      <c r="N1108" t="s">
        <v>27</v>
      </c>
      <c r="O1108" t="s">
        <v>28</v>
      </c>
      <c r="P1108" t="s">
        <v>45</v>
      </c>
      <c r="Q1108" s="6">
        <v>2.2716363636363601</v>
      </c>
      <c r="R1108">
        <v>3.25</v>
      </c>
      <c r="S1108">
        <v>14.7</v>
      </c>
      <c r="T1108">
        <v>41.65</v>
      </c>
      <c r="U1108">
        <v>8.4499999999999993</v>
      </c>
      <c r="V1108">
        <v>45.17</v>
      </c>
      <c r="W1108">
        <v>1.08</v>
      </c>
    </row>
    <row r="1109" spans="1:23" x14ac:dyDescent="0.3">
      <c r="A1109">
        <v>1108</v>
      </c>
      <c r="B1109" t="s">
        <v>1152</v>
      </c>
      <c r="C1109" t="s">
        <v>24</v>
      </c>
      <c r="D1109">
        <v>179</v>
      </c>
      <c r="E1109">
        <v>5366</v>
      </c>
      <c r="F1109" s="3">
        <v>204</v>
      </c>
      <c r="G1109">
        <v>20</v>
      </c>
      <c r="H1109">
        <v>9</v>
      </c>
      <c r="I1109" s="5">
        <v>5.0279329608938501E-2</v>
      </c>
      <c r="J1109" s="3">
        <v>308</v>
      </c>
      <c r="K1109" s="1">
        <v>45618</v>
      </c>
      <c r="L1109" t="s">
        <v>25</v>
      </c>
      <c r="M1109" t="s">
        <v>39</v>
      </c>
      <c r="N1109" t="s">
        <v>36</v>
      </c>
      <c r="O1109" t="s">
        <v>28</v>
      </c>
      <c r="P1109" t="s">
        <v>45</v>
      </c>
      <c r="Q1109" s="6">
        <v>1.14245810055865</v>
      </c>
      <c r="R1109">
        <v>3.34</v>
      </c>
      <c r="S1109">
        <v>10.220000000000001</v>
      </c>
      <c r="T1109">
        <v>22.72</v>
      </c>
      <c r="U1109">
        <v>50.61</v>
      </c>
      <c r="V1109">
        <v>34.22</v>
      </c>
      <c r="W1109">
        <v>1.51</v>
      </c>
    </row>
    <row r="1110" spans="1:23" x14ac:dyDescent="0.3">
      <c r="A1110">
        <v>1109</v>
      </c>
      <c r="B1110" t="s">
        <v>1153</v>
      </c>
      <c r="C1110" t="s">
        <v>38</v>
      </c>
      <c r="D1110">
        <v>193</v>
      </c>
      <c r="E1110">
        <v>4611</v>
      </c>
      <c r="F1110" s="3">
        <v>197</v>
      </c>
      <c r="G1110">
        <v>27</v>
      </c>
      <c r="H1110">
        <v>10</v>
      </c>
      <c r="I1110" s="5">
        <v>5.1813471502590601E-2</v>
      </c>
      <c r="J1110" s="3">
        <v>347</v>
      </c>
      <c r="K1110" s="1">
        <v>45625</v>
      </c>
      <c r="L1110" t="s">
        <v>25</v>
      </c>
      <c r="M1110" t="s">
        <v>31</v>
      </c>
      <c r="N1110" t="s">
        <v>32</v>
      </c>
      <c r="O1110" t="s">
        <v>28</v>
      </c>
      <c r="P1110" t="s">
        <v>45</v>
      </c>
      <c r="Q1110" s="6">
        <v>1.0221761658030999</v>
      </c>
      <c r="R1110">
        <v>4.1900000000000004</v>
      </c>
      <c r="S1110">
        <v>7.31</v>
      </c>
      <c r="T1110">
        <v>19.73</v>
      </c>
      <c r="U1110">
        <v>75.89</v>
      </c>
      <c r="V1110">
        <v>34.700000000000003</v>
      </c>
      <c r="W1110">
        <v>1.76</v>
      </c>
    </row>
    <row r="1111" spans="1:23" x14ac:dyDescent="0.3">
      <c r="A1111">
        <v>1110</v>
      </c>
      <c r="B1111" t="s">
        <v>1154</v>
      </c>
      <c r="C1111" t="s">
        <v>38</v>
      </c>
      <c r="D1111">
        <v>188</v>
      </c>
      <c r="E1111">
        <v>4447</v>
      </c>
      <c r="F1111" s="3">
        <v>234</v>
      </c>
      <c r="G1111">
        <v>14</v>
      </c>
      <c r="H1111">
        <v>8</v>
      </c>
      <c r="I1111" s="5">
        <v>4.2553191489361701E-2</v>
      </c>
      <c r="J1111" s="3">
        <v>296</v>
      </c>
      <c r="K1111" s="1">
        <v>45613</v>
      </c>
      <c r="L1111" t="s">
        <v>25</v>
      </c>
      <c r="M1111" t="s">
        <v>31</v>
      </c>
      <c r="N1111" t="s">
        <v>49</v>
      </c>
      <c r="O1111" t="s">
        <v>28</v>
      </c>
      <c r="P1111" t="s">
        <v>50</v>
      </c>
      <c r="Q1111" s="6">
        <v>1.2456382978723399</v>
      </c>
      <c r="R1111">
        <v>4.2300000000000004</v>
      </c>
      <c r="S1111">
        <v>16.73</v>
      </c>
      <c r="T1111">
        <v>29.27</v>
      </c>
      <c r="U1111">
        <v>26.4</v>
      </c>
      <c r="V1111">
        <v>37</v>
      </c>
      <c r="W1111">
        <v>1.26</v>
      </c>
    </row>
    <row r="1112" spans="1:23" x14ac:dyDescent="0.3">
      <c r="A1112">
        <v>1111</v>
      </c>
      <c r="B1112" t="s">
        <v>1155</v>
      </c>
      <c r="C1112" t="s">
        <v>43</v>
      </c>
      <c r="D1112">
        <v>124</v>
      </c>
      <c r="E1112">
        <v>4075</v>
      </c>
      <c r="F1112" s="3">
        <v>211</v>
      </c>
      <c r="G1112">
        <v>11</v>
      </c>
      <c r="H1112">
        <v>7</v>
      </c>
      <c r="I1112" s="5">
        <v>5.6451612903225798E-2</v>
      </c>
      <c r="J1112" s="3">
        <v>360</v>
      </c>
      <c r="K1112" s="1">
        <v>45604</v>
      </c>
      <c r="L1112" t="s">
        <v>25</v>
      </c>
      <c r="M1112" t="s">
        <v>39</v>
      </c>
      <c r="N1112" t="s">
        <v>36</v>
      </c>
      <c r="O1112" t="s">
        <v>28</v>
      </c>
      <c r="P1112" t="s">
        <v>45</v>
      </c>
      <c r="Q1112" s="6">
        <v>1.7049193548387001</v>
      </c>
      <c r="R1112">
        <v>3.04</v>
      </c>
      <c r="S1112">
        <v>19.22</v>
      </c>
      <c r="T1112">
        <v>30.2</v>
      </c>
      <c r="U1112">
        <v>70.290000000000006</v>
      </c>
      <c r="V1112">
        <v>51.43</v>
      </c>
      <c r="W1112">
        <v>1.7</v>
      </c>
    </row>
    <row r="1113" spans="1:23" x14ac:dyDescent="0.3">
      <c r="A1113">
        <v>1112</v>
      </c>
      <c r="B1113" t="s">
        <v>1156</v>
      </c>
      <c r="C1113" t="s">
        <v>38</v>
      </c>
      <c r="D1113">
        <v>177</v>
      </c>
      <c r="E1113">
        <v>4230</v>
      </c>
      <c r="F1113" s="3">
        <v>213</v>
      </c>
      <c r="G1113">
        <v>15</v>
      </c>
      <c r="H1113">
        <v>4</v>
      </c>
      <c r="I1113" s="5">
        <v>2.2598870056497099E-2</v>
      </c>
      <c r="J1113" s="3">
        <v>283</v>
      </c>
      <c r="K1113" s="1">
        <v>45602</v>
      </c>
      <c r="L1113" t="s">
        <v>25</v>
      </c>
      <c r="M1113" t="s">
        <v>26</v>
      </c>
      <c r="N1113" t="s">
        <v>49</v>
      </c>
      <c r="O1113" t="s">
        <v>28</v>
      </c>
      <c r="P1113" t="s">
        <v>33</v>
      </c>
      <c r="Q1113" s="6">
        <v>1.2059887005649701</v>
      </c>
      <c r="R1113">
        <v>4.18</v>
      </c>
      <c r="S1113">
        <v>14.23</v>
      </c>
      <c r="T1113">
        <v>53.36</v>
      </c>
      <c r="U1113">
        <v>32.58</v>
      </c>
      <c r="V1113">
        <v>70.75</v>
      </c>
      <c r="W1113">
        <v>1.33</v>
      </c>
    </row>
    <row r="1114" spans="1:23" x14ac:dyDescent="0.3">
      <c r="A1114">
        <v>1113</v>
      </c>
      <c r="B1114" t="s">
        <v>1157</v>
      </c>
      <c r="C1114" t="s">
        <v>35</v>
      </c>
      <c r="D1114">
        <v>152</v>
      </c>
      <c r="E1114">
        <v>3729</v>
      </c>
      <c r="F1114" s="3">
        <v>214</v>
      </c>
      <c r="G1114">
        <v>22</v>
      </c>
      <c r="H1114">
        <v>7</v>
      </c>
      <c r="I1114" s="5">
        <v>4.6052631578947303E-2</v>
      </c>
      <c r="J1114" s="3">
        <v>408</v>
      </c>
      <c r="K1114" s="1">
        <v>45616</v>
      </c>
      <c r="L1114" t="s">
        <v>25</v>
      </c>
      <c r="M1114" t="s">
        <v>39</v>
      </c>
      <c r="N1114" t="s">
        <v>49</v>
      </c>
      <c r="O1114" t="s">
        <v>28</v>
      </c>
      <c r="P1114" t="s">
        <v>33</v>
      </c>
      <c r="Q1114" s="6">
        <v>1.40940789473684</v>
      </c>
      <c r="R1114">
        <v>4.08</v>
      </c>
      <c r="S1114">
        <v>9.74</v>
      </c>
      <c r="T1114">
        <v>30.6</v>
      </c>
      <c r="U1114">
        <v>90.45</v>
      </c>
      <c r="V1114">
        <v>58.29</v>
      </c>
      <c r="W1114">
        <v>1.9</v>
      </c>
    </row>
    <row r="1115" spans="1:23" x14ac:dyDescent="0.3">
      <c r="A1115">
        <v>1114</v>
      </c>
      <c r="B1115" t="s">
        <v>1158</v>
      </c>
      <c r="C1115" t="s">
        <v>35</v>
      </c>
      <c r="D1115">
        <v>168</v>
      </c>
      <c r="E1115">
        <v>4710</v>
      </c>
      <c r="F1115" s="3">
        <v>214</v>
      </c>
      <c r="G1115">
        <v>15</v>
      </c>
      <c r="H1115">
        <v>9</v>
      </c>
      <c r="I1115" s="5">
        <v>5.3571428571428499E-2</v>
      </c>
      <c r="J1115" s="3">
        <v>299</v>
      </c>
      <c r="K1115" s="1">
        <v>45620</v>
      </c>
      <c r="L1115" t="s">
        <v>25</v>
      </c>
      <c r="M1115" t="s">
        <v>31</v>
      </c>
      <c r="N1115" t="s">
        <v>40</v>
      </c>
      <c r="O1115" t="s">
        <v>28</v>
      </c>
      <c r="P1115" t="s">
        <v>50</v>
      </c>
      <c r="Q1115" s="6">
        <v>1.27672619047619</v>
      </c>
      <c r="R1115">
        <v>3.57</v>
      </c>
      <c r="S1115">
        <v>14.3</v>
      </c>
      <c r="T1115">
        <v>23.83</v>
      </c>
      <c r="U1115">
        <v>39.4</v>
      </c>
      <c r="V1115">
        <v>33.22</v>
      </c>
      <c r="W1115">
        <v>1.39</v>
      </c>
    </row>
    <row r="1116" spans="1:23" x14ac:dyDescent="0.3">
      <c r="A1116">
        <v>1115</v>
      </c>
      <c r="B1116" t="s">
        <v>1159</v>
      </c>
      <c r="C1116" t="s">
        <v>43</v>
      </c>
      <c r="D1116">
        <v>171</v>
      </c>
      <c r="E1116">
        <v>5332</v>
      </c>
      <c r="F1116" s="3">
        <v>230</v>
      </c>
      <c r="G1116">
        <v>11</v>
      </c>
      <c r="H1116">
        <v>3</v>
      </c>
      <c r="I1116" s="5">
        <v>1.7543859649122799E-2</v>
      </c>
      <c r="J1116" s="3">
        <v>344</v>
      </c>
      <c r="K1116" s="1">
        <v>45599</v>
      </c>
      <c r="L1116" t="s">
        <v>25</v>
      </c>
      <c r="M1116" t="s">
        <v>31</v>
      </c>
      <c r="N1116" t="s">
        <v>32</v>
      </c>
      <c r="O1116" t="s">
        <v>28</v>
      </c>
      <c r="P1116" t="s">
        <v>50</v>
      </c>
      <c r="Q1116" s="6">
        <v>1.343216374269</v>
      </c>
      <c r="R1116">
        <v>3.21</v>
      </c>
      <c r="S1116">
        <v>20.88</v>
      </c>
      <c r="T1116">
        <v>76.56</v>
      </c>
      <c r="U1116">
        <v>49.77</v>
      </c>
      <c r="V1116">
        <v>114.67</v>
      </c>
      <c r="W1116">
        <v>1.5</v>
      </c>
    </row>
    <row r="1117" spans="1:23" x14ac:dyDescent="0.3">
      <c r="A1117">
        <v>1116</v>
      </c>
      <c r="B1117" t="s">
        <v>1160</v>
      </c>
      <c r="C1117" t="s">
        <v>24</v>
      </c>
      <c r="D1117">
        <v>150</v>
      </c>
      <c r="E1117">
        <v>3833</v>
      </c>
      <c r="F1117" s="3">
        <v>203</v>
      </c>
      <c r="G1117">
        <v>29</v>
      </c>
      <c r="H1117">
        <v>10</v>
      </c>
      <c r="I1117" s="5">
        <v>6.6666666666666596E-2</v>
      </c>
      <c r="J1117" s="3">
        <v>308</v>
      </c>
      <c r="K1117" s="1">
        <v>45606</v>
      </c>
      <c r="L1117" t="s">
        <v>25</v>
      </c>
      <c r="M1117" t="s">
        <v>39</v>
      </c>
      <c r="N1117" t="s">
        <v>27</v>
      </c>
      <c r="O1117" t="s">
        <v>28</v>
      </c>
      <c r="P1117" t="s">
        <v>50</v>
      </c>
      <c r="Q1117" s="6">
        <v>1.3503333333333301</v>
      </c>
      <c r="R1117">
        <v>3.91</v>
      </c>
      <c r="S1117">
        <v>6.98</v>
      </c>
      <c r="T1117">
        <v>20.260000000000002</v>
      </c>
      <c r="U1117">
        <v>52.06</v>
      </c>
      <c r="V1117">
        <v>30.8</v>
      </c>
      <c r="W1117">
        <v>1.52</v>
      </c>
    </row>
    <row r="1118" spans="1:23" x14ac:dyDescent="0.3">
      <c r="A1118">
        <v>1117</v>
      </c>
      <c r="B1118" t="s">
        <v>1161</v>
      </c>
      <c r="C1118" t="s">
        <v>43</v>
      </c>
      <c r="D1118">
        <v>147</v>
      </c>
      <c r="E1118">
        <v>4833</v>
      </c>
      <c r="F1118" s="3">
        <v>194</v>
      </c>
      <c r="G1118">
        <v>23</v>
      </c>
      <c r="H1118">
        <v>9</v>
      </c>
      <c r="I1118" s="5">
        <v>6.1224489795918297E-2</v>
      </c>
      <c r="J1118" s="3">
        <v>406</v>
      </c>
      <c r="K1118" s="1">
        <v>45612</v>
      </c>
      <c r="L1118" t="s">
        <v>25</v>
      </c>
      <c r="M1118" t="s">
        <v>31</v>
      </c>
      <c r="N1118" t="s">
        <v>44</v>
      </c>
      <c r="O1118" t="s">
        <v>28</v>
      </c>
      <c r="P1118" t="s">
        <v>29</v>
      </c>
      <c r="Q1118" s="6">
        <v>1.31945578231292</v>
      </c>
      <c r="R1118">
        <v>3.04</v>
      </c>
      <c r="S1118">
        <v>8.43</v>
      </c>
      <c r="T1118">
        <v>21.55</v>
      </c>
      <c r="U1118">
        <v>109.32</v>
      </c>
      <c r="V1118">
        <v>45.11</v>
      </c>
      <c r="W1118">
        <v>2.09</v>
      </c>
    </row>
    <row r="1119" spans="1:23" x14ac:dyDescent="0.3">
      <c r="A1119">
        <v>1118</v>
      </c>
      <c r="B1119" t="s">
        <v>1162</v>
      </c>
      <c r="C1119" t="s">
        <v>38</v>
      </c>
      <c r="D1119">
        <v>174</v>
      </c>
      <c r="E1119">
        <v>4720</v>
      </c>
      <c r="F1119" s="3">
        <v>269</v>
      </c>
      <c r="G1119">
        <v>25</v>
      </c>
      <c r="H1119">
        <v>10</v>
      </c>
      <c r="I1119" s="5">
        <v>5.7471264367816001E-2</v>
      </c>
      <c r="J1119" s="3">
        <v>247</v>
      </c>
      <c r="K1119" s="1">
        <v>45617</v>
      </c>
      <c r="L1119" t="s">
        <v>25</v>
      </c>
      <c r="M1119" t="s">
        <v>39</v>
      </c>
      <c r="N1119" t="s">
        <v>49</v>
      </c>
      <c r="O1119" t="s">
        <v>28</v>
      </c>
      <c r="P1119" t="s">
        <v>54</v>
      </c>
      <c r="Q1119" s="6">
        <v>1.5454545454545401</v>
      </c>
      <c r="R1119">
        <v>3.69</v>
      </c>
      <c r="S1119">
        <v>10.76</v>
      </c>
      <c r="T1119">
        <v>26.89</v>
      </c>
      <c r="U1119">
        <v>-8.15</v>
      </c>
      <c r="V1119">
        <v>24.7</v>
      </c>
      <c r="W1119">
        <v>0.92</v>
      </c>
    </row>
    <row r="1120" spans="1:23" x14ac:dyDescent="0.3">
      <c r="A1120">
        <v>1119</v>
      </c>
      <c r="B1120" t="s">
        <v>1163</v>
      </c>
      <c r="C1120" t="s">
        <v>35</v>
      </c>
      <c r="D1120">
        <v>127</v>
      </c>
      <c r="E1120">
        <v>3131</v>
      </c>
      <c r="F1120" s="3">
        <v>228</v>
      </c>
      <c r="G1120">
        <v>24</v>
      </c>
      <c r="H1120">
        <v>6</v>
      </c>
      <c r="I1120" s="5">
        <v>4.7244094488188899E-2</v>
      </c>
      <c r="J1120" s="3">
        <v>321</v>
      </c>
      <c r="K1120" s="1">
        <v>45610</v>
      </c>
      <c r="L1120" t="s">
        <v>25</v>
      </c>
      <c r="M1120" t="s">
        <v>26</v>
      </c>
      <c r="N1120" t="s">
        <v>40</v>
      </c>
      <c r="O1120" t="s">
        <v>28</v>
      </c>
      <c r="P1120" t="s">
        <v>54</v>
      </c>
      <c r="Q1120" s="6">
        <v>1.79472440944881</v>
      </c>
      <c r="R1120">
        <v>4.0599999999999996</v>
      </c>
      <c r="S1120">
        <v>9.5</v>
      </c>
      <c r="T1120">
        <v>37.99</v>
      </c>
      <c r="U1120">
        <v>40.83</v>
      </c>
      <c r="V1120">
        <v>53.5</v>
      </c>
      <c r="W1120">
        <v>1.41</v>
      </c>
    </row>
    <row r="1121" spans="1:23" x14ac:dyDescent="0.3">
      <c r="A1121">
        <v>1120</v>
      </c>
      <c r="B1121" t="s">
        <v>1164</v>
      </c>
      <c r="C1121" t="s">
        <v>24</v>
      </c>
      <c r="D1121">
        <v>148</v>
      </c>
      <c r="E1121">
        <v>5147</v>
      </c>
      <c r="F1121" s="3">
        <v>244</v>
      </c>
      <c r="G1121">
        <v>18</v>
      </c>
      <c r="H1121">
        <v>4</v>
      </c>
      <c r="I1121" s="5">
        <v>2.7027027027027001E-2</v>
      </c>
      <c r="J1121" s="3">
        <v>275</v>
      </c>
      <c r="K1121" s="1">
        <v>45626</v>
      </c>
      <c r="L1121" t="s">
        <v>25</v>
      </c>
      <c r="M1121" t="s">
        <v>26</v>
      </c>
      <c r="N1121" t="s">
        <v>36</v>
      </c>
      <c r="O1121" t="s">
        <v>28</v>
      </c>
      <c r="P1121" t="s">
        <v>29</v>
      </c>
      <c r="Q1121" s="6">
        <v>1.65148648648648</v>
      </c>
      <c r="R1121">
        <v>2.88</v>
      </c>
      <c r="S1121">
        <v>13.58</v>
      </c>
      <c r="T1121">
        <v>61.1</v>
      </c>
      <c r="U1121">
        <v>12.51</v>
      </c>
      <c r="V1121">
        <v>68.75</v>
      </c>
      <c r="W1121">
        <v>1.1299999999999999</v>
      </c>
    </row>
    <row r="1122" spans="1:23" x14ac:dyDescent="0.3">
      <c r="A1122">
        <v>1121</v>
      </c>
      <c r="B1122" t="s">
        <v>1165</v>
      </c>
      <c r="C1122" t="s">
        <v>24</v>
      </c>
      <c r="D1122">
        <v>112</v>
      </c>
      <c r="E1122">
        <v>5288</v>
      </c>
      <c r="F1122" s="3">
        <v>246</v>
      </c>
      <c r="G1122">
        <v>26</v>
      </c>
      <c r="H1122">
        <v>10</v>
      </c>
      <c r="I1122" s="5">
        <v>8.9285714285714204E-2</v>
      </c>
      <c r="J1122" s="3">
        <v>467.142857142857</v>
      </c>
      <c r="K1122" s="1">
        <v>45606</v>
      </c>
      <c r="L1122" t="s">
        <v>25</v>
      </c>
      <c r="M1122" t="s">
        <v>31</v>
      </c>
      <c r="N1122" t="s">
        <v>40</v>
      </c>
      <c r="O1122" t="s">
        <v>28</v>
      </c>
      <c r="P1122" t="s">
        <v>50</v>
      </c>
      <c r="Q1122" s="6">
        <v>2.1988392857142798</v>
      </c>
      <c r="R1122">
        <v>2.12</v>
      </c>
      <c r="S1122">
        <v>9.4700000000000006</v>
      </c>
      <c r="T1122">
        <v>24.63</v>
      </c>
      <c r="U1122">
        <v>89.69</v>
      </c>
      <c r="V1122">
        <v>46.71</v>
      </c>
      <c r="W1122">
        <v>1.9</v>
      </c>
    </row>
    <row r="1123" spans="1:23" x14ac:dyDescent="0.3">
      <c r="A1123">
        <v>1122</v>
      </c>
      <c r="B1123" t="s">
        <v>1166</v>
      </c>
      <c r="C1123" t="s">
        <v>35</v>
      </c>
      <c r="D1123">
        <v>184</v>
      </c>
      <c r="E1123">
        <v>3908</v>
      </c>
      <c r="F1123" s="3">
        <v>241</v>
      </c>
      <c r="G1123">
        <v>15</v>
      </c>
      <c r="H1123">
        <v>7</v>
      </c>
      <c r="I1123" s="5">
        <v>3.8043478260869498E-2</v>
      </c>
      <c r="J1123" s="3">
        <v>272</v>
      </c>
      <c r="K1123" s="1">
        <v>45619</v>
      </c>
      <c r="L1123" t="s">
        <v>25</v>
      </c>
      <c r="M1123" t="s">
        <v>39</v>
      </c>
      <c r="N1123" t="s">
        <v>49</v>
      </c>
      <c r="O1123" t="s">
        <v>28</v>
      </c>
      <c r="P1123" t="s">
        <v>29</v>
      </c>
      <c r="Q1123" s="6">
        <v>1.3080434782608601</v>
      </c>
      <c r="R1123">
        <v>4.71</v>
      </c>
      <c r="S1123">
        <v>16.05</v>
      </c>
      <c r="T1123">
        <v>34.380000000000003</v>
      </c>
      <c r="U1123">
        <v>13.01</v>
      </c>
      <c r="V1123">
        <v>38.86</v>
      </c>
      <c r="W1123">
        <v>1.1299999999999999</v>
      </c>
    </row>
    <row r="1124" spans="1:23" x14ac:dyDescent="0.3">
      <c r="A1124">
        <v>1123</v>
      </c>
      <c r="B1124" t="s">
        <v>1167</v>
      </c>
      <c r="C1124" t="s">
        <v>35</v>
      </c>
      <c r="D1124">
        <v>116</v>
      </c>
      <c r="E1124">
        <v>3380</v>
      </c>
      <c r="F1124" s="3">
        <v>197</v>
      </c>
      <c r="G1124">
        <v>23</v>
      </c>
      <c r="H1124">
        <v>9</v>
      </c>
      <c r="I1124" s="5">
        <v>7.7586206896551699E-2</v>
      </c>
      <c r="J1124" s="3">
        <v>293</v>
      </c>
      <c r="K1124" s="1">
        <v>45602</v>
      </c>
      <c r="L1124" t="s">
        <v>25</v>
      </c>
      <c r="M1124" t="s">
        <v>31</v>
      </c>
      <c r="N1124" t="s">
        <v>49</v>
      </c>
      <c r="O1124" t="s">
        <v>28</v>
      </c>
      <c r="P1124" t="s">
        <v>33</v>
      </c>
      <c r="Q1124" s="6">
        <v>1.6961206896551699</v>
      </c>
      <c r="R1124">
        <v>3.43</v>
      </c>
      <c r="S1124">
        <v>8.5500000000000007</v>
      </c>
      <c r="T1124">
        <v>21.86</v>
      </c>
      <c r="U1124">
        <v>48.92</v>
      </c>
      <c r="V1124">
        <v>32.56</v>
      </c>
      <c r="W1124">
        <v>1.49</v>
      </c>
    </row>
    <row r="1125" spans="1:23" x14ac:dyDescent="0.3">
      <c r="A1125">
        <v>1124</v>
      </c>
      <c r="B1125" t="s">
        <v>1168</v>
      </c>
      <c r="C1125" t="s">
        <v>38</v>
      </c>
      <c r="D1125">
        <v>152</v>
      </c>
      <c r="E1125">
        <v>3948</v>
      </c>
      <c r="F1125" s="3">
        <v>190</v>
      </c>
      <c r="G1125">
        <v>17</v>
      </c>
      <c r="H1125">
        <v>5</v>
      </c>
      <c r="I1125" s="5">
        <v>3.2894736842105199E-2</v>
      </c>
      <c r="J1125" s="3">
        <v>378</v>
      </c>
      <c r="K1125" s="1">
        <v>45622</v>
      </c>
      <c r="L1125" t="s">
        <v>25</v>
      </c>
      <c r="M1125" t="s">
        <v>31</v>
      </c>
      <c r="N1125" t="s">
        <v>49</v>
      </c>
      <c r="O1125" t="s">
        <v>28</v>
      </c>
      <c r="P1125" t="s">
        <v>41</v>
      </c>
      <c r="Q1125" s="6">
        <v>1.2482236842105201</v>
      </c>
      <c r="R1125">
        <v>3.85</v>
      </c>
      <c r="S1125">
        <v>11.16</v>
      </c>
      <c r="T1125">
        <v>37.950000000000003</v>
      </c>
      <c r="U1125">
        <v>99.23</v>
      </c>
      <c r="V1125">
        <v>75.599999999999994</v>
      </c>
      <c r="W1125">
        <v>1.99</v>
      </c>
    </row>
    <row r="1126" spans="1:23" x14ac:dyDescent="0.3">
      <c r="A1126">
        <v>1125</v>
      </c>
      <c r="B1126" t="s">
        <v>1169</v>
      </c>
      <c r="C1126" t="s">
        <v>38</v>
      </c>
      <c r="D1126">
        <v>197</v>
      </c>
      <c r="E1126">
        <v>3741</v>
      </c>
      <c r="F1126" s="3">
        <v>210</v>
      </c>
      <c r="G1126">
        <v>24</v>
      </c>
      <c r="H1126">
        <v>9</v>
      </c>
      <c r="I1126" s="5">
        <v>4.5685279187817202E-2</v>
      </c>
      <c r="J1126" s="3">
        <v>384</v>
      </c>
      <c r="K1126" s="1">
        <v>45622</v>
      </c>
      <c r="L1126" t="s">
        <v>25</v>
      </c>
      <c r="M1126" t="s">
        <v>26</v>
      </c>
      <c r="N1126" t="s">
        <v>32</v>
      </c>
      <c r="O1126" t="s">
        <v>28</v>
      </c>
      <c r="P1126" t="s">
        <v>41</v>
      </c>
      <c r="Q1126" s="6">
        <v>1.0676649746192799</v>
      </c>
      <c r="R1126">
        <v>5.27</v>
      </c>
      <c r="S1126">
        <v>8.76</v>
      </c>
      <c r="T1126">
        <v>23.37</v>
      </c>
      <c r="U1126">
        <v>82.57</v>
      </c>
      <c r="V1126">
        <v>42.67</v>
      </c>
      <c r="W1126">
        <v>1.83</v>
      </c>
    </row>
    <row r="1127" spans="1:23" x14ac:dyDescent="0.3">
      <c r="A1127">
        <v>1126</v>
      </c>
      <c r="B1127" t="s">
        <v>1170</v>
      </c>
      <c r="C1127" t="s">
        <v>35</v>
      </c>
      <c r="D1127">
        <v>115</v>
      </c>
      <c r="E1127">
        <v>5836</v>
      </c>
      <c r="F1127" s="3">
        <v>234</v>
      </c>
      <c r="G1127">
        <v>21</v>
      </c>
      <c r="H1127">
        <v>6</v>
      </c>
      <c r="I1127" s="5">
        <v>5.2173913043478203E-2</v>
      </c>
      <c r="J1127" s="3">
        <v>266</v>
      </c>
      <c r="K1127" s="1">
        <v>45604</v>
      </c>
      <c r="L1127" t="s">
        <v>25</v>
      </c>
      <c r="M1127" t="s">
        <v>31</v>
      </c>
      <c r="N1127" t="s">
        <v>27</v>
      </c>
      <c r="O1127" t="s">
        <v>28</v>
      </c>
      <c r="P1127" t="s">
        <v>45</v>
      </c>
      <c r="Q1127" s="6">
        <v>2.0306086956521701</v>
      </c>
      <c r="R1127">
        <v>1.97</v>
      </c>
      <c r="S1127">
        <v>11.12</v>
      </c>
      <c r="T1127">
        <v>38.92</v>
      </c>
      <c r="U1127">
        <v>13.91</v>
      </c>
      <c r="V1127">
        <v>44.33</v>
      </c>
      <c r="W1127">
        <v>1.1399999999999999</v>
      </c>
    </row>
    <row r="1128" spans="1:23" x14ac:dyDescent="0.3">
      <c r="A1128">
        <v>1127</v>
      </c>
      <c r="B1128" t="s">
        <v>1171</v>
      </c>
      <c r="C1128" t="s">
        <v>35</v>
      </c>
      <c r="D1128">
        <v>192</v>
      </c>
      <c r="E1128">
        <v>3381</v>
      </c>
      <c r="F1128" s="3">
        <v>219</v>
      </c>
      <c r="G1128">
        <v>28</v>
      </c>
      <c r="H1128">
        <v>7</v>
      </c>
      <c r="I1128" s="5">
        <v>3.6458333333333301E-2</v>
      </c>
      <c r="J1128" s="3">
        <v>281</v>
      </c>
      <c r="K1128" s="1">
        <v>45611</v>
      </c>
      <c r="L1128" t="s">
        <v>25</v>
      </c>
      <c r="M1128" t="s">
        <v>31</v>
      </c>
      <c r="N1128" t="s">
        <v>44</v>
      </c>
      <c r="O1128" t="s">
        <v>28</v>
      </c>
      <c r="P1128" t="s">
        <v>45</v>
      </c>
      <c r="Q1128" s="6">
        <v>1.1419791666666601</v>
      </c>
      <c r="R1128">
        <v>5.68</v>
      </c>
      <c r="S1128">
        <v>7.83</v>
      </c>
      <c r="T1128">
        <v>31.32</v>
      </c>
      <c r="U1128">
        <v>28.16</v>
      </c>
      <c r="V1128">
        <v>40.14</v>
      </c>
      <c r="W1128">
        <v>1.28</v>
      </c>
    </row>
    <row r="1129" spans="1:23" x14ac:dyDescent="0.3">
      <c r="A1129">
        <v>1128</v>
      </c>
      <c r="B1129" t="s">
        <v>1172</v>
      </c>
      <c r="C1129" t="s">
        <v>35</v>
      </c>
      <c r="D1129">
        <v>88</v>
      </c>
      <c r="E1129">
        <v>5781</v>
      </c>
      <c r="F1129" s="3">
        <v>247</v>
      </c>
      <c r="G1129">
        <v>21</v>
      </c>
      <c r="H1129">
        <v>6</v>
      </c>
      <c r="I1129" s="5">
        <v>6.8181818181818094E-2</v>
      </c>
      <c r="J1129" s="3">
        <v>208</v>
      </c>
      <c r="K1129" s="1">
        <v>45621</v>
      </c>
      <c r="L1129" t="s">
        <v>25</v>
      </c>
      <c r="M1129" t="s">
        <v>39</v>
      </c>
      <c r="N1129" t="s">
        <v>36</v>
      </c>
      <c r="O1129" t="s">
        <v>28</v>
      </c>
      <c r="P1129" t="s">
        <v>59</v>
      </c>
      <c r="Q1129" s="6">
        <v>2.8047727272727201</v>
      </c>
      <c r="R1129">
        <v>1.52</v>
      </c>
      <c r="S1129">
        <v>11.75</v>
      </c>
      <c r="T1129">
        <v>41.14</v>
      </c>
      <c r="U1129">
        <v>-15.73</v>
      </c>
      <c r="V1129">
        <v>34.67</v>
      </c>
      <c r="W1129">
        <v>0.84</v>
      </c>
    </row>
    <row r="1130" spans="1:23" x14ac:dyDescent="0.3">
      <c r="A1130">
        <v>1129</v>
      </c>
      <c r="B1130" t="s">
        <v>1173</v>
      </c>
      <c r="C1130" t="s">
        <v>35</v>
      </c>
      <c r="D1130">
        <v>134</v>
      </c>
      <c r="E1130">
        <v>4707</v>
      </c>
      <c r="F1130" s="3">
        <v>240</v>
      </c>
      <c r="G1130">
        <v>29</v>
      </c>
      <c r="H1130">
        <v>8</v>
      </c>
      <c r="I1130" s="5">
        <v>5.9701492537313397E-2</v>
      </c>
      <c r="J1130" s="3">
        <v>282</v>
      </c>
      <c r="K1130" s="1">
        <v>45620</v>
      </c>
      <c r="L1130" t="s">
        <v>25</v>
      </c>
      <c r="M1130" t="s">
        <v>31</v>
      </c>
      <c r="N1130" t="s">
        <v>27</v>
      </c>
      <c r="O1130" t="s">
        <v>28</v>
      </c>
      <c r="P1130" t="s">
        <v>50</v>
      </c>
      <c r="Q1130" s="6">
        <v>1.79029850746268</v>
      </c>
      <c r="R1130">
        <v>2.85</v>
      </c>
      <c r="S1130">
        <v>8.27</v>
      </c>
      <c r="T1130">
        <v>29.99</v>
      </c>
      <c r="U1130">
        <v>17.55</v>
      </c>
      <c r="V1130">
        <v>35.25</v>
      </c>
      <c r="W1130">
        <v>1.18</v>
      </c>
    </row>
    <row r="1131" spans="1:23" x14ac:dyDescent="0.3">
      <c r="A1131">
        <v>1130</v>
      </c>
      <c r="B1131" t="s">
        <v>1174</v>
      </c>
      <c r="C1131" t="s">
        <v>24</v>
      </c>
      <c r="D1131">
        <v>160</v>
      </c>
      <c r="E1131">
        <v>5611</v>
      </c>
      <c r="F1131" s="3">
        <v>217</v>
      </c>
      <c r="G1131">
        <v>21</v>
      </c>
      <c r="H1131">
        <v>10</v>
      </c>
      <c r="I1131" s="5">
        <v>6.25E-2</v>
      </c>
      <c r="J1131" s="3">
        <v>350</v>
      </c>
      <c r="K1131" s="1">
        <v>45626</v>
      </c>
      <c r="L1131" t="s">
        <v>25</v>
      </c>
      <c r="M1131" t="s">
        <v>39</v>
      </c>
      <c r="N1131" t="s">
        <v>27</v>
      </c>
      <c r="O1131" t="s">
        <v>28</v>
      </c>
      <c r="P1131" t="s">
        <v>29</v>
      </c>
      <c r="Q1131" s="6">
        <v>1.3540624999999999</v>
      </c>
      <c r="R1131">
        <v>2.85</v>
      </c>
      <c r="S1131">
        <v>10.32</v>
      </c>
      <c r="T1131">
        <v>21.66</v>
      </c>
      <c r="U1131">
        <v>61.55</v>
      </c>
      <c r="V1131">
        <v>35</v>
      </c>
      <c r="W1131">
        <v>1.62</v>
      </c>
    </row>
    <row r="1132" spans="1:23" x14ac:dyDescent="0.3">
      <c r="A1132">
        <v>1131</v>
      </c>
      <c r="B1132" t="s">
        <v>1175</v>
      </c>
      <c r="C1132" t="s">
        <v>43</v>
      </c>
      <c r="D1132">
        <v>195</v>
      </c>
      <c r="E1132">
        <v>3174</v>
      </c>
      <c r="F1132" s="3">
        <v>218</v>
      </c>
      <c r="G1132">
        <v>12</v>
      </c>
      <c r="H1132">
        <v>7</v>
      </c>
      <c r="I1132" s="5">
        <v>3.5897435897435798E-2</v>
      </c>
      <c r="J1132" s="3">
        <v>301</v>
      </c>
      <c r="K1132" s="1">
        <v>45621</v>
      </c>
      <c r="L1132" t="s">
        <v>25</v>
      </c>
      <c r="M1132" t="s">
        <v>31</v>
      </c>
      <c r="N1132" t="s">
        <v>44</v>
      </c>
      <c r="O1132" t="s">
        <v>28</v>
      </c>
      <c r="P1132" t="s">
        <v>59</v>
      </c>
      <c r="Q1132" s="6">
        <v>1.1182564102564101</v>
      </c>
      <c r="R1132">
        <v>6.14</v>
      </c>
      <c r="S1132">
        <v>18.170000000000002</v>
      </c>
      <c r="T1132">
        <v>31.15</v>
      </c>
      <c r="U1132">
        <v>38.04</v>
      </c>
      <c r="V1132">
        <v>43</v>
      </c>
      <c r="W1132">
        <v>1.38</v>
      </c>
    </row>
    <row r="1133" spans="1:23" x14ac:dyDescent="0.3">
      <c r="A1133">
        <v>1132</v>
      </c>
      <c r="B1133" t="s">
        <v>1176</v>
      </c>
      <c r="C1133" t="s">
        <v>43</v>
      </c>
      <c r="D1133">
        <v>142</v>
      </c>
      <c r="E1133">
        <v>5076</v>
      </c>
      <c r="F1133" s="3">
        <v>190</v>
      </c>
      <c r="G1133">
        <v>22</v>
      </c>
      <c r="H1133">
        <v>7</v>
      </c>
      <c r="I1133" s="5">
        <v>4.92957746478873E-2</v>
      </c>
      <c r="J1133" s="3">
        <v>308</v>
      </c>
      <c r="K1133" s="1">
        <v>45616</v>
      </c>
      <c r="L1133" t="s">
        <v>25</v>
      </c>
      <c r="M1133" t="s">
        <v>31</v>
      </c>
      <c r="N1133" t="s">
        <v>27</v>
      </c>
      <c r="O1133" t="s">
        <v>28</v>
      </c>
      <c r="P1133" t="s">
        <v>33</v>
      </c>
      <c r="Q1133" s="6">
        <v>1.34147887323943</v>
      </c>
      <c r="R1133">
        <v>2.8</v>
      </c>
      <c r="S1133">
        <v>8.66</v>
      </c>
      <c r="T1133">
        <v>27.21</v>
      </c>
      <c r="U1133">
        <v>61.69</v>
      </c>
      <c r="V1133">
        <v>44</v>
      </c>
      <c r="W1133">
        <v>1.62</v>
      </c>
    </row>
    <row r="1134" spans="1:23" x14ac:dyDescent="0.3">
      <c r="A1134">
        <v>1133</v>
      </c>
      <c r="B1134" t="s">
        <v>1177</v>
      </c>
      <c r="C1134" t="s">
        <v>38</v>
      </c>
      <c r="D1134">
        <v>81</v>
      </c>
      <c r="E1134">
        <v>5942</v>
      </c>
      <c r="F1134" s="3">
        <v>236</v>
      </c>
      <c r="G1134">
        <v>15</v>
      </c>
      <c r="H1134">
        <v>4</v>
      </c>
      <c r="I1134" s="5">
        <v>4.9382716049382699E-2</v>
      </c>
      <c r="J1134" s="3">
        <v>263</v>
      </c>
      <c r="K1134" s="1">
        <v>45608</v>
      </c>
      <c r="L1134" t="s">
        <v>25</v>
      </c>
      <c r="M1134" t="s">
        <v>26</v>
      </c>
      <c r="N1134" t="s">
        <v>44</v>
      </c>
      <c r="O1134" t="s">
        <v>28</v>
      </c>
      <c r="P1134" t="s">
        <v>41</v>
      </c>
      <c r="Q1134" s="6">
        <v>2.91444444444444</v>
      </c>
      <c r="R1134">
        <v>1.36</v>
      </c>
      <c r="S1134">
        <v>15.74</v>
      </c>
      <c r="T1134">
        <v>59.02</v>
      </c>
      <c r="U1134">
        <v>11.41</v>
      </c>
      <c r="V1134">
        <v>65.75</v>
      </c>
      <c r="W1134">
        <v>1.1100000000000001</v>
      </c>
    </row>
    <row r="1135" spans="1:23" x14ac:dyDescent="0.3">
      <c r="A1135">
        <v>1134</v>
      </c>
      <c r="B1135" t="s">
        <v>1178</v>
      </c>
      <c r="C1135" t="s">
        <v>43</v>
      </c>
      <c r="D1135">
        <v>128</v>
      </c>
      <c r="E1135">
        <v>4234</v>
      </c>
      <c r="F1135" s="3">
        <v>202</v>
      </c>
      <c r="G1135">
        <v>16</v>
      </c>
      <c r="H1135">
        <v>4</v>
      </c>
      <c r="I1135" s="5">
        <v>3.125E-2</v>
      </c>
      <c r="J1135" s="3">
        <v>298</v>
      </c>
      <c r="K1135" s="1">
        <v>45621</v>
      </c>
      <c r="L1135" t="s">
        <v>25</v>
      </c>
      <c r="M1135" t="s">
        <v>31</v>
      </c>
      <c r="N1135" t="s">
        <v>49</v>
      </c>
      <c r="O1135" t="s">
        <v>28</v>
      </c>
      <c r="P1135" t="s">
        <v>59</v>
      </c>
      <c r="Q1135" s="6">
        <v>1.5775781250000001</v>
      </c>
      <c r="R1135">
        <v>3.02</v>
      </c>
      <c r="S1135">
        <v>12.62</v>
      </c>
      <c r="T1135">
        <v>50.48</v>
      </c>
      <c r="U1135">
        <v>47.58</v>
      </c>
      <c r="V1135">
        <v>74.5</v>
      </c>
      <c r="W1135">
        <v>1.48</v>
      </c>
    </row>
    <row r="1136" spans="1:23" x14ac:dyDescent="0.3">
      <c r="A1136">
        <v>1135</v>
      </c>
      <c r="B1136" t="s">
        <v>1179</v>
      </c>
      <c r="C1136" t="s">
        <v>38</v>
      </c>
      <c r="D1136">
        <v>115</v>
      </c>
      <c r="E1136">
        <v>3963</v>
      </c>
      <c r="F1136" s="3">
        <v>225</v>
      </c>
      <c r="G1136">
        <v>22</v>
      </c>
      <c r="H1136">
        <v>9</v>
      </c>
      <c r="I1136" s="5">
        <v>7.8260869565217397E-2</v>
      </c>
      <c r="J1136" s="3">
        <v>331</v>
      </c>
      <c r="K1136" s="1">
        <v>45597</v>
      </c>
      <c r="L1136" t="s">
        <v>25</v>
      </c>
      <c r="M1136" t="s">
        <v>26</v>
      </c>
      <c r="N1136" t="s">
        <v>36</v>
      </c>
      <c r="O1136" t="s">
        <v>28</v>
      </c>
      <c r="P1136" t="s">
        <v>45</v>
      </c>
      <c r="Q1136" s="6">
        <v>1.9593043478260801</v>
      </c>
      <c r="R1136">
        <v>2.9</v>
      </c>
      <c r="S1136">
        <v>10.24</v>
      </c>
      <c r="T1136">
        <v>25.04</v>
      </c>
      <c r="U1136">
        <v>46.9</v>
      </c>
      <c r="V1136">
        <v>36.78</v>
      </c>
      <c r="W1136">
        <v>1.47</v>
      </c>
    </row>
    <row r="1137" spans="1:23" x14ac:dyDescent="0.3">
      <c r="A1137">
        <v>1136</v>
      </c>
      <c r="B1137" t="s">
        <v>1180</v>
      </c>
      <c r="C1137" t="s">
        <v>43</v>
      </c>
      <c r="D1137">
        <v>172</v>
      </c>
      <c r="E1137">
        <v>4349</v>
      </c>
      <c r="F1137" s="3">
        <v>244</v>
      </c>
      <c r="G1137">
        <v>28</v>
      </c>
      <c r="H1137">
        <v>5</v>
      </c>
      <c r="I1137" s="5">
        <v>2.9069767441860399E-2</v>
      </c>
      <c r="J1137" s="3">
        <v>244</v>
      </c>
      <c r="K1137" s="1">
        <v>45609</v>
      </c>
      <c r="L1137" t="s">
        <v>25</v>
      </c>
      <c r="M1137" t="s">
        <v>39</v>
      </c>
      <c r="N1137" t="s">
        <v>44</v>
      </c>
      <c r="O1137" t="s">
        <v>28</v>
      </c>
      <c r="P1137" t="s">
        <v>33</v>
      </c>
      <c r="Q1137" s="6">
        <v>1.41587209302325</v>
      </c>
      <c r="R1137">
        <v>3.95</v>
      </c>
      <c r="S1137">
        <v>8.6999999999999993</v>
      </c>
      <c r="T1137">
        <v>48.71</v>
      </c>
      <c r="U1137">
        <v>0.19</v>
      </c>
      <c r="V1137">
        <v>48.8</v>
      </c>
      <c r="W1137">
        <v>1</v>
      </c>
    </row>
    <row r="1138" spans="1:23" x14ac:dyDescent="0.3">
      <c r="A1138">
        <v>1137</v>
      </c>
      <c r="B1138" t="s">
        <v>1181</v>
      </c>
      <c r="C1138" t="s">
        <v>35</v>
      </c>
      <c r="D1138">
        <v>91</v>
      </c>
      <c r="E1138">
        <v>5294</v>
      </c>
      <c r="F1138" s="3">
        <v>245</v>
      </c>
      <c r="G1138">
        <v>21</v>
      </c>
      <c r="H1138">
        <v>7</v>
      </c>
      <c r="I1138" s="5">
        <v>7.69230769230769E-2</v>
      </c>
      <c r="J1138" s="3">
        <v>250</v>
      </c>
      <c r="K1138" s="1">
        <v>45622</v>
      </c>
      <c r="L1138" t="s">
        <v>25</v>
      </c>
      <c r="M1138" t="s">
        <v>26</v>
      </c>
      <c r="N1138" t="s">
        <v>44</v>
      </c>
      <c r="O1138" t="s">
        <v>28</v>
      </c>
      <c r="P1138" t="s">
        <v>41</v>
      </c>
      <c r="Q1138" s="6">
        <v>2.6946153846153802</v>
      </c>
      <c r="R1138">
        <v>1.72</v>
      </c>
      <c r="S1138">
        <v>11.68</v>
      </c>
      <c r="T1138">
        <v>35.03</v>
      </c>
      <c r="U1138">
        <v>1.95</v>
      </c>
      <c r="V1138">
        <v>35.71</v>
      </c>
      <c r="W1138">
        <v>1.02</v>
      </c>
    </row>
    <row r="1139" spans="1:23" x14ac:dyDescent="0.3">
      <c r="A1139">
        <v>1138</v>
      </c>
      <c r="B1139" t="s">
        <v>1182</v>
      </c>
      <c r="C1139" t="s">
        <v>43</v>
      </c>
      <c r="D1139">
        <v>166</v>
      </c>
      <c r="E1139">
        <v>5381</v>
      </c>
      <c r="F1139" s="3">
        <v>247</v>
      </c>
      <c r="G1139">
        <v>21</v>
      </c>
      <c r="H1139">
        <v>7</v>
      </c>
      <c r="I1139" s="5">
        <v>4.2168674698795101E-2</v>
      </c>
      <c r="J1139" s="3">
        <v>322</v>
      </c>
      <c r="K1139" s="1">
        <v>45605</v>
      </c>
      <c r="L1139" t="s">
        <v>25</v>
      </c>
      <c r="M1139" t="s">
        <v>26</v>
      </c>
      <c r="N1139" t="s">
        <v>40</v>
      </c>
      <c r="O1139" t="s">
        <v>28</v>
      </c>
      <c r="P1139" t="s">
        <v>29</v>
      </c>
      <c r="Q1139" s="6">
        <v>1.48506024096385</v>
      </c>
      <c r="R1139">
        <v>3.08</v>
      </c>
      <c r="S1139">
        <v>11.74</v>
      </c>
      <c r="T1139">
        <v>35.22</v>
      </c>
      <c r="U1139">
        <v>30.62</v>
      </c>
      <c r="V1139">
        <v>46</v>
      </c>
      <c r="W1139">
        <v>1.31</v>
      </c>
    </row>
    <row r="1140" spans="1:23" x14ac:dyDescent="0.3">
      <c r="A1140">
        <v>1139</v>
      </c>
      <c r="B1140" t="s">
        <v>1183</v>
      </c>
      <c r="C1140" t="s">
        <v>24</v>
      </c>
      <c r="D1140">
        <v>155</v>
      </c>
      <c r="E1140">
        <v>3052</v>
      </c>
      <c r="F1140" s="3">
        <v>199</v>
      </c>
      <c r="G1140">
        <v>13</v>
      </c>
      <c r="H1140">
        <v>6</v>
      </c>
      <c r="I1140" s="5">
        <v>3.8709677419354799E-2</v>
      </c>
      <c r="J1140" s="3">
        <v>278</v>
      </c>
      <c r="K1140" s="1">
        <v>45597</v>
      </c>
      <c r="L1140" t="s">
        <v>25</v>
      </c>
      <c r="M1140" t="s">
        <v>31</v>
      </c>
      <c r="N1140" t="s">
        <v>40</v>
      </c>
      <c r="O1140" t="s">
        <v>28</v>
      </c>
      <c r="P1140" t="s">
        <v>45</v>
      </c>
      <c r="Q1140" s="6">
        <v>1.2868387096774101</v>
      </c>
      <c r="R1140">
        <v>5.08</v>
      </c>
      <c r="S1140">
        <v>15.34</v>
      </c>
      <c r="T1140">
        <v>33.24</v>
      </c>
      <c r="U1140">
        <v>39.380000000000003</v>
      </c>
      <c r="V1140">
        <v>46.33</v>
      </c>
      <c r="W1140">
        <v>1.39</v>
      </c>
    </row>
    <row r="1141" spans="1:23" x14ac:dyDescent="0.3">
      <c r="A1141">
        <v>1140</v>
      </c>
      <c r="B1141" t="s">
        <v>1184</v>
      </c>
      <c r="C1141" t="s">
        <v>35</v>
      </c>
      <c r="D1141">
        <v>127</v>
      </c>
      <c r="E1141">
        <v>4634</v>
      </c>
      <c r="F1141" s="3">
        <v>218</v>
      </c>
      <c r="G1141">
        <v>26</v>
      </c>
      <c r="H1141">
        <v>7</v>
      </c>
      <c r="I1141" s="5">
        <v>5.5118110236220402E-2</v>
      </c>
      <c r="J1141" s="3">
        <v>288</v>
      </c>
      <c r="K1141" s="1">
        <v>45598</v>
      </c>
      <c r="L1141" t="s">
        <v>25</v>
      </c>
      <c r="M1141" t="s">
        <v>39</v>
      </c>
      <c r="N1141" t="s">
        <v>27</v>
      </c>
      <c r="O1141" t="s">
        <v>28</v>
      </c>
      <c r="P1141" t="s">
        <v>29</v>
      </c>
      <c r="Q1141" s="6">
        <v>1.71685039370078</v>
      </c>
      <c r="R1141">
        <v>2.74</v>
      </c>
      <c r="S1141">
        <v>8.39</v>
      </c>
      <c r="T1141">
        <v>31.15</v>
      </c>
      <c r="U1141">
        <v>32.090000000000003</v>
      </c>
      <c r="V1141">
        <v>41.14</v>
      </c>
      <c r="W1141">
        <v>1.32</v>
      </c>
    </row>
    <row r="1142" spans="1:23" x14ac:dyDescent="0.3">
      <c r="A1142">
        <v>1141</v>
      </c>
      <c r="B1142" t="s">
        <v>1185</v>
      </c>
      <c r="C1142" t="s">
        <v>35</v>
      </c>
      <c r="D1142">
        <v>94</v>
      </c>
      <c r="E1142">
        <v>5564</v>
      </c>
      <c r="F1142" s="3">
        <v>204</v>
      </c>
      <c r="G1142">
        <v>22</v>
      </c>
      <c r="H1142">
        <v>6</v>
      </c>
      <c r="I1142" s="5">
        <v>6.3829787234042507E-2</v>
      </c>
      <c r="J1142" s="3">
        <v>280.28571428571399</v>
      </c>
      <c r="K1142" s="1">
        <v>45610</v>
      </c>
      <c r="L1142" t="s">
        <v>25</v>
      </c>
      <c r="M1142" t="s">
        <v>26</v>
      </c>
      <c r="N1142" t="s">
        <v>40</v>
      </c>
      <c r="O1142" t="s">
        <v>28</v>
      </c>
      <c r="P1142" t="s">
        <v>54</v>
      </c>
      <c r="Q1142" s="6">
        <v>2.1689361702127599</v>
      </c>
      <c r="R1142">
        <v>1.69</v>
      </c>
      <c r="S1142">
        <v>9.27</v>
      </c>
      <c r="T1142">
        <v>33.979999999999997</v>
      </c>
      <c r="U1142">
        <v>37.479999999999997</v>
      </c>
      <c r="V1142">
        <v>46.71</v>
      </c>
      <c r="W1142">
        <v>1.37</v>
      </c>
    </row>
    <row r="1143" spans="1:23" x14ac:dyDescent="0.3">
      <c r="A1143">
        <v>1142</v>
      </c>
      <c r="B1143" t="s">
        <v>1186</v>
      </c>
      <c r="C1143" t="s">
        <v>24</v>
      </c>
      <c r="D1143">
        <v>90</v>
      </c>
      <c r="E1143">
        <v>5196</v>
      </c>
      <c r="F1143" s="3">
        <v>193</v>
      </c>
      <c r="G1143">
        <v>21</v>
      </c>
      <c r="H1143">
        <v>8</v>
      </c>
      <c r="I1143" s="5">
        <v>8.8888888888888795E-2</v>
      </c>
      <c r="J1143" s="3">
        <v>364</v>
      </c>
      <c r="K1143" s="1">
        <v>45603</v>
      </c>
      <c r="L1143" t="s">
        <v>25</v>
      </c>
      <c r="M1143" t="s">
        <v>26</v>
      </c>
      <c r="N1143" t="s">
        <v>32</v>
      </c>
      <c r="O1143" t="s">
        <v>28</v>
      </c>
      <c r="P1143" t="s">
        <v>54</v>
      </c>
      <c r="Q1143" s="6">
        <v>2.1425555555555502</v>
      </c>
      <c r="R1143">
        <v>1.73</v>
      </c>
      <c r="S1143">
        <v>9.18</v>
      </c>
      <c r="T1143">
        <v>24.1</v>
      </c>
      <c r="U1143">
        <v>88.77</v>
      </c>
      <c r="V1143">
        <v>45.5</v>
      </c>
      <c r="W1143">
        <v>1.89</v>
      </c>
    </row>
    <row r="1144" spans="1:23" x14ac:dyDescent="0.3">
      <c r="A1144">
        <v>1143</v>
      </c>
      <c r="B1144" t="s">
        <v>1187</v>
      </c>
      <c r="C1144" t="s">
        <v>38</v>
      </c>
      <c r="D1144">
        <v>161</v>
      </c>
      <c r="E1144">
        <v>5749</v>
      </c>
      <c r="F1144" s="3">
        <v>203</v>
      </c>
      <c r="G1144">
        <v>12</v>
      </c>
      <c r="H1144">
        <v>4</v>
      </c>
      <c r="I1144" s="5">
        <v>2.4844720496894401E-2</v>
      </c>
      <c r="J1144" s="3">
        <v>186.85714285714201</v>
      </c>
      <c r="K1144" s="1">
        <v>45624</v>
      </c>
      <c r="L1144" t="s">
        <v>25</v>
      </c>
      <c r="M1144" t="s">
        <v>39</v>
      </c>
      <c r="N1144" t="s">
        <v>44</v>
      </c>
      <c r="O1144" t="s">
        <v>28</v>
      </c>
      <c r="P1144" t="s">
        <v>54</v>
      </c>
      <c r="Q1144" s="6">
        <v>1.2624223602484399</v>
      </c>
      <c r="R1144">
        <v>2.8</v>
      </c>
      <c r="S1144">
        <v>16.940000000000001</v>
      </c>
      <c r="T1144">
        <v>50.81</v>
      </c>
      <c r="U1144">
        <v>-8.07</v>
      </c>
      <c r="V1144">
        <v>46.71</v>
      </c>
      <c r="W1144">
        <v>0.92</v>
      </c>
    </row>
    <row r="1145" spans="1:23" x14ac:dyDescent="0.3">
      <c r="A1145">
        <v>1144</v>
      </c>
      <c r="B1145" t="s">
        <v>1188</v>
      </c>
      <c r="C1145" t="s">
        <v>43</v>
      </c>
      <c r="D1145">
        <v>157</v>
      </c>
      <c r="E1145">
        <v>5483</v>
      </c>
      <c r="F1145" s="3">
        <v>245</v>
      </c>
      <c r="G1145">
        <v>24</v>
      </c>
      <c r="H1145">
        <v>6</v>
      </c>
      <c r="I1145" s="5">
        <v>3.8216560509554097E-2</v>
      </c>
      <c r="J1145" s="3">
        <v>280.28571428571399</v>
      </c>
      <c r="K1145" s="1">
        <v>45618</v>
      </c>
      <c r="L1145" t="s">
        <v>25</v>
      </c>
      <c r="M1145" t="s">
        <v>31</v>
      </c>
      <c r="N1145" t="s">
        <v>49</v>
      </c>
      <c r="O1145" t="s">
        <v>28</v>
      </c>
      <c r="P1145" t="s">
        <v>45</v>
      </c>
      <c r="Q1145" s="6">
        <v>1.56248407643312</v>
      </c>
      <c r="R1145">
        <v>2.86</v>
      </c>
      <c r="S1145">
        <v>10.220000000000001</v>
      </c>
      <c r="T1145">
        <v>40.880000000000003</v>
      </c>
      <c r="U1145">
        <v>14.26</v>
      </c>
      <c r="V1145">
        <v>46.71</v>
      </c>
      <c r="W1145">
        <v>1.1399999999999999</v>
      </c>
    </row>
    <row r="1146" spans="1:23" x14ac:dyDescent="0.3">
      <c r="A1146">
        <v>1145</v>
      </c>
      <c r="B1146" t="s">
        <v>1189</v>
      </c>
      <c r="C1146" t="s">
        <v>38</v>
      </c>
      <c r="D1146">
        <v>157</v>
      </c>
      <c r="E1146">
        <v>4093</v>
      </c>
      <c r="F1146" s="3">
        <v>203</v>
      </c>
      <c r="G1146">
        <v>27</v>
      </c>
      <c r="H1146">
        <v>8</v>
      </c>
      <c r="I1146" s="5">
        <v>5.0955414012738801E-2</v>
      </c>
      <c r="J1146" s="3">
        <v>280</v>
      </c>
      <c r="K1146" s="1">
        <v>45599</v>
      </c>
      <c r="L1146" t="s">
        <v>25</v>
      </c>
      <c r="M1146" t="s">
        <v>31</v>
      </c>
      <c r="N1146" t="s">
        <v>49</v>
      </c>
      <c r="O1146" t="s">
        <v>28</v>
      </c>
      <c r="P1146" t="s">
        <v>50</v>
      </c>
      <c r="Q1146" s="6">
        <v>1.2920382165605</v>
      </c>
      <c r="R1146">
        <v>3.84</v>
      </c>
      <c r="S1146">
        <v>7.51</v>
      </c>
      <c r="T1146">
        <v>25.36</v>
      </c>
      <c r="U1146">
        <v>38.03</v>
      </c>
      <c r="V1146">
        <v>35</v>
      </c>
      <c r="W1146">
        <v>1.38</v>
      </c>
    </row>
    <row r="1147" spans="1:23" x14ac:dyDescent="0.3">
      <c r="A1147">
        <v>1146</v>
      </c>
      <c r="B1147" t="s">
        <v>1190</v>
      </c>
      <c r="C1147" t="s">
        <v>35</v>
      </c>
      <c r="D1147">
        <v>179</v>
      </c>
      <c r="E1147">
        <v>4459</v>
      </c>
      <c r="F1147" s="3">
        <v>182</v>
      </c>
      <c r="G1147">
        <v>27</v>
      </c>
      <c r="H1147">
        <v>5</v>
      </c>
      <c r="I1147" s="5">
        <v>2.7932960893854698E-2</v>
      </c>
      <c r="J1147" s="3">
        <v>269</v>
      </c>
      <c r="K1147" s="1">
        <v>45609</v>
      </c>
      <c r="L1147" t="s">
        <v>25</v>
      </c>
      <c r="M1147" t="s">
        <v>39</v>
      </c>
      <c r="N1147" t="s">
        <v>36</v>
      </c>
      <c r="O1147" t="s">
        <v>28</v>
      </c>
      <c r="P1147" t="s">
        <v>33</v>
      </c>
      <c r="Q1147" s="6">
        <v>1.01508379888268</v>
      </c>
      <c r="R1147">
        <v>4.01</v>
      </c>
      <c r="S1147">
        <v>6.73</v>
      </c>
      <c r="T1147">
        <v>36.340000000000003</v>
      </c>
      <c r="U1147">
        <v>48.05</v>
      </c>
      <c r="V1147">
        <v>53.8</v>
      </c>
      <c r="W1147">
        <v>1.48</v>
      </c>
    </row>
    <row r="1148" spans="1:23" x14ac:dyDescent="0.3">
      <c r="A1148">
        <v>1147</v>
      </c>
      <c r="B1148" t="s">
        <v>1191</v>
      </c>
      <c r="C1148" t="s">
        <v>43</v>
      </c>
      <c r="D1148">
        <v>165</v>
      </c>
      <c r="E1148">
        <v>5937</v>
      </c>
      <c r="F1148" s="3">
        <v>221</v>
      </c>
      <c r="G1148">
        <v>23</v>
      </c>
      <c r="H1148">
        <v>6</v>
      </c>
      <c r="I1148" s="5">
        <v>3.6363636363636299E-2</v>
      </c>
      <c r="J1148" s="3">
        <v>322</v>
      </c>
      <c r="K1148" s="1">
        <v>45600</v>
      </c>
      <c r="L1148" t="s">
        <v>25</v>
      </c>
      <c r="M1148" t="s">
        <v>31</v>
      </c>
      <c r="N1148" t="s">
        <v>49</v>
      </c>
      <c r="O1148" t="s">
        <v>28</v>
      </c>
      <c r="P1148" t="s">
        <v>59</v>
      </c>
      <c r="Q1148" s="6">
        <v>1.3372727272727201</v>
      </c>
      <c r="R1148">
        <v>2.78</v>
      </c>
      <c r="S1148">
        <v>9.59</v>
      </c>
      <c r="T1148">
        <v>36.78</v>
      </c>
      <c r="U1148">
        <v>45.93</v>
      </c>
      <c r="V1148">
        <v>53.67</v>
      </c>
      <c r="W1148">
        <v>1.46</v>
      </c>
    </row>
    <row r="1149" spans="1:23" x14ac:dyDescent="0.3">
      <c r="A1149">
        <v>1148</v>
      </c>
      <c r="B1149" t="s">
        <v>1192</v>
      </c>
      <c r="C1149" t="s">
        <v>24</v>
      </c>
      <c r="D1149">
        <v>167</v>
      </c>
      <c r="E1149">
        <v>4475</v>
      </c>
      <c r="F1149" s="3">
        <v>232</v>
      </c>
      <c r="G1149">
        <v>13</v>
      </c>
      <c r="H1149">
        <v>5</v>
      </c>
      <c r="I1149" s="5">
        <v>2.9940119760479E-2</v>
      </c>
      <c r="J1149" s="3">
        <v>357</v>
      </c>
      <c r="K1149" s="1">
        <v>45599</v>
      </c>
      <c r="L1149" t="s">
        <v>25</v>
      </c>
      <c r="M1149" t="s">
        <v>26</v>
      </c>
      <c r="N1149" t="s">
        <v>44</v>
      </c>
      <c r="O1149" t="s">
        <v>28</v>
      </c>
      <c r="P1149" t="s">
        <v>50</v>
      </c>
      <c r="Q1149" s="6">
        <v>1.38706586826347</v>
      </c>
      <c r="R1149">
        <v>3.73</v>
      </c>
      <c r="S1149">
        <v>17.82</v>
      </c>
      <c r="T1149">
        <v>46.33</v>
      </c>
      <c r="U1149">
        <v>54.12</v>
      </c>
      <c r="V1149">
        <v>71.400000000000006</v>
      </c>
      <c r="W1149">
        <v>1.54</v>
      </c>
    </row>
    <row r="1150" spans="1:23" x14ac:dyDescent="0.3">
      <c r="A1150">
        <v>1149</v>
      </c>
      <c r="B1150" t="s">
        <v>1193</v>
      </c>
      <c r="C1150" t="s">
        <v>35</v>
      </c>
      <c r="D1150">
        <v>126</v>
      </c>
      <c r="E1150">
        <v>4212</v>
      </c>
      <c r="F1150" s="3">
        <v>183</v>
      </c>
      <c r="G1150">
        <v>29</v>
      </c>
      <c r="H1150">
        <v>8</v>
      </c>
      <c r="I1150" s="5">
        <v>6.3492063492063405E-2</v>
      </c>
      <c r="J1150" s="3">
        <v>218</v>
      </c>
      <c r="K1150" s="1">
        <v>45615</v>
      </c>
      <c r="L1150" t="s">
        <v>25</v>
      </c>
      <c r="M1150" t="s">
        <v>31</v>
      </c>
      <c r="N1150" t="s">
        <v>44</v>
      </c>
      <c r="O1150" t="s">
        <v>28</v>
      </c>
      <c r="P1150" t="s">
        <v>41</v>
      </c>
      <c r="Q1150" s="6">
        <v>1.44873015873015</v>
      </c>
      <c r="R1150">
        <v>2.99</v>
      </c>
      <c r="S1150">
        <v>6.29</v>
      </c>
      <c r="T1150">
        <v>22.82</v>
      </c>
      <c r="U1150">
        <v>19.43</v>
      </c>
      <c r="V1150">
        <v>27.25</v>
      </c>
      <c r="W1150">
        <v>1.19</v>
      </c>
    </row>
    <row r="1151" spans="1:23" x14ac:dyDescent="0.3">
      <c r="A1151">
        <v>1150</v>
      </c>
      <c r="B1151" t="s">
        <v>1194</v>
      </c>
      <c r="C1151" t="s">
        <v>24</v>
      </c>
      <c r="D1151">
        <v>134</v>
      </c>
      <c r="E1151">
        <v>4506</v>
      </c>
      <c r="F1151" s="3">
        <v>220</v>
      </c>
      <c r="G1151">
        <v>13</v>
      </c>
      <c r="H1151">
        <v>5</v>
      </c>
      <c r="I1151" s="5">
        <v>3.7313432835820802E-2</v>
      </c>
      <c r="J1151" s="3">
        <v>356</v>
      </c>
      <c r="K1151" s="1">
        <v>45625</v>
      </c>
      <c r="L1151" t="s">
        <v>25</v>
      </c>
      <c r="M1151" t="s">
        <v>31</v>
      </c>
      <c r="N1151" t="s">
        <v>36</v>
      </c>
      <c r="O1151" t="s">
        <v>28</v>
      </c>
      <c r="P1151" t="s">
        <v>45</v>
      </c>
      <c r="Q1151" s="6">
        <v>1.6424626865671601</v>
      </c>
      <c r="R1151">
        <v>2.97</v>
      </c>
      <c r="S1151">
        <v>16.93</v>
      </c>
      <c r="T1151">
        <v>44.02</v>
      </c>
      <c r="U1151">
        <v>61.75</v>
      </c>
      <c r="V1151">
        <v>71.2</v>
      </c>
      <c r="W1151">
        <v>1.62</v>
      </c>
    </row>
    <row r="1152" spans="1:23" x14ac:dyDescent="0.3">
      <c r="A1152">
        <v>1151</v>
      </c>
      <c r="B1152" t="s">
        <v>1195</v>
      </c>
      <c r="C1152" t="s">
        <v>43</v>
      </c>
      <c r="D1152">
        <v>142</v>
      </c>
      <c r="E1152">
        <v>3147</v>
      </c>
      <c r="F1152" s="3">
        <v>191</v>
      </c>
      <c r="G1152">
        <v>13</v>
      </c>
      <c r="H1152">
        <v>5</v>
      </c>
      <c r="I1152" s="5">
        <v>3.5211267605633798E-2</v>
      </c>
      <c r="J1152" s="3">
        <v>355</v>
      </c>
      <c r="K1152" s="1">
        <v>45601</v>
      </c>
      <c r="L1152" t="s">
        <v>25</v>
      </c>
      <c r="M1152" t="s">
        <v>31</v>
      </c>
      <c r="N1152" t="s">
        <v>27</v>
      </c>
      <c r="O1152" t="s">
        <v>28</v>
      </c>
      <c r="P1152" t="s">
        <v>41</v>
      </c>
      <c r="Q1152" s="6">
        <v>1.3445774647887301</v>
      </c>
      <c r="R1152">
        <v>4.51</v>
      </c>
      <c r="S1152">
        <v>14.69</v>
      </c>
      <c r="T1152">
        <v>38.19</v>
      </c>
      <c r="U1152">
        <v>85.93</v>
      </c>
      <c r="V1152">
        <v>71</v>
      </c>
      <c r="W1152">
        <v>1.86</v>
      </c>
    </row>
    <row r="1153" spans="1:23" x14ac:dyDescent="0.3">
      <c r="A1153">
        <v>1152</v>
      </c>
      <c r="B1153" t="s">
        <v>1196</v>
      </c>
      <c r="C1153" t="s">
        <v>43</v>
      </c>
      <c r="D1153">
        <v>133</v>
      </c>
      <c r="E1153">
        <v>4387</v>
      </c>
      <c r="F1153" s="3">
        <v>199</v>
      </c>
      <c r="G1153">
        <v>22</v>
      </c>
      <c r="H1153">
        <v>3</v>
      </c>
      <c r="I1153" s="5">
        <v>2.2556390977443601E-2</v>
      </c>
      <c r="J1153" s="3">
        <v>332</v>
      </c>
      <c r="K1153" s="1">
        <v>45607</v>
      </c>
      <c r="L1153" t="s">
        <v>25</v>
      </c>
      <c r="M1153" t="s">
        <v>26</v>
      </c>
      <c r="N1153" t="s">
        <v>27</v>
      </c>
      <c r="O1153" t="s">
        <v>28</v>
      </c>
      <c r="P1153" t="s">
        <v>59</v>
      </c>
      <c r="Q1153" s="6">
        <v>1.49571428571428</v>
      </c>
      <c r="R1153">
        <v>3.03</v>
      </c>
      <c r="S1153">
        <v>9.0399999999999991</v>
      </c>
      <c r="T1153">
        <v>66.31</v>
      </c>
      <c r="U1153">
        <v>66.89</v>
      </c>
      <c r="V1153">
        <v>110.67</v>
      </c>
      <c r="W1153">
        <v>1.67</v>
      </c>
    </row>
    <row r="1154" spans="1:23" x14ac:dyDescent="0.3">
      <c r="A1154">
        <v>1153</v>
      </c>
      <c r="B1154" t="s">
        <v>1197</v>
      </c>
      <c r="C1154" t="s">
        <v>24</v>
      </c>
      <c r="D1154">
        <v>163</v>
      </c>
      <c r="E1154">
        <v>5948</v>
      </c>
      <c r="F1154" s="3">
        <v>185</v>
      </c>
      <c r="G1154">
        <v>12</v>
      </c>
      <c r="H1154">
        <v>3</v>
      </c>
      <c r="I1154" s="5">
        <v>1.84049079754601E-2</v>
      </c>
      <c r="J1154" s="3">
        <v>255</v>
      </c>
      <c r="K1154" s="1">
        <v>45607</v>
      </c>
      <c r="L1154" t="s">
        <v>25</v>
      </c>
      <c r="M1154" t="s">
        <v>39</v>
      </c>
      <c r="N1154" t="s">
        <v>40</v>
      </c>
      <c r="O1154" t="s">
        <v>28</v>
      </c>
      <c r="P1154" t="s">
        <v>59</v>
      </c>
      <c r="Q1154" s="6">
        <v>1.1339877300613399</v>
      </c>
      <c r="R1154">
        <v>2.74</v>
      </c>
      <c r="S1154">
        <v>15.4</v>
      </c>
      <c r="T1154">
        <v>61.61</v>
      </c>
      <c r="U1154">
        <v>37.96</v>
      </c>
      <c r="V1154">
        <v>85</v>
      </c>
      <c r="W1154">
        <v>1.38</v>
      </c>
    </row>
    <row r="1155" spans="1:23" x14ac:dyDescent="0.3">
      <c r="A1155">
        <v>1154</v>
      </c>
      <c r="B1155" t="s">
        <v>1198</v>
      </c>
      <c r="C1155" t="s">
        <v>35</v>
      </c>
      <c r="D1155">
        <v>171</v>
      </c>
      <c r="E1155">
        <v>4855</v>
      </c>
      <c r="F1155" s="3">
        <v>235</v>
      </c>
      <c r="G1155">
        <v>25</v>
      </c>
      <c r="H1155">
        <v>6</v>
      </c>
      <c r="I1155" s="5">
        <v>3.5087719298245598E-2</v>
      </c>
      <c r="J1155" s="3">
        <v>280.28571428571399</v>
      </c>
      <c r="K1155" s="1">
        <v>45617</v>
      </c>
      <c r="L1155" t="s">
        <v>25</v>
      </c>
      <c r="M1155" t="s">
        <v>26</v>
      </c>
      <c r="N1155" t="s">
        <v>32</v>
      </c>
      <c r="O1155" t="s">
        <v>28</v>
      </c>
      <c r="P1155" t="s">
        <v>54</v>
      </c>
      <c r="Q1155" s="6">
        <v>1.37561403508771</v>
      </c>
      <c r="R1155">
        <v>3.52</v>
      </c>
      <c r="S1155">
        <v>9.41</v>
      </c>
      <c r="T1155">
        <v>39.200000000000003</v>
      </c>
      <c r="U1155">
        <v>19.149999999999999</v>
      </c>
      <c r="V1155">
        <v>46.71</v>
      </c>
      <c r="W1155">
        <v>1.19</v>
      </c>
    </row>
    <row r="1156" spans="1:23" x14ac:dyDescent="0.3">
      <c r="A1156">
        <v>1155</v>
      </c>
      <c r="B1156" t="s">
        <v>1199</v>
      </c>
      <c r="C1156" t="s">
        <v>43</v>
      </c>
      <c r="D1156">
        <v>97</v>
      </c>
      <c r="E1156">
        <v>4674</v>
      </c>
      <c r="F1156" s="3">
        <v>221</v>
      </c>
      <c r="G1156">
        <v>15</v>
      </c>
      <c r="H1156">
        <v>10</v>
      </c>
      <c r="I1156" s="5">
        <v>0.103092783505154</v>
      </c>
      <c r="J1156" s="3">
        <v>272</v>
      </c>
      <c r="K1156" s="1">
        <v>45603</v>
      </c>
      <c r="L1156" t="s">
        <v>25</v>
      </c>
      <c r="M1156" t="s">
        <v>39</v>
      </c>
      <c r="N1156" t="s">
        <v>32</v>
      </c>
      <c r="O1156" t="s">
        <v>28</v>
      </c>
      <c r="P1156" t="s">
        <v>54</v>
      </c>
      <c r="Q1156" s="6">
        <v>2.2823711340206101</v>
      </c>
      <c r="R1156">
        <v>2.08</v>
      </c>
      <c r="S1156">
        <v>14.76</v>
      </c>
      <c r="T1156">
        <v>22.14</v>
      </c>
      <c r="U1156">
        <v>22.86</v>
      </c>
      <c r="V1156">
        <v>27.2</v>
      </c>
      <c r="W1156">
        <v>1.23</v>
      </c>
    </row>
    <row r="1157" spans="1:23" x14ac:dyDescent="0.3">
      <c r="A1157">
        <v>1156</v>
      </c>
      <c r="B1157" t="s">
        <v>1200</v>
      </c>
      <c r="C1157" t="s">
        <v>35</v>
      </c>
      <c r="D1157">
        <v>176</v>
      </c>
      <c r="E1157">
        <v>3336</v>
      </c>
      <c r="F1157" s="3">
        <v>194</v>
      </c>
      <c r="G1157">
        <v>15</v>
      </c>
      <c r="H1157">
        <v>9</v>
      </c>
      <c r="I1157" s="5">
        <v>5.1136363636363598E-2</v>
      </c>
      <c r="J1157" s="3">
        <v>346</v>
      </c>
      <c r="K1157" s="1">
        <v>45608</v>
      </c>
      <c r="L1157" t="s">
        <v>25</v>
      </c>
      <c r="M1157" t="s">
        <v>39</v>
      </c>
      <c r="N1157" t="s">
        <v>27</v>
      </c>
      <c r="O1157" t="s">
        <v>28</v>
      </c>
      <c r="P1157" t="s">
        <v>41</v>
      </c>
      <c r="Q1157" s="6">
        <v>1.1006818181818101</v>
      </c>
      <c r="R1157">
        <v>5.28</v>
      </c>
      <c r="S1157">
        <v>12.91</v>
      </c>
      <c r="T1157">
        <v>21.52</v>
      </c>
      <c r="U1157">
        <v>78.61</v>
      </c>
      <c r="V1157">
        <v>38.44</v>
      </c>
      <c r="W1157">
        <v>1.79</v>
      </c>
    </row>
    <row r="1158" spans="1:23" x14ac:dyDescent="0.3">
      <c r="A1158">
        <v>1157</v>
      </c>
      <c r="B1158" t="s">
        <v>1201</v>
      </c>
      <c r="C1158" t="s">
        <v>35</v>
      </c>
      <c r="D1158">
        <v>129</v>
      </c>
      <c r="E1158">
        <v>5839</v>
      </c>
      <c r="F1158" s="3">
        <v>214</v>
      </c>
      <c r="G1158">
        <v>10</v>
      </c>
      <c r="H1158">
        <v>6</v>
      </c>
      <c r="I1158" s="5">
        <v>4.6511627906976702E-2</v>
      </c>
      <c r="J1158" s="3">
        <v>301</v>
      </c>
      <c r="K1158" s="1">
        <v>45614</v>
      </c>
      <c r="L1158" t="s">
        <v>25</v>
      </c>
      <c r="M1158" t="s">
        <v>26</v>
      </c>
      <c r="N1158" t="s">
        <v>49</v>
      </c>
      <c r="O1158" t="s">
        <v>28</v>
      </c>
      <c r="P1158" t="s">
        <v>59</v>
      </c>
      <c r="Q1158" s="6">
        <v>1.65674418604651</v>
      </c>
      <c r="R1158">
        <v>2.21</v>
      </c>
      <c r="S1158">
        <v>21.37</v>
      </c>
      <c r="T1158">
        <v>35.619999999999997</v>
      </c>
      <c r="U1158">
        <v>40.840000000000003</v>
      </c>
      <c r="V1158">
        <v>50.17</v>
      </c>
      <c r="W1158">
        <v>1.41</v>
      </c>
    </row>
    <row r="1159" spans="1:23" x14ac:dyDescent="0.3">
      <c r="A1159">
        <v>1158</v>
      </c>
      <c r="B1159" t="s">
        <v>1202</v>
      </c>
      <c r="C1159" t="s">
        <v>38</v>
      </c>
      <c r="D1159">
        <v>178</v>
      </c>
      <c r="E1159">
        <v>3943</v>
      </c>
      <c r="F1159" s="3">
        <v>218</v>
      </c>
      <c r="G1159">
        <v>29</v>
      </c>
      <c r="H1159">
        <v>6</v>
      </c>
      <c r="I1159" s="5">
        <v>3.3707865168539297E-2</v>
      </c>
      <c r="J1159" s="3">
        <v>212</v>
      </c>
      <c r="K1159" s="1">
        <v>45611</v>
      </c>
      <c r="L1159" t="s">
        <v>25</v>
      </c>
      <c r="M1159" t="s">
        <v>31</v>
      </c>
      <c r="N1159" t="s">
        <v>27</v>
      </c>
      <c r="O1159" t="s">
        <v>28</v>
      </c>
      <c r="P1159" t="s">
        <v>45</v>
      </c>
      <c r="Q1159" s="6">
        <v>1.2244943820224701</v>
      </c>
      <c r="R1159">
        <v>4.51</v>
      </c>
      <c r="S1159">
        <v>7.52</v>
      </c>
      <c r="T1159">
        <v>36.33</v>
      </c>
      <c r="U1159">
        <v>-2.73</v>
      </c>
      <c r="V1159">
        <v>35.33</v>
      </c>
      <c r="W1159">
        <v>0.97</v>
      </c>
    </row>
    <row r="1160" spans="1:23" x14ac:dyDescent="0.3">
      <c r="A1160">
        <v>1159</v>
      </c>
      <c r="B1160" t="s">
        <v>1203</v>
      </c>
      <c r="C1160" t="s">
        <v>43</v>
      </c>
      <c r="D1160">
        <v>111</v>
      </c>
      <c r="E1160">
        <v>3787</v>
      </c>
      <c r="F1160" s="3">
        <v>215</v>
      </c>
      <c r="G1160">
        <v>15</v>
      </c>
      <c r="H1160">
        <v>10</v>
      </c>
      <c r="I1160" s="5">
        <v>9.0090090090090003E-2</v>
      </c>
      <c r="J1160" s="3">
        <v>339</v>
      </c>
      <c r="K1160" s="1">
        <v>45610</v>
      </c>
      <c r="L1160" t="s">
        <v>25</v>
      </c>
      <c r="M1160" t="s">
        <v>39</v>
      </c>
      <c r="N1160" t="s">
        <v>44</v>
      </c>
      <c r="O1160" t="s">
        <v>28</v>
      </c>
      <c r="P1160" t="s">
        <v>54</v>
      </c>
      <c r="Q1160" s="6">
        <v>1.9412612612612601</v>
      </c>
      <c r="R1160">
        <v>2.93</v>
      </c>
      <c r="S1160">
        <v>14.37</v>
      </c>
      <c r="T1160">
        <v>21.55</v>
      </c>
      <c r="U1160">
        <v>57.32</v>
      </c>
      <c r="V1160">
        <v>33.9</v>
      </c>
      <c r="W1160">
        <v>1.57</v>
      </c>
    </row>
    <row r="1161" spans="1:23" x14ac:dyDescent="0.3">
      <c r="A1161">
        <v>1160</v>
      </c>
      <c r="B1161" t="s">
        <v>1204</v>
      </c>
      <c r="C1161" t="s">
        <v>24</v>
      </c>
      <c r="D1161">
        <v>156</v>
      </c>
      <c r="E1161">
        <v>4196</v>
      </c>
      <c r="F1161" s="3">
        <v>193</v>
      </c>
      <c r="G1161">
        <v>11</v>
      </c>
      <c r="H1161">
        <v>5</v>
      </c>
      <c r="I1161" s="5">
        <v>3.2051282051282E-2</v>
      </c>
      <c r="J1161" s="3">
        <v>307</v>
      </c>
      <c r="K1161" s="1">
        <v>45622</v>
      </c>
      <c r="L1161" t="s">
        <v>25</v>
      </c>
      <c r="M1161" t="s">
        <v>31</v>
      </c>
      <c r="N1161" t="s">
        <v>27</v>
      </c>
      <c r="O1161" t="s">
        <v>28</v>
      </c>
      <c r="P1161" t="s">
        <v>41</v>
      </c>
      <c r="Q1161" s="6">
        <v>1.2369230769230699</v>
      </c>
      <c r="R1161">
        <v>3.72</v>
      </c>
      <c r="S1161">
        <v>17.54</v>
      </c>
      <c r="T1161">
        <v>38.590000000000003</v>
      </c>
      <c r="U1161">
        <v>59.1</v>
      </c>
      <c r="V1161">
        <v>61.4</v>
      </c>
      <c r="W1161">
        <v>1.59</v>
      </c>
    </row>
    <row r="1162" spans="1:23" x14ac:dyDescent="0.3">
      <c r="A1162">
        <v>1161</v>
      </c>
      <c r="B1162" t="s">
        <v>1205</v>
      </c>
      <c r="C1162" t="s">
        <v>35</v>
      </c>
      <c r="D1162">
        <v>103</v>
      </c>
      <c r="E1162">
        <v>3408</v>
      </c>
      <c r="F1162" s="3">
        <v>193</v>
      </c>
      <c r="G1162">
        <v>20</v>
      </c>
      <c r="H1162">
        <v>5</v>
      </c>
      <c r="I1162" s="5">
        <v>4.85436893203883E-2</v>
      </c>
      <c r="J1162" s="3">
        <v>288</v>
      </c>
      <c r="K1162" s="1">
        <v>45615</v>
      </c>
      <c r="L1162" t="s">
        <v>25</v>
      </c>
      <c r="M1162" t="s">
        <v>39</v>
      </c>
      <c r="N1162" t="s">
        <v>32</v>
      </c>
      <c r="O1162" t="s">
        <v>28</v>
      </c>
      <c r="P1162" t="s">
        <v>41</v>
      </c>
      <c r="Q1162" s="6">
        <v>1.87446601941747</v>
      </c>
      <c r="R1162">
        <v>3.02</v>
      </c>
      <c r="S1162">
        <v>9.65</v>
      </c>
      <c r="T1162">
        <v>38.61</v>
      </c>
      <c r="U1162">
        <v>49.17</v>
      </c>
      <c r="V1162">
        <v>57.6</v>
      </c>
      <c r="W1162">
        <v>1.49</v>
      </c>
    </row>
    <row r="1163" spans="1:23" x14ac:dyDescent="0.3">
      <c r="A1163">
        <v>1162</v>
      </c>
      <c r="B1163" t="s">
        <v>1206</v>
      </c>
      <c r="C1163" t="s">
        <v>38</v>
      </c>
      <c r="D1163">
        <v>145</v>
      </c>
      <c r="E1163">
        <v>4982</v>
      </c>
      <c r="F1163" s="3">
        <v>203</v>
      </c>
      <c r="G1163">
        <v>29</v>
      </c>
      <c r="H1163">
        <v>5</v>
      </c>
      <c r="I1163" s="5">
        <v>3.4482758620689599E-2</v>
      </c>
      <c r="J1163" s="3">
        <v>317</v>
      </c>
      <c r="K1163" s="1">
        <v>45619</v>
      </c>
      <c r="L1163" t="s">
        <v>25</v>
      </c>
      <c r="M1163" t="s">
        <v>39</v>
      </c>
      <c r="N1163" t="s">
        <v>40</v>
      </c>
      <c r="O1163" t="s">
        <v>28</v>
      </c>
      <c r="P1163" t="s">
        <v>29</v>
      </c>
      <c r="Q1163" s="6">
        <v>1.4022758620689599</v>
      </c>
      <c r="R1163">
        <v>2.91</v>
      </c>
      <c r="S1163">
        <v>7.01</v>
      </c>
      <c r="T1163">
        <v>40.67</v>
      </c>
      <c r="U1163">
        <v>55.9</v>
      </c>
      <c r="V1163">
        <v>63.4</v>
      </c>
      <c r="W1163">
        <v>1.56</v>
      </c>
    </row>
    <row r="1164" spans="1:23" x14ac:dyDescent="0.3">
      <c r="A1164">
        <v>1163</v>
      </c>
      <c r="B1164" t="s">
        <v>1207</v>
      </c>
      <c r="C1164" t="s">
        <v>43</v>
      </c>
      <c r="D1164">
        <v>156</v>
      </c>
      <c r="E1164">
        <v>5509</v>
      </c>
      <c r="F1164" s="3">
        <v>185</v>
      </c>
      <c r="G1164">
        <v>29</v>
      </c>
      <c r="H1164">
        <v>4</v>
      </c>
      <c r="I1164" s="5">
        <v>2.5641025641025599E-2</v>
      </c>
      <c r="J1164" s="3">
        <v>337</v>
      </c>
      <c r="K1164" s="1">
        <v>45614</v>
      </c>
      <c r="L1164" t="s">
        <v>25</v>
      </c>
      <c r="M1164" t="s">
        <v>31</v>
      </c>
      <c r="N1164" t="s">
        <v>36</v>
      </c>
      <c r="O1164" t="s">
        <v>28</v>
      </c>
      <c r="P1164" t="s">
        <v>59</v>
      </c>
      <c r="Q1164" s="6">
        <v>1.1883974358974301</v>
      </c>
      <c r="R1164">
        <v>2.83</v>
      </c>
      <c r="S1164">
        <v>6.39</v>
      </c>
      <c r="T1164">
        <v>46.35</v>
      </c>
      <c r="U1164">
        <v>81.78</v>
      </c>
      <c r="V1164">
        <v>84.25</v>
      </c>
      <c r="W1164">
        <v>1.82</v>
      </c>
    </row>
    <row r="1165" spans="1:23" x14ac:dyDescent="0.3">
      <c r="A1165">
        <v>1164</v>
      </c>
      <c r="B1165" t="s">
        <v>1208</v>
      </c>
      <c r="C1165" t="s">
        <v>38</v>
      </c>
      <c r="D1165">
        <v>127</v>
      </c>
      <c r="E1165">
        <v>3797</v>
      </c>
      <c r="F1165" s="3">
        <v>215</v>
      </c>
      <c r="G1165">
        <v>20</v>
      </c>
      <c r="H1165">
        <v>7</v>
      </c>
      <c r="I1165" s="5">
        <v>5.5118110236220402E-2</v>
      </c>
      <c r="J1165" s="3">
        <v>354</v>
      </c>
      <c r="K1165" s="1">
        <v>45609</v>
      </c>
      <c r="L1165" t="s">
        <v>25</v>
      </c>
      <c r="M1165" t="s">
        <v>26</v>
      </c>
      <c r="N1165" t="s">
        <v>49</v>
      </c>
      <c r="O1165" t="s">
        <v>28</v>
      </c>
      <c r="P1165" t="s">
        <v>33</v>
      </c>
      <c r="Q1165" s="6">
        <v>1.6903149606299199</v>
      </c>
      <c r="R1165">
        <v>3.34</v>
      </c>
      <c r="S1165">
        <v>10.73</v>
      </c>
      <c r="T1165">
        <v>30.67</v>
      </c>
      <c r="U1165">
        <v>64.900000000000006</v>
      </c>
      <c r="V1165">
        <v>50.57</v>
      </c>
      <c r="W1165">
        <v>1.65</v>
      </c>
    </row>
    <row r="1166" spans="1:23" x14ac:dyDescent="0.3">
      <c r="A1166">
        <v>1165</v>
      </c>
      <c r="B1166" t="s">
        <v>1209</v>
      </c>
      <c r="C1166" t="s">
        <v>24</v>
      </c>
      <c r="D1166">
        <v>121</v>
      </c>
      <c r="E1166">
        <v>5064</v>
      </c>
      <c r="F1166" s="3">
        <v>247</v>
      </c>
      <c r="G1166">
        <v>13</v>
      </c>
      <c r="H1166">
        <v>9</v>
      </c>
      <c r="I1166" s="5">
        <v>7.43801652892562E-2</v>
      </c>
      <c r="J1166" s="3">
        <v>259</v>
      </c>
      <c r="K1166" s="1">
        <v>45597</v>
      </c>
      <c r="L1166" t="s">
        <v>25</v>
      </c>
      <c r="M1166" t="s">
        <v>39</v>
      </c>
      <c r="N1166" t="s">
        <v>44</v>
      </c>
      <c r="O1166" t="s">
        <v>28</v>
      </c>
      <c r="P1166" t="s">
        <v>45</v>
      </c>
      <c r="Q1166" s="6">
        <v>2.0395041322314</v>
      </c>
      <c r="R1166">
        <v>2.39</v>
      </c>
      <c r="S1166">
        <v>18.98</v>
      </c>
      <c r="T1166">
        <v>27.42</v>
      </c>
      <c r="U1166">
        <v>4.95</v>
      </c>
      <c r="V1166">
        <v>28.78</v>
      </c>
      <c r="W1166">
        <v>1.05</v>
      </c>
    </row>
    <row r="1167" spans="1:23" x14ac:dyDescent="0.3">
      <c r="A1167">
        <v>1166</v>
      </c>
      <c r="B1167" t="s">
        <v>1210</v>
      </c>
      <c r="C1167" t="s">
        <v>35</v>
      </c>
      <c r="D1167">
        <v>98</v>
      </c>
      <c r="E1167">
        <v>4217</v>
      </c>
      <c r="F1167" s="3">
        <v>234</v>
      </c>
      <c r="G1167">
        <v>17</v>
      </c>
      <c r="H1167">
        <v>4</v>
      </c>
      <c r="I1167" s="5">
        <v>4.08163265306122E-2</v>
      </c>
      <c r="J1167" s="3">
        <v>318</v>
      </c>
      <c r="K1167" s="1">
        <v>45607</v>
      </c>
      <c r="L1167" t="s">
        <v>25</v>
      </c>
      <c r="M1167" t="s">
        <v>39</v>
      </c>
      <c r="N1167" t="s">
        <v>27</v>
      </c>
      <c r="O1167" t="s">
        <v>28</v>
      </c>
      <c r="P1167" t="s">
        <v>59</v>
      </c>
      <c r="Q1167" s="6">
        <v>2.3893877551020402</v>
      </c>
      <c r="R1167">
        <v>2.3199999999999998</v>
      </c>
      <c r="S1167">
        <v>13.77</v>
      </c>
      <c r="T1167">
        <v>58.54</v>
      </c>
      <c r="U1167">
        <v>35.799999999999997</v>
      </c>
      <c r="V1167">
        <v>79.5</v>
      </c>
      <c r="W1167">
        <v>1.36</v>
      </c>
    </row>
    <row r="1168" spans="1:23" x14ac:dyDescent="0.3">
      <c r="A1168">
        <v>1167</v>
      </c>
      <c r="B1168" t="s">
        <v>1211</v>
      </c>
      <c r="C1168" t="s">
        <v>24</v>
      </c>
      <c r="D1168">
        <v>156</v>
      </c>
      <c r="E1168">
        <v>3315</v>
      </c>
      <c r="F1168" s="3">
        <v>223</v>
      </c>
      <c r="G1168">
        <v>14</v>
      </c>
      <c r="H1168">
        <v>10</v>
      </c>
      <c r="I1168" s="5">
        <v>6.4102564102564097E-2</v>
      </c>
      <c r="J1168" s="3">
        <v>323</v>
      </c>
      <c r="K1168" s="1">
        <v>45616</v>
      </c>
      <c r="L1168" t="s">
        <v>25</v>
      </c>
      <c r="M1168" t="s">
        <v>31</v>
      </c>
      <c r="N1168" t="s">
        <v>44</v>
      </c>
      <c r="O1168" t="s">
        <v>28</v>
      </c>
      <c r="P1168" t="s">
        <v>33</v>
      </c>
      <c r="Q1168" s="6">
        <v>1.43089743589743</v>
      </c>
      <c r="R1168">
        <v>4.71</v>
      </c>
      <c r="S1168">
        <v>15.94</v>
      </c>
      <c r="T1168">
        <v>22.32</v>
      </c>
      <c r="U1168">
        <v>44.7</v>
      </c>
      <c r="V1168">
        <v>32.299999999999997</v>
      </c>
      <c r="W1168">
        <v>1.45</v>
      </c>
    </row>
    <row r="1169" spans="1:23" x14ac:dyDescent="0.3">
      <c r="A1169">
        <v>1168</v>
      </c>
      <c r="B1169" t="s">
        <v>1212</v>
      </c>
      <c r="C1169" t="s">
        <v>35</v>
      </c>
      <c r="D1169">
        <v>191</v>
      </c>
      <c r="E1169">
        <v>4017</v>
      </c>
      <c r="F1169" s="3">
        <v>204</v>
      </c>
      <c r="G1169">
        <v>27</v>
      </c>
      <c r="H1169">
        <v>4</v>
      </c>
      <c r="I1169" s="5">
        <v>2.09424083769633E-2</v>
      </c>
      <c r="J1169" s="3">
        <v>186.85714285714201</v>
      </c>
      <c r="K1169" s="1">
        <v>45626</v>
      </c>
      <c r="L1169" t="s">
        <v>25</v>
      </c>
      <c r="M1169" t="s">
        <v>31</v>
      </c>
      <c r="N1169" t="s">
        <v>44</v>
      </c>
      <c r="O1169" t="s">
        <v>28</v>
      </c>
      <c r="P1169" t="s">
        <v>29</v>
      </c>
      <c r="Q1169" s="6">
        <v>1.06554973821989</v>
      </c>
      <c r="R1169">
        <v>4.75</v>
      </c>
      <c r="S1169">
        <v>7.54</v>
      </c>
      <c r="T1169">
        <v>50.88</v>
      </c>
      <c r="U1169">
        <v>-8.19</v>
      </c>
      <c r="V1169">
        <v>46.71</v>
      </c>
      <c r="W1169">
        <v>0.92</v>
      </c>
    </row>
    <row r="1170" spans="1:23" x14ac:dyDescent="0.3">
      <c r="A1170">
        <v>1169</v>
      </c>
      <c r="B1170" t="s">
        <v>1213</v>
      </c>
      <c r="C1170" t="s">
        <v>43</v>
      </c>
      <c r="D1170">
        <v>193</v>
      </c>
      <c r="E1170">
        <v>5094</v>
      </c>
      <c r="F1170" s="3">
        <v>206</v>
      </c>
      <c r="G1170">
        <v>18</v>
      </c>
      <c r="H1170">
        <v>3</v>
      </c>
      <c r="I1170" s="5">
        <v>1.55440414507772E-2</v>
      </c>
      <c r="J1170" s="3">
        <v>296</v>
      </c>
      <c r="K1170" s="1">
        <v>45603</v>
      </c>
      <c r="L1170" t="s">
        <v>25</v>
      </c>
      <c r="M1170" t="s">
        <v>31</v>
      </c>
      <c r="N1170" t="s">
        <v>36</v>
      </c>
      <c r="O1170" t="s">
        <v>28</v>
      </c>
      <c r="P1170" t="s">
        <v>54</v>
      </c>
      <c r="Q1170" s="6">
        <v>1.06492227979274</v>
      </c>
      <c r="R1170">
        <v>3.79</v>
      </c>
      <c r="S1170">
        <v>11.42</v>
      </c>
      <c r="T1170">
        <v>68.510000000000005</v>
      </c>
      <c r="U1170">
        <v>44.02</v>
      </c>
      <c r="V1170">
        <v>98.67</v>
      </c>
      <c r="W1170">
        <v>1.44</v>
      </c>
    </row>
    <row r="1171" spans="1:23" x14ac:dyDescent="0.3">
      <c r="A1171">
        <v>1170</v>
      </c>
      <c r="B1171" t="s">
        <v>1214</v>
      </c>
      <c r="C1171" t="s">
        <v>35</v>
      </c>
      <c r="D1171">
        <v>167</v>
      </c>
      <c r="E1171">
        <v>5507</v>
      </c>
      <c r="F1171" s="3">
        <v>245</v>
      </c>
      <c r="G1171">
        <v>11</v>
      </c>
      <c r="H1171">
        <v>9</v>
      </c>
      <c r="I1171" s="5">
        <v>5.3892215568862201E-2</v>
      </c>
      <c r="J1171" s="3">
        <v>299</v>
      </c>
      <c r="K1171" s="1">
        <v>45606</v>
      </c>
      <c r="L1171" t="s">
        <v>25</v>
      </c>
      <c r="M1171" t="s">
        <v>39</v>
      </c>
      <c r="N1171" t="s">
        <v>36</v>
      </c>
      <c r="O1171" t="s">
        <v>28</v>
      </c>
      <c r="P1171" t="s">
        <v>50</v>
      </c>
      <c r="Q1171" s="6">
        <v>1.4647904191616701</v>
      </c>
      <c r="R1171">
        <v>3.03</v>
      </c>
      <c r="S1171">
        <v>22.24</v>
      </c>
      <c r="T1171">
        <v>27.18</v>
      </c>
      <c r="U1171">
        <v>22.23</v>
      </c>
      <c r="V1171">
        <v>33.22</v>
      </c>
      <c r="W1171">
        <v>1.22</v>
      </c>
    </row>
    <row r="1172" spans="1:23" x14ac:dyDescent="0.3">
      <c r="A1172">
        <v>1171</v>
      </c>
      <c r="B1172" t="s">
        <v>1215</v>
      </c>
      <c r="C1172" t="s">
        <v>43</v>
      </c>
      <c r="D1172">
        <v>177</v>
      </c>
      <c r="E1172">
        <v>5449</v>
      </c>
      <c r="F1172" s="3">
        <v>191</v>
      </c>
      <c r="G1172">
        <v>10</v>
      </c>
      <c r="H1172">
        <v>5</v>
      </c>
      <c r="I1172" s="5">
        <v>2.8248587570621399E-2</v>
      </c>
      <c r="J1172" s="3">
        <v>257</v>
      </c>
      <c r="K1172" s="1">
        <v>45615</v>
      </c>
      <c r="L1172" t="s">
        <v>25</v>
      </c>
      <c r="M1172" t="s">
        <v>31</v>
      </c>
      <c r="N1172" t="s">
        <v>32</v>
      </c>
      <c r="O1172" t="s">
        <v>28</v>
      </c>
      <c r="P1172" t="s">
        <v>41</v>
      </c>
      <c r="Q1172" s="6">
        <v>1.0764406779661</v>
      </c>
      <c r="R1172">
        <v>3.25</v>
      </c>
      <c r="S1172">
        <v>19.05</v>
      </c>
      <c r="T1172">
        <v>38.11</v>
      </c>
      <c r="U1172">
        <v>34.89</v>
      </c>
      <c r="V1172">
        <v>51.4</v>
      </c>
      <c r="W1172">
        <v>1.35</v>
      </c>
    </row>
    <row r="1173" spans="1:23" x14ac:dyDescent="0.3">
      <c r="A1173">
        <v>1172</v>
      </c>
      <c r="B1173" t="s">
        <v>1216</v>
      </c>
      <c r="C1173" t="s">
        <v>35</v>
      </c>
      <c r="D1173">
        <v>175</v>
      </c>
      <c r="E1173">
        <v>5732</v>
      </c>
      <c r="F1173" s="3">
        <v>208</v>
      </c>
      <c r="G1173">
        <v>25</v>
      </c>
      <c r="H1173">
        <v>3</v>
      </c>
      <c r="I1173" s="5">
        <v>1.7142857142857099E-2</v>
      </c>
      <c r="J1173" s="3">
        <v>322</v>
      </c>
      <c r="K1173" s="1">
        <v>45607</v>
      </c>
      <c r="L1173" t="s">
        <v>25</v>
      </c>
      <c r="M1173" t="s">
        <v>39</v>
      </c>
      <c r="N1173" t="s">
        <v>36</v>
      </c>
      <c r="O1173" t="s">
        <v>28</v>
      </c>
      <c r="P1173" t="s">
        <v>59</v>
      </c>
      <c r="Q1173" s="6">
        <v>1.1912</v>
      </c>
      <c r="R1173">
        <v>3.05</v>
      </c>
      <c r="S1173">
        <v>8.34</v>
      </c>
      <c r="T1173">
        <v>69.489999999999995</v>
      </c>
      <c r="U1173">
        <v>54.47</v>
      </c>
      <c r="V1173">
        <v>107.33</v>
      </c>
      <c r="W1173">
        <v>1.54</v>
      </c>
    </row>
    <row r="1174" spans="1:23" x14ac:dyDescent="0.3">
      <c r="A1174">
        <v>1173</v>
      </c>
      <c r="B1174" t="s">
        <v>1217</v>
      </c>
      <c r="C1174" t="s">
        <v>43</v>
      </c>
      <c r="D1174">
        <v>122</v>
      </c>
      <c r="E1174">
        <v>4678</v>
      </c>
      <c r="F1174" s="3">
        <v>249</v>
      </c>
      <c r="G1174">
        <v>25</v>
      </c>
      <c r="H1174">
        <v>4</v>
      </c>
      <c r="I1174" s="5">
        <v>3.2786885245901599E-2</v>
      </c>
      <c r="J1174" s="3">
        <v>356</v>
      </c>
      <c r="K1174" s="1">
        <v>45607</v>
      </c>
      <c r="L1174" t="s">
        <v>25</v>
      </c>
      <c r="M1174" t="s">
        <v>26</v>
      </c>
      <c r="N1174" t="s">
        <v>32</v>
      </c>
      <c r="O1174" t="s">
        <v>28</v>
      </c>
      <c r="P1174" t="s">
        <v>59</v>
      </c>
      <c r="Q1174" s="6">
        <v>2.03852459016393</v>
      </c>
      <c r="R1174">
        <v>2.61</v>
      </c>
      <c r="S1174">
        <v>9.9499999999999993</v>
      </c>
      <c r="T1174">
        <v>62.18</v>
      </c>
      <c r="U1174">
        <v>43.14</v>
      </c>
      <c r="V1174">
        <v>89</v>
      </c>
      <c r="W1174">
        <v>1.43</v>
      </c>
    </row>
    <row r="1175" spans="1:23" x14ac:dyDescent="0.3">
      <c r="A1175">
        <v>1174</v>
      </c>
      <c r="B1175" t="s">
        <v>1218</v>
      </c>
      <c r="C1175" t="s">
        <v>24</v>
      </c>
      <c r="D1175">
        <v>121</v>
      </c>
      <c r="E1175">
        <v>4088</v>
      </c>
      <c r="F1175" s="3">
        <v>224</v>
      </c>
      <c r="G1175">
        <v>19</v>
      </c>
      <c r="H1175">
        <v>3</v>
      </c>
      <c r="I1175" s="5">
        <v>2.4793388429752001E-2</v>
      </c>
      <c r="J1175" s="3">
        <v>255</v>
      </c>
      <c r="K1175" s="1">
        <v>45622</v>
      </c>
      <c r="L1175" t="s">
        <v>25</v>
      </c>
      <c r="M1175" t="s">
        <v>31</v>
      </c>
      <c r="N1175" t="s">
        <v>44</v>
      </c>
      <c r="O1175" t="s">
        <v>28</v>
      </c>
      <c r="P1175" t="s">
        <v>41</v>
      </c>
      <c r="Q1175" s="6">
        <v>1.8499999999999901</v>
      </c>
      <c r="R1175">
        <v>2.96</v>
      </c>
      <c r="S1175">
        <v>11.78</v>
      </c>
      <c r="T1175">
        <v>74.62</v>
      </c>
      <c r="U1175">
        <v>13.92</v>
      </c>
      <c r="V1175">
        <v>85</v>
      </c>
      <c r="W1175">
        <v>1.1399999999999999</v>
      </c>
    </row>
    <row r="1176" spans="1:23" x14ac:dyDescent="0.3">
      <c r="A1176">
        <v>1175</v>
      </c>
      <c r="B1176" t="s">
        <v>1219</v>
      </c>
      <c r="C1176" t="s">
        <v>43</v>
      </c>
      <c r="D1176">
        <v>125</v>
      </c>
      <c r="E1176">
        <v>4528</v>
      </c>
      <c r="F1176" s="3">
        <v>187</v>
      </c>
      <c r="G1176">
        <v>10</v>
      </c>
      <c r="H1176">
        <v>9</v>
      </c>
      <c r="I1176" s="5">
        <v>7.1999999999999995E-2</v>
      </c>
      <c r="J1176" s="3">
        <v>238</v>
      </c>
      <c r="K1176" s="1">
        <v>45602</v>
      </c>
      <c r="L1176" t="s">
        <v>25</v>
      </c>
      <c r="M1176" t="s">
        <v>26</v>
      </c>
      <c r="N1176" t="s">
        <v>40</v>
      </c>
      <c r="O1176" t="s">
        <v>28</v>
      </c>
      <c r="P1176" t="s">
        <v>33</v>
      </c>
      <c r="Q1176" s="6">
        <v>1.4927999999999999</v>
      </c>
      <c r="R1176">
        <v>2.76</v>
      </c>
      <c r="S1176">
        <v>18.66</v>
      </c>
      <c r="T1176">
        <v>20.73</v>
      </c>
      <c r="U1176">
        <v>27.55</v>
      </c>
      <c r="V1176">
        <v>26.44</v>
      </c>
      <c r="W1176">
        <v>1.28</v>
      </c>
    </row>
    <row r="1177" spans="1:23" x14ac:dyDescent="0.3">
      <c r="A1177">
        <v>1176</v>
      </c>
      <c r="B1177" t="s">
        <v>1220</v>
      </c>
      <c r="C1177" t="s">
        <v>38</v>
      </c>
      <c r="D1177">
        <v>81</v>
      </c>
      <c r="E1177">
        <v>3946</v>
      </c>
      <c r="F1177" s="3">
        <v>203</v>
      </c>
      <c r="G1177">
        <v>10</v>
      </c>
      <c r="H1177">
        <v>7</v>
      </c>
      <c r="I1177" s="5">
        <v>8.6419753086419707E-2</v>
      </c>
      <c r="J1177" s="3">
        <v>402</v>
      </c>
      <c r="K1177" s="1">
        <v>45623</v>
      </c>
      <c r="L1177" t="s">
        <v>25</v>
      </c>
      <c r="M1177" t="s">
        <v>31</v>
      </c>
      <c r="N1177" t="s">
        <v>40</v>
      </c>
      <c r="O1177" t="s">
        <v>28</v>
      </c>
      <c r="P1177" t="s">
        <v>33</v>
      </c>
      <c r="Q1177" s="6">
        <v>2.5055555555555502</v>
      </c>
      <c r="R1177">
        <v>2.0499999999999998</v>
      </c>
      <c r="S1177">
        <v>20.29</v>
      </c>
      <c r="T1177">
        <v>28.99</v>
      </c>
      <c r="U1177">
        <v>98.08</v>
      </c>
      <c r="V1177">
        <v>57.43</v>
      </c>
      <c r="W1177">
        <v>1.98</v>
      </c>
    </row>
    <row r="1178" spans="1:23" x14ac:dyDescent="0.3">
      <c r="A1178">
        <v>1177</v>
      </c>
      <c r="B1178" t="s">
        <v>1221</v>
      </c>
      <c r="C1178" t="s">
        <v>24</v>
      </c>
      <c r="D1178">
        <v>112</v>
      </c>
      <c r="E1178">
        <v>4486</v>
      </c>
      <c r="F1178" s="3">
        <v>249</v>
      </c>
      <c r="G1178">
        <v>28</v>
      </c>
      <c r="H1178">
        <v>3</v>
      </c>
      <c r="I1178" s="5">
        <v>2.6785714285714201E-2</v>
      </c>
      <c r="J1178" s="3">
        <v>321</v>
      </c>
      <c r="K1178" s="1">
        <v>45622</v>
      </c>
      <c r="L1178" t="s">
        <v>25</v>
      </c>
      <c r="M1178" t="s">
        <v>26</v>
      </c>
      <c r="N1178" t="s">
        <v>49</v>
      </c>
      <c r="O1178" t="s">
        <v>28</v>
      </c>
      <c r="P1178" t="s">
        <v>41</v>
      </c>
      <c r="Q1178" s="6">
        <v>2.2252678571428501</v>
      </c>
      <c r="R1178">
        <v>2.5</v>
      </c>
      <c r="S1178">
        <v>8.9</v>
      </c>
      <c r="T1178">
        <v>83.08</v>
      </c>
      <c r="U1178">
        <v>28.8</v>
      </c>
      <c r="V1178">
        <v>107</v>
      </c>
      <c r="W1178">
        <v>1.29</v>
      </c>
    </row>
    <row r="1179" spans="1:23" x14ac:dyDescent="0.3">
      <c r="A1179">
        <v>1178</v>
      </c>
      <c r="B1179" t="s">
        <v>1222</v>
      </c>
      <c r="C1179" t="s">
        <v>38</v>
      </c>
      <c r="D1179">
        <v>152</v>
      </c>
      <c r="E1179">
        <v>5290</v>
      </c>
      <c r="F1179" s="3">
        <v>182</v>
      </c>
      <c r="G1179">
        <v>24</v>
      </c>
      <c r="H1179">
        <v>4</v>
      </c>
      <c r="I1179" s="5">
        <v>2.6315789473684199E-2</v>
      </c>
      <c r="J1179" s="3">
        <v>341</v>
      </c>
      <c r="K1179" s="1">
        <v>45601</v>
      </c>
      <c r="L1179" t="s">
        <v>25</v>
      </c>
      <c r="M1179" t="s">
        <v>31</v>
      </c>
      <c r="N1179" t="s">
        <v>49</v>
      </c>
      <c r="O1179" t="s">
        <v>28</v>
      </c>
      <c r="P1179" t="s">
        <v>41</v>
      </c>
      <c r="Q1179" s="6">
        <v>1.19743421052631</v>
      </c>
      <c r="R1179">
        <v>2.87</v>
      </c>
      <c r="S1179">
        <v>7.58</v>
      </c>
      <c r="T1179">
        <v>45.5</v>
      </c>
      <c r="U1179">
        <v>87.35</v>
      </c>
      <c r="V1179">
        <v>85.25</v>
      </c>
      <c r="W1179">
        <v>1.87</v>
      </c>
    </row>
    <row r="1180" spans="1:23" x14ac:dyDescent="0.3">
      <c r="A1180">
        <v>1179</v>
      </c>
      <c r="B1180" t="s">
        <v>1223</v>
      </c>
      <c r="C1180" t="s">
        <v>38</v>
      </c>
      <c r="D1180">
        <v>134</v>
      </c>
      <c r="E1180">
        <v>5163</v>
      </c>
      <c r="F1180" s="3">
        <v>245</v>
      </c>
      <c r="G1180">
        <v>26</v>
      </c>
      <c r="H1180">
        <v>5</v>
      </c>
      <c r="I1180" s="5">
        <v>3.7313432835820802E-2</v>
      </c>
      <c r="J1180" s="3">
        <v>233.57142857142799</v>
      </c>
      <c r="K1180" s="1">
        <v>45610</v>
      </c>
      <c r="L1180" t="s">
        <v>25</v>
      </c>
      <c r="M1180" t="s">
        <v>39</v>
      </c>
      <c r="N1180" t="s">
        <v>49</v>
      </c>
      <c r="O1180" t="s">
        <v>28</v>
      </c>
      <c r="P1180" t="s">
        <v>54</v>
      </c>
      <c r="Q1180" s="6">
        <v>1.83134328358208</v>
      </c>
      <c r="R1180">
        <v>2.6</v>
      </c>
      <c r="S1180">
        <v>9.44</v>
      </c>
      <c r="T1180">
        <v>49.08</v>
      </c>
      <c r="U1180">
        <v>-4.82</v>
      </c>
      <c r="V1180">
        <v>46.71</v>
      </c>
      <c r="W1180">
        <v>0.95</v>
      </c>
    </row>
    <row r="1181" spans="1:23" x14ac:dyDescent="0.3">
      <c r="A1181">
        <v>1180</v>
      </c>
      <c r="B1181" t="s">
        <v>1224</v>
      </c>
      <c r="C1181" t="s">
        <v>38</v>
      </c>
      <c r="D1181">
        <v>111</v>
      </c>
      <c r="E1181">
        <v>3978</v>
      </c>
      <c r="F1181" s="3">
        <v>192</v>
      </c>
      <c r="G1181">
        <v>19</v>
      </c>
      <c r="H1181">
        <v>5</v>
      </c>
      <c r="I1181" s="5">
        <v>4.5045045045045001E-2</v>
      </c>
      <c r="J1181" s="3">
        <v>306</v>
      </c>
      <c r="K1181" s="1">
        <v>45602</v>
      </c>
      <c r="L1181" t="s">
        <v>25</v>
      </c>
      <c r="M1181" t="s">
        <v>26</v>
      </c>
      <c r="N1181" t="s">
        <v>49</v>
      </c>
      <c r="O1181" t="s">
        <v>28</v>
      </c>
      <c r="P1181" t="s">
        <v>33</v>
      </c>
      <c r="Q1181" s="6">
        <v>1.73099099099099</v>
      </c>
      <c r="R1181">
        <v>2.79</v>
      </c>
      <c r="S1181">
        <v>10.11</v>
      </c>
      <c r="T1181">
        <v>38.43</v>
      </c>
      <c r="U1181">
        <v>59.26</v>
      </c>
      <c r="V1181">
        <v>61.2</v>
      </c>
      <c r="W1181">
        <v>1.59</v>
      </c>
    </row>
    <row r="1182" spans="1:23" x14ac:dyDescent="0.3">
      <c r="A1182">
        <v>1181</v>
      </c>
      <c r="B1182" t="s">
        <v>1225</v>
      </c>
      <c r="C1182" t="s">
        <v>24</v>
      </c>
      <c r="D1182">
        <v>194</v>
      </c>
      <c r="E1182">
        <v>4217</v>
      </c>
      <c r="F1182" s="3">
        <v>187</v>
      </c>
      <c r="G1182">
        <v>12</v>
      </c>
      <c r="H1182">
        <v>10</v>
      </c>
      <c r="I1182" s="5">
        <v>5.1546391752577303E-2</v>
      </c>
      <c r="J1182" s="3">
        <v>341</v>
      </c>
      <c r="K1182" s="1">
        <v>45603</v>
      </c>
      <c r="L1182" t="s">
        <v>25</v>
      </c>
      <c r="M1182" t="s">
        <v>39</v>
      </c>
      <c r="N1182" t="s">
        <v>40</v>
      </c>
      <c r="O1182" t="s">
        <v>28</v>
      </c>
      <c r="P1182" t="s">
        <v>54</v>
      </c>
      <c r="Q1182" s="6">
        <v>0.96567010309278301</v>
      </c>
      <c r="R1182">
        <v>4.5999999999999996</v>
      </c>
      <c r="S1182">
        <v>15.61</v>
      </c>
      <c r="T1182">
        <v>18.73</v>
      </c>
      <c r="U1182">
        <v>82.02</v>
      </c>
      <c r="V1182">
        <v>34.1</v>
      </c>
      <c r="W1182">
        <v>1.82</v>
      </c>
    </row>
    <row r="1183" spans="1:23" x14ac:dyDescent="0.3">
      <c r="A1183">
        <v>1182</v>
      </c>
      <c r="B1183" t="s">
        <v>1226</v>
      </c>
      <c r="C1183" t="s">
        <v>43</v>
      </c>
      <c r="D1183">
        <v>150</v>
      </c>
      <c r="E1183">
        <v>5907</v>
      </c>
      <c r="F1183" s="3">
        <v>242</v>
      </c>
      <c r="G1183">
        <v>25</v>
      </c>
      <c r="H1183">
        <v>7</v>
      </c>
      <c r="I1183" s="5">
        <v>4.6666666666666599E-2</v>
      </c>
      <c r="J1183" s="3">
        <v>292</v>
      </c>
      <c r="K1183" s="1">
        <v>45607</v>
      </c>
      <c r="L1183" t="s">
        <v>25</v>
      </c>
      <c r="M1183" t="s">
        <v>26</v>
      </c>
      <c r="N1183" t="s">
        <v>36</v>
      </c>
      <c r="O1183" t="s">
        <v>28</v>
      </c>
      <c r="P1183" t="s">
        <v>59</v>
      </c>
      <c r="Q1183" s="6">
        <v>1.6120000000000001</v>
      </c>
      <c r="R1183">
        <v>2.54</v>
      </c>
      <c r="S1183">
        <v>9.67</v>
      </c>
      <c r="T1183">
        <v>34.54</v>
      </c>
      <c r="U1183">
        <v>20.76</v>
      </c>
      <c r="V1183">
        <v>41.71</v>
      </c>
      <c r="W1183">
        <v>1.21</v>
      </c>
    </row>
    <row r="1184" spans="1:23" x14ac:dyDescent="0.3">
      <c r="A1184">
        <v>1183</v>
      </c>
      <c r="B1184" t="s">
        <v>1227</v>
      </c>
      <c r="C1184" t="s">
        <v>43</v>
      </c>
      <c r="D1184">
        <v>100</v>
      </c>
      <c r="E1184">
        <v>5970</v>
      </c>
      <c r="F1184" s="3">
        <v>225</v>
      </c>
      <c r="G1184">
        <v>13</v>
      </c>
      <c r="H1184">
        <v>9</v>
      </c>
      <c r="I1184" s="5">
        <v>0.09</v>
      </c>
      <c r="J1184" s="3">
        <v>387</v>
      </c>
      <c r="K1184" s="1">
        <v>45611</v>
      </c>
      <c r="L1184" t="s">
        <v>25</v>
      </c>
      <c r="M1184" t="s">
        <v>31</v>
      </c>
      <c r="N1184" t="s">
        <v>40</v>
      </c>
      <c r="O1184" t="s">
        <v>28</v>
      </c>
      <c r="P1184" t="s">
        <v>45</v>
      </c>
      <c r="Q1184" s="6">
        <v>2.2479</v>
      </c>
      <c r="R1184">
        <v>1.68</v>
      </c>
      <c r="S1184">
        <v>17.29</v>
      </c>
      <c r="T1184">
        <v>24.98</v>
      </c>
      <c r="U1184">
        <v>72.16</v>
      </c>
      <c r="V1184">
        <v>43</v>
      </c>
      <c r="W1184">
        <v>1.72</v>
      </c>
    </row>
    <row r="1185" spans="1:23" x14ac:dyDescent="0.3">
      <c r="A1185">
        <v>1184</v>
      </c>
      <c r="B1185" t="s">
        <v>1228</v>
      </c>
      <c r="C1185" t="s">
        <v>38</v>
      </c>
      <c r="D1185">
        <v>186</v>
      </c>
      <c r="E1185">
        <v>5142</v>
      </c>
      <c r="F1185" s="3">
        <v>236</v>
      </c>
      <c r="G1185">
        <v>18</v>
      </c>
      <c r="H1185">
        <v>4</v>
      </c>
      <c r="I1185" s="5">
        <v>2.1505376344085999E-2</v>
      </c>
      <c r="J1185" s="3">
        <v>406</v>
      </c>
      <c r="K1185" s="1">
        <v>45620</v>
      </c>
      <c r="L1185" t="s">
        <v>25</v>
      </c>
      <c r="M1185" t="s">
        <v>39</v>
      </c>
      <c r="N1185" t="s">
        <v>36</v>
      </c>
      <c r="O1185" t="s">
        <v>28</v>
      </c>
      <c r="P1185" t="s">
        <v>50</v>
      </c>
      <c r="Q1185" s="6">
        <v>1.2698924731182699</v>
      </c>
      <c r="R1185">
        <v>3.62</v>
      </c>
      <c r="S1185">
        <v>13.12</v>
      </c>
      <c r="T1185">
        <v>59.05</v>
      </c>
      <c r="U1185">
        <v>71.89</v>
      </c>
      <c r="V1185">
        <v>101.5</v>
      </c>
      <c r="W1185">
        <v>1.72</v>
      </c>
    </row>
    <row r="1186" spans="1:23" x14ac:dyDescent="0.3">
      <c r="A1186">
        <v>1185</v>
      </c>
      <c r="B1186" t="s">
        <v>1229</v>
      </c>
      <c r="C1186" t="s">
        <v>43</v>
      </c>
      <c r="D1186">
        <v>130</v>
      </c>
      <c r="E1186">
        <v>3715</v>
      </c>
      <c r="F1186" s="3">
        <v>243</v>
      </c>
      <c r="G1186">
        <v>12</v>
      </c>
      <c r="H1186">
        <v>8</v>
      </c>
      <c r="I1186" s="5">
        <v>6.15384615384615E-2</v>
      </c>
      <c r="J1186" s="3">
        <v>302</v>
      </c>
      <c r="K1186" s="1">
        <v>45597</v>
      </c>
      <c r="L1186" t="s">
        <v>25</v>
      </c>
      <c r="M1186" t="s">
        <v>26</v>
      </c>
      <c r="N1186" t="s">
        <v>36</v>
      </c>
      <c r="O1186" t="s">
        <v>28</v>
      </c>
      <c r="P1186" t="s">
        <v>45</v>
      </c>
      <c r="Q1186" s="6">
        <v>1.8718461538461499</v>
      </c>
      <c r="R1186">
        <v>3.5</v>
      </c>
      <c r="S1186">
        <v>20.28</v>
      </c>
      <c r="T1186">
        <v>30.42</v>
      </c>
      <c r="U1186">
        <v>24.11</v>
      </c>
      <c r="V1186">
        <v>37.75</v>
      </c>
      <c r="W1186">
        <v>1.24</v>
      </c>
    </row>
    <row r="1187" spans="1:23" x14ac:dyDescent="0.3">
      <c r="A1187">
        <v>1186</v>
      </c>
      <c r="B1187" t="s">
        <v>1230</v>
      </c>
      <c r="C1187" t="s">
        <v>43</v>
      </c>
      <c r="D1187">
        <v>158</v>
      </c>
      <c r="E1187">
        <v>4192</v>
      </c>
      <c r="F1187" s="3">
        <v>186</v>
      </c>
      <c r="G1187">
        <v>27</v>
      </c>
      <c r="H1187">
        <v>10</v>
      </c>
      <c r="I1187" s="5">
        <v>6.3291139240506306E-2</v>
      </c>
      <c r="J1187" s="3">
        <v>402</v>
      </c>
      <c r="K1187" s="1">
        <v>45602</v>
      </c>
      <c r="L1187" t="s">
        <v>25</v>
      </c>
      <c r="M1187" t="s">
        <v>39</v>
      </c>
      <c r="N1187" t="s">
        <v>44</v>
      </c>
      <c r="O1187" t="s">
        <v>28</v>
      </c>
      <c r="P1187" t="s">
        <v>33</v>
      </c>
      <c r="Q1187" s="6">
        <v>1.17879746835443</v>
      </c>
      <c r="R1187">
        <v>3.77</v>
      </c>
      <c r="S1187">
        <v>6.9</v>
      </c>
      <c r="T1187">
        <v>18.62</v>
      </c>
      <c r="U1187">
        <v>115.84</v>
      </c>
      <c r="V1187">
        <v>40.200000000000003</v>
      </c>
      <c r="W1187">
        <v>2.16</v>
      </c>
    </row>
    <row r="1188" spans="1:23" x14ac:dyDescent="0.3">
      <c r="A1188">
        <v>1187</v>
      </c>
      <c r="B1188" t="s">
        <v>1231</v>
      </c>
      <c r="C1188" t="s">
        <v>35</v>
      </c>
      <c r="D1188">
        <v>155</v>
      </c>
      <c r="E1188">
        <v>5121</v>
      </c>
      <c r="F1188" s="3">
        <v>248</v>
      </c>
      <c r="G1188">
        <v>22</v>
      </c>
      <c r="H1188">
        <v>8</v>
      </c>
      <c r="I1188" s="5">
        <v>5.1612903225806403E-2</v>
      </c>
      <c r="J1188" s="3">
        <v>210</v>
      </c>
      <c r="K1188" s="1">
        <v>45602</v>
      </c>
      <c r="L1188" t="s">
        <v>25</v>
      </c>
      <c r="M1188" t="s">
        <v>39</v>
      </c>
      <c r="N1188" t="s">
        <v>44</v>
      </c>
      <c r="O1188" t="s">
        <v>28</v>
      </c>
      <c r="P1188" t="s">
        <v>33</v>
      </c>
      <c r="Q1188" s="6">
        <v>1.60103225806451</v>
      </c>
      <c r="R1188">
        <v>3.03</v>
      </c>
      <c r="S1188">
        <v>11.28</v>
      </c>
      <c r="T1188">
        <v>31.02</v>
      </c>
      <c r="U1188">
        <v>-15.38</v>
      </c>
      <c r="V1188">
        <v>26.25</v>
      </c>
      <c r="W1188">
        <v>0.85</v>
      </c>
    </row>
    <row r="1189" spans="1:23" x14ac:dyDescent="0.3">
      <c r="A1189">
        <v>1188</v>
      </c>
      <c r="B1189" t="s">
        <v>1232</v>
      </c>
      <c r="C1189" t="s">
        <v>38</v>
      </c>
      <c r="D1189">
        <v>190</v>
      </c>
      <c r="E1189">
        <v>5984</v>
      </c>
      <c r="F1189" s="3">
        <v>209</v>
      </c>
      <c r="G1189">
        <v>14</v>
      </c>
      <c r="H1189">
        <v>6</v>
      </c>
      <c r="I1189" s="5">
        <v>3.1578947368420998E-2</v>
      </c>
      <c r="J1189" s="3">
        <v>401</v>
      </c>
      <c r="K1189" s="1">
        <v>45602</v>
      </c>
      <c r="L1189" t="s">
        <v>25</v>
      </c>
      <c r="M1189" t="s">
        <v>26</v>
      </c>
      <c r="N1189" t="s">
        <v>32</v>
      </c>
      <c r="O1189" t="s">
        <v>28</v>
      </c>
      <c r="P1189" t="s">
        <v>33</v>
      </c>
      <c r="Q1189" s="6">
        <v>1.10184210526315</v>
      </c>
      <c r="R1189">
        <v>3.18</v>
      </c>
      <c r="S1189">
        <v>14.95</v>
      </c>
      <c r="T1189">
        <v>34.89</v>
      </c>
      <c r="U1189">
        <v>91.55</v>
      </c>
      <c r="V1189">
        <v>66.83</v>
      </c>
      <c r="W1189">
        <v>1.92</v>
      </c>
    </row>
    <row r="1190" spans="1:23" x14ac:dyDescent="0.3">
      <c r="A1190">
        <v>1189</v>
      </c>
      <c r="B1190" t="s">
        <v>1233</v>
      </c>
      <c r="C1190" t="s">
        <v>24</v>
      </c>
      <c r="D1190">
        <v>191</v>
      </c>
      <c r="E1190">
        <v>3220</v>
      </c>
      <c r="F1190" s="3">
        <v>183</v>
      </c>
      <c r="G1190">
        <v>20</v>
      </c>
      <c r="H1190">
        <v>6</v>
      </c>
      <c r="I1190" s="5">
        <v>3.1413612565444997E-2</v>
      </c>
      <c r="J1190" s="3">
        <v>396</v>
      </c>
      <c r="K1190" s="1">
        <v>45624</v>
      </c>
      <c r="L1190" t="s">
        <v>25</v>
      </c>
      <c r="M1190" t="s">
        <v>39</v>
      </c>
      <c r="N1190" t="s">
        <v>40</v>
      </c>
      <c r="O1190" t="s">
        <v>28</v>
      </c>
      <c r="P1190" t="s">
        <v>54</v>
      </c>
      <c r="Q1190" s="6">
        <v>0.95984293193717196</v>
      </c>
      <c r="R1190">
        <v>5.93</v>
      </c>
      <c r="S1190">
        <v>9.17</v>
      </c>
      <c r="T1190">
        <v>30.56</v>
      </c>
      <c r="U1190">
        <v>116</v>
      </c>
      <c r="V1190">
        <v>66</v>
      </c>
      <c r="W1190">
        <v>2.16</v>
      </c>
    </row>
    <row r="1191" spans="1:23" x14ac:dyDescent="0.3">
      <c r="A1191">
        <v>1190</v>
      </c>
      <c r="B1191" t="s">
        <v>1234</v>
      </c>
      <c r="C1191" t="s">
        <v>43</v>
      </c>
      <c r="D1191">
        <v>145</v>
      </c>
      <c r="E1191">
        <v>5761</v>
      </c>
      <c r="F1191" s="3">
        <v>202</v>
      </c>
      <c r="G1191">
        <v>17</v>
      </c>
      <c r="H1191">
        <v>3</v>
      </c>
      <c r="I1191" s="5">
        <v>2.0689655172413699E-2</v>
      </c>
      <c r="J1191" s="3">
        <v>212</v>
      </c>
      <c r="K1191" s="1">
        <v>45609</v>
      </c>
      <c r="L1191" t="s">
        <v>25</v>
      </c>
      <c r="M1191" t="s">
        <v>31</v>
      </c>
      <c r="N1191" t="s">
        <v>36</v>
      </c>
      <c r="O1191" t="s">
        <v>28</v>
      </c>
      <c r="P1191" t="s">
        <v>33</v>
      </c>
      <c r="Q1191" s="6">
        <v>1.3935862068965501</v>
      </c>
      <c r="R1191">
        <v>2.52</v>
      </c>
      <c r="S1191">
        <v>11.89</v>
      </c>
      <c r="T1191">
        <v>67.36</v>
      </c>
      <c r="U1191">
        <v>4.91</v>
      </c>
      <c r="V1191">
        <v>70.67</v>
      </c>
      <c r="W1191">
        <v>1.05</v>
      </c>
    </row>
    <row r="1192" spans="1:23" x14ac:dyDescent="0.3">
      <c r="A1192">
        <v>1191</v>
      </c>
      <c r="B1192" t="s">
        <v>1235</v>
      </c>
      <c r="C1192" t="s">
        <v>38</v>
      </c>
      <c r="D1192">
        <v>102</v>
      </c>
      <c r="E1192">
        <v>5683</v>
      </c>
      <c r="F1192" s="3">
        <v>189</v>
      </c>
      <c r="G1192">
        <v>28</v>
      </c>
      <c r="H1192">
        <v>8</v>
      </c>
      <c r="I1192" s="5">
        <v>7.8431372549019607E-2</v>
      </c>
      <c r="J1192" s="3">
        <v>331</v>
      </c>
      <c r="K1192" s="1">
        <v>45612</v>
      </c>
      <c r="L1192" t="s">
        <v>25</v>
      </c>
      <c r="M1192" t="s">
        <v>39</v>
      </c>
      <c r="N1192" t="s">
        <v>49</v>
      </c>
      <c r="O1192" t="s">
        <v>28</v>
      </c>
      <c r="P1192" t="s">
        <v>29</v>
      </c>
      <c r="Q1192" s="6">
        <v>1.85029411764705</v>
      </c>
      <c r="R1192">
        <v>1.79</v>
      </c>
      <c r="S1192">
        <v>6.74</v>
      </c>
      <c r="T1192">
        <v>23.59</v>
      </c>
      <c r="U1192">
        <v>75.38</v>
      </c>
      <c r="V1192">
        <v>41.38</v>
      </c>
      <c r="W1192">
        <v>1.75</v>
      </c>
    </row>
    <row r="1193" spans="1:23" x14ac:dyDescent="0.3">
      <c r="A1193">
        <v>1192</v>
      </c>
      <c r="B1193" t="s">
        <v>1236</v>
      </c>
      <c r="C1193" t="s">
        <v>24</v>
      </c>
      <c r="D1193">
        <v>86</v>
      </c>
      <c r="E1193">
        <v>5238</v>
      </c>
      <c r="F1193" s="3">
        <v>217</v>
      </c>
      <c r="G1193">
        <v>13</v>
      </c>
      <c r="H1193">
        <v>3</v>
      </c>
      <c r="I1193" s="5">
        <v>3.4883720930232502E-2</v>
      </c>
      <c r="J1193" s="3">
        <v>329</v>
      </c>
      <c r="K1193" s="1">
        <v>45618</v>
      </c>
      <c r="L1193" t="s">
        <v>25</v>
      </c>
      <c r="M1193" t="s">
        <v>26</v>
      </c>
      <c r="N1193" t="s">
        <v>36</v>
      </c>
      <c r="O1193" t="s">
        <v>28</v>
      </c>
      <c r="P1193" t="s">
        <v>45</v>
      </c>
      <c r="Q1193" s="6">
        <v>2.5265116279069701</v>
      </c>
      <c r="R1193">
        <v>1.64</v>
      </c>
      <c r="S1193">
        <v>16.71</v>
      </c>
      <c r="T1193">
        <v>72.430000000000007</v>
      </c>
      <c r="U1193">
        <v>51.42</v>
      </c>
      <c r="V1193">
        <v>109.67</v>
      </c>
      <c r="W1193">
        <v>1.51</v>
      </c>
    </row>
    <row r="1194" spans="1:23" x14ac:dyDescent="0.3">
      <c r="A1194">
        <v>1193</v>
      </c>
      <c r="B1194" t="s">
        <v>1237</v>
      </c>
      <c r="C1194" t="s">
        <v>35</v>
      </c>
      <c r="D1194">
        <v>115</v>
      </c>
      <c r="E1194">
        <v>5116</v>
      </c>
      <c r="F1194" s="3">
        <v>228</v>
      </c>
      <c r="G1194">
        <v>24</v>
      </c>
      <c r="H1194">
        <v>3</v>
      </c>
      <c r="I1194" s="5">
        <v>2.6086956521739101E-2</v>
      </c>
      <c r="J1194" s="3">
        <v>357</v>
      </c>
      <c r="K1194" s="1">
        <v>45611</v>
      </c>
      <c r="L1194" t="s">
        <v>25</v>
      </c>
      <c r="M1194" t="s">
        <v>26</v>
      </c>
      <c r="N1194" t="s">
        <v>27</v>
      </c>
      <c r="O1194" t="s">
        <v>28</v>
      </c>
      <c r="P1194" t="s">
        <v>45</v>
      </c>
      <c r="Q1194" s="6">
        <v>1.9805217391304299</v>
      </c>
      <c r="R1194">
        <v>2.25</v>
      </c>
      <c r="S1194">
        <v>9.49</v>
      </c>
      <c r="T1194">
        <v>75.92</v>
      </c>
      <c r="U1194">
        <v>56.74</v>
      </c>
      <c r="V1194">
        <v>119</v>
      </c>
      <c r="W1194">
        <v>1.57</v>
      </c>
    </row>
    <row r="1195" spans="1:23" x14ac:dyDescent="0.3">
      <c r="A1195">
        <v>1194</v>
      </c>
      <c r="B1195" t="s">
        <v>1238</v>
      </c>
      <c r="C1195" t="s">
        <v>35</v>
      </c>
      <c r="D1195">
        <v>83</v>
      </c>
      <c r="E1195">
        <v>4476</v>
      </c>
      <c r="F1195" s="3">
        <v>205</v>
      </c>
      <c r="G1195">
        <v>27</v>
      </c>
      <c r="H1195">
        <v>8</v>
      </c>
      <c r="I1195" s="5">
        <v>9.6385542168674704E-2</v>
      </c>
      <c r="J1195" s="3">
        <v>277</v>
      </c>
      <c r="K1195" s="1">
        <v>45598</v>
      </c>
      <c r="L1195" t="s">
        <v>25</v>
      </c>
      <c r="M1195" t="s">
        <v>39</v>
      </c>
      <c r="N1195" t="s">
        <v>44</v>
      </c>
      <c r="O1195" t="s">
        <v>28</v>
      </c>
      <c r="P1195" t="s">
        <v>29</v>
      </c>
      <c r="Q1195" s="6">
        <v>2.46843373493975</v>
      </c>
      <c r="R1195">
        <v>1.85</v>
      </c>
      <c r="S1195">
        <v>7.59</v>
      </c>
      <c r="T1195">
        <v>25.61</v>
      </c>
      <c r="U1195">
        <v>35.200000000000003</v>
      </c>
      <c r="V1195">
        <v>34.619999999999997</v>
      </c>
      <c r="W1195">
        <v>1.35</v>
      </c>
    </row>
    <row r="1196" spans="1:23" x14ac:dyDescent="0.3">
      <c r="A1196">
        <v>1195</v>
      </c>
      <c r="B1196" t="s">
        <v>1239</v>
      </c>
      <c r="C1196" t="s">
        <v>35</v>
      </c>
      <c r="D1196">
        <v>178</v>
      </c>
      <c r="E1196">
        <v>3461</v>
      </c>
      <c r="F1196" s="3">
        <v>239</v>
      </c>
      <c r="G1196">
        <v>16</v>
      </c>
      <c r="H1196">
        <v>5</v>
      </c>
      <c r="I1196" s="5">
        <v>2.8089887640449399E-2</v>
      </c>
      <c r="J1196" s="3">
        <v>270</v>
      </c>
      <c r="K1196" s="1">
        <v>45612</v>
      </c>
      <c r="L1196" t="s">
        <v>25</v>
      </c>
      <c r="M1196" t="s">
        <v>31</v>
      </c>
      <c r="N1196" t="s">
        <v>27</v>
      </c>
      <c r="O1196" t="s">
        <v>28</v>
      </c>
      <c r="P1196" t="s">
        <v>29</v>
      </c>
      <c r="Q1196" s="6">
        <v>1.3424719101123499</v>
      </c>
      <c r="R1196">
        <v>5.14</v>
      </c>
      <c r="S1196">
        <v>14.94</v>
      </c>
      <c r="T1196">
        <v>47.79</v>
      </c>
      <c r="U1196">
        <v>12.99</v>
      </c>
      <c r="V1196">
        <v>54</v>
      </c>
      <c r="W1196">
        <v>1.1299999999999999</v>
      </c>
    </row>
    <row r="1197" spans="1:23" x14ac:dyDescent="0.3">
      <c r="A1197">
        <v>1196</v>
      </c>
      <c r="B1197" t="s">
        <v>1240</v>
      </c>
      <c r="C1197" t="s">
        <v>43</v>
      </c>
      <c r="D1197">
        <v>148</v>
      </c>
      <c r="E1197">
        <v>5080</v>
      </c>
      <c r="F1197" s="3">
        <v>192</v>
      </c>
      <c r="G1197">
        <v>12</v>
      </c>
      <c r="H1197">
        <v>6</v>
      </c>
      <c r="I1197" s="5">
        <v>4.0540540540540501E-2</v>
      </c>
      <c r="J1197" s="3">
        <v>218</v>
      </c>
      <c r="K1197" s="1">
        <v>45613</v>
      </c>
      <c r="L1197" t="s">
        <v>25</v>
      </c>
      <c r="M1197" t="s">
        <v>39</v>
      </c>
      <c r="N1197" t="s">
        <v>32</v>
      </c>
      <c r="O1197" t="s">
        <v>28</v>
      </c>
      <c r="P1197" t="s">
        <v>50</v>
      </c>
      <c r="Q1197" s="6">
        <v>1.29675675675675</v>
      </c>
      <c r="R1197">
        <v>2.91</v>
      </c>
      <c r="S1197">
        <v>15.99</v>
      </c>
      <c r="T1197">
        <v>31.99</v>
      </c>
      <c r="U1197">
        <v>13.59</v>
      </c>
      <c r="V1197">
        <v>36.33</v>
      </c>
      <c r="W1197">
        <v>1.1399999999999999</v>
      </c>
    </row>
    <row r="1198" spans="1:23" x14ac:dyDescent="0.3">
      <c r="A1198">
        <v>1197</v>
      </c>
      <c r="B1198" t="s">
        <v>1241</v>
      </c>
      <c r="C1198" t="s">
        <v>38</v>
      </c>
      <c r="D1198">
        <v>101</v>
      </c>
      <c r="E1198">
        <v>3334</v>
      </c>
      <c r="F1198" s="3">
        <v>223</v>
      </c>
      <c r="G1198">
        <v>14</v>
      </c>
      <c r="H1198">
        <v>10</v>
      </c>
      <c r="I1198" s="5">
        <v>9.9009900990099001E-2</v>
      </c>
      <c r="J1198" s="3">
        <v>269</v>
      </c>
      <c r="K1198" s="1">
        <v>45599</v>
      </c>
      <c r="L1198" t="s">
        <v>25</v>
      </c>
      <c r="M1198" t="s">
        <v>39</v>
      </c>
      <c r="N1198" t="s">
        <v>32</v>
      </c>
      <c r="O1198" t="s">
        <v>28</v>
      </c>
      <c r="P1198" t="s">
        <v>50</v>
      </c>
      <c r="Q1198" s="6">
        <v>2.21</v>
      </c>
      <c r="R1198">
        <v>3.03</v>
      </c>
      <c r="S1198">
        <v>15.94</v>
      </c>
      <c r="T1198">
        <v>22.32</v>
      </c>
      <c r="U1198">
        <v>20.51</v>
      </c>
      <c r="V1198">
        <v>26.9</v>
      </c>
      <c r="W1198">
        <v>1.21</v>
      </c>
    </row>
    <row r="1199" spans="1:23" x14ac:dyDescent="0.3">
      <c r="A1199">
        <v>1198</v>
      </c>
      <c r="B1199" t="s">
        <v>1242</v>
      </c>
      <c r="C1199" t="s">
        <v>24</v>
      </c>
      <c r="D1199">
        <v>101</v>
      </c>
      <c r="E1199">
        <v>5166</v>
      </c>
      <c r="F1199" s="3">
        <v>204</v>
      </c>
      <c r="G1199">
        <v>30</v>
      </c>
      <c r="H1199">
        <v>5</v>
      </c>
      <c r="I1199" s="5">
        <v>4.95049504950495E-2</v>
      </c>
      <c r="J1199" s="3">
        <v>360</v>
      </c>
      <c r="K1199" s="1">
        <v>45609</v>
      </c>
      <c r="L1199" t="s">
        <v>25</v>
      </c>
      <c r="M1199" t="s">
        <v>26</v>
      </c>
      <c r="N1199" t="s">
        <v>40</v>
      </c>
      <c r="O1199" t="s">
        <v>28</v>
      </c>
      <c r="P1199" t="s">
        <v>33</v>
      </c>
      <c r="Q1199" s="6">
        <v>2.0172277227722701</v>
      </c>
      <c r="R1199">
        <v>1.96</v>
      </c>
      <c r="S1199">
        <v>6.79</v>
      </c>
      <c r="T1199">
        <v>40.75</v>
      </c>
      <c r="U1199">
        <v>76.7</v>
      </c>
      <c r="V1199">
        <v>72</v>
      </c>
      <c r="W1199">
        <v>1.77</v>
      </c>
    </row>
    <row r="1200" spans="1:23" x14ac:dyDescent="0.3">
      <c r="A1200">
        <v>1199</v>
      </c>
      <c r="B1200" t="s">
        <v>1243</v>
      </c>
      <c r="C1200" t="s">
        <v>24</v>
      </c>
      <c r="D1200">
        <v>113</v>
      </c>
      <c r="E1200">
        <v>5642</v>
      </c>
      <c r="F1200" s="3">
        <v>246</v>
      </c>
      <c r="G1200">
        <v>19</v>
      </c>
      <c r="H1200">
        <v>7</v>
      </c>
      <c r="I1200" s="5">
        <v>6.19469026548672E-2</v>
      </c>
      <c r="J1200" s="3">
        <v>279</v>
      </c>
      <c r="K1200" s="1">
        <v>45616</v>
      </c>
      <c r="L1200" t="s">
        <v>25</v>
      </c>
      <c r="M1200" t="s">
        <v>31</v>
      </c>
      <c r="N1200" t="s">
        <v>40</v>
      </c>
      <c r="O1200" t="s">
        <v>28</v>
      </c>
      <c r="P1200" t="s">
        <v>33</v>
      </c>
      <c r="Q1200" s="6">
        <v>2.1742477876106099</v>
      </c>
      <c r="R1200">
        <v>2</v>
      </c>
      <c r="S1200">
        <v>12.93</v>
      </c>
      <c r="T1200">
        <v>35.1</v>
      </c>
      <c r="U1200">
        <v>13.56</v>
      </c>
      <c r="V1200">
        <v>39.86</v>
      </c>
      <c r="W1200">
        <v>1.1399999999999999</v>
      </c>
    </row>
    <row r="1201" spans="1:23" x14ac:dyDescent="0.3">
      <c r="A1201">
        <v>1200</v>
      </c>
      <c r="B1201" t="s">
        <v>1244</v>
      </c>
      <c r="C1201" t="s">
        <v>35</v>
      </c>
      <c r="D1201">
        <v>97</v>
      </c>
      <c r="E1201">
        <v>5552</v>
      </c>
      <c r="F1201" s="3">
        <v>229</v>
      </c>
      <c r="G1201">
        <v>14</v>
      </c>
      <c r="H1201">
        <v>6</v>
      </c>
      <c r="I1201" s="5">
        <v>6.1855670103092703E-2</v>
      </c>
      <c r="J1201" s="3">
        <v>266</v>
      </c>
      <c r="K1201" s="1">
        <v>45603</v>
      </c>
      <c r="L1201" t="s">
        <v>25</v>
      </c>
      <c r="M1201" t="s">
        <v>26</v>
      </c>
      <c r="N1201" t="s">
        <v>49</v>
      </c>
      <c r="O1201" t="s">
        <v>28</v>
      </c>
      <c r="P1201" t="s">
        <v>54</v>
      </c>
      <c r="Q1201" s="6">
        <v>2.3605154639175199</v>
      </c>
      <c r="R1201">
        <v>1.75</v>
      </c>
      <c r="S1201">
        <v>16.36</v>
      </c>
      <c r="T1201">
        <v>38.159999999999997</v>
      </c>
      <c r="U1201">
        <v>16.170000000000002</v>
      </c>
      <c r="V1201">
        <v>44.33</v>
      </c>
      <c r="W1201">
        <v>1.1599999999999999</v>
      </c>
    </row>
    <row r="1202" spans="1:23" x14ac:dyDescent="0.3">
      <c r="A1202">
        <v>1201</v>
      </c>
      <c r="B1202" t="s">
        <v>1245</v>
      </c>
      <c r="C1202" t="s">
        <v>38</v>
      </c>
      <c r="D1202">
        <v>155</v>
      </c>
      <c r="E1202">
        <v>3662</v>
      </c>
      <c r="F1202" s="3">
        <v>208</v>
      </c>
      <c r="G1202">
        <v>23</v>
      </c>
      <c r="H1202">
        <v>4</v>
      </c>
      <c r="I1202" s="5">
        <v>2.5806451612903201E-2</v>
      </c>
      <c r="J1202" s="3">
        <v>390</v>
      </c>
      <c r="K1202" s="1">
        <v>45623</v>
      </c>
      <c r="L1202" t="s">
        <v>25</v>
      </c>
      <c r="M1202" t="s">
        <v>26</v>
      </c>
      <c r="N1202" t="s">
        <v>44</v>
      </c>
      <c r="O1202" t="s">
        <v>28</v>
      </c>
      <c r="P1202" t="s">
        <v>33</v>
      </c>
      <c r="Q1202" s="6">
        <v>1.34296774193548</v>
      </c>
      <c r="R1202">
        <v>4.2300000000000004</v>
      </c>
      <c r="S1202">
        <v>9.0500000000000007</v>
      </c>
      <c r="T1202">
        <v>52.04</v>
      </c>
      <c r="U1202">
        <v>87.36</v>
      </c>
      <c r="V1202">
        <v>97.5</v>
      </c>
      <c r="W1202">
        <v>1.87</v>
      </c>
    </row>
    <row r="1203" spans="1:23" x14ac:dyDescent="0.3">
      <c r="A1203">
        <v>1202</v>
      </c>
      <c r="B1203" t="s">
        <v>1246</v>
      </c>
      <c r="C1203" t="s">
        <v>24</v>
      </c>
      <c r="D1203">
        <v>109</v>
      </c>
      <c r="E1203">
        <v>5187</v>
      </c>
      <c r="F1203" s="3">
        <v>223</v>
      </c>
      <c r="G1203">
        <v>17</v>
      </c>
      <c r="H1203">
        <v>7</v>
      </c>
      <c r="I1203" s="5">
        <v>6.4220183486238494E-2</v>
      </c>
      <c r="J1203" s="3">
        <v>345</v>
      </c>
      <c r="K1203" s="1">
        <v>45619</v>
      </c>
      <c r="L1203" t="s">
        <v>25</v>
      </c>
      <c r="M1203" t="s">
        <v>39</v>
      </c>
      <c r="N1203" t="s">
        <v>27</v>
      </c>
      <c r="O1203" t="s">
        <v>28</v>
      </c>
      <c r="P1203" t="s">
        <v>29</v>
      </c>
      <c r="Q1203" s="6">
        <v>2.0430275229357799</v>
      </c>
      <c r="R1203">
        <v>2.1</v>
      </c>
      <c r="S1203">
        <v>13.1</v>
      </c>
      <c r="T1203">
        <v>31.81</v>
      </c>
      <c r="U1203">
        <v>54.92</v>
      </c>
      <c r="V1203">
        <v>49.29</v>
      </c>
      <c r="W1203">
        <v>1.55</v>
      </c>
    </row>
    <row r="1204" spans="1:23" x14ac:dyDescent="0.3">
      <c r="A1204">
        <v>1203</v>
      </c>
      <c r="B1204" t="s">
        <v>1247</v>
      </c>
      <c r="C1204" t="s">
        <v>35</v>
      </c>
      <c r="D1204">
        <v>181</v>
      </c>
      <c r="E1204">
        <v>3647</v>
      </c>
      <c r="F1204" s="3">
        <v>227</v>
      </c>
      <c r="G1204">
        <v>30</v>
      </c>
      <c r="H1204">
        <v>6</v>
      </c>
      <c r="I1204" s="5">
        <v>3.3149171270718203E-2</v>
      </c>
      <c r="J1204" s="3">
        <v>288</v>
      </c>
      <c r="K1204" s="1">
        <v>45626</v>
      </c>
      <c r="L1204" t="s">
        <v>25</v>
      </c>
      <c r="M1204" t="s">
        <v>26</v>
      </c>
      <c r="N1204" t="s">
        <v>32</v>
      </c>
      <c r="O1204" t="s">
        <v>28</v>
      </c>
      <c r="P1204" t="s">
        <v>29</v>
      </c>
      <c r="Q1204" s="6">
        <v>1.25618784530386</v>
      </c>
      <c r="R1204">
        <v>4.96</v>
      </c>
      <c r="S1204">
        <v>7.58</v>
      </c>
      <c r="T1204">
        <v>37.9</v>
      </c>
      <c r="U1204">
        <v>26.67</v>
      </c>
      <c r="V1204">
        <v>48</v>
      </c>
      <c r="W1204">
        <v>1.27</v>
      </c>
    </row>
    <row r="1205" spans="1:23" x14ac:dyDescent="0.3">
      <c r="A1205">
        <v>1204</v>
      </c>
      <c r="B1205" t="s">
        <v>1248</v>
      </c>
      <c r="C1205" t="s">
        <v>43</v>
      </c>
      <c r="D1205">
        <v>131</v>
      </c>
      <c r="E1205">
        <v>3626</v>
      </c>
      <c r="F1205" s="3">
        <v>194</v>
      </c>
      <c r="G1205">
        <v>27</v>
      </c>
      <c r="H1205">
        <v>3</v>
      </c>
      <c r="I1205" s="5">
        <v>2.2900763358778602E-2</v>
      </c>
      <c r="J1205" s="3">
        <v>140.142857142857</v>
      </c>
      <c r="K1205" s="1">
        <v>45621</v>
      </c>
      <c r="L1205" t="s">
        <v>25</v>
      </c>
      <c r="M1205" t="s">
        <v>39</v>
      </c>
      <c r="N1205" t="s">
        <v>36</v>
      </c>
      <c r="O1205" t="s">
        <v>28</v>
      </c>
      <c r="P1205" t="s">
        <v>59</v>
      </c>
      <c r="Q1205" s="6">
        <v>1.47847328244274</v>
      </c>
      <c r="R1205">
        <v>3.61</v>
      </c>
      <c r="S1205">
        <v>7.17</v>
      </c>
      <c r="T1205">
        <v>64.56</v>
      </c>
      <c r="U1205">
        <v>-27.64</v>
      </c>
      <c r="V1205">
        <v>46.71</v>
      </c>
      <c r="W1205">
        <v>0.72</v>
      </c>
    </row>
    <row r="1206" spans="1:23" x14ac:dyDescent="0.3">
      <c r="A1206">
        <v>1205</v>
      </c>
      <c r="B1206" t="s">
        <v>1249</v>
      </c>
      <c r="C1206" t="s">
        <v>43</v>
      </c>
      <c r="D1206">
        <v>171</v>
      </c>
      <c r="E1206">
        <v>5650</v>
      </c>
      <c r="F1206" s="3">
        <v>225</v>
      </c>
      <c r="G1206">
        <v>26</v>
      </c>
      <c r="H1206">
        <v>3</v>
      </c>
      <c r="I1206" s="5">
        <v>1.7543859649122799E-2</v>
      </c>
      <c r="J1206" s="3">
        <v>362</v>
      </c>
      <c r="K1206" s="1">
        <v>45598</v>
      </c>
      <c r="L1206" t="s">
        <v>25</v>
      </c>
      <c r="M1206" t="s">
        <v>26</v>
      </c>
      <c r="N1206" t="s">
        <v>44</v>
      </c>
      <c r="O1206" t="s">
        <v>28</v>
      </c>
      <c r="P1206" t="s">
        <v>29</v>
      </c>
      <c r="Q1206" s="6">
        <v>1.31707602339181</v>
      </c>
      <c r="R1206">
        <v>3.03</v>
      </c>
      <c r="S1206">
        <v>8.66</v>
      </c>
      <c r="T1206">
        <v>75.069999999999993</v>
      </c>
      <c r="U1206">
        <v>60.73</v>
      </c>
      <c r="V1206">
        <v>120.67</v>
      </c>
      <c r="W1206">
        <v>1.61</v>
      </c>
    </row>
    <row r="1207" spans="1:23" x14ac:dyDescent="0.3">
      <c r="A1207">
        <v>1206</v>
      </c>
      <c r="B1207" t="s">
        <v>1250</v>
      </c>
      <c r="C1207" t="s">
        <v>38</v>
      </c>
      <c r="D1207">
        <v>109</v>
      </c>
      <c r="E1207">
        <v>5219</v>
      </c>
      <c r="F1207" s="3">
        <v>216</v>
      </c>
      <c r="G1207">
        <v>15</v>
      </c>
      <c r="H1207">
        <v>3</v>
      </c>
      <c r="I1207" s="5">
        <v>2.7522935779816501E-2</v>
      </c>
      <c r="J1207" s="3">
        <v>287</v>
      </c>
      <c r="K1207" s="1">
        <v>45614</v>
      </c>
      <c r="L1207" t="s">
        <v>25</v>
      </c>
      <c r="M1207" t="s">
        <v>39</v>
      </c>
      <c r="N1207" t="s">
        <v>27</v>
      </c>
      <c r="O1207" t="s">
        <v>28</v>
      </c>
      <c r="P1207" t="s">
        <v>59</v>
      </c>
      <c r="Q1207" s="6">
        <v>1.9794495412844</v>
      </c>
      <c r="R1207">
        <v>2.09</v>
      </c>
      <c r="S1207">
        <v>14.38</v>
      </c>
      <c r="T1207">
        <v>71.92</v>
      </c>
      <c r="U1207">
        <v>33.020000000000003</v>
      </c>
      <c r="V1207">
        <v>95.67</v>
      </c>
      <c r="W1207">
        <v>1.33</v>
      </c>
    </row>
    <row r="1208" spans="1:23" x14ac:dyDescent="0.3">
      <c r="A1208">
        <v>1207</v>
      </c>
      <c r="B1208" t="s">
        <v>1251</v>
      </c>
      <c r="C1208" t="s">
        <v>24</v>
      </c>
      <c r="D1208">
        <v>191</v>
      </c>
      <c r="E1208">
        <v>3333</v>
      </c>
      <c r="F1208" s="3">
        <v>188</v>
      </c>
      <c r="G1208">
        <v>13</v>
      </c>
      <c r="H1208">
        <v>5</v>
      </c>
      <c r="I1208" s="5">
        <v>2.6178010471204102E-2</v>
      </c>
      <c r="J1208" s="3">
        <v>278</v>
      </c>
      <c r="K1208" s="1">
        <v>45622</v>
      </c>
      <c r="L1208" t="s">
        <v>25</v>
      </c>
      <c r="M1208" t="s">
        <v>26</v>
      </c>
      <c r="N1208" t="s">
        <v>27</v>
      </c>
      <c r="O1208" t="s">
        <v>28</v>
      </c>
      <c r="P1208" t="s">
        <v>41</v>
      </c>
      <c r="Q1208" s="6">
        <v>0.98277486910994705</v>
      </c>
      <c r="R1208">
        <v>5.73</v>
      </c>
      <c r="S1208">
        <v>14.44</v>
      </c>
      <c r="T1208">
        <v>37.54</v>
      </c>
      <c r="U1208">
        <v>48.1</v>
      </c>
      <c r="V1208">
        <v>55.6</v>
      </c>
      <c r="W1208">
        <v>1.48</v>
      </c>
    </row>
    <row r="1209" spans="1:23" x14ac:dyDescent="0.3">
      <c r="A1209">
        <v>1208</v>
      </c>
      <c r="B1209" t="s">
        <v>1252</v>
      </c>
      <c r="C1209" t="s">
        <v>43</v>
      </c>
      <c r="D1209">
        <v>101</v>
      </c>
      <c r="E1209">
        <v>4435</v>
      </c>
      <c r="F1209" s="3">
        <v>222</v>
      </c>
      <c r="G1209">
        <v>11</v>
      </c>
      <c r="H1209">
        <v>10</v>
      </c>
      <c r="I1209" s="5">
        <v>9.9009900990099001E-2</v>
      </c>
      <c r="J1209" s="3">
        <v>261</v>
      </c>
      <c r="K1209" s="1">
        <v>45617</v>
      </c>
      <c r="L1209" t="s">
        <v>25</v>
      </c>
      <c r="M1209" t="s">
        <v>31</v>
      </c>
      <c r="N1209" t="s">
        <v>40</v>
      </c>
      <c r="O1209" t="s">
        <v>28</v>
      </c>
      <c r="P1209" t="s">
        <v>54</v>
      </c>
      <c r="Q1209" s="6">
        <v>2.2028712871287102</v>
      </c>
      <c r="R1209">
        <v>2.2799999999999998</v>
      </c>
      <c r="S1209">
        <v>20.23</v>
      </c>
      <c r="T1209">
        <v>22.25</v>
      </c>
      <c r="U1209">
        <v>17.309999999999999</v>
      </c>
      <c r="V1209">
        <v>26.1</v>
      </c>
      <c r="W1209">
        <v>1.17</v>
      </c>
    </row>
    <row r="1210" spans="1:23" x14ac:dyDescent="0.3">
      <c r="A1210">
        <v>1209</v>
      </c>
      <c r="B1210" t="s">
        <v>1253</v>
      </c>
      <c r="C1210" t="s">
        <v>38</v>
      </c>
      <c r="D1210">
        <v>152</v>
      </c>
      <c r="E1210">
        <v>5204</v>
      </c>
      <c r="F1210" s="3">
        <v>210</v>
      </c>
      <c r="G1210">
        <v>11</v>
      </c>
      <c r="H1210">
        <v>7</v>
      </c>
      <c r="I1210" s="5">
        <v>4.6052631578947303E-2</v>
      </c>
      <c r="J1210" s="3">
        <v>327</v>
      </c>
      <c r="K1210" s="1">
        <v>45619</v>
      </c>
      <c r="L1210" t="s">
        <v>25</v>
      </c>
      <c r="M1210" t="s">
        <v>31</v>
      </c>
      <c r="N1210" t="s">
        <v>44</v>
      </c>
      <c r="O1210" t="s">
        <v>28</v>
      </c>
      <c r="P1210" t="s">
        <v>29</v>
      </c>
      <c r="Q1210" s="6">
        <v>1.38342105263157</v>
      </c>
      <c r="R1210">
        <v>2.92</v>
      </c>
      <c r="S1210">
        <v>19.12</v>
      </c>
      <c r="T1210">
        <v>30.04</v>
      </c>
      <c r="U1210">
        <v>55.51</v>
      </c>
      <c r="V1210">
        <v>46.71</v>
      </c>
      <c r="W1210">
        <v>1.56</v>
      </c>
    </row>
    <row r="1211" spans="1:23" x14ac:dyDescent="0.3">
      <c r="A1211">
        <v>1210</v>
      </c>
      <c r="B1211" t="s">
        <v>1254</v>
      </c>
      <c r="C1211" t="s">
        <v>38</v>
      </c>
      <c r="D1211">
        <v>164</v>
      </c>
      <c r="E1211">
        <v>3856</v>
      </c>
      <c r="F1211" s="3">
        <v>242</v>
      </c>
      <c r="G1211">
        <v>27</v>
      </c>
      <c r="H1211">
        <v>4</v>
      </c>
      <c r="I1211" s="5">
        <v>2.4390243902439001E-2</v>
      </c>
      <c r="J1211" s="3">
        <v>364</v>
      </c>
      <c r="K1211" s="1">
        <v>45617</v>
      </c>
      <c r="L1211" t="s">
        <v>25</v>
      </c>
      <c r="M1211" t="s">
        <v>26</v>
      </c>
      <c r="N1211" t="s">
        <v>40</v>
      </c>
      <c r="O1211" t="s">
        <v>28</v>
      </c>
      <c r="P1211" t="s">
        <v>54</v>
      </c>
      <c r="Q1211" s="6">
        <v>1.4734756097560899</v>
      </c>
      <c r="R1211">
        <v>4.25</v>
      </c>
      <c r="S1211">
        <v>8.9499999999999993</v>
      </c>
      <c r="T1211">
        <v>60.41</v>
      </c>
      <c r="U1211">
        <v>50.63</v>
      </c>
      <c r="V1211">
        <v>91</v>
      </c>
      <c r="W1211">
        <v>1.51</v>
      </c>
    </row>
    <row r="1212" spans="1:23" x14ac:dyDescent="0.3">
      <c r="A1212">
        <v>1211</v>
      </c>
      <c r="B1212" t="s">
        <v>1255</v>
      </c>
      <c r="C1212" t="s">
        <v>38</v>
      </c>
      <c r="D1212">
        <v>83</v>
      </c>
      <c r="E1212">
        <v>4143</v>
      </c>
      <c r="F1212" s="3">
        <v>203</v>
      </c>
      <c r="G1212">
        <v>23</v>
      </c>
      <c r="H1212">
        <v>10</v>
      </c>
      <c r="I1212" s="5">
        <v>0.120481927710843</v>
      </c>
      <c r="J1212" s="3">
        <v>310</v>
      </c>
      <c r="K1212" s="1">
        <v>45622</v>
      </c>
      <c r="L1212" t="s">
        <v>25</v>
      </c>
      <c r="M1212" t="s">
        <v>31</v>
      </c>
      <c r="N1212" t="s">
        <v>27</v>
      </c>
      <c r="O1212" t="s">
        <v>28</v>
      </c>
      <c r="P1212" t="s">
        <v>41</v>
      </c>
      <c r="Q1212" s="6">
        <v>2.44710843373494</v>
      </c>
      <c r="R1212">
        <v>2</v>
      </c>
      <c r="S1212">
        <v>8.83</v>
      </c>
      <c r="T1212">
        <v>20.309999999999999</v>
      </c>
      <c r="U1212">
        <v>52.63</v>
      </c>
      <c r="V1212">
        <v>31</v>
      </c>
      <c r="W1212">
        <v>1.53</v>
      </c>
    </row>
    <row r="1213" spans="1:23" x14ac:dyDescent="0.3">
      <c r="A1213">
        <v>1212</v>
      </c>
      <c r="B1213" t="s">
        <v>1256</v>
      </c>
      <c r="C1213" t="s">
        <v>43</v>
      </c>
      <c r="D1213">
        <v>199</v>
      </c>
      <c r="E1213">
        <v>5895</v>
      </c>
      <c r="F1213" s="3">
        <v>240</v>
      </c>
      <c r="G1213">
        <v>21</v>
      </c>
      <c r="H1213">
        <v>4</v>
      </c>
      <c r="I1213" s="5">
        <v>2.01005025125628E-2</v>
      </c>
      <c r="J1213" s="3">
        <v>325</v>
      </c>
      <c r="K1213" s="1">
        <v>45626</v>
      </c>
      <c r="L1213" t="s">
        <v>25</v>
      </c>
      <c r="M1213" t="s">
        <v>31</v>
      </c>
      <c r="N1213" t="s">
        <v>40</v>
      </c>
      <c r="O1213" t="s">
        <v>28</v>
      </c>
      <c r="P1213" t="s">
        <v>29</v>
      </c>
      <c r="Q1213" s="6">
        <v>1.2039698492462301</v>
      </c>
      <c r="R1213">
        <v>3.38</v>
      </c>
      <c r="S1213">
        <v>11.41</v>
      </c>
      <c r="T1213">
        <v>59.9</v>
      </c>
      <c r="U1213">
        <v>35.65</v>
      </c>
      <c r="V1213">
        <v>81.25</v>
      </c>
      <c r="W1213">
        <v>1.36</v>
      </c>
    </row>
    <row r="1214" spans="1:23" x14ac:dyDescent="0.3">
      <c r="A1214">
        <v>1213</v>
      </c>
      <c r="B1214" t="s">
        <v>1257</v>
      </c>
      <c r="C1214" t="s">
        <v>24</v>
      </c>
      <c r="D1214">
        <v>141</v>
      </c>
      <c r="E1214">
        <v>4039</v>
      </c>
      <c r="F1214" s="3">
        <v>206</v>
      </c>
      <c r="G1214">
        <v>28</v>
      </c>
      <c r="H1214">
        <v>6</v>
      </c>
      <c r="I1214" s="5">
        <v>4.2553191489361701E-2</v>
      </c>
      <c r="J1214" s="3">
        <v>249</v>
      </c>
      <c r="K1214" s="1">
        <v>45604</v>
      </c>
      <c r="L1214" t="s">
        <v>25</v>
      </c>
      <c r="M1214" t="s">
        <v>26</v>
      </c>
      <c r="N1214" t="s">
        <v>36</v>
      </c>
      <c r="O1214" t="s">
        <v>28</v>
      </c>
      <c r="P1214" t="s">
        <v>45</v>
      </c>
      <c r="Q1214" s="6">
        <v>1.4595744680850999</v>
      </c>
      <c r="R1214">
        <v>3.49</v>
      </c>
      <c r="S1214">
        <v>7.35</v>
      </c>
      <c r="T1214">
        <v>34.299999999999997</v>
      </c>
      <c r="U1214">
        <v>20.99</v>
      </c>
      <c r="V1214">
        <v>41.5</v>
      </c>
      <c r="W1214">
        <v>1.21</v>
      </c>
    </row>
    <row r="1215" spans="1:23" x14ac:dyDescent="0.3">
      <c r="A1215">
        <v>1214</v>
      </c>
      <c r="B1215" t="s">
        <v>1258</v>
      </c>
      <c r="C1215" t="s">
        <v>38</v>
      </c>
      <c r="D1215">
        <v>131</v>
      </c>
      <c r="E1215">
        <v>4773</v>
      </c>
      <c r="F1215" s="3">
        <v>215</v>
      </c>
      <c r="G1215">
        <v>26</v>
      </c>
      <c r="H1215">
        <v>7</v>
      </c>
      <c r="I1215" s="5">
        <v>5.3435114503816702E-2</v>
      </c>
      <c r="J1215" s="3">
        <v>278</v>
      </c>
      <c r="K1215" s="1">
        <v>45604</v>
      </c>
      <c r="L1215" t="s">
        <v>25</v>
      </c>
      <c r="M1215" t="s">
        <v>39</v>
      </c>
      <c r="N1215" t="s">
        <v>36</v>
      </c>
      <c r="O1215" t="s">
        <v>28</v>
      </c>
      <c r="P1215" t="s">
        <v>45</v>
      </c>
      <c r="Q1215" s="6">
        <v>1.6439694656488499</v>
      </c>
      <c r="R1215">
        <v>2.74</v>
      </c>
      <c r="S1215">
        <v>8.2799999999999994</v>
      </c>
      <c r="T1215">
        <v>30.77</v>
      </c>
      <c r="U1215">
        <v>29.09</v>
      </c>
      <c r="V1215">
        <v>39.71</v>
      </c>
      <c r="W1215">
        <v>1.29</v>
      </c>
    </row>
    <row r="1216" spans="1:23" x14ac:dyDescent="0.3">
      <c r="A1216">
        <v>1215</v>
      </c>
      <c r="B1216" t="s">
        <v>1259</v>
      </c>
      <c r="C1216" t="s">
        <v>24</v>
      </c>
      <c r="D1216">
        <v>163</v>
      </c>
      <c r="E1216">
        <v>5360</v>
      </c>
      <c r="F1216" s="3">
        <v>229</v>
      </c>
      <c r="G1216">
        <v>30</v>
      </c>
      <c r="H1216">
        <v>7</v>
      </c>
      <c r="I1216" s="5">
        <v>4.2944785276073601E-2</v>
      </c>
      <c r="J1216" s="3">
        <v>387</v>
      </c>
      <c r="K1216" s="1">
        <v>45615</v>
      </c>
      <c r="L1216" t="s">
        <v>25</v>
      </c>
      <c r="M1216" t="s">
        <v>39</v>
      </c>
      <c r="N1216" t="s">
        <v>27</v>
      </c>
      <c r="O1216" t="s">
        <v>28</v>
      </c>
      <c r="P1216" t="s">
        <v>41</v>
      </c>
      <c r="Q1216" s="6">
        <v>1.4072392638036799</v>
      </c>
      <c r="R1216">
        <v>3.04</v>
      </c>
      <c r="S1216">
        <v>7.65</v>
      </c>
      <c r="T1216">
        <v>32.770000000000003</v>
      </c>
      <c r="U1216">
        <v>68.72</v>
      </c>
      <c r="V1216">
        <v>55.29</v>
      </c>
      <c r="W1216">
        <v>1.69</v>
      </c>
    </row>
    <row r="1217" spans="1:23" x14ac:dyDescent="0.3">
      <c r="A1217">
        <v>1216</v>
      </c>
      <c r="B1217" t="s">
        <v>1260</v>
      </c>
      <c r="C1217" t="s">
        <v>24</v>
      </c>
      <c r="D1217">
        <v>164</v>
      </c>
      <c r="E1217">
        <v>5380</v>
      </c>
      <c r="F1217" s="3">
        <v>223</v>
      </c>
      <c r="G1217">
        <v>13</v>
      </c>
      <c r="H1217">
        <v>5</v>
      </c>
      <c r="I1217" s="5">
        <v>3.04878048780487E-2</v>
      </c>
      <c r="J1217" s="3">
        <v>339</v>
      </c>
      <c r="K1217" s="1">
        <v>45619</v>
      </c>
      <c r="L1217" t="s">
        <v>25</v>
      </c>
      <c r="M1217" t="s">
        <v>26</v>
      </c>
      <c r="N1217" t="s">
        <v>49</v>
      </c>
      <c r="O1217" t="s">
        <v>28</v>
      </c>
      <c r="P1217" t="s">
        <v>29</v>
      </c>
      <c r="Q1217" s="6">
        <v>1.3606707317073099</v>
      </c>
      <c r="R1217">
        <v>3.05</v>
      </c>
      <c r="S1217">
        <v>17.170000000000002</v>
      </c>
      <c r="T1217">
        <v>44.63</v>
      </c>
      <c r="U1217">
        <v>51.92</v>
      </c>
      <c r="V1217">
        <v>67.8</v>
      </c>
      <c r="W1217">
        <v>1.52</v>
      </c>
    </row>
    <row r="1218" spans="1:23" x14ac:dyDescent="0.3">
      <c r="A1218">
        <v>1217</v>
      </c>
      <c r="B1218" t="s">
        <v>1261</v>
      </c>
      <c r="C1218" t="s">
        <v>35</v>
      </c>
      <c r="D1218">
        <v>149</v>
      </c>
      <c r="E1218">
        <v>3323</v>
      </c>
      <c r="F1218" s="3">
        <v>198</v>
      </c>
      <c r="G1218">
        <v>23</v>
      </c>
      <c r="H1218">
        <v>4</v>
      </c>
      <c r="I1218" s="5">
        <v>2.68456375838926E-2</v>
      </c>
      <c r="J1218" s="3">
        <v>241</v>
      </c>
      <c r="K1218" s="1">
        <v>45613</v>
      </c>
      <c r="L1218" t="s">
        <v>25</v>
      </c>
      <c r="M1218" t="s">
        <v>31</v>
      </c>
      <c r="N1218" t="s">
        <v>36</v>
      </c>
      <c r="O1218" t="s">
        <v>28</v>
      </c>
      <c r="P1218" t="s">
        <v>50</v>
      </c>
      <c r="Q1218" s="6">
        <v>1.3272483221476501</v>
      </c>
      <c r="R1218">
        <v>4.4800000000000004</v>
      </c>
      <c r="S1218">
        <v>8.6</v>
      </c>
      <c r="T1218">
        <v>49.44</v>
      </c>
      <c r="U1218">
        <v>21.86</v>
      </c>
      <c r="V1218">
        <v>60.25</v>
      </c>
      <c r="W1218">
        <v>1.22</v>
      </c>
    </row>
    <row r="1219" spans="1:23" x14ac:dyDescent="0.3">
      <c r="A1219">
        <v>1218</v>
      </c>
      <c r="B1219" t="s">
        <v>1262</v>
      </c>
      <c r="C1219" t="s">
        <v>43</v>
      </c>
      <c r="D1219">
        <v>112</v>
      </c>
      <c r="E1219">
        <v>3870</v>
      </c>
      <c r="F1219" s="3">
        <v>215</v>
      </c>
      <c r="G1219">
        <v>26</v>
      </c>
      <c r="H1219">
        <v>6</v>
      </c>
      <c r="I1219" s="5">
        <v>5.3571428571428499E-2</v>
      </c>
      <c r="J1219" s="3">
        <v>303</v>
      </c>
      <c r="K1219" s="1">
        <v>45599</v>
      </c>
      <c r="L1219" t="s">
        <v>25</v>
      </c>
      <c r="M1219" t="s">
        <v>26</v>
      </c>
      <c r="N1219" t="s">
        <v>27</v>
      </c>
      <c r="O1219" t="s">
        <v>28</v>
      </c>
      <c r="P1219" t="s">
        <v>50</v>
      </c>
      <c r="Q1219" s="6">
        <v>1.9200892857142799</v>
      </c>
      <c r="R1219">
        <v>2.89</v>
      </c>
      <c r="S1219">
        <v>8.27</v>
      </c>
      <c r="T1219">
        <v>35.840000000000003</v>
      </c>
      <c r="U1219">
        <v>40.9</v>
      </c>
      <c r="V1219">
        <v>50.5</v>
      </c>
      <c r="W1219">
        <v>1.41</v>
      </c>
    </row>
    <row r="1220" spans="1:23" x14ac:dyDescent="0.3">
      <c r="A1220">
        <v>1219</v>
      </c>
      <c r="B1220" t="s">
        <v>1263</v>
      </c>
      <c r="C1220" t="s">
        <v>35</v>
      </c>
      <c r="D1220">
        <v>139</v>
      </c>
      <c r="E1220">
        <v>4486</v>
      </c>
      <c r="F1220" s="3">
        <v>205</v>
      </c>
      <c r="G1220">
        <v>28</v>
      </c>
      <c r="H1220">
        <v>4</v>
      </c>
      <c r="I1220" s="5">
        <v>2.8776978417266098E-2</v>
      </c>
      <c r="J1220" s="3">
        <v>378</v>
      </c>
      <c r="K1220" s="1">
        <v>45620</v>
      </c>
      <c r="L1220" t="s">
        <v>25</v>
      </c>
      <c r="M1220" t="s">
        <v>39</v>
      </c>
      <c r="N1220" t="s">
        <v>44</v>
      </c>
      <c r="O1220" t="s">
        <v>28</v>
      </c>
      <c r="P1220" t="s">
        <v>50</v>
      </c>
      <c r="Q1220" s="6">
        <v>1.4781294964028699</v>
      </c>
      <c r="R1220">
        <v>3.1</v>
      </c>
      <c r="S1220">
        <v>7.34</v>
      </c>
      <c r="T1220">
        <v>51.36</v>
      </c>
      <c r="U1220">
        <v>83.98</v>
      </c>
      <c r="V1220">
        <v>94.5</v>
      </c>
      <c r="W1220">
        <v>1.84</v>
      </c>
    </row>
    <row r="1221" spans="1:23" x14ac:dyDescent="0.3">
      <c r="A1221">
        <v>1220</v>
      </c>
      <c r="B1221" t="s">
        <v>1264</v>
      </c>
      <c r="C1221" t="s">
        <v>35</v>
      </c>
      <c r="D1221">
        <v>105</v>
      </c>
      <c r="E1221">
        <v>3384</v>
      </c>
      <c r="F1221" s="3">
        <v>240</v>
      </c>
      <c r="G1221">
        <v>26</v>
      </c>
      <c r="H1221">
        <v>8</v>
      </c>
      <c r="I1221" s="5">
        <v>7.6190476190476197E-2</v>
      </c>
      <c r="J1221" s="3">
        <v>286</v>
      </c>
      <c r="K1221" s="1">
        <v>45599</v>
      </c>
      <c r="L1221" t="s">
        <v>25</v>
      </c>
      <c r="M1221" t="s">
        <v>26</v>
      </c>
      <c r="N1221" t="s">
        <v>36</v>
      </c>
      <c r="O1221" t="s">
        <v>28</v>
      </c>
      <c r="P1221" t="s">
        <v>50</v>
      </c>
      <c r="Q1221" s="6">
        <v>2.2896190476190399</v>
      </c>
      <c r="R1221">
        <v>3.1</v>
      </c>
      <c r="S1221">
        <v>9.25</v>
      </c>
      <c r="T1221">
        <v>30.05</v>
      </c>
      <c r="U1221">
        <v>18.96</v>
      </c>
      <c r="V1221">
        <v>35.75</v>
      </c>
      <c r="W1221">
        <v>1.19</v>
      </c>
    </row>
    <row r="1222" spans="1:23" x14ac:dyDescent="0.3">
      <c r="A1222">
        <v>1221</v>
      </c>
      <c r="B1222" t="s">
        <v>1265</v>
      </c>
      <c r="C1222" t="s">
        <v>24</v>
      </c>
      <c r="D1222">
        <v>83</v>
      </c>
      <c r="E1222">
        <v>5066</v>
      </c>
      <c r="F1222" s="3">
        <v>237</v>
      </c>
      <c r="G1222">
        <v>22</v>
      </c>
      <c r="H1222">
        <v>4</v>
      </c>
      <c r="I1222" s="5">
        <v>4.8192771084337303E-2</v>
      </c>
      <c r="J1222" s="3">
        <v>181.74776785714201</v>
      </c>
      <c r="K1222" s="1">
        <v>45617</v>
      </c>
      <c r="L1222" t="s">
        <v>25</v>
      </c>
      <c r="M1222" t="s">
        <v>26</v>
      </c>
      <c r="N1222" t="s">
        <v>27</v>
      </c>
      <c r="O1222" t="s">
        <v>28</v>
      </c>
      <c r="P1222" t="s">
        <v>54</v>
      </c>
      <c r="Q1222" s="6">
        <v>2.8543373493975901</v>
      </c>
      <c r="R1222">
        <v>1.64</v>
      </c>
      <c r="S1222">
        <v>10.77</v>
      </c>
      <c r="T1222">
        <v>59.23</v>
      </c>
      <c r="U1222">
        <v>-23.28</v>
      </c>
      <c r="V1222">
        <v>45.44</v>
      </c>
      <c r="W1222">
        <v>0.77</v>
      </c>
    </row>
    <row r="1223" spans="1:23" x14ac:dyDescent="0.3">
      <c r="A1223">
        <v>1222</v>
      </c>
      <c r="B1223" t="s">
        <v>1266</v>
      </c>
      <c r="C1223" t="s">
        <v>38</v>
      </c>
      <c r="D1223">
        <v>127</v>
      </c>
      <c r="E1223">
        <v>5947</v>
      </c>
      <c r="F1223" s="3">
        <v>210</v>
      </c>
      <c r="G1223">
        <v>27</v>
      </c>
      <c r="H1223">
        <v>3</v>
      </c>
      <c r="I1223" s="5">
        <v>2.3622047244094401E-2</v>
      </c>
      <c r="J1223" s="3">
        <v>236</v>
      </c>
      <c r="K1223" s="1">
        <v>45624</v>
      </c>
      <c r="L1223" t="s">
        <v>25</v>
      </c>
      <c r="M1223" t="s">
        <v>26</v>
      </c>
      <c r="N1223" t="s">
        <v>27</v>
      </c>
      <c r="O1223" t="s">
        <v>28</v>
      </c>
      <c r="P1223" t="s">
        <v>54</v>
      </c>
      <c r="Q1223" s="6">
        <v>1.6509448818897601</v>
      </c>
      <c r="R1223">
        <v>2.14</v>
      </c>
      <c r="S1223">
        <v>7.77</v>
      </c>
      <c r="T1223">
        <v>69.89</v>
      </c>
      <c r="U1223">
        <v>12.56</v>
      </c>
      <c r="V1223">
        <v>78.67</v>
      </c>
      <c r="W1223">
        <v>1.1299999999999999</v>
      </c>
    </row>
    <row r="1224" spans="1:23" x14ac:dyDescent="0.3">
      <c r="A1224">
        <v>1223</v>
      </c>
      <c r="B1224" t="s">
        <v>1267</v>
      </c>
      <c r="C1224" t="s">
        <v>38</v>
      </c>
      <c r="D1224">
        <v>133</v>
      </c>
      <c r="E1224">
        <v>4286</v>
      </c>
      <c r="F1224" s="3">
        <v>216</v>
      </c>
      <c r="G1224">
        <v>18</v>
      </c>
      <c r="H1224">
        <v>9</v>
      </c>
      <c r="I1224" s="5">
        <v>6.7669172932330796E-2</v>
      </c>
      <c r="J1224" s="3">
        <v>375</v>
      </c>
      <c r="K1224" s="1">
        <v>45604</v>
      </c>
      <c r="L1224" t="s">
        <v>25</v>
      </c>
      <c r="M1224" t="s">
        <v>26</v>
      </c>
      <c r="N1224" t="s">
        <v>36</v>
      </c>
      <c r="O1224" t="s">
        <v>28</v>
      </c>
      <c r="P1224" t="s">
        <v>45</v>
      </c>
      <c r="Q1224" s="6">
        <v>1.6252631578947301</v>
      </c>
      <c r="R1224">
        <v>3.1</v>
      </c>
      <c r="S1224">
        <v>12.01</v>
      </c>
      <c r="T1224">
        <v>24.02</v>
      </c>
      <c r="U1224">
        <v>73.48</v>
      </c>
      <c r="V1224">
        <v>41.67</v>
      </c>
      <c r="W1224">
        <v>1.73</v>
      </c>
    </row>
    <row r="1225" spans="1:23" x14ac:dyDescent="0.3">
      <c r="A1225">
        <v>1224</v>
      </c>
      <c r="B1225" t="s">
        <v>1268</v>
      </c>
      <c r="C1225" t="s">
        <v>43</v>
      </c>
      <c r="D1225">
        <v>197</v>
      </c>
      <c r="E1225">
        <v>5733</v>
      </c>
      <c r="F1225" s="3">
        <v>185</v>
      </c>
      <c r="G1225">
        <v>14</v>
      </c>
      <c r="H1225">
        <v>5</v>
      </c>
      <c r="I1225" s="5">
        <v>2.5380710659898401E-2</v>
      </c>
      <c r="J1225" s="3">
        <v>264</v>
      </c>
      <c r="K1225" s="1">
        <v>45601</v>
      </c>
      <c r="L1225" t="s">
        <v>25</v>
      </c>
      <c r="M1225" t="s">
        <v>39</v>
      </c>
      <c r="N1225" t="s">
        <v>40</v>
      </c>
      <c r="O1225" t="s">
        <v>28</v>
      </c>
      <c r="P1225" t="s">
        <v>41</v>
      </c>
      <c r="Q1225" s="6">
        <v>0.93954314720812104</v>
      </c>
      <c r="R1225">
        <v>3.44</v>
      </c>
      <c r="S1225">
        <v>13.22</v>
      </c>
      <c r="T1225">
        <v>37.020000000000003</v>
      </c>
      <c r="U1225">
        <v>42.63</v>
      </c>
      <c r="V1225">
        <v>52.8</v>
      </c>
      <c r="W1225">
        <v>1.43</v>
      </c>
    </row>
    <row r="1226" spans="1:23" x14ac:dyDescent="0.3">
      <c r="A1226">
        <v>1225</v>
      </c>
      <c r="B1226" t="s">
        <v>1269</v>
      </c>
      <c r="C1226" t="s">
        <v>38</v>
      </c>
      <c r="D1226">
        <v>125</v>
      </c>
      <c r="E1226">
        <v>5103</v>
      </c>
      <c r="F1226" s="3">
        <v>222</v>
      </c>
      <c r="G1226">
        <v>30</v>
      </c>
      <c r="H1226">
        <v>7</v>
      </c>
      <c r="I1226" s="5">
        <v>5.6000000000000001E-2</v>
      </c>
      <c r="J1226" s="3">
        <v>285</v>
      </c>
      <c r="K1226" s="1">
        <v>45604</v>
      </c>
      <c r="L1226" t="s">
        <v>25</v>
      </c>
      <c r="M1226" t="s">
        <v>39</v>
      </c>
      <c r="N1226" t="s">
        <v>49</v>
      </c>
      <c r="O1226" t="s">
        <v>28</v>
      </c>
      <c r="P1226" t="s">
        <v>45</v>
      </c>
      <c r="Q1226" s="6">
        <v>1.7754399999999999</v>
      </c>
      <c r="R1226">
        <v>2.4500000000000002</v>
      </c>
      <c r="S1226">
        <v>7.4</v>
      </c>
      <c r="T1226">
        <v>31.7</v>
      </c>
      <c r="U1226">
        <v>28.42</v>
      </c>
      <c r="V1226">
        <v>40.71</v>
      </c>
      <c r="W1226">
        <v>1.28</v>
      </c>
    </row>
    <row r="1227" spans="1:23" x14ac:dyDescent="0.3">
      <c r="A1227">
        <v>1226</v>
      </c>
      <c r="B1227" t="s">
        <v>1270</v>
      </c>
      <c r="C1227" t="s">
        <v>38</v>
      </c>
      <c r="D1227">
        <v>147</v>
      </c>
      <c r="E1227">
        <v>5228</v>
      </c>
      <c r="F1227" s="3">
        <v>211</v>
      </c>
      <c r="G1227">
        <v>12</v>
      </c>
      <c r="H1227">
        <v>9</v>
      </c>
      <c r="I1227" s="5">
        <v>6.1224489795918297E-2</v>
      </c>
      <c r="J1227" s="3">
        <v>364</v>
      </c>
      <c r="K1227" s="1">
        <v>45624</v>
      </c>
      <c r="L1227" t="s">
        <v>25</v>
      </c>
      <c r="M1227" t="s">
        <v>26</v>
      </c>
      <c r="N1227" t="s">
        <v>40</v>
      </c>
      <c r="O1227" t="s">
        <v>28</v>
      </c>
      <c r="P1227" t="s">
        <v>54</v>
      </c>
      <c r="Q1227" s="6">
        <v>1.4349659863945501</v>
      </c>
      <c r="R1227">
        <v>2.81</v>
      </c>
      <c r="S1227">
        <v>17.579999999999998</v>
      </c>
      <c r="T1227">
        <v>23.44</v>
      </c>
      <c r="U1227">
        <v>72.56</v>
      </c>
      <c r="V1227">
        <v>40.44</v>
      </c>
      <c r="W1227">
        <v>1.73</v>
      </c>
    </row>
    <row r="1228" spans="1:23" x14ac:dyDescent="0.3">
      <c r="A1228">
        <v>1227</v>
      </c>
      <c r="B1228" t="s">
        <v>1271</v>
      </c>
      <c r="C1228" t="s">
        <v>38</v>
      </c>
      <c r="D1228">
        <v>153</v>
      </c>
      <c r="E1228">
        <v>3666</v>
      </c>
      <c r="F1228" s="3">
        <v>198</v>
      </c>
      <c r="G1228">
        <v>16</v>
      </c>
      <c r="H1228">
        <v>4</v>
      </c>
      <c r="I1228" s="5">
        <v>2.61437908496732E-2</v>
      </c>
      <c r="J1228" s="3">
        <v>371</v>
      </c>
      <c r="K1228" s="1">
        <v>45616</v>
      </c>
      <c r="L1228" t="s">
        <v>25</v>
      </c>
      <c r="M1228" t="s">
        <v>31</v>
      </c>
      <c r="N1228" t="s">
        <v>27</v>
      </c>
      <c r="O1228" t="s">
        <v>28</v>
      </c>
      <c r="P1228" t="s">
        <v>33</v>
      </c>
      <c r="Q1228" s="6">
        <v>1.29673202614379</v>
      </c>
      <c r="R1228">
        <v>4.17</v>
      </c>
      <c r="S1228">
        <v>12.4</v>
      </c>
      <c r="T1228">
        <v>49.6</v>
      </c>
      <c r="U1228">
        <v>87</v>
      </c>
      <c r="V1228">
        <v>92.75</v>
      </c>
      <c r="W1228">
        <v>1.87</v>
      </c>
    </row>
    <row r="1229" spans="1:23" x14ac:dyDescent="0.3">
      <c r="A1229">
        <v>1228</v>
      </c>
      <c r="B1229" t="s">
        <v>1272</v>
      </c>
      <c r="C1229" t="s">
        <v>24</v>
      </c>
      <c r="D1229">
        <v>196</v>
      </c>
      <c r="E1229">
        <v>3440</v>
      </c>
      <c r="F1229" s="3">
        <v>213</v>
      </c>
      <c r="G1229">
        <v>15</v>
      </c>
      <c r="H1229">
        <v>5</v>
      </c>
      <c r="I1229" s="5">
        <v>2.5510204081632602E-2</v>
      </c>
      <c r="J1229" s="3">
        <v>314</v>
      </c>
      <c r="K1229" s="1">
        <v>45622</v>
      </c>
      <c r="L1229" t="s">
        <v>25</v>
      </c>
      <c r="M1229" t="s">
        <v>39</v>
      </c>
      <c r="N1229" t="s">
        <v>27</v>
      </c>
      <c r="O1229" t="s">
        <v>28</v>
      </c>
      <c r="P1229" t="s">
        <v>41</v>
      </c>
      <c r="Q1229" s="6">
        <v>1.08663265306122</v>
      </c>
      <c r="R1229">
        <v>5.7</v>
      </c>
      <c r="S1229">
        <v>14.2</v>
      </c>
      <c r="T1229">
        <v>42.6</v>
      </c>
      <c r="U1229">
        <v>47.43</v>
      </c>
      <c r="V1229">
        <v>62.8</v>
      </c>
      <c r="W1229">
        <v>1.47</v>
      </c>
    </row>
    <row r="1230" spans="1:23" x14ac:dyDescent="0.3">
      <c r="A1230">
        <v>1229</v>
      </c>
      <c r="B1230" t="s">
        <v>1273</v>
      </c>
      <c r="C1230" t="s">
        <v>35</v>
      </c>
      <c r="D1230">
        <v>87</v>
      </c>
      <c r="E1230">
        <v>3031</v>
      </c>
      <c r="F1230" s="3">
        <v>234</v>
      </c>
      <c r="G1230">
        <v>17</v>
      </c>
      <c r="H1230">
        <v>7</v>
      </c>
      <c r="I1230" s="5">
        <v>8.04597701149425E-2</v>
      </c>
      <c r="J1230" s="3">
        <v>238</v>
      </c>
      <c r="K1230" s="1">
        <v>45601</v>
      </c>
      <c r="L1230" t="s">
        <v>25</v>
      </c>
      <c r="M1230" t="s">
        <v>26</v>
      </c>
      <c r="N1230" t="s">
        <v>36</v>
      </c>
      <c r="O1230" t="s">
        <v>28</v>
      </c>
      <c r="P1230" t="s">
        <v>41</v>
      </c>
      <c r="Q1230" s="6">
        <v>2.6925287356321799</v>
      </c>
      <c r="R1230">
        <v>2.87</v>
      </c>
      <c r="S1230">
        <v>13.78</v>
      </c>
      <c r="T1230">
        <v>33.46</v>
      </c>
      <c r="U1230">
        <v>1.6</v>
      </c>
      <c r="V1230">
        <v>34</v>
      </c>
      <c r="W1230">
        <v>1.02</v>
      </c>
    </row>
    <row r="1231" spans="1:23" x14ac:dyDescent="0.3">
      <c r="A1231">
        <v>1230</v>
      </c>
      <c r="B1231" t="s">
        <v>1274</v>
      </c>
      <c r="C1231" t="s">
        <v>24</v>
      </c>
      <c r="D1231">
        <v>151</v>
      </c>
      <c r="E1231">
        <v>5957</v>
      </c>
      <c r="F1231" s="3">
        <v>188</v>
      </c>
      <c r="G1231">
        <v>15</v>
      </c>
      <c r="H1231">
        <v>8</v>
      </c>
      <c r="I1231" s="5">
        <v>5.2980132450331098E-2</v>
      </c>
      <c r="J1231" s="3">
        <v>300</v>
      </c>
      <c r="K1231" s="1">
        <v>45621</v>
      </c>
      <c r="L1231" t="s">
        <v>25</v>
      </c>
      <c r="M1231" t="s">
        <v>39</v>
      </c>
      <c r="N1231" t="s">
        <v>49</v>
      </c>
      <c r="O1231" t="s">
        <v>28</v>
      </c>
      <c r="P1231" t="s">
        <v>59</v>
      </c>
      <c r="Q1231" s="6">
        <v>1.2464900662251599</v>
      </c>
      <c r="R1231">
        <v>2.5299999999999998</v>
      </c>
      <c r="S1231">
        <v>12.55</v>
      </c>
      <c r="T1231">
        <v>23.53</v>
      </c>
      <c r="U1231">
        <v>59.39</v>
      </c>
      <c r="V1231">
        <v>37.5</v>
      </c>
      <c r="W1231">
        <v>1.59</v>
      </c>
    </row>
    <row r="1232" spans="1:23" x14ac:dyDescent="0.3">
      <c r="A1232">
        <v>1231</v>
      </c>
      <c r="B1232" t="s">
        <v>1275</v>
      </c>
      <c r="C1232" t="s">
        <v>38</v>
      </c>
      <c r="D1232">
        <v>93</v>
      </c>
      <c r="E1232">
        <v>4689</v>
      </c>
      <c r="F1232" s="3">
        <v>198</v>
      </c>
      <c r="G1232">
        <v>15</v>
      </c>
      <c r="H1232">
        <v>4</v>
      </c>
      <c r="I1232" s="5">
        <v>4.3010752688171998E-2</v>
      </c>
      <c r="J1232" s="3">
        <v>219</v>
      </c>
      <c r="K1232" s="1">
        <v>45621</v>
      </c>
      <c r="L1232" t="s">
        <v>25</v>
      </c>
      <c r="M1232" t="s">
        <v>31</v>
      </c>
      <c r="N1232" t="s">
        <v>36</v>
      </c>
      <c r="O1232" t="s">
        <v>28</v>
      </c>
      <c r="P1232" t="s">
        <v>59</v>
      </c>
      <c r="Q1232" s="6">
        <v>2.1240860215053701</v>
      </c>
      <c r="R1232">
        <v>1.98</v>
      </c>
      <c r="S1232">
        <v>13.17</v>
      </c>
      <c r="T1232">
        <v>49.38</v>
      </c>
      <c r="U1232">
        <v>10.86</v>
      </c>
      <c r="V1232">
        <v>54.75</v>
      </c>
      <c r="W1232">
        <v>1.1100000000000001</v>
      </c>
    </row>
    <row r="1233" spans="1:23" x14ac:dyDescent="0.3">
      <c r="A1233">
        <v>1232</v>
      </c>
      <c r="B1233" t="s">
        <v>1276</v>
      </c>
      <c r="C1233" t="s">
        <v>35</v>
      </c>
      <c r="D1233">
        <v>145</v>
      </c>
      <c r="E1233">
        <v>3085</v>
      </c>
      <c r="F1233" s="3">
        <v>195</v>
      </c>
      <c r="G1233">
        <v>26</v>
      </c>
      <c r="H1233">
        <v>5</v>
      </c>
      <c r="I1233" s="5">
        <v>3.4482758620689599E-2</v>
      </c>
      <c r="J1233" s="3">
        <v>341</v>
      </c>
      <c r="K1233" s="1">
        <v>45620</v>
      </c>
      <c r="L1233" t="s">
        <v>25</v>
      </c>
      <c r="M1233" t="s">
        <v>26</v>
      </c>
      <c r="N1233" t="s">
        <v>44</v>
      </c>
      <c r="O1233" t="s">
        <v>28</v>
      </c>
      <c r="P1233" t="s">
        <v>50</v>
      </c>
      <c r="Q1233" s="6">
        <v>1.3445517241379299</v>
      </c>
      <c r="R1233">
        <v>4.7</v>
      </c>
      <c r="S1233">
        <v>7.5</v>
      </c>
      <c r="T1233">
        <v>38.99</v>
      </c>
      <c r="U1233">
        <v>74.91</v>
      </c>
      <c r="V1233">
        <v>68.2</v>
      </c>
      <c r="W1233">
        <v>1.75</v>
      </c>
    </row>
    <row r="1234" spans="1:23" x14ac:dyDescent="0.3">
      <c r="A1234">
        <v>1233</v>
      </c>
      <c r="B1234" t="s">
        <v>1277</v>
      </c>
      <c r="C1234" t="s">
        <v>43</v>
      </c>
      <c r="D1234">
        <v>128</v>
      </c>
      <c r="E1234">
        <v>3341</v>
      </c>
      <c r="F1234" s="3">
        <v>186</v>
      </c>
      <c r="G1234">
        <v>25</v>
      </c>
      <c r="H1234">
        <v>5</v>
      </c>
      <c r="I1234" s="5">
        <v>3.90625E-2</v>
      </c>
      <c r="J1234" s="3">
        <v>309</v>
      </c>
      <c r="K1234" s="1">
        <v>45616</v>
      </c>
      <c r="L1234" t="s">
        <v>25</v>
      </c>
      <c r="M1234" t="s">
        <v>39</v>
      </c>
      <c r="N1234" t="s">
        <v>44</v>
      </c>
      <c r="O1234" t="s">
        <v>28</v>
      </c>
      <c r="P1234" t="s">
        <v>33</v>
      </c>
      <c r="Q1234" s="6">
        <v>1.4497656249999999</v>
      </c>
      <c r="R1234">
        <v>3.83</v>
      </c>
      <c r="S1234">
        <v>7.42</v>
      </c>
      <c r="T1234">
        <v>37.11</v>
      </c>
      <c r="U1234">
        <v>66.510000000000005</v>
      </c>
      <c r="V1234">
        <v>61.8</v>
      </c>
      <c r="W1234">
        <v>1.67</v>
      </c>
    </row>
    <row r="1235" spans="1:23" x14ac:dyDescent="0.3">
      <c r="A1235">
        <v>1234</v>
      </c>
      <c r="B1235" t="s">
        <v>1278</v>
      </c>
      <c r="C1235" t="s">
        <v>24</v>
      </c>
      <c r="D1235">
        <v>134</v>
      </c>
      <c r="E1235">
        <v>5521</v>
      </c>
      <c r="F1235" s="3">
        <v>244</v>
      </c>
      <c r="G1235">
        <v>15</v>
      </c>
      <c r="H1235">
        <v>3</v>
      </c>
      <c r="I1235" s="5">
        <v>2.2388059701492501E-2</v>
      </c>
      <c r="J1235" s="3">
        <v>338</v>
      </c>
      <c r="K1235" s="1">
        <v>45620</v>
      </c>
      <c r="L1235" t="s">
        <v>25</v>
      </c>
      <c r="M1235" t="s">
        <v>26</v>
      </c>
      <c r="N1235" t="s">
        <v>44</v>
      </c>
      <c r="O1235" t="s">
        <v>28</v>
      </c>
      <c r="P1235" t="s">
        <v>50</v>
      </c>
      <c r="Q1235" s="6">
        <v>1.81768656716417</v>
      </c>
      <c r="R1235">
        <v>2.4300000000000002</v>
      </c>
      <c r="S1235">
        <v>16.239999999999998</v>
      </c>
      <c r="T1235">
        <v>81.19</v>
      </c>
      <c r="U1235">
        <v>38.770000000000003</v>
      </c>
      <c r="V1235">
        <v>112.67</v>
      </c>
      <c r="W1235">
        <v>1.39</v>
      </c>
    </row>
    <row r="1236" spans="1:23" x14ac:dyDescent="0.3">
      <c r="A1236">
        <v>1235</v>
      </c>
      <c r="B1236" t="s">
        <v>1279</v>
      </c>
      <c r="C1236" t="s">
        <v>35</v>
      </c>
      <c r="D1236">
        <v>104</v>
      </c>
      <c r="E1236">
        <v>3696</v>
      </c>
      <c r="F1236" s="3">
        <v>207</v>
      </c>
      <c r="G1236">
        <v>28</v>
      </c>
      <c r="H1236">
        <v>5</v>
      </c>
      <c r="I1236" s="5">
        <v>4.8076923076923003E-2</v>
      </c>
      <c r="J1236" s="3">
        <v>405</v>
      </c>
      <c r="K1236" s="1">
        <v>45607</v>
      </c>
      <c r="L1236" t="s">
        <v>25</v>
      </c>
      <c r="M1236" t="s">
        <v>26</v>
      </c>
      <c r="N1236" t="s">
        <v>40</v>
      </c>
      <c r="O1236" t="s">
        <v>28</v>
      </c>
      <c r="P1236" t="s">
        <v>59</v>
      </c>
      <c r="Q1236" s="6">
        <v>1.9859615384615299</v>
      </c>
      <c r="R1236">
        <v>2.81</v>
      </c>
      <c r="S1236">
        <v>7.38</v>
      </c>
      <c r="T1236">
        <v>41.31</v>
      </c>
      <c r="U1236">
        <v>96.09</v>
      </c>
      <c r="V1236">
        <v>81</v>
      </c>
      <c r="W1236">
        <v>1.96</v>
      </c>
    </row>
    <row r="1237" spans="1:23" x14ac:dyDescent="0.3">
      <c r="A1237">
        <v>1236</v>
      </c>
      <c r="B1237" t="s">
        <v>1280</v>
      </c>
      <c r="C1237" t="s">
        <v>38</v>
      </c>
      <c r="D1237">
        <v>177</v>
      </c>
      <c r="E1237">
        <v>3765</v>
      </c>
      <c r="F1237" s="3">
        <v>216</v>
      </c>
      <c r="G1237">
        <v>26</v>
      </c>
      <c r="H1237">
        <v>10</v>
      </c>
      <c r="I1237" s="5">
        <v>5.6497175141242903E-2</v>
      </c>
      <c r="J1237" s="3">
        <v>308</v>
      </c>
      <c r="K1237" s="1">
        <v>45616</v>
      </c>
      <c r="L1237" t="s">
        <v>25</v>
      </c>
      <c r="M1237" t="s">
        <v>39</v>
      </c>
      <c r="N1237" t="s">
        <v>36</v>
      </c>
      <c r="O1237" t="s">
        <v>28</v>
      </c>
      <c r="P1237" t="s">
        <v>33</v>
      </c>
      <c r="Q1237" s="6">
        <v>1.22305084745762</v>
      </c>
      <c r="R1237">
        <v>4.7</v>
      </c>
      <c r="S1237">
        <v>8.33</v>
      </c>
      <c r="T1237">
        <v>21.65</v>
      </c>
      <c r="U1237">
        <v>42.28</v>
      </c>
      <c r="V1237">
        <v>30.8</v>
      </c>
      <c r="W1237">
        <v>1.42</v>
      </c>
    </row>
    <row r="1238" spans="1:23" x14ac:dyDescent="0.3">
      <c r="A1238">
        <v>1237</v>
      </c>
      <c r="B1238" t="s">
        <v>1281</v>
      </c>
      <c r="C1238" t="s">
        <v>24</v>
      </c>
      <c r="D1238">
        <v>94</v>
      </c>
      <c r="E1238">
        <v>5455</v>
      </c>
      <c r="F1238" s="3">
        <v>249</v>
      </c>
      <c r="G1238">
        <v>15</v>
      </c>
      <c r="H1238">
        <v>3</v>
      </c>
      <c r="I1238" s="5">
        <v>3.1914893617021198E-2</v>
      </c>
      <c r="J1238" s="3">
        <v>140.142857142857</v>
      </c>
      <c r="K1238" s="1">
        <v>45610</v>
      </c>
      <c r="L1238" t="s">
        <v>25</v>
      </c>
      <c r="M1238" t="s">
        <v>31</v>
      </c>
      <c r="N1238" t="s">
        <v>49</v>
      </c>
      <c r="O1238" t="s">
        <v>28</v>
      </c>
      <c r="P1238" t="s">
        <v>54</v>
      </c>
      <c r="Q1238" s="6">
        <v>2.6498936170212701</v>
      </c>
      <c r="R1238">
        <v>1.72</v>
      </c>
      <c r="S1238">
        <v>16.61</v>
      </c>
      <c r="T1238">
        <v>83.03</v>
      </c>
      <c r="U1238">
        <v>-43.74</v>
      </c>
      <c r="V1238">
        <v>46.71</v>
      </c>
      <c r="W1238">
        <v>0.56000000000000005</v>
      </c>
    </row>
    <row r="1239" spans="1:23" x14ac:dyDescent="0.3">
      <c r="A1239">
        <v>1238</v>
      </c>
      <c r="B1239" t="s">
        <v>1282</v>
      </c>
      <c r="C1239" t="s">
        <v>35</v>
      </c>
      <c r="D1239">
        <v>198</v>
      </c>
      <c r="E1239">
        <v>5260</v>
      </c>
      <c r="F1239" s="3">
        <v>206</v>
      </c>
      <c r="G1239">
        <v>13</v>
      </c>
      <c r="H1239">
        <v>10</v>
      </c>
      <c r="I1239" s="5">
        <v>5.0505050505050497E-2</v>
      </c>
      <c r="J1239" s="3">
        <v>360</v>
      </c>
      <c r="K1239" s="1">
        <v>45608</v>
      </c>
      <c r="L1239" t="s">
        <v>25</v>
      </c>
      <c r="M1239" t="s">
        <v>26</v>
      </c>
      <c r="N1239" t="s">
        <v>49</v>
      </c>
      <c r="O1239" t="s">
        <v>28</v>
      </c>
      <c r="P1239" t="s">
        <v>41</v>
      </c>
      <c r="Q1239" s="6">
        <v>1.0380303030303</v>
      </c>
      <c r="R1239">
        <v>3.76</v>
      </c>
      <c r="S1239">
        <v>15.81</v>
      </c>
      <c r="T1239">
        <v>20.55</v>
      </c>
      <c r="U1239">
        <v>75.16</v>
      </c>
      <c r="V1239">
        <v>36</v>
      </c>
      <c r="W1239">
        <v>1.75</v>
      </c>
    </row>
    <row r="1240" spans="1:23" x14ac:dyDescent="0.3">
      <c r="A1240">
        <v>1239</v>
      </c>
      <c r="B1240" t="s">
        <v>1283</v>
      </c>
      <c r="C1240" t="s">
        <v>35</v>
      </c>
      <c r="D1240">
        <v>140</v>
      </c>
      <c r="E1240">
        <v>4404</v>
      </c>
      <c r="F1240" s="3">
        <v>186</v>
      </c>
      <c r="G1240">
        <v>23</v>
      </c>
      <c r="H1240">
        <v>6</v>
      </c>
      <c r="I1240" s="5">
        <v>4.2857142857142802E-2</v>
      </c>
      <c r="J1240" s="3">
        <v>332</v>
      </c>
      <c r="K1240" s="1">
        <v>45605</v>
      </c>
      <c r="L1240" t="s">
        <v>25</v>
      </c>
      <c r="M1240" t="s">
        <v>39</v>
      </c>
      <c r="N1240" t="s">
        <v>49</v>
      </c>
      <c r="O1240" t="s">
        <v>28</v>
      </c>
      <c r="P1240" t="s">
        <v>29</v>
      </c>
      <c r="Q1240" s="6">
        <v>1.3286428571428499</v>
      </c>
      <c r="R1240">
        <v>3.18</v>
      </c>
      <c r="S1240">
        <v>8.09</v>
      </c>
      <c r="T1240">
        <v>31</v>
      </c>
      <c r="U1240">
        <v>78.489999999999995</v>
      </c>
      <c r="V1240">
        <v>55.33</v>
      </c>
      <c r="W1240">
        <v>1.78</v>
      </c>
    </row>
    <row r="1241" spans="1:23" x14ac:dyDescent="0.3">
      <c r="A1241">
        <v>1240</v>
      </c>
      <c r="B1241" t="s">
        <v>1284</v>
      </c>
      <c r="C1241" t="s">
        <v>38</v>
      </c>
      <c r="D1241">
        <v>137</v>
      </c>
      <c r="E1241">
        <v>5445</v>
      </c>
      <c r="F1241" s="3">
        <v>238</v>
      </c>
      <c r="G1241">
        <v>20</v>
      </c>
      <c r="H1241">
        <v>5</v>
      </c>
      <c r="I1241" s="5">
        <v>3.6496350364963501E-2</v>
      </c>
      <c r="J1241" s="3">
        <v>389</v>
      </c>
      <c r="K1241" s="1">
        <v>45621</v>
      </c>
      <c r="L1241" t="s">
        <v>25</v>
      </c>
      <c r="M1241" t="s">
        <v>39</v>
      </c>
      <c r="N1241" t="s">
        <v>27</v>
      </c>
      <c r="O1241" t="s">
        <v>28</v>
      </c>
      <c r="P1241" t="s">
        <v>59</v>
      </c>
      <c r="Q1241" s="6">
        <v>1.7336496350364901</v>
      </c>
      <c r="R1241">
        <v>2.52</v>
      </c>
      <c r="S1241">
        <v>11.88</v>
      </c>
      <c r="T1241">
        <v>47.5</v>
      </c>
      <c r="U1241">
        <v>63.78</v>
      </c>
      <c r="V1241">
        <v>77.8</v>
      </c>
      <c r="W1241">
        <v>1.64</v>
      </c>
    </row>
    <row r="1242" spans="1:23" x14ac:dyDescent="0.3">
      <c r="A1242">
        <v>1241</v>
      </c>
      <c r="B1242" t="s">
        <v>1285</v>
      </c>
      <c r="C1242" t="s">
        <v>38</v>
      </c>
      <c r="D1242">
        <v>153</v>
      </c>
      <c r="E1242">
        <v>3068</v>
      </c>
      <c r="F1242" s="3">
        <v>236</v>
      </c>
      <c r="G1242">
        <v>25</v>
      </c>
      <c r="H1242">
        <v>8</v>
      </c>
      <c r="I1242" s="5">
        <v>5.22875816993464E-2</v>
      </c>
      <c r="J1242" s="3">
        <v>238</v>
      </c>
      <c r="K1242" s="1">
        <v>45615</v>
      </c>
      <c r="L1242" t="s">
        <v>25</v>
      </c>
      <c r="M1242" t="s">
        <v>39</v>
      </c>
      <c r="N1242" t="s">
        <v>49</v>
      </c>
      <c r="O1242" t="s">
        <v>28</v>
      </c>
      <c r="P1242" t="s">
        <v>41</v>
      </c>
      <c r="Q1242" s="6">
        <v>1.5454545454545401</v>
      </c>
      <c r="R1242">
        <v>4.99</v>
      </c>
      <c r="S1242">
        <v>9.4600000000000009</v>
      </c>
      <c r="T1242">
        <v>29.56</v>
      </c>
      <c r="U1242">
        <v>0.65</v>
      </c>
      <c r="V1242">
        <v>29.75</v>
      </c>
      <c r="W1242">
        <v>1.01</v>
      </c>
    </row>
    <row r="1243" spans="1:23" x14ac:dyDescent="0.3">
      <c r="A1243">
        <v>1242</v>
      </c>
      <c r="B1243" t="s">
        <v>1286</v>
      </c>
      <c r="C1243" t="s">
        <v>35</v>
      </c>
      <c r="D1243">
        <v>177</v>
      </c>
      <c r="E1243">
        <v>5837</v>
      </c>
      <c r="F1243" s="3">
        <v>240</v>
      </c>
      <c r="G1243">
        <v>26</v>
      </c>
      <c r="H1243">
        <v>10</v>
      </c>
      <c r="I1243" s="5">
        <v>5.6497175141242903E-2</v>
      </c>
      <c r="J1243" s="3">
        <v>467.142857142857</v>
      </c>
      <c r="K1243" s="1">
        <v>45604</v>
      </c>
      <c r="L1243" t="s">
        <v>25</v>
      </c>
      <c r="M1243" t="s">
        <v>31</v>
      </c>
      <c r="N1243" t="s">
        <v>40</v>
      </c>
      <c r="O1243" t="s">
        <v>28</v>
      </c>
      <c r="P1243" t="s">
        <v>45</v>
      </c>
      <c r="Q1243" s="6">
        <v>1.3564406779661</v>
      </c>
      <c r="R1243">
        <v>3.03</v>
      </c>
      <c r="S1243">
        <v>9.23</v>
      </c>
      <c r="T1243">
        <v>24.01</v>
      </c>
      <c r="U1243">
        <v>94.57</v>
      </c>
      <c r="V1243">
        <v>46.71</v>
      </c>
      <c r="W1243">
        <v>1.95</v>
      </c>
    </row>
    <row r="1244" spans="1:23" x14ac:dyDescent="0.3">
      <c r="A1244">
        <v>1243</v>
      </c>
      <c r="B1244" t="s">
        <v>1287</v>
      </c>
      <c r="C1244" t="s">
        <v>24</v>
      </c>
      <c r="D1244">
        <v>100</v>
      </c>
      <c r="E1244">
        <v>4042</v>
      </c>
      <c r="F1244" s="3">
        <v>157</v>
      </c>
      <c r="G1244">
        <v>13</v>
      </c>
      <c r="H1244">
        <v>6</v>
      </c>
      <c r="I1244" s="5">
        <v>0.06</v>
      </c>
      <c r="J1244" s="3">
        <v>342</v>
      </c>
      <c r="K1244" s="1">
        <v>45614</v>
      </c>
      <c r="L1244" t="s">
        <v>25</v>
      </c>
      <c r="M1244" t="s">
        <v>26</v>
      </c>
      <c r="N1244" t="s">
        <v>49</v>
      </c>
      <c r="O1244" t="s">
        <v>28</v>
      </c>
      <c r="P1244" t="s">
        <v>59</v>
      </c>
      <c r="Q1244" s="6">
        <v>1.56753061615001</v>
      </c>
      <c r="R1244">
        <v>2.4700000000000002</v>
      </c>
      <c r="S1244">
        <v>12.06</v>
      </c>
      <c r="T1244">
        <v>26.13</v>
      </c>
      <c r="U1244">
        <v>118.18</v>
      </c>
      <c r="V1244">
        <v>57</v>
      </c>
      <c r="W1244">
        <v>2.1800000000000002</v>
      </c>
    </row>
    <row r="1245" spans="1:23" x14ac:dyDescent="0.3">
      <c r="A1245">
        <v>1244</v>
      </c>
      <c r="B1245" t="s">
        <v>1288</v>
      </c>
      <c r="C1245" t="s">
        <v>35</v>
      </c>
      <c r="D1245">
        <v>160</v>
      </c>
      <c r="E1245">
        <v>5645</v>
      </c>
      <c r="F1245" s="3">
        <v>195</v>
      </c>
      <c r="G1245">
        <v>25</v>
      </c>
      <c r="H1245">
        <v>6</v>
      </c>
      <c r="I1245" s="5">
        <v>3.7499999999999999E-2</v>
      </c>
      <c r="J1245" s="3">
        <v>327</v>
      </c>
      <c r="K1245" s="1">
        <v>45612</v>
      </c>
      <c r="L1245" t="s">
        <v>25</v>
      </c>
      <c r="M1245" t="s">
        <v>39</v>
      </c>
      <c r="N1245" t="s">
        <v>36</v>
      </c>
      <c r="O1245" t="s">
        <v>28</v>
      </c>
      <c r="P1245" t="s">
        <v>29</v>
      </c>
      <c r="Q1245" s="6">
        <v>1.2213749999999901</v>
      </c>
      <c r="R1245">
        <v>2.83</v>
      </c>
      <c r="S1245">
        <v>7.82</v>
      </c>
      <c r="T1245">
        <v>32.57</v>
      </c>
      <c r="U1245">
        <v>67.33</v>
      </c>
      <c r="V1245">
        <v>54.5</v>
      </c>
      <c r="W1245">
        <v>1.67</v>
      </c>
    </row>
    <row r="1246" spans="1:23" x14ac:dyDescent="0.3">
      <c r="A1246">
        <v>1245</v>
      </c>
      <c r="B1246" t="s">
        <v>1289</v>
      </c>
      <c r="C1246" t="s">
        <v>38</v>
      </c>
      <c r="D1246">
        <v>194</v>
      </c>
      <c r="E1246">
        <v>3751</v>
      </c>
      <c r="F1246" s="3">
        <v>244</v>
      </c>
      <c r="G1246">
        <v>23</v>
      </c>
      <c r="H1246">
        <v>5</v>
      </c>
      <c r="I1246" s="5">
        <v>2.5773195876288599E-2</v>
      </c>
      <c r="J1246" s="3">
        <v>233.57142857142799</v>
      </c>
      <c r="K1246" s="1">
        <v>45598</v>
      </c>
      <c r="L1246" t="s">
        <v>25</v>
      </c>
      <c r="M1246" t="s">
        <v>31</v>
      </c>
      <c r="N1246" t="s">
        <v>36</v>
      </c>
      <c r="O1246" t="s">
        <v>28</v>
      </c>
      <c r="P1246" t="s">
        <v>29</v>
      </c>
      <c r="Q1246" s="6">
        <v>1.25948453608247</v>
      </c>
      <c r="R1246">
        <v>5.17</v>
      </c>
      <c r="S1246">
        <v>10.62</v>
      </c>
      <c r="T1246">
        <v>48.87</v>
      </c>
      <c r="U1246">
        <v>-4.41</v>
      </c>
      <c r="V1246">
        <v>46.71</v>
      </c>
      <c r="W1246">
        <v>0.96</v>
      </c>
    </row>
    <row r="1247" spans="1:23" x14ac:dyDescent="0.3">
      <c r="A1247">
        <v>1246</v>
      </c>
      <c r="B1247" t="s">
        <v>1290</v>
      </c>
      <c r="C1247" t="s">
        <v>43</v>
      </c>
      <c r="D1247">
        <v>128</v>
      </c>
      <c r="E1247">
        <v>5010</v>
      </c>
      <c r="F1247" s="3">
        <v>202</v>
      </c>
      <c r="G1247">
        <v>26</v>
      </c>
      <c r="H1247">
        <v>7</v>
      </c>
      <c r="I1247" s="5">
        <v>5.46875E-2</v>
      </c>
      <c r="J1247" s="3">
        <v>327</v>
      </c>
      <c r="K1247" s="1">
        <v>45612</v>
      </c>
      <c r="L1247" t="s">
        <v>25</v>
      </c>
      <c r="M1247" t="s">
        <v>39</v>
      </c>
      <c r="N1247" t="s">
        <v>40</v>
      </c>
      <c r="O1247" t="s">
        <v>28</v>
      </c>
      <c r="P1247" t="s">
        <v>29</v>
      </c>
      <c r="Q1247" s="6">
        <v>1.58078125</v>
      </c>
      <c r="R1247">
        <v>2.5499999999999998</v>
      </c>
      <c r="S1247">
        <v>7.78</v>
      </c>
      <c r="T1247">
        <v>28.91</v>
      </c>
      <c r="U1247">
        <v>61.61</v>
      </c>
      <c r="V1247">
        <v>46.71</v>
      </c>
      <c r="W1247">
        <v>1.62</v>
      </c>
    </row>
    <row r="1248" spans="1:23" x14ac:dyDescent="0.3">
      <c r="A1248">
        <v>1247</v>
      </c>
      <c r="B1248" t="s">
        <v>1291</v>
      </c>
      <c r="C1248" t="s">
        <v>43</v>
      </c>
      <c r="D1248">
        <v>80</v>
      </c>
      <c r="E1248">
        <v>4506</v>
      </c>
      <c r="F1248" s="3">
        <v>236</v>
      </c>
      <c r="G1248">
        <v>11</v>
      </c>
      <c r="H1248">
        <v>5</v>
      </c>
      <c r="I1248" s="5">
        <v>6.25E-2</v>
      </c>
      <c r="J1248" s="3">
        <v>399</v>
      </c>
      <c r="K1248" s="1">
        <v>45616</v>
      </c>
      <c r="L1248" t="s">
        <v>25</v>
      </c>
      <c r="M1248" t="s">
        <v>26</v>
      </c>
      <c r="N1248" t="s">
        <v>32</v>
      </c>
      <c r="O1248" t="s">
        <v>28</v>
      </c>
      <c r="P1248" t="s">
        <v>33</v>
      </c>
      <c r="Q1248" s="6">
        <v>2.9558749999999998</v>
      </c>
      <c r="R1248">
        <v>1.78</v>
      </c>
      <c r="S1248">
        <v>21.5</v>
      </c>
      <c r="T1248">
        <v>47.29</v>
      </c>
      <c r="U1248">
        <v>68.73</v>
      </c>
      <c r="V1248">
        <v>79.8</v>
      </c>
      <c r="W1248">
        <v>1.69</v>
      </c>
    </row>
    <row r="1249" spans="1:23" x14ac:dyDescent="0.3">
      <c r="A1249">
        <v>1248</v>
      </c>
      <c r="B1249" t="s">
        <v>1292</v>
      </c>
      <c r="C1249" t="s">
        <v>24</v>
      </c>
      <c r="D1249">
        <v>81</v>
      </c>
      <c r="E1249">
        <v>5843</v>
      </c>
      <c r="F1249" s="3">
        <v>210</v>
      </c>
      <c r="G1249">
        <v>10</v>
      </c>
      <c r="H1249">
        <v>9</v>
      </c>
      <c r="I1249" s="5">
        <v>0.11111111111111099</v>
      </c>
      <c r="J1249" s="3">
        <v>404</v>
      </c>
      <c r="K1249" s="1">
        <v>45605</v>
      </c>
      <c r="L1249" t="s">
        <v>25</v>
      </c>
      <c r="M1249" t="s">
        <v>39</v>
      </c>
      <c r="N1249" t="s">
        <v>40</v>
      </c>
      <c r="O1249" t="s">
        <v>28</v>
      </c>
      <c r="P1249" t="s">
        <v>29</v>
      </c>
      <c r="Q1249" s="6">
        <v>2.5869135802469101</v>
      </c>
      <c r="R1249">
        <v>1.39</v>
      </c>
      <c r="S1249">
        <v>20.95</v>
      </c>
      <c r="T1249">
        <v>23.28</v>
      </c>
      <c r="U1249">
        <v>92.8</v>
      </c>
      <c r="V1249">
        <v>44.89</v>
      </c>
      <c r="W1249">
        <v>1.93</v>
      </c>
    </row>
    <row r="1250" spans="1:23" x14ac:dyDescent="0.3">
      <c r="A1250">
        <v>1249</v>
      </c>
      <c r="B1250" t="s">
        <v>1293</v>
      </c>
      <c r="C1250" t="s">
        <v>38</v>
      </c>
      <c r="D1250">
        <v>102</v>
      </c>
      <c r="E1250">
        <v>5369</v>
      </c>
      <c r="F1250" s="3">
        <v>198</v>
      </c>
      <c r="G1250">
        <v>29</v>
      </c>
      <c r="H1250">
        <v>4</v>
      </c>
      <c r="I1250" s="5">
        <v>3.9215686274509803E-2</v>
      </c>
      <c r="J1250" s="3">
        <v>339</v>
      </c>
      <c r="K1250" s="1">
        <v>45615</v>
      </c>
      <c r="L1250" t="s">
        <v>25</v>
      </c>
      <c r="M1250" t="s">
        <v>39</v>
      </c>
      <c r="N1250" t="s">
        <v>32</v>
      </c>
      <c r="O1250" t="s">
        <v>28</v>
      </c>
      <c r="P1250" t="s">
        <v>41</v>
      </c>
      <c r="Q1250" s="6">
        <v>1.9449999999999901</v>
      </c>
      <c r="R1250">
        <v>1.9</v>
      </c>
      <c r="S1250">
        <v>6.84</v>
      </c>
      <c r="T1250">
        <v>49.6</v>
      </c>
      <c r="U1250">
        <v>70.88</v>
      </c>
      <c r="V1250">
        <v>84.75</v>
      </c>
      <c r="W1250">
        <v>1.71</v>
      </c>
    </row>
    <row r="1251" spans="1:23" x14ac:dyDescent="0.3">
      <c r="A1251">
        <v>1250</v>
      </c>
      <c r="B1251" t="s">
        <v>1294</v>
      </c>
      <c r="C1251" t="s">
        <v>35</v>
      </c>
      <c r="D1251">
        <v>197</v>
      </c>
      <c r="E1251">
        <v>4047</v>
      </c>
      <c r="F1251" s="3">
        <v>203</v>
      </c>
      <c r="G1251">
        <v>15</v>
      </c>
      <c r="H1251">
        <v>3</v>
      </c>
      <c r="I1251" s="5">
        <v>1.5228426395939E-2</v>
      </c>
      <c r="J1251" s="3">
        <v>274</v>
      </c>
      <c r="K1251" s="1">
        <v>45601</v>
      </c>
      <c r="L1251" t="s">
        <v>25</v>
      </c>
      <c r="M1251" t="s">
        <v>31</v>
      </c>
      <c r="N1251" t="s">
        <v>36</v>
      </c>
      <c r="O1251" t="s">
        <v>28</v>
      </c>
      <c r="P1251" t="s">
        <v>41</v>
      </c>
      <c r="Q1251" s="6">
        <v>1.0290355329949199</v>
      </c>
      <c r="R1251">
        <v>4.87</v>
      </c>
      <c r="S1251">
        <v>13.51</v>
      </c>
      <c r="T1251">
        <v>67.569999999999993</v>
      </c>
      <c r="U1251">
        <v>35.159999999999997</v>
      </c>
      <c r="V1251">
        <v>91.33</v>
      </c>
      <c r="W1251">
        <v>1.35</v>
      </c>
    </row>
    <row r="1252" spans="1:23" x14ac:dyDescent="0.3">
      <c r="A1252">
        <v>1251</v>
      </c>
      <c r="B1252" t="s">
        <v>1295</v>
      </c>
      <c r="C1252" t="s">
        <v>35</v>
      </c>
      <c r="D1252">
        <v>84</v>
      </c>
      <c r="E1252">
        <v>4463</v>
      </c>
      <c r="F1252" s="3">
        <v>198</v>
      </c>
      <c r="G1252">
        <v>17</v>
      </c>
      <c r="H1252">
        <v>3</v>
      </c>
      <c r="I1252" s="5">
        <v>3.5714285714285698E-2</v>
      </c>
      <c r="J1252" s="3">
        <v>227</v>
      </c>
      <c r="K1252" s="1">
        <v>45598</v>
      </c>
      <c r="L1252" t="s">
        <v>25</v>
      </c>
      <c r="M1252" t="s">
        <v>31</v>
      </c>
      <c r="N1252" t="s">
        <v>49</v>
      </c>
      <c r="O1252" t="s">
        <v>28</v>
      </c>
      <c r="P1252" t="s">
        <v>29</v>
      </c>
      <c r="Q1252" s="6">
        <v>2.36238095238095</v>
      </c>
      <c r="R1252">
        <v>1.88</v>
      </c>
      <c r="S1252">
        <v>11.67</v>
      </c>
      <c r="T1252">
        <v>66.150000000000006</v>
      </c>
      <c r="U1252">
        <v>14.39</v>
      </c>
      <c r="V1252">
        <v>75.67</v>
      </c>
      <c r="W1252">
        <v>1.1399999999999999</v>
      </c>
    </row>
    <row r="1253" spans="1:23" x14ac:dyDescent="0.3">
      <c r="A1253">
        <v>1252</v>
      </c>
      <c r="B1253" t="s">
        <v>1296</v>
      </c>
      <c r="C1253" t="s">
        <v>35</v>
      </c>
      <c r="D1253">
        <v>119</v>
      </c>
      <c r="E1253">
        <v>4610</v>
      </c>
      <c r="F1253" s="3">
        <v>223</v>
      </c>
      <c r="G1253">
        <v>18</v>
      </c>
      <c r="H1253">
        <v>3</v>
      </c>
      <c r="I1253" s="5">
        <v>2.5210084033613401E-2</v>
      </c>
      <c r="J1253" s="3">
        <v>301</v>
      </c>
      <c r="K1253" s="1">
        <v>45614</v>
      </c>
      <c r="L1253" t="s">
        <v>25</v>
      </c>
      <c r="M1253" t="s">
        <v>26</v>
      </c>
      <c r="N1253" t="s">
        <v>36</v>
      </c>
      <c r="O1253" t="s">
        <v>28</v>
      </c>
      <c r="P1253" t="s">
        <v>59</v>
      </c>
      <c r="Q1253" s="6">
        <v>1.8714285714285701</v>
      </c>
      <c r="R1253">
        <v>2.58</v>
      </c>
      <c r="S1253">
        <v>12.37</v>
      </c>
      <c r="T1253">
        <v>74.23</v>
      </c>
      <c r="U1253">
        <v>35.159999999999997</v>
      </c>
      <c r="V1253">
        <v>100.33</v>
      </c>
      <c r="W1253">
        <v>1.35</v>
      </c>
    </row>
    <row r="1254" spans="1:23" x14ac:dyDescent="0.3">
      <c r="A1254">
        <v>1253</v>
      </c>
      <c r="B1254" t="s">
        <v>1297</v>
      </c>
      <c r="C1254" t="s">
        <v>24</v>
      </c>
      <c r="D1254">
        <v>96</v>
      </c>
      <c r="E1254">
        <v>5957</v>
      </c>
      <c r="F1254" s="3">
        <v>226</v>
      </c>
      <c r="G1254">
        <v>27</v>
      </c>
      <c r="H1254">
        <v>10</v>
      </c>
      <c r="I1254" s="5">
        <v>0.10416666666666601</v>
      </c>
      <c r="J1254" s="3">
        <v>217</v>
      </c>
      <c r="K1254" s="1">
        <v>45617</v>
      </c>
      <c r="L1254" t="s">
        <v>25</v>
      </c>
      <c r="M1254" t="s">
        <v>31</v>
      </c>
      <c r="N1254" t="s">
        <v>36</v>
      </c>
      <c r="O1254" t="s">
        <v>28</v>
      </c>
      <c r="P1254" t="s">
        <v>54</v>
      </c>
      <c r="Q1254" s="6">
        <v>2.34989583333333</v>
      </c>
      <c r="R1254">
        <v>1.61</v>
      </c>
      <c r="S1254">
        <v>8.36</v>
      </c>
      <c r="T1254">
        <v>22.56</v>
      </c>
      <c r="U1254">
        <v>-3.81</v>
      </c>
      <c r="V1254">
        <v>21.7</v>
      </c>
      <c r="W1254">
        <v>0.96</v>
      </c>
    </row>
    <row r="1255" spans="1:23" x14ac:dyDescent="0.3">
      <c r="A1255">
        <v>1254</v>
      </c>
      <c r="B1255" t="s">
        <v>1298</v>
      </c>
      <c r="C1255" t="s">
        <v>38</v>
      </c>
      <c r="D1255">
        <v>144</v>
      </c>
      <c r="E1255">
        <v>5704</v>
      </c>
      <c r="F1255" s="3">
        <v>197</v>
      </c>
      <c r="G1255">
        <v>29</v>
      </c>
      <c r="H1255">
        <v>6</v>
      </c>
      <c r="I1255" s="5">
        <v>4.1666666666666602E-2</v>
      </c>
      <c r="J1255" s="3">
        <v>321</v>
      </c>
      <c r="K1255" s="1">
        <v>45625</v>
      </c>
      <c r="L1255" t="s">
        <v>25</v>
      </c>
      <c r="M1255" t="s">
        <v>31</v>
      </c>
      <c r="N1255" t="s">
        <v>49</v>
      </c>
      <c r="O1255" t="s">
        <v>28</v>
      </c>
      <c r="P1255" t="s">
        <v>45</v>
      </c>
      <c r="Q1255" s="6">
        <v>1.3657638888888799</v>
      </c>
      <c r="R1255">
        <v>2.52</v>
      </c>
      <c r="S1255">
        <v>6.78</v>
      </c>
      <c r="T1255">
        <v>32.78</v>
      </c>
      <c r="U1255">
        <v>63.22</v>
      </c>
      <c r="V1255">
        <v>53.5</v>
      </c>
      <c r="W1255">
        <v>1.63</v>
      </c>
    </row>
    <row r="1256" spans="1:23" x14ac:dyDescent="0.3">
      <c r="A1256">
        <v>1255</v>
      </c>
      <c r="B1256" t="s">
        <v>1299</v>
      </c>
      <c r="C1256" t="s">
        <v>43</v>
      </c>
      <c r="D1256">
        <v>148</v>
      </c>
      <c r="E1256">
        <v>5335</v>
      </c>
      <c r="F1256" s="3">
        <v>223</v>
      </c>
      <c r="G1256">
        <v>21</v>
      </c>
      <c r="H1256">
        <v>9</v>
      </c>
      <c r="I1256" s="5">
        <v>6.08108108108108E-2</v>
      </c>
      <c r="J1256" s="3">
        <v>255</v>
      </c>
      <c r="K1256" s="1">
        <v>45616</v>
      </c>
      <c r="L1256" t="s">
        <v>25</v>
      </c>
      <c r="M1256" t="s">
        <v>39</v>
      </c>
      <c r="N1256" t="s">
        <v>36</v>
      </c>
      <c r="O1256" t="s">
        <v>28</v>
      </c>
      <c r="P1256" t="s">
        <v>33</v>
      </c>
      <c r="Q1256" s="6">
        <v>1.50918918918918</v>
      </c>
      <c r="R1256">
        <v>2.77</v>
      </c>
      <c r="S1256">
        <v>10.64</v>
      </c>
      <c r="T1256">
        <v>24.82</v>
      </c>
      <c r="U1256">
        <v>14.17</v>
      </c>
      <c r="V1256">
        <v>28.33</v>
      </c>
      <c r="W1256">
        <v>1.1399999999999999</v>
      </c>
    </row>
    <row r="1257" spans="1:23" x14ac:dyDescent="0.3">
      <c r="A1257">
        <v>1256</v>
      </c>
      <c r="B1257" t="s">
        <v>1300</v>
      </c>
      <c r="C1257" t="s">
        <v>43</v>
      </c>
      <c r="D1257">
        <v>151</v>
      </c>
      <c r="E1257">
        <v>4901</v>
      </c>
      <c r="F1257" s="3">
        <v>224</v>
      </c>
      <c r="G1257">
        <v>27</v>
      </c>
      <c r="H1257">
        <v>7</v>
      </c>
      <c r="I1257" s="5">
        <v>4.6357615894039701E-2</v>
      </c>
      <c r="J1257" s="3">
        <v>291</v>
      </c>
      <c r="K1257" s="1">
        <v>45601</v>
      </c>
      <c r="L1257" t="s">
        <v>25</v>
      </c>
      <c r="M1257" t="s">
        <v>31</v>
      </c>
      <c r="N1257" t="s">
        <v>40</v>
      </c>
      <c r="O1257" t="s">
        <v>28</v>
      </c>
      <c r="P1257" t="s">
        <v>41</v>
      </c>
      <c r="Q1257" s="6">
        <v>1.4853642384105901</v>
      </c>
      <c r="R1257">
        <v>3.08</v>
      </c>
      <c r="S1257">
        <v>8.31</v>
      </c>
      <c r="T1257">
        <v>32.04</v>
      </c>
      <c r="U1257">
        <v>29.74</v>
      </c>
      <c r="V1257">
        <v>41.57</v>
      </c>
      <c r="W1257">
        <v>1.3</v>
      </c>
    </row>
    <row r="1258" spans="1:23" x14ac:dyDescent="0.3">
      <c r="A1258">
        <v>1257</v>
      </c>
      <c r="B1258" t="s">
        <v>1301</v>
      </c>
      <c r="C1258" t="s">
        <v>38</v>
      </c>
      <c r="D1258">
        <v>175</v>
      </c>
      <c r="E1258">
        <v>5392</v>
      </c>
      <c r="F1258" s="3">
        <v>188</v>
      </c>
      <c r="G1258">
        <v>17</v>
      </c>
      <c r="H1258">
        <v>9</v>
      </c>
      <c r="I1258" s="5">
        <v>5.14285714285714E-2</v>
      </c>
      <c r="J1258" s="3">
        <v>207</v>
      </c>
      <c r="K1258" s="1">
        <v>45617</v>
      </c>
      <c r="L1258" t="s">
        <v>25</v>
      </c>
      <c r="M1258" t="s">
        <v>39</v>
      </c>
      <c r="N1258" t="s">
        <v>36</v>
      </c>
      <c r="O1258" t="s">
        <v>28</v>
      </c>
      <c r="P1258" t="s">
        <v>54</v>
      </c>
      <c r="Q1258" s="6">
        <v>1.0728</v>
      </c>
      <c r="R1258">
        <v>3.25</v>
      </c>
      <c r="S1258">
        <v>11.04</v>
      </c>
      <c r="T1258">
        <v>20.86</v>
      </c>
      <c r="U1258">
        <v>10.26</v>
      </c>
      <c r="V1258">
        <v>23</v>
      </c>
      <c r="W1258">
        <v>1.1000000000000001</v>
      </c>
    </row>
    <row r="1259" spans="1:23" x14ac:dyDescent="0.3">
      <c r="A1259">
        <v>1258</v>
      </c>
      <c r="B1259" t="s">
        <v>1302</v>
      </c>
      <c r="C1259" t="s">
        <v>38</v>
      </c>
      <c r="D1259">
        <v>189</v>
      </c>
      <c r="E1259">
        <v>3461</v>
      </c>
      <c r="F1259" s="3">
        <v>225</v>
      </c>
      <c r="G1259">
        <v>20</v>
      </c>
      <c r="H1259">
        <v>9</v>
      </c>
      <c r="I1259" s="5">
        <v>4.7619047619047603E-2</v>
      </c>
      <c r="J1259" s="3">
        <v>284</v>
      </c>
      <c r="K1259" s="1">
        <v>45617</v>
      </c>
      <c r="L1259" t="s">
        <v>25</v>
      </c>
      <c r="M1259" t="s">
        <v>26</v>
      </c>
      <c r="N1259" t="s">
        <v>40</v>
      </c>
      <c r="O1259" t="s">
        <v>28</v>
      </c>
      <c r="P1259" t="s">
        <v>54</v>
      </c>
      <c r="Q1259" s="6">
        <v>1.1889947089946999</v>
      </c>
      <c r="R1259">
        <v>5.46</v>
      </c>
      <c r="S1259">
        <v>11.24</v>
      </c>
      <c r="T1259">
        <v>24.97</v>
      </c>
      <c r="U1259">
        <v>26.38</v>
      </c>
      <c r="V1259">
        <v>31.56</v>
      </c>
      <c r="W1259">
        <v>1.26</v>
      </c>
    </row>
    <row r="1260" spans="1:23" x14ac:dyDescent="0.3">
      <c r="A1260">
        <v>1259</v>
      </c>
      <c r="B1260" t="s">
        <v>1303</v>
      </c>
      <c r="C1260" t="s">
        <v>43</v>
      </c>
      <c r="D1260">
        <v>157</v>
      </c>
      <c r="E1260">
        <v>5451</v>
      </c>
      <c r="F1260" s="3">
        <v>184</v>
      </c>
      <c r="G1260">
        <v>12</v>
      </c>
      <c r="H1260">
        <v>10</v>
      </c>
      <c r="I1260" s="5">
        <v>6.3694267515923497E-2</v>
      </c>
      <c r="J1260" s="3">
        <v>241</v>
      </c>
      <c r="K1260" s="1">
        <v>45625</v>
      </c>
      <c r="L1260" t="s">
        <v>25</v>
      </c>
      <c r="M1260" t="s">
        <v>26</v>
      </c>
      <c r="N1260" t="s">
        <v>32</v>
      </c>
      <c r="O1260" t="s">
        <v>28</v>
      </c>
      <c r="P1260" t="s">
        <v>45</v>
      </c>
      <c r="Q1260" s="6">
        <v>1.17127388535031</v>
      </c>
      <c r="R1260">
        <v>2.88</v>
      </c>
      <c r="S1260">
        <v>15.32</v>
      </c>
      <c r="T1260">
        <v>18.39</v>
      </c>
      <c r="U1260">
        <v>31.06</v>
      </c>
      <c r="V1260">
        <v>24.1</v>
      </c>
      <c r="W1260">
        <v>1.31</v>
      </c>
    </row>
    <row r="1261" spans="1:23" x14ac:dyDescent="0.3">
      <c r="A1261">
        <v>1260</v>
      </c>
      <c r="B1261" t="s">
        <v>1304</v>
      </c>
      <c r="C1261" t="s">
        <v>24</v>
      </c>
      <c r="D1261">
        <v>126</v>
      </c>
      <c r="E1261">
        <v>4155</v>
      </c>
      <c r="F1261" s="3">
        <v>202</v>
      </c>
      <c r="G1261">
        <v>27</v>
      </c>
      <c r="H1261">
        <v>10</v>
      </c>
      <c r="I1261" s="5">
        <v>7.9365079365079305E-2</v>
      </c>
      <c r="J1261" s="3">
        <v>229</v>
      </c>
      <c r="K1261" s="1">
        <v>45617</v>
      </c>
      <c r="L1261" t="s">
        <v>25</v>
      </c>
      <c r="M1261" t="s">
        <v>26</v>
      </c>
      <c r="N1261" t="s">
        <v>49</v>
      </c>
      <c r="O1261" t="s">
        <v>28</v>
      </c>
      <c r="P1261" t="s">
        <v>54</v>
      </c>
      <c r="Q1261" s="6">
        <v>1.59968253968253</v>
      </c>
      <c r="R1261">
        <v>3.03</v>
      </c>
      <c r="S1261">
        <v>7.47</v>
      </c>
      <c r="T1261">
        <v>20.16</v>
      </c>
      <c r="U1261">
        <v>13.61</v>
      </c>
      <c r="V1261">
        <v>22.9</v>
      </c>
      <c r="W1261">
        <v>1.1399999999999999</v>
      </c>
    </row>
    <row r="1262" spans="1:23" x14ac:dyDescent="0.3">
      <c r="A1262">
        <v>1261</v>
      </c>
      <c r="B1262" t="s">
        <v>1305</v>
      </c>
      <c r="C1262" t="s">
        <v>38</v>
      </c>
      <c r="D1262">
        <v>85</v>
      </c>
      <c r="E1262">
        <v>3770</v>
      </c>
      <c r="F1262" s="3">
        <v>204</v>
      </c>
      <c r="G1262">
        <v>30</v>
      </c>
      <c r="H1262">
        <v>7</v>
      </c>
      <c r="I1262" s="5">
        <v>8.2352941176470504E-2</v>
      </c>
      <c r="J1262" s="3">
        <v>253</v>
      </c>
      <c r="K1262" s="1">
        <v>45610</v>
      </c>
      <c r="L1262" t="s">
        <v>25</v>
      </c>
      <c r="M1262" t="s">
        <v>31</v>
      </c>
      <c r="N1262" t="s">
        <v>27</v>
      </c>
      <c r="O1262" t="s">
        <v>28</v>
      </c>
      <c r="P1262" t="s">
        <v>54</v>
      </c>
      <c r="Q1262" s="6">
        <v>2.4004705882352901</v>
      </c>
      <c r="R1262">
        <v>2.25</v>
      </c>
      <c r="S1262">
        <v>6.8</v>
      </c>
      <c r="T1262">
        <v>29.15</v>
      </c>
      <c r="U1262">
        <v>24</v>
      </c>
      <c r="V1262">
        <v>36.14</v>
      </c>
      <c r="W1262">
        <v>1.24</v>
      </c>
    </row>
    <row r="1263" spans="1:23" x14ac:dyDescent="0.3">
      <c r="A1263">
        <v>1262</v>
      </c>
      <c r="B1263" t="s">
        <v>1306</v>
      </c>
      <c r="C1263" t="s">
        <v>43</v>
      </c>
      <c r="D1263">
        <v>89</v>
      </c>
      <c r="E1263">
        <v>3573</v>
      </c>
      <c r="F1263" s="3">
        <v>194</v>
      </c>
      <c r="G1263">
        <v>13</v>
      </c>
      <c r="H1263">
        <v>10</v>
      </c>
      <c r="I1263" s="5">
        <v>0.112359550561797</v>
      </c>
      <c r="J1263" s="3">
        <v>393</v>
      </c>
      <c r="K1263" s="1">
        <v>45611</v>
      </c>
      <c r="L1263" t="s">
        <v>25</v>
      </c>
      <c r="M1263" t="s">
        <v>26</v>
      </c>
      <c r="N1263" t="s">
        <v>27</v>
      </c>
      <c r="O1263" t="s">
        <v>28</v>
      </c>
      <c r="P1263" t="s">
        <v>45</v>
      </c>
      <c r="Q1263" s="6">
        <v>2.1744943820224698</v>
      </c>
      <c r="R1263">
        <v>2.4900000000000002</v>
      </c>
      <c r="S1263">
        <v>14.89</v>
      </c>
      <c r="T1263">
        <v>19.350000000000001</v>
      </c>
      <c r="U1263">
        <v>103.07</v>
      </c>
      <c r="V1263">
        <v>39.299999999999997</v>
      </c>
      <c r="W1263">
        <v>2.0299999999999998</v>
      </c>
    </row>
    <row r="1264" spans="1:23" x14ac:dyDescent="0.3">
      <c r="A1264">
        <v>1263</v>
      </c>
      <c r="B1264" t="s">
        <v>1307</v>
      </c>
      <c r="C1264" t="s">
        <v>24</v>
      </c>
      <c r="D1264">
        <v>152</v>
      </c>
      <c r="E1264">
        <v>4092</v>
      </c>
      <c r="F1264" s="3">
        <v>197</v>
      </c>
      <c r="G1264">
        <v>10</v>
      </c>
      <c r="H1264">
        <v>5</v>
      </c>
      <c r="I1264" s="5">
        <v>3.2894736842105199E-2</v>
      </c>
      <c r="J1264" s="3">
        <v>285</v>
      </c>
      <c r="K1264" s="1">
        <v>45607</v>
      </c>
      <c r="L1264" t="s">
        <v>25</v>
      </c>
      <c r="M1264" t="s">
        <v>26</v>
      </c>
      <c r="N1264" t="s">
        <v>49</v>
      </c>
      <c r="O1264" t="s">
        <v>28</v>
      </c>
      <c r="P1264" t="s">
        <v>59</v>
      </c>
      <c r="Q1264" s="6">
        <v>1.2938157894736799</v>
      </c>
      <c r="R1264">
        <v>3.71</v>
      </c>
      <c r="S1264">
        <v>19.670000000000002</v>
      </c>
      <c r="T1264">
        <v>39.33</v>
      </c>
      <c r="U1264">
        <v>44.92</v>
      </c>
      <c r="V1264">
        <v>57</v>
      </c>
      <c r="W1264">
        <v>1.45</v>
      </c>
    </row>
    <row r="1265" spans="1:23" x14ac:dyDescent="0.3">
      <c r="A1265">
        <v>1264</v>
      </c>
      <c r="B1265" t="s">
        <v>1308</v>
      </c>
      <c r="C1265" t="s">
        <v>43</v>
      </c>
      <c r="D1265">
        <v>126</v>
      </c>
      <c r="E1265">
        <v>3999</v>
      </c>
      <c r="F1265" s="3">
        <v>182</v>
      </c>
      <c r="G1265">
        <v>22</v>
      </c>
      <c r="H1265">
        <v>9</v>
      </c>
      <c r="I1265" s="5">
        <v>7.1428571428571397E-2</v>
      </c>
      <c r="J1265" s="3">
        <v>234</v>
      </c>
      <c r="K1265" s="1">
        <v>45623</v>
      </c>
      <c r="L1265" t="s">
        <v>25</v>
      </c>
      <c r="M1265" t="s">
        <v>31</v>
      </c>
      <c r="N1265" t="s">
        <v>44</v>
      </c>
      <c r="O1265" t="s">
        <v>28</v>
      </c>
      <c r="P1265" t="s">
        <v>33</v>
      </c>
      <c r="Q1265" s="6">
        <v>1.4411111111111099</v>
      </c>
      <c r="R1265">
        <v>3.15</v>
      </c>
      <c r="S1265">
        <v>8.25</v>
      </c>
      <c r="T1265">
        <v>20.18</v>
      </c>
      <c r="U1265">
        <v>28.87</v>
      </c>
      <c r="V1265">
        <v>26</v>
      </c>
      <c r="W1265">
        <v>1.29</v>
      </c>
    </row>
    <row r="1266" spans="1:23" x14ac:dyDescent="0.3">
      <c r="A1266">
        <v>1265</v>
      </c>
      <c r="B1266" t="s">
        <v>1309</v>
      </c>
      <c r="C1266" t="s">
        <v>35</v>
      </c>
      <c r="D1266">
        <v>153</v>
      </c>
      <c r="E1266">
        <v>3354</v>
      </c>
      <c r="F1266" s="3">
        <v>243</v>
      </c>
      <c r="G1266">
        <v>24</v>
      </c>
      <c r="H1266">
        <v>6</v>
      </c>
      <c r="I1266" s="5">
        <v>3.9215686274509803E-2</v>
      </c>
      <c r="J1266" s="3">
        <v>313</v>
      </c>
      <c r="K1266" s="1">
        <v>45606</v>
      </c>
      <c r="L1266" t="s">
        <v>25</v>
      </c>
      <c r="M1266" t="s">
        <v>31</v>
      </c>
      <c r="N1266" t="s">
        <v>32</v>
      </c>
      <c r="O1266" t="s">
        <v>28</v>
      </c>
      <c r="P1266" t="s">
        <v>50</v>
      </c>
      <c r="Q1266" s="6">
        <v>1.5890849673202601</v>
      </c>
      <c r="R1266">
        <v>4.5599999999999996</v>
      </c>
      <c r="S1266">
        <v>10.130000000000001</v>
      </c>
      <c r="T1266">
        <v>40.520000000000003</v>
      </c>
      <c r="U1266">
        <v>28.74</v>
      </c>
      <c r="V1266">
        <v>52.17</v>
      </c>
      <c r="W1266">
        <v>1.29</v>
      </c>
    </row>
    <row r="1267" spans="1:23" x14ac:dyDescent="0.3">
      <c r="A1267">
        <v>1266</v>
      </c>
      <c r="B1267" t="s">
        <v>1310</v>
      </c>
      <c r="C1267" t="s">
        <v>24</v>
      </c>
      <c r="D1267">
        <v>98</v>
      </c>
      <c r="E1267">
        <v>4801</v>
      </c>
      <c r="F1267" s="3">
        <v>187</v>
      </c>
      <c r="G1267">
        <v>10</v>
      </c>
      <c r="H1267">
        <v>3</v>
      </c>
      <c r="I1267" s="5">
        <v>3.06122448979591E-2</v>
      </c>
      <c r="J1267" s="3">
        <v>229</v>
      </c>
      <c r="K1267" s="1">
        <v>45603</v>
      </c>
      <c r="L1267" t="s">
        <v>25</v>
      </c>
      <c r="M1267" t="s">
        <v>26</v>
      </c>
      <c r="N1267" t="s">
        <v>27</v>
      </c>
      <c r="O1267" t="s">
        <v>28</v>
      </c>
      <c r="P1267" t="s">
        <v>54</v>
      </c>
      <c r="Q1267" s="6">
        <v>1.90326530612244</v>
      </c>
      <c r="R1267">
        <v>2.04</v>
      </c>
      <c r="S1267">
        <v>18.649999999999999</v>
      </c>
      <c r="T1267">
        <v>62.17</v>
      </c>
      <c r="U1267">
        <v>22.78</v>
      </c>
      <c r="V1267">
        <v>76.33</v>
      </c>
      <c r="W1267">
        <v>1.23</v>
      </c>
    </row>
    <row r="1268" spans="1:23" x14ac:dyDescent="0.3">
      <c r="A1268">
        <v>1267</v>
      </c>
      <c r="B1268" t="s">
        <v>1311</v>
      </c>
      <c r="C1268" t="s">
        <v>38</v>
      </c>
      <c r="D1268">
        <v>145</v>
      </c>
      <c r="E1268">
        <v>4799</v>
      </c>
      <c r="F1268" s="3">
        <v>195</v>
      </c>
      <c r="G1268">
        <v>17</v>
      </c>
      <c r="H1268">
        <v>6</v>
      </c>
      <c r="I1268" s="5">
        <v>4.1379310344827502E-2</v>
      </c>
      <c r="J1268" s="3">
        <v>282</v>
      </c>
      <c r="K1268" s="1">
        <v>45603</v>
      </c>
      <c r="L1268" t="s">
        <v>25</v>
      </c>
      <c r="M1268" t="s">
        <v>26</v>
      </c>
      <c r="N1268" t="s">
        <v>49</v>
      </c>
      <c r="O1268" t="s">
        <v>28</v>
      </c>
      <c r="P1268" t="s">
        <v>54</v>
      </c>
      <c r="Q1268" s="6">
        <v>1.34303448275862</v>
      </c>
      <c r="R1268">
        <v>3.02</v>
      </c>
      <c r="S1268">
        <v>11.46</v>
      </c>
      <c r="T1268">
        <v>32.46</v>
      </c>
      <c r="U1268">
        <v>44.81</v>
      </c>
      <c r="V1268">
        <v>47</v>
      </c>
      <c r="W1268">
        <v>1.45</v>
      </c>
    </row>
    <row r="1269" spans="1:23" x14ac:dyDescent="0.3">
      <c r="A1269">
        <v>1268</v>
      </c>
      <c r="B1269" t="s">
        <v>1312</v>
      </c>
      <c r="C1269" t="s">
        <v>35</v>
      </c>
      <c r="D1269">
        <v>179</v>
      </c>
      <c r="E1269">
        <v>3753</v>
      </c>
      <c r="F1269" s="3">
        <v>221</v>
      </c>
      <c r="G1269">
        <v>23</v>
      </c>
      <c r="H1269">
        <v>6</v>
      </c>
      <c r="I1269" s="5">
        <v>3.3519553072625698E-2</v>
      </c>
      <c r="J1269" s="3">
        <v>401</v>
      </c>
      <c r="K1269" s="1">
        <v>45610</v>
      </c>
      <c r="L1269" t="s">
        <v>25</v>
      </c>
      <c r="M1269" t="s">
        <v>39</v>
      </c>
      <c r="N1269" t="s">
        <v>32</v>
      </c>
      <c r="O1269" t="s">
        <v>28</v>
      </c>
      <c r="P1269" t="s">
        <v>54</v>
      </c>
      <c r="Q1269" s="6">
        <v>1.23391061452513</v>
      </c>
      <c r="R1269">
        <v>4.7699999999999996</v>
      </c>
      <c r="S1269">
        <v>9.6</v>
      </c>
      <c r="T1269">
        <v>36.81</v>
      </c>
      <c r="U1269">
        <v>81.55</v>
      </c>
      <c r="V1269">
        <v>66.83</v>
      </c>
      <c r="W1269">
        <v>1.82</v>
      </c>
    </row>
    <row r="1270" spans="1:23" x14ac:dyDescent="0.3">
      <c r="A1270">
        <v>1269</v>
      </c>
      <c r="B1270" t="s">
        <v>1313</v>
      </c>
      <c r="C1270" t="s">
        <v>35</v>
      </c>
      <c r="D1270">
        <v>108</v>
      </c>
      <c r="E1270">
        <v>4698</v>
      </c>
      <c r="F1270" s="3">
        <v>187</v>
      </c>
      <c r="G1270">
        <v>19</v>
      </c>
      <c r="H1270">
        <v>10</v>
      </c>
      <c r="I1270" s="5">
        <v>9.2592592592592504E-2</v>
      </c>
      <c r="J1270" s="3">
        <v>228</v>
      </c>
      <c r="K1270" s="1">
        <v>45611</v>
      </c>
      <c r="L1270" t="s">
        <v>25</v>
      </c>
      <c r="M1270" t="s">
        <v>31</v>
      </c>
      <c r="N1270" t="s">
        <v>36</v>
      </c>
      <c r="O1270" t="s">
        <v>28</v>
      </c>
      <c r="P1270" t="s">
        <v>45</v>
      </c>
      <c r="Q1270" s="6">
        <v>1.73324074074074</v>
      </c>
      <c r="R1270">
        <v>2.2999999999999998</v>
      </c>
      <c r="S1270">
        <v>9.85</v>
      </c>
      <c r="T1270">
        <v>18.72</v>
      </c>
      <c r="U1270">
        <v>21.8</v>
      </c>
      <c r="V1270">
        <v>22.8</v>
      </c>
      <c r="W1270">
        <v>1.22</v>
      </c>
    </row>
    <row r="1271" spans="1:23" x14ac:dyDescent="0.3">
      <c r="A1271">
        <v>1270</v>
      </c>
      <c r="B1271" t="s">
        <v>1314</v>
      </c>
      <c r="C1271" t="s">
        <v>38</v>
      </c>
      <c r="D1271">
        <v>191</v>
      </c>
      <c r="E1271">
        <v>3522</v>
      </c>
      <c r="F1271" s="3">
        <v>217</v>
      </c>
      <c r="G1271">
        <v>25</v>
      </c>
      <c r="H1271">
        <v>5</v>
      </c>
      <c r="I1271" s="5">
        <v>2.6178010471204102E-2</v>
      </c>
      <c r="J1271" s="3">
        <v>374</v>
      </c>
      <c r="K1271" s="1">
        <v>45620</v>
      </c>
      <c r="L1271" t="s">
        <v>25</v>
      </c>
      <c r="M1271" t="s">
        <v>39</v>
      </c>
      <c r="N1271" t="s">
        <v>40</v>
      </c>
      <c r="O1271" t="s">
        <v>28</v>
      </c>
      <c r="P1271" t="s">
        <v>50</v>
      </c>
      <c r="Q1271" s="6">
        <v>1.13429319371727</v>
      </c>
      <c r="R1271">
        <v>5.42</v>
      </c>
      <c r="S1271">
        <v>8.67</v>
      </c>
      <c r="T1271">
        <v>43.33</v>
      </c>
      <c r="U1271">
        <v>72.63</v>
      </c>
      <c r="V1271">
        <v>74.8</v>
      </c>
      <c r="W1271">
        <v>1.73</v>
      </c>
    </row>
    <row r="1272" spans="1:23" x14ac:dyDescent="0.3">
      <c r="A1272">
        <v>1271</v>
      </c>
      <c r="B1272" t="s">
        <v>1315</v>
      </c>
      <c r="C1272" t="s">
        <v>35</v>
      </c>
      <c r="D1272">
        <v>183</v>
      </c>
      <c r="E1272">
        <v>3363</v>
      </c>
      <c r="F1272" s="3">
        <v>212</v>
      </c>
      <c r="G1272">
        <v>10</v>
      </c>
      <c r="H1272">
        <v>9</v>
      </c>
      <c r="I1272" s="5">
        <v>4.9180327868852403E-2</v>
      </c>
      <c r="J1272" s="3">
        <v>308</v>
      </c>
      <c r="K1272" s="1">
        <v>45603</v>
      </c>
      <c r="L1272" t="s">
        <v>25</v>
      </c>
      <c r="M1272" t="s">
        <v>39</v>
      </c>
      <c r="N1272" t="s">
        <v>36</v>
      </c>
      <c r="O1272" t="s">
        <v>28</v>
      </c>
      <c r="P1272" t="s">
        <v>54</v>
      </c>
      <c r="Q1272" s="6">
        <v>1.15890710382513</v>
      </c>
      <c r="R1272">
        <v>5.44</v>
      </c>
      <c r="S1272">
        <v>21.21</v>
      </c>
      <c r="T1272">
        <v>23.56</v>
      </c>
      <c r="U1272">
        <v>45.23</v>
      </c>
      <c r="V1272">
        <v>34.22</v>
      </c>
      <c r="W1272">
        <v>1.45</v>
      </c>
    </row>
    <row r="1273" spans="1:23" x14ac:dyDescent="0.3">
      <c r="A1273">
        <v>1272</v>
      </c>
      <c r="B1273" t="s">
        <v>1316</v>
      </c>
      <c r="C1273" t="s">
        <v>43</v>
      </c>
      <c r="D1273">
        <v>175</v>
      </c>
      <c r="E1273">
        <v>5924</v>
      </c>
      <c r="F1273" s="3">
        <v>223</v>
      </c>
      <c r="G1273">
        <v>14</v>
      </c>
      <c r="H1273">
        <v>3</v>
      </c>
      <c r="I1273" s="5">
        <v>1.7142857142857099E-2</v>
      </c>
      <c r="J1273" s="3">
        <v>307</v>
      </c>
      <c r="K1273" s="1">
        <v>45600</v>
      </c>
      <c r="L1273" t="s">
        <v>25</v>
      </c>
      <c r="M1273" t="s">
        <v>31</v>
      </c>
      <c r="N1273" t="s">
        <v>49</v>
      </c>
      <c r="O1273" t="s">
        <v>28</v>
      </c>
      <c r="P1273" t="s">
        <v>59</v>
      </c>
      <c r="Q1273" s="6">
        <v>1.276</v>
      </c>
      <c r="R1273">
        <v>2.95</v>
      </c>
      <c r="S1273">
        <v>15.95</v>
      </c>
      <c r="T1273">
        <v>74.430000000000007</v>
      </c>
      <c r="U1273">
        <v>37.479999999999997</v>
      </c>
      <c r="V1273">
        <v>102.33</v>
      </c>
      <c r="W1273">
        <v>1.37</v>
      </c>
    </row>
    <row r="1274" spans="1:23" x14ac:dyDescent="0.3">
      <c r="A1274">
        <v>1273</v>
      </c>
      <c r="B1274" t="s">
        <v>1317</v>
      </c>
      <c r="C1274" t="s">
        <v>24</v>
      </c>
      <c r="D1274">
        <v>97</v>
      </c>
      <c r="E1274">
        <v>3558</v>
      </c>
      <c r="F1274" s="3">
        <v>196</v>
      </c>
      <c r="G1274">
        <v>13</v>
      </c>
      <c r="H1274">
        <v>3</v>
      </c>
      <c r="I1274" s="5">
        <v>3.0927835051546299E-2</v>
      </c>
      <c r="J1274" s="3">
        <v>315</v>
      </c>
      <c r="K1274" s="1">
        <v>45607</v>
      </c>
      <c r="L1274" t="s">
        <v>25</v>
      </c>
      <c r="M1274" t="s">
        <v>26</v>
      </c>
      <c r="N1274" t="s">
        <v>32</v>
      </c>
      <c r="O1274" t="s">
        <v>28</v>
      </c>
      <c r="P1274" t="s">
        <v>59</v>
      </c>
      <c r="Q1274" s="6">
        <v>2.01546391752577</v>
      </c>
      <c r="R1274">
        <v>2.73</v>
      </c>
      <c r="S1274">
        <v>15.04</v>
      </c>
      <c r="T1274">
        <v>65.17</v>
      </c>
      <c r="U1274">
        <v>61.13</v>
      </c>
      <c r="V1274">
        <v>105</v>
      </c>
      <c r="W1274">
        <v>1.61</v>
      </c>
    </row>
    <row r="1275" spans="1:23" x14ac:dyDescent="0.3">
      <c r="A1275">
        <v>1274</v>
      </c>
      <c r="B1275" t="s">
        <v>1318</v>
      </c>
      <c r="C1275" t="s">
        <v>43</v>
      </c>
      <c r="D1275">
        <v>159</v>
      </c>
      <c r="E1275">
        <v>4208</v>
      </c>
      <c r="F1275" s="3">
        <v>237</v>
      </c>
      <c r="G1275">
        <v>13</v>
      </c>
      <c r="H1275">
        <v>8</v>
      </c>
      <c r="I1275" s="5">
        <v>5.0314465408804999E-2</v>
      </c>
      <c r="J1275" s="3">
        <v>377</v>
      </c>
      <c r="K1275" s="1">
        <v>45612</v>
      </c>
      <c r="L1275" t="s">
        <v>25</v>
      </c>
      <c r="M1275" t="s">
        <v>39</v>
      </c>
      <c r="N1275" t="s">
        <v>40</v>
      </c>
      <c r="O1275" t="s">
        <v>28</v>
      </c>
      <c r="P1275" t="s">
        <v>29</v>
      </c>
      <c r="Q1275" s="6">
        <v>1.4889937106918201</v>
      </c>
      <c r="R1275">
        <v>3.78</v>
      </c>
      <c r="S1275">
        <v>18.21</v>
      </c>
      <c r="T1275">
        <v>29.59</v>
      </c>
      <c r="U1275">
        <v>59.24</v>
      </c>
      <c r="V1275">
        <v>47.12</v>
      </c>
      <c r="W1275">
        <v>1.59</v>
      </c>
    </row>
    <row r="1276" spans="1:23" x14ac:dyDescent="0.3">
      <c r="A1276">
        <v>1275</v>
      </c>
      <c r="B1276" t="s">
        <v>1319</v>
      </c>
      <c r="C1276" t="s">
        <v>24</v>
      </c>
      <c r="D1276">
        <v>125</v>
      </c>
      <c r="E1276">
        <v>3607</v>
      </c>
      <c r="F1276" s="3">
        <v>224</v>
      </c>
      <c r="G1276">
        <v>22</v>
      </c>
      <c r="H1276">
        <v>9</v>
      </c>
      <c r="I1276" s="5">
        <v>7.1999999999999995E-2</v>
      </c>
      <c r="J1276" s="3">
        <v>284</v>
      </c>
      <c r="K1276" s="1">
        <v>45598</v>
      </c>
      <c r="L1276" t="s">
        <v>25</v>
      </c>
      <c r="M1276" t="s">
        <v>39</v>
      </c>
      <c r="N1276" t="s">
        <v>49</v>
      </c>
      <c r="O1276" t="s">
        <v>28</v>
      </c>
      <c r="P1276" t="s">
        <v>29</v>
      </c>
      <c r="Q1276" s="6">
        <v>1.7955999999999901</v>
      </c>
      <c r="R1276">
        <v>3.47</v>
      </c>
      <c r="S1276">
        <v>10.199999999999999</v>
      </c>
      <c r="T1276">
        <v>24.94</v>
      </c>
      <c r="U1276">
        <v>26.53</v>
      </c>
      <c r="V1276">
        <v>31.56</v>
      </c>
      <c r="W1276">
        <v>1.27</v>
      </c>
    </row>
    <row r="1277" spans="1:23" x14ac:dyDescent="0.3">
      <c r="A1277">
        <v>1276</v>
      </c>
      <c r="B1277" t="s">
        <v>1320</v>
      </c>
      <c r="C1277" t="s">
        <v>38</v>
      </c>
      <c r="D1277">
        <v>193</v>
      </c>
      <c r="E1277">
        <v>6365</v>
      </c>
      <c r="F1277" s="3">
        <v>199</v>
      </c>
      <c r="G1277">
        <v>13</v>
      </c>
      <c r="H1277">
        <v>9</v>
      </c>
      <c r="I1277" s="5">
        <v>4.6632124352331598E-2</v>
      </c>
      <c r="J1277" s="3">
        <v>329</v>
      </c>
      <c r="K1277" s="1">
        <v>45604</v>
      </c>
      <c r="L1277" t="s">
        <v>25</v>
      </c>
      <c r="M1277" t="s">
        <v>31</v>
      </c>
      <c r="N1277" t="s">
        <v>36</v>
      </c>
      <c r="O1277" t="s">
        <v>28</v>
      </c>
      <c r="P1277" t="s">
        <v>45</v>
      </c>
      <c r="Q1277" s="6">
        <v>1.0324870466321201</v>
      </c>
      <c r="R1277">
        <v>3.03</v>
      </c>
      <c r="S1277">
        <v>15.33</v>
      </c>
      <c r="T1277">
        <v>22.14</v>
      </c>
      <c r="U1277">
        <v>65.099999999999994</v>
      </c>
      <c r="V1277">
        <v>36.56</v>
      </c>
      <c r="W1277">
        <v>1.65</v>
      </c>
    </row>
    <row r="1278" spans="1:23" x14ac:dyDescent="0.3">
      <c r="A1278">
        <v>1277</v>
      </c>
      <c r="B1278" t="s">
        <v>1321</v>
      </c>
      <c r="C1278" t="s">
        <v>38</v>
      </c>
      <c r="D1278">
        <v>110</v>
      </c>
      <c r="E1278">
        <v>5220</v>
      </c>
      <c r="F1278" s="3">
        <v>233</v>
      </c>
      <c r="G1278">
        <v>16</v>
      </c>
      <c r="H1278">
        <v>4</v>
      </c>
      <c r="I1278" s="5">
        <v>3.6363636363636299E-2</v>
      </c>
      <c r="J1278" s="3">
        <v>349</v>
      </c>
      <c r="K1278" s="1">
        <v>45611</v>
      </c>
      <c r="L1278" t="s">
        <v>25</v>
      </c>
      <c r="M1278" t="s">
        <v>31</v>
      </c>
      <c r="N1278" t="s">
        <v>40</v>
      </c>
      <c r="O1278" t="s">
        <v>28</v>
      </c>
      <c r="P1278" t="s">
        <v>45</v>
      </c>
      <c r="Q1278" s="6">
        <v>2.1187272727272699</v>
      </c>
      <c r="R1278">
        <v>2.11</v>
      </c>
      <c r="S1278">
        <v>14.57</v>
      </c>
      <c r="T1278">
        <v>58.26</v>
      </c>
      <c r="U1278">
        <v>49.75</v>
      </c>
      <c r="V1278">
        <v>87.25</v>
      </c>
      <c r="W1278">
        <v>1.5</v>
      </c>
    </row>
    <row r="1279" spans="1:23" x14ac:dyDescent="0.3">
      <c r="A1279">
        <v>1278</v>
      </c>
      <c r="B1279" t="s">
        <v>1322</v>
      </c>
      <c r="C1279" t="s">
        <v>24</v>
      </c>
      <c r="D1279">
        <v>83</v>
      </c>
      <c r="E1279">
        <v>5247</v>
      </c>
      <c r="F1279" s="3">
        <v>231</v>
      </c>
      <c r="G1279">
        <v>27</v>
      </c>
      <c r="H1279">
        <v>3</v>
      </c>
      <c r="I1279" s="5">
        <v>3.6144578313252997E-2</v>
      </c>
      <c r="J1279" s="3">
        <v>334</v>
      </c>
      <c r="K1279" s="1">
        <v>45600</v>
      </c>
      <c r="L1279" t="s">
        <v>25</v>
      </c>
      <c r="M1279" t="s">
        <v>26</v>
      </c>
      <c r="N1279" t="s">
        <v>36</v>
      </c>
      <c r="O1279" t="s">
        <v>28</v>
      </c>
      <c r="P1279" t="s">
        <v>59</v>
      </c>
      <c r="Q1279" s="6">
        <v>2.78361445783132</v>
      </c>
      <c r="R1279">
        <v>1.58</v>
      </c>
      <c r="S1279">
        <v>8.56</v>
      </c>
      <c r="T1279">
        <v>77.010000000000005</v>
      </c>
      <c r="U1279">
        <v>44.56</v>
      </c>
      <c r="V1279">
        <v>111.33</v>
      </c>
      <c r="W1279">
        <v>1.45</v>
      </c>
    </row>
    <row r="1280" spans="1:23" x14ac:dyDescent="0.3">
      <c r="A1280">
        <v>1279</v>
      </c>
      <c r="B1280" t="s">
        <v>1323</v>
      </c>
      <c r="C1280" t="s">
        <v>35</v>
      </c>
      <c r="D1280">
        <v>166</v>
      </c>
      <c r="E1280">
        <v>5522</v>
      </c>
      <c r="F1280" s="3">
        <v>218</v>
      </c>
      <c r="G1280">
        <v>13</v>
      </c>
      <c r="H1280">
        <v>3</v>
      </c>
      <c r="I1280" s="5">
        <v>1.8072289156626498E-2</v>
      </c>
      <c r="J1280" s="3">
        <v>252</v>
      </c>
      <c r="K1280" s="1">
        <v>45618</v>
      </c>
      <c r="L1280" t="s">
        <v>25</v>
      </c>
      <c r="M1280" t="s">
        <v>26</v>
      </c>
      <c r="N1280" t="s">
        <v>44</v>
      </c>
      <c r="O1280" t="s">
        <v>28</v>
      </c>
      <c r="P1280" t="s">
        <v>45</v>
      </c>
      <c r="Q1280" s="6">
        <v>1.31530120481927</v>
      </c>
      <c r="R1280">
        <v>3.01</v>
      </c>
      <c r="S1280">
        <v>16.8</v>
      </c>
      <c r="T1280">
        <v>72.78</v>
      </c>
      <c r="U1280">
        <v>15.42</v>
      </c>
      <c r="V1280">
        <v>84</v>
      </c>
      <c r="W1280">
        <v>1.1499999999999999</v>
      </c>
    </row>
    <row r="1281" spans="1:23" x14ac:dyDescent="0.3">
      <c r="A1281">
        <v>1280</v>
      </c>
      <c r="B1281" t="s">
        <v>1324</v>
      </c>
      <c r="C1281" t="s">
        <v>24</v>
      </c>
      <c r="D1281">
        <v>108</v>
      </c>
      <c r="E1281">
        <v>3682</v>
      </c>
      <c r="F1281" s="3">
        <v>214</v>
      </c>
      <c r="G1281">
        <v>20</v>
      </c>
      <c r="H1281">
        <v>3</v>
      </c>
      <c r="I1281" s="5">
        <v>2.77777777777777E-2</v>
      </c>
      <c r="J1281" s="3">
        <v>317</v>
      </c>
      <c r="K1281" s="1">
        <v>45623</v>
      </c>
      <c r="L1281" t="s">
        <v>25</v>
      </c>
      <c r="M1281" t="s">
        <v>26</v>
      </c>
      <c r="N1281" t="s">
        <v>27</v>
      </c>
      <c r="O1281" t="s">
        <v>28</v>
      </c>
      <c r="P1281" t="s">
        <v>33</v>
      </c>
      <c r="Q1281" s="6">
        <v>1.9854629629629601</v>
      </c>
      <c r="R1281">
        <v>2.93</v>
      </c>
      <c r="S1281">
        <v>10.72</v>
      </c>
      <c r="T1281">
        <v>71.48</v>
      </c>
      <c r="U1281">
        <v>47.83</v>
      </c>
      <c r="V1281">
        <v>105.67</v>
      </c>
      <c r="W1281">
        <v>1.48</v>
      </c>
    </row>
    <row r="1282" spans="1:23" x14ac:dyDescent="0.3">
      <c r="A1282">
        <v>1281</v>
      </c>
      <c r="B1282" t="s">
        <v>1325</v>
      </c>
      <c r="C1282" t="s">
        <v>38</v>
      </c>
      <c r="D1282">
        <v>84</v>
      </c>
      <c r="E1282">
        <v>4549</v>
      </c>
      <c r="F1282" s="3">
        <v>192</v>
      </c>
      <c r="G1282">
        <v>15</v>
      </c>
      <c r="H1282">
        <v>7</v>
      </c>
      <c r="I1282" s="5">
        <v>8.3333333333333301E-2</v>
      </c>
      <c r="J1282" s="3">
        <v>266</v>
      </c>
      <c r="K1282" s="1">
        <v>45609</v>
      </c>
      <c r="L1282" t="s">
        <v>25</v>
      </c>
      <c r="M1282" t="s">
        <v>26</v>
      </c>
      <c r="N1282" t="s">
        <v>32</v>
      </c>
      <c r="O1282" t="s">
        <v>28</v>
      </c>
      <c r="P1282" t="s">
        <v>33</v>
      </c>
      <c r="Q1282" s="6">
        <v>2.28523809523809</v>
      </c>
      <c r="R1282">
        <v>1.85</v>
      </c>
      <c r="S1282">
        <v>12.8</v>
      </c>
      <c r="T1282">
        <v>27.42</v>
      </c>
      <c r="U1282">
        <v>38.57</v>
      </c>
      <c r="V1282">
        <v>38</v>
      </c>
      <c r="W1282">
        <v>1.39</v>
      </c>
    </row>
    <row r="1283" spans="1:23" x14ac:dyDescent="0.3">
      <c r="A1283">
        <v>1282</v>
      </c>
      <c r="B1283" t="s">
        <v>1326</v>
      </c>
      <c r="C1283" t="s">
        <v>24</v>
      </c>
      <c r="D1283">
        <v>117</v>
      </c>
      <c r="E1283">
        <v>5170</v>
      </c>
      <c r="F1283" s="3">
        <v>181</v>
      </c>
      <c r="G1283">
        <v>16</v>
      </c>
      <c r="H1283">
        <v>10</v>
      </c>
      <c r="I1283" s="5">
        <v>8.5470085470085402E-2</v>
      </c>
      <c r="J1283" s="3">
        <v>467.142857142857</v>
      </c>
      <c r="K1283" s="1">
        <v>45616</v>
      </c>
      <c r="L1283" t="s">
        <v>25</v>
      </c>
      <c r="M1283" t="s">
        <v>39</v>
      </c>
      <c r="N1283" t="s">
        <v>36</v>
      </c>
      <c r="O1283" t="s">
        <v>28</v>
      </c>
      <c r="P1283" t="s">
        <v>33</v>
      </c>
      <c r="Q1283" s="6">
        <v>1.5454545454545401</v>
      </c>
      <c r="R1283">
        <v>2.2599999999999998</v>
      </c>
      <c r="S1283">
        <v>11.3</v>
      </c>
      <c r="T1283">
        <v>18.079999999999998</v>
      </c>
      <c r="U1283">
        <v>158.35</v>
      </c>
      <c r="V1283">
        <v>46.71</v>
      </c>
      <c r="W1283">
        <v>2.58</v>
      </c>
    </row>
    <row r="1284" spans="1:23" x14ac:dyDescent="0.3">
      <c r="A1284">
        <v>1283</v>
      </c>
      <c r="B1284" t="s">
        <v>1327</v>
      </c>
      <c r="C1284" t="s">
        <v>24</v>
      </c>
      <c r="D1284">
        <v>195</v>
      </c>
      <c r="E1284">
        <v>3122</v>
      </c>
      <c r="F1284" s="3">
        <v>205</v>
      </c>
      <c r="G1284">
        <v>24</v>
      </c>
      <c r="H1284">
        <v>4</v>
      </c>
      <c r="I1284" s="5">
        <v>2.0512820512820499E-2</v>
      </c>
      <c r="J1284" s="3">
        <v>271</v>
      </c>
      <c r="K1284" s="1">
        <v>45610</v>
      </c>
      <c r="L1284" t="s">
        <v>25</v>
      </c>
      <c r="M1284" t="s">
        <v>31</v>
      </c>
      <c r="N1284" t="s">
        <v>40</v>
      </c>
      <c r="O1284" t="s">
        <v>28</v>
      </c>
      <c r="P1284" t="s">
        <v>54</v>
      </c>
      <c r="Q1284" s="6">
        <v>1.0528205128205099</v>
      </c>
      <c r="R1284">
        <v>6.25</v>
      </c>
      <c r="S1284">
        <v>8.5500000000000007</v>
      </c>
      <c r="T1284">
        <v>51.32</v>
      </c>
      <c r="U1284">
        <v>32</v>
      </c>
      <c r="V1284">
        <v>67.75</v>
      </c>
      <c r="W1284">
        <v>1.32</v>
      </c>
    </row>
    <row r="1285" spans="1:23" x14ac:dyDescent="0.3">
      <c r="A1285">
        <v>1284</v>
      </c>
      <c r="B1285" t="s">
        <v>1328</v>
      </c>
      <c r="C1285" t="s">
        <v>43</v>
      </c>
      <c r="D1285">
        <v>149</v>
      </c>
      <c r="E1285">
        <v>3650</v>
      </c>
      <c r="F1285" s="3">
        <v>220</v>
      </c>
      <c r="G1285">
        <v>17</v>
      </c>
      <c r="H1285">
        <v>3</v>
      </c>
      <c r="I1285" s="5">
        <v>2.0134228187919399E-2</v>
      </c>
      <c r="J1285" s="3">
        <v>140.142857142857</v>
      </c>
      <c r="K1285" s="1">
        <v>45625</v>
      </c>
      <c r="L1285" t="s">
        <v>25</v>
      </c>
      <c r="M1285" t="s">
        <v>31</v>
      </c>
      <c r="N1285" t="s">
        <v>36</v>
      </c>
      <c r="O1285" t="s">
        <v>28</v>
      </c>
      <c r="P1285" t="s">
        <v>45</v>
      </c>
      <c r="Q1285" s="6">
        <v>1.47818791946308</v>
      </c>
      <c r="R1285">
        <v>4.08</v>
      </c>
      <c r="S1285">
        <v>12.96</v>
      </c>
      <c r="T1285">
        <v>73.42</v>
      </c>
      <c r="U1285">
        <v>-36.369999999999997</v>
      </c>
      <c r="V1285">
        <v>46.71</v>
      </c>
      <c r="W1285">
        <v>0.64</v>
      </c>
    </row>
    <row r="1286" spans="1:23" x14ac:dyDescent="0.3">
      <c r="A1286">
        <v>1285</v>
      </c>
      <c r="B1286" t="s">
        <v>1329</v>
      </c>
      <c r="C1286" t="s">
        <v>35</v>
      </c>
      <c r="D1286">
        <v>142</v>
      </c>
      <c r="E1286">
        <v>5436</v>
      </c>
      <c r="F1286" s="3">
        <v>237</v>
      </c>
      <c r="G1286">
        <v>14</v>
      </c>
      <c r="H1286">
        <v>7</v>
      </c>
      <c r="I1286" s="5">
        <v>4.92957746478873E-2</v>
      </c>
      <c r="J1286" s="3">
        <v>259</v>
      </c>
      <c r="K1286" s="1">
        <v>45616</v>
      </c>
      <c r="L1286" t="s">
        <v>25</v>
      </c>
      <c r="M1286" t="s">
        <v>39</v>
      </c>
      <c r="N1286" t="s">
        <v>44</v>
      </c>
      <c r="O1286" t="s">
        <v>28</v>
      </c>
      <c r="P1286" t="s">
        <v>33</v>
      </c>
      <c r="Q1286" s="6">
        <v>1.66964788732394</v>
      </c>
      <c r="R1286">
        <v>2.61</v>
      </c>
      <c r="S1286">
        <v>16.93</v>
      </c>
      <c r="T1286">
        <v>33.869999999999997</v>
      </c>
      <c r="U1286">
        <v>9.24</v>
      </c>
      <c r="V1286">
        <v>37</v>
      </c>
      <c r="W1286">
        <v>1.0900000000000001</v>
      </c>
    </row>
    <row r="1287" spans="1:23" x14ac:dyDescent="0.3">
      <c r="A1287">
        <v>1286</v>
      </c>
      <c r="B1287" t="s">
        <v>1330</v>
      </c>
      <c r="C1287" t="s">
        <v>35</v>
      </c>
      <c r="D1287">
        <v>98</v>
      </c>
      <c r="E1287">
        <v>5485</v>
      </c>
      <c r="F1287" s="3">
        <v>182</v>
      </c>
      <c r="G1287">
        <v>16</v>
      </c>
      <c r="H1287">
        <v>5</v>
      </c>
      <c r="I1287" s="5">
        <v>5.10204081632653E-2</v>
      </c>
      <c r="J1287" s="3">
        <v>310</v>
      </c>
      <c r="K1287" s="1">
        <v>45615</v>
      </c>
      <c r="L1287" t="s">
        <v>25</v>
      </c>
      <c r="M1287" t="s">
        <v>26</v>
      </c>
      <c r="N1287" t="s">
        <v>27</v>
      </c>
      <c r="O1287" t="s">
        <v>28</v>
      </c>
      <c r="P1287" t="s">
        <v>41</v>
      </c>
      <c r="Q1287" s="6">
        <v>1.86010204081632</v>
      </c>
      <c r="R1287">
        <v>1.79</v>
      </c>
      <c r="S1287">
        <v>11.39</v>
      </c>
      <c r="T1287">
        <v>36.46</v>
      </c>
      <c r="U1287">
        <v>70.06</v>
      </c>
      <c r="V1287">
        <v>62</v>
      </c>
      <c r="W1287">
        <v>1.7</v>
      </c>
    </row>
    <row r="1288" spans="1:23" x14ac:dyDescent="0.3">
      <c r="A1288">
        <v>1287</v>
      </c>
      <c r="B1288" t="s">
        <v>1331</v>
      </c>
      <c r="C1288" t="s">
        <v>35</v>
      </c>
      <c r="D1288">
        <v>169</v>
      </c>
      <c r="E1288">
        <v>3778</v>
      </c>
      <c r="F1288" s="3">
        <v>265</v>
      </c>
      <c r="G1288">
        <v>11</v>
      </c>
      <c r="H1288">
        <v>3</v>
      </c>
      <c r="I1288" s="5">
        <v>1.7751479289940801E-2</v>
      </c>
      <c r="J1288" s="3">
        <v>351</v>
      </c>
      <c r="K1288" s="1">
        <v>45610</v>
      </c>
      <c r="L1288" t="s">
        <v>25</v>
      </c>
      <c r="M1288" t="s">
        <v>26</v>
      </c>
      <c r="N1288" t="s">
        <v>40</v>
      </c>
      <c r="O1288" t="s">
        <v>28</v>
      </c>
      <c r="P1288" t="s">
        <v>54</v>
      </c>
      <c r="Q1288" s="6">
        <v>1.56753061615001</v>
      </c>
      <c r="R1288">
        <v>4.47</v>
      </c>
      <c r="S1288">
        <v>24.08</v>
      </c>
      <c r="T1288">
        <v>88.3</v>
      </c>
      <c r="U1288">
        <v>32.5</v>
      </c>
      <c r="V1288">
        <v>117</v>
      </c>
      <c r="W1288">
        <v>1.32</v>
      </c>
    </row>
    <row r="1289" spans="1:23" x14ac:dyDescent="0.3">
      <c r="A1289">
        <v>1288</v>
      </c>
      <c r="B1289" t="s">
        <v>1332</v>
      </c>
      <c r="C1289" t="s">
        <v>43</v>
      </c>
      <c r="D1289">
        <v>99</v>
      </c>
      <c r="E1289">
        <v>3051</v>
      </c>
      <c r="F1289" s="3">
        <v>151</v>
      </c>
      <c r="G1289">
        <v>18</v>
      </c>
      <c r="H1289">
        <v>6</v>
      </c>
      <c r="I1289" s="5">
        <v>6.0606060606060601E-2</v>
      </c>
      <c r="J1289" s="3">
        <v>360</v>
      </c>
      <c r="K1289" s="1">
        <v>45625</v>
      </c>
      <c r="L1289" t="s">
        <v>25</v>
      </c>
      <c r="M1289" t="s">
        <v>31</v>
      </c>
      <c r="N1289" t="s">
        <v>44</v>
      </c>
      <c r="O1289" t="s">
        <v>28</v>
      </c>
      <c r="P1289" t="s">
        <v>45</v>
      </c>
      <c r="Q1289" s="6">
        <v>1.5243795620437901</v>
      </c>
      <c r="R1289">
        <v>3.24</v>
      </c>
      <c r="S1289">
        <v>8.3800000000000008</v>
      </c>
      <c r="T1289">
        <v>25.15</v>
      </c>
      <c r="U1289">
        <v>138.55000000000001</v>
      </c>
      <c r="V1289">
        <v>60</v>
      </c>
      <c r="W1289">
        <v>2.39</v>
      </c>
    </row>
    <row r="1290" spans="1:23" x14ac:dyDescent="0.3">
      <c r="A1290">
        <v>1289</v>
      </c>
      <c r="B1290" t="s">
        <v>1333</v>
      </c>
      <c r="C1290" t="s">
        <v>38</v>
      </c>
      <c r="D1290">
        <v>170</v>
      </c>
      <c r="E1290">
        <v>5286</v>
      </c>
      <c r="F1290" s="3">
        <v>191</v>
      </c>
      <c r="G1290">
        <v>22</v>
      </c>
      <c r="H1290">
        <v>7</v>
      </c>
      <c r="I1290" s="5">
        <v>4.1176470588235203E-2</v>
      </c>
      <c r="J1290" s="3">
        <v>227</v>
      </c>
      <c r="K1290" s="1">
        <v>45605</v>
      </c>
      <c r="L1290" t="s">
        <v>25</v>
      </c>
      <c r="M1290" t="s">
        <v>26</v>
      </c>
      <c r="N1290" t="s">
        <v>36</v>
      </c>
      <c r="O1290" t="s">
        <v>28</v>
      </c>
      <c r="P1290" t="s">
        <v>29</v>
      </c>
      <c r="Q1290" s="6">
        <v>1.12147058823529</v>
      </c>
      <c r="R1290">
        <v>3.22</v>
      </c>
      <c r="S1290">
        <v>8.67</v>
      </c>
      <c r="T1290">
        <v>27.24</v>
      </c>
      <c r="U1290">
        <v>19.07</v>
      </c>
      <c r="V1290">
        <v>32.43</v>
      </c>
      <c r="W1290">
        <v>1.19</v>
      </c>
    </row>
    <row r="1291" spans="1:23" x14ac:dyDescent="0.3">
      <c r="A1291">
        <v>1290</v>
      </c>
      <c r="B1291" t="s">
        <v>1334</v>
      </c>
      <c r="C1291" t="s">
        <v>43</v>
      </c>
      <c r="D1291">
        <v>107</v>
      </c>
      <c r="E1291">
        <v>3533</v>
      </c>
      <c r="F1291" s="3">
        <v>249</v>
      </c>
      <c r="G1291">
        <v>22</v>
      </c>
      <c r="H1291">
        <v>4</v>
      </c>
      <c r="I1291" s="5">
        <v>3.73831775700934E-2</v>
      </c>
      <c r="J1291" s="3">
        <v>328</v>
      </c>
      <c r="K1291" s="1">
        <v>45601</v>
      </c>
      <c r="L1291" t="s">
        <v>25</v>
      </c>
      <c r="M1291" t="s">
        <v>31</v>
      </c>
      <c r="N1291" t="s">
        <v>40</v>
      </c>
      <c r="O1291" t="s">
        <v>28</v>
      </c>
      <c r="P1291" t="s">
        <v>41</v>
      </c>
      <c r="Q1291" s="6">
        <v>2.3267289719626101</v>
      </c>
      <c r="R1291">
        <v>3.03</v>
      </c>
      <c r="S1291">
        <v>11.32</v>
      </c>
      <c r="T1291">
        <v>62.24</v>
      </c>
      <c r="U1291">
        <v>31.75</v>
      </c>
      <c r="V1291">
        <v>82</v>
      </c>
      <c r="W1291">
        <v>1.32</v>
      </c>
    </row>
    <row r="1292" spans="1:23" x14ac:dyDescent="0.3">
      <c r="A1292">
        <v>1291</v>
      </c>
      <c r="B1292" t="s">
        <v>1335</v>
      </c>
      <c r="C1292" t="s">
        <v>24</v>
      </c>
      <c r="D1292">
        <v>156</v>
      </c>
      <c r="E1292">
        <v>5125</v>
      </c>
      <c r="F1292" s="3">
        <v>182</v>
      </c>
      <c r="G1292">
        <v>26</v>
      </c>
      <c r="H1292">
        <v>10</v>
      </c>
      <c r="I1292" s="5">
        <v>6.4102564102564097E-2</v>
      </c>
      <c r="J1292" s="3">
        <v>338</v>
      </c>
      <c r="K1292" s="1">
        <v>45612</v>
      </c>
      <c r="L1292" t="s">
        <v>25</v>
      </c>
      <c r="M1292" t="s">
        <v>31</v>
      </c>
      <c r="N1292" t="s">
        <v>32</v>
      </c>
      <c r="O1292" t="s">
        <v>28</v>
      </c>
      <c r="P1292" t="s">
        <v>29</v>
      </c>
      <c r="Q1292" s="6">
        <v>1.1676282051282001</v>
      </c>
      <c r="R1292">
        <v>3.04</v>
      </c>
      <c r="S1292">
        <v>7.01</v>
      </c>
      <c r="T1292">
        <v>18.22</v>
      </c>
      <c r="U1292">
        <v>85.56</v>
      </c>
      <c r="V1292">
        <v>33.799999999999997</v>
      </c>
      <c r="W1292">
        <v>1.86</v>
      </c>
    </row>
    <row r="1293" spans="1:23" x14ac:dyDescent="0.3">
      <c r="A1293">
        <v>1292</v>
      </c>
      <c r="B1293" t="s">
        <v>1336</v>
      </c>
      <c r="C1293" t="s">
        <v>24</v>
      </c>
      <c r="D1293">
        <v>91</v>
      </c>
      <c r="E1293">
        <v>4500</v>
      </c>
      <c r="F1293" s="3">
        <v>242</v>
      </c>
      <c r="G1293">
        <v>20</v>
      </c>
      <c r="H1293">
        <v>3</v>
      </c>
      <c r="I1293" s="5">
        <v>3.2967032967032898E-2</v>
      </c>
      <c r="J1293" s="3">
        <v>388</v>
      </c>
      <c r="K1293" s="1">
        <v>45618</v>
      </c>
      <c r="L1293" t="s">
        <v>25</v>
      </c>
      <c r="M1293" t="s">
        <v>31</v>
      </c>
      <c r="N1293" t="s">
        <v>36</v>
      </c>
      <c r="O1293" t="s">
        <v>28</v>
      </c>
      <c r="P1293" t="s">
        <v>45</v>
      </c>
      <c r="Q1293" s="6">
        <v>2.6572527472527399</v>
      </c>
      <c r="R1293">
        <v>2.02</v>
      </c>
      <c r="S1293">
        <v>12.09</v>
      </c>
      <c r="T1293">
        <v>80.599999999999994</v>
      </c>
      <c r="U1293">
        <v>60.46</v>
      </c>
      <c r="V1293">
        <v>129.33000000000001</v>
      </c>
      <c r="W1293">
        <v>1.6</v>
      </c>
    </row>
    <row r="1294" spans="1:23" x14ac:dyDescent="0.3">
      <c r="A1294">
        <v>1293</v>
      </c>
      <c r="B1294" t="s">
        <v>1337</v>
      </c>
      <c r="C1294" t="s">
        <v>35</v>
      </c>
      <c r="D1294">
        <v>140</v>
      </c>
      <c r="E1294">
        <v>4633</v>
      </c>
      <c r="F1294" s="3">
        <v>229</v>
      </c>
      <c r="G1294">
        <v>15</v>
      </c>
      <c r="H1294">
        <v>4</v>
      </c>
      <c r="I1294" s="5">
        <v>2.8571428571428501E-2</v>
      </c>
      <c r="J1294" s="3">
        <v>355</v>
      </c>
      <c r="K1294" s="1">
        <v>45616</v>
      </c>
      <c r="L1294" t="s">
        <v>25</v>
      </c>
      <c r="M1294" t="s">
        <v>31</v>
      </c>
      <c r="N1294" t="s">
        <v>36</v>
      </c>
      <c r="O1294" t="s">
        <v>28</v>
      </c>
      <c r="P1294" t="s">
        <v>33</v>
      </c>
      <c r="Q1294" s="6">
        <v>1.63321428571428</v>
      </c>
      <c r="R1294">
        <v>3.02</v>
      </c>
      <c r="S1294">
        <v>15.24</v>
      </c>
      <c r="T1294">
        <v>57.16</v>
      </c>
      <c r="U1294">
        <v>55.26</v>
      </c>
      <c r="V1294">
        <v>88.75</v>
      </c>
      <c r="W1294">
        <v>1.55</v>
      </c>
    </row>
    <row r="1295" spans="1:23" x14ac:dyDescent="0.3">
      <c r="A1295">
        <v>1294</v>
      </c>
      <c r="B1295" t="s">
        <v>1338</v>
      </c>
      <c r="C1295" t="s">
        <v>38</v>
      </c>
      <c r="D1295">
        <v>142</v>
      </c>
      <c r="E1295">
        <v>3155</v>
      </c>
      <c r="F1295" s="3">
        <v>229</v>
      </c>
      <c r="G1295">
        <v>20</v>
      </c>
      <c r="H1295">
        <v>10</v>
      </c>
      <c r="I1295" s="5">
        <v>7.0422535211267595E-2</v>
      </c>
      <c r="J1295" s="3">
        <v>399</v>
      </c>
      <c r="K1295" s="1">
        <v>45597</v>
      </c>
      <c r="L1295" t="s">
        <v>25</v>
      </c>
      <c r="M1295" t="s">
        <v>31</v>
      </c>
      <c r="N1295" t="s">
        <v>27</v>
      </c>
      <c r="O1295" t="s">
        <v>28</v>
      </c>
      <c r="P1295" t="s">
        <v>45</v>
      </c>
      <c r="Q1295" s="6">
        <v>1.61274647887323</v>
      </c>
      <c r="R1295">
        <v>4.5</v>
      </c>
      <c r="S1295">
        <v>11.45</v>
      </c>
      <c r="T1295">
        <v>22.9</v>
      </c>
      <c r="U1295">
        <v>74.23</v>
      </c>
      <c r="V1295">
        <v>39.9</v>
      </c>
      <c r="W1295">
        <v>1.74</v>
      </c>
    </row>
    <row r="1296" spans="1:23" x14ac:dyDescent="0.3">
      <c r="A1296">
        <v>1295</v>
      </c>
      <c r="B1296" t="s">
        <v>1339</v>
      </c>
      <c r="C1296" t="s">
        <v>35</v>
      </c>
      <c r="D1296">
        <v>198</v>
      </c>
      <c r="E1296">
        <v>3444</v>
      </c>
      <c r="F1296" s="3">
        <v>196</v>
      </c>
      <c r="G1296">
        <v>27</v>
      </c>
      <c r="H1296">
        <v>4</v>
      </c>
      <c r="I1296" s="5">
        <v>2.02020202020202E-2</v>
      </c>
      <c r="J1296" s="3">
        <v>269</v>
      </c>
      <c r="K1296" s="1">
        <v>45606</v>
      </c>
      <c r="L1296" t="s">
        <v>25</v>
      </c>
      <c r="M1296" t="s">
        <v>26</v>
      </c>
      <c r="N1296" t="s">
        <v>36</v>
      </c>
      <c r="O1296" t="s">
        <v>28</v>
      </c>
      <c r="P1296" t="s">
        <v>50</v>
      </c>
      <c r="Q1296" s="6">
        <v>0.98944444444444402</v>
      </c>
      <c r="R1296">
        <v>5.75</v>
      </c>
      <c r="S1296">
        <v>7.26</v>
      </c>
      <c r="T1296">
        <v>48.98</v>
      </c>
      <c r="U1296">
        <v>37.31</v>
      </c>
      <c r="V1296">
        <v>67.25</v>
      </c>
      <c r="W1296">
        <v>1.37</v>
      </c>
    </row>
    <row r="1297" spans="1:23" x14ac:dyDescent="0.3">
      <c r="A1297">
        <v>1296</v>
      </c>
      <c r="B1297" t="s">
        <v>1340</v>
      </c>
      <c r="C1297" t="s">
        <v>35</v>
      </c>
      <c r="D1297">
        <v>88</v>
      </c>
      <c r="E1297">
        <v>4253</v>
      </c>
      <c r="F1297" s="3">
        <v>210</v>
      </c>
      <c r="G1297">
        <v>23</v>
      </c>
      <c r="H1297">
        <v>8</v>
      </c>
      <c r="I1297" s="5">
        <v>9.0909090909090898E-2</v>
      </c>
      <c r="J1297" s="3">
        <v>391</v>
      </c>
      <c r="K1297" s="1">
        <v>45607</v>
      </c>
      <c r="L1297" t="s">
        <v>25</v>
      </c>
      <c r="M1297" t="s">
        <v>39</v>
      </c>
      <c r="N1297" t="s">
        <v>36</v>
      </c>
      <c r="O1297" t="s">
        <v>28</v>
      </c>
      <c r="P1297" t="s">
        <v>59</v>
      </c>
      <c r="Q1297" s="6">
        <v>2.3920454545454501</v>
      </c>
      <c r="R1297">
        <v>2.0699999999999998</v>
      </c>
      <c r="S1297">
        <v>9.15</v>
      </c>
      <c r="T1297">
        <v>26.31</v>
      </c>
      <c r="U1297">
        <v>85.75</v>
      </c>
      <c r="V1297">
        <v>48.88</v>
      </c>
      <c r="W1297">
        <v>1.86</v>
      </c>
    </row>
    <row r="1298" spans="1:23" x14ac:dyDescent="0.3">
      <c r="A1298">
        <v>1297</v>
      </c>
      <c r="B1298" t="s">
        <v>1341</v>
      </c>
      <c r="C1298" t="s">
        <v>43</v>
      </c>
      <c r="D1298">
        <v>130</v>
      </c>
      <c r="E1298">
        <v>4925</v>
      </c>
      <c r="F1298" s="3">
        <v>201</v>
      </c>
      <c r="G1298">
        <v>26</v>
      </c>
      <c r="H1298">
        <v>5</v>
      </c>
      <c r="I1298" s="5">
        <v>3.8461538461538401E-2</v>
      </c>
      <c r="J1298" s="3">
        <v>266</v>
      </c>
      <c r="K1298" s="1">
        <v>45611</v>
      </c>
      <c r="L1298" t="s">
        <v>25</v>
      </c>
      <c r="M1298" t="s">
        <v>39</v>
      </c>
      <c r="N1298" t="s">
        <v>49</v>
      </c>
      <c r="O1298" t="s">
        <v>28</v>
      </c>
      <c r="P1298" t="s">
        <v>45</v>
      </c>
      <c r="Q1298" s="6">
        <v>1.54692307692307</v>
      </c>
      <c r="R1298">
        <v>2.64</v>
      </c>
      <c r="S1298">
        <v>7.73</v>
      </c>
      <c r="T1298">
        <v>40.22</v>
      </c>
      <c r="U1298">
        <v>32.270000000000003</v>
      </c>
      <c r="V1298">
        <v>53.2</v>
      </c>
      <c r="W1298">
        <v>1.32</v>
      </c>
    </row>
    <row r="1299" spans="1:23" x14ac:dyDescent="0.3">
      <c r="A1299">
        <v>1298</v>
      </c>
      <c r="B1299" t="s">
        <v>1342</v>
      </c>
      <c r="C1299" t="s">
        <v>24</v>
      </c>
      <c r="D1299">
        <v>186</v>
      </c>
      <c r="E1299">
        <v>3576</v>
      </c>
      <c r="F1299" s="3">
        <v>214</v>
      </c>
      <c r="G1299">
        <v>26</v>
      </c>
      <c r="H1299">
        <v>4</v>
      </c>
      <c r="I1299" s="5">
        <v>2.1505376344085999E-2</v>
      </c>
      <c r="J1299" s="3">
        <v>345</v>
      </c>
      <c r="K1299" s="1">
        <v>45598</v>
      </c>
      <c r="L1299" t="s">
        <v>25</v>
      </c>
      <c r="M1299" t="s">
        <v>39</v>
      </c>
      <c r="N1299" t="s">
        <v>27</v>
      </c>
      <c r="O1299" t="s">
        <v>28</v>
      </c>
      <c r="P1299" t="s">
        <v>29</v>
      </c>
      <c r="Q1299" s="6">
        <v>1.15032258064516</v>
      </c>
      <c r="R1299">
        <v>5.2</v>
      </c>
      <c r="S1299">
        <v>8.23</v>
      </c>
      <c r="T1299">
        <v>53.49</v>
      </c>
      <c r="U1299">
        <v>61.25</v>
      </c>
      <c r="V1299">
        <v>86.25</v>
      </c>
      <c r="W1299">
        <v>1.61</v>
      </c>
    </row>
    <row r="1300" spans="1:23" x14ac:dyDescent="0.3">
      <c r="A1300">
        <v>1299</v>
      </c>
      <c r="B1300" t="s">
        <v>1343</v>
      </c>
      <c r="C1300" t="s">
        <v>24</v>
      </c>
      <c r="D1300">
        <v>146</v>
      </c>
      <c r="E1300">
        <v>5831</v>
      </c>
      <c r="F1300" s="3">
        <v>203</v>
      </c>
      <c r="G1300">
        <v>19</v>
      </c>
      <c r="H1300">
        <v>5</v>
      </c>
      <c r="I1300" s="5">
        <v>3.4246575342465703E-2</v>
      </c>
      <c r="J1300" s="3">
        <v>248</v>
      </c>
      <c r="K1300" s="1">
        <v>45624</v>
      </c>
      <c r="L1300" t="s">
        <v>25</v>
      </c>
      <c r="M1300" t="s">
        <v>31</v>
      </c>
      <c r="N1300" t="s">
        <v>49</v>
      </c>
      <c r="O1300" t="s">
        <v>28</v>
      </c>
      <c r="P1300" t="s">
        <v>54</v>
      </c>
      <c r="Q1300" s="6">
        <v>1.3908904109589</v>
      </c>
      <c r="R1300">
        <v>2.5</v>
      </c>
      <c r="S1300">
        <v>10.69</v>
      </c>
      <c r="T1300">
        <v>40.61</v>
      </c>
      <c r="U1300">
        <v>22.13</v>
      </c>
      <c r="V1300">
        <v>49.6</v>
      </c>
      <c r="W1300">
        <v>1.22</v>
      </c>
    </row>
    <row r="1301" spans="1:23" x14ac:dyDescent="0.3">
      <c r="A1301">
        <v>1300</v>
      </c>
      <c r="B1301" t="s">
        <v>1344</v>
      </c>
      <c r="C1301" t="s">
        <v>43</v>
      </c>
      <c r="D1301">
        <v>199</v>
      </c>
      <c r="E1301">
        <v>5147</v>
      </c>
      <c r="F1301" s="3">
        <v>203</v>
      </c>
      <c r="G1301">
        <v>27</v>
      </c>
      <c r="H1301">
        <v>10</v>
      </c>
      <c r="I1301" s="5">
        <v>5.0251256281407003E-2</v>
      </c>
      <c r="J1301" s="3">
        <v>230</v>
      </c>
      <c r="K1301" s="1">
        <v>45626</v>
      </c>
      <c r="L1301" t="s">
        <v>25</v>
      </c>
      <c r="M1301" t="s">
        <v>39</v>
      </c>
      <c r="N1301" t="s">
        <v>32</v>
      </c>
      <c r="O1301" t="s">
        <v>28</v>
      </c>
      <c r="P1301" t="s">
        <v>29</v>
      </c>
      <c r="Q1301" s="6">
        <v>1.02050251256281</v>
      </c>
      <c r="R1301">
        <v>3.87</v>
      </c>
      <c r="S1301">
        <v>7.52</v>
      </c>
      <c r="T1301">
        <v>20.309999999999999</v>
      </c>
      <c r="U1301">
        <v>13.26</v>
      </c>
      <c r="V1301">
        <v>23</v>
      </c>
      <c r="W1301">
        <v>1.1299999999999999</v>
      </c>
    </row>
    <row r="1302" spans="1:23" x14ac:dyDescent="0.3">
      <c r="A1302">
        <v>1301</v>
      </c>
      <c r="B1302" t="s">
        <v>1345</v>
      </c>
      <c r="C1302" t="s">
        <v>43</v>
      </c>
      <c r="D1302">
        <v>94</v>
      </c>
      <c r="E1302">
        <v>4242</v>
      </c>
      <c r="F1302" s="3">
        <v>209</v>
      </c>
      <c r="G1302">
        <v>14</v>
      </c>
      <c r="H1302">
        <v>5</v>
      </c>
      <c r="I1302" s="5">
        <v>5.31914893617021E-2</v>
      </c>
      <c r="J1302" s="3">
        <v>229</v>
      </c>
      <c r="K1302" s="1">
        <v>45613</v>
      </c>
      <c r="L1302" t="s">
        <v>25</v>
      </c>
      <c r="M1302" t="s">
        <v>39</v>
      </c>
      <c r="N1302" t="s">
        <v>27</v>
      </c>
      <c r="O1302" t="s">
        <v>28</v>
      </c>
      <c r="P1302" t="s">
        <v>50</v>
      </c>
      <c r="Q1302" s="6">
        <v>2.22106382978723</v>
      </c>
      <c r="R1302">
        <v>2.2200000000000002</v>
      </c>
      <c r="S1302">
        <v>14.91</v>
      </c>
      <c r="T1302">
        <v>41.76</v>
      </c>
      <c r="U1302">
        <v>9.68</v>
      </c>
      <c r="V1302">
        <v>45.8</v>
      </c>
      <c r="W1302">
        <v>1.1000000000000001</v>
      </c>
    </row>
    <row r="1303" spans="1:23" x14ac:dyDescent="0.3">
      <c r="A1303">
        <v>1302</v>
      </c>
      <c r="B1303" t="s">
        <v>1346</v>
      </c>
      <c r="C1303" t="s">
        <v>38</v>
      </c>
      <c r="D1303">
        <v>119</v>
      </c>
      <c r="E1303">
        <v>5530</v>
      </c>
      <c r="F1303" s="3">
        <v>206</v>
      </c>
      <c r="G1303">
        <v>25</v>
      </c>
      <c r="H1303">
        <v>9</v>
      </c>
      <c r="I1303" s="5">
        <v>7.5630252100840303E-2</v>
      </c>
      <c r="J1303" s="3">
        <v>352</v>
      </c>
      <c r="K1303" s="1">
        <v>45610</v>
      </c>
      <c r="L1303" t="s">
        <v>25</v>
      </c>
      <c r="M1303" t="s">
        <v>31</v>
      </c>
      <c r="N1303" t="s">
        <v>49</v>
      </c>
      <c r="O1303" t="s">
        <v>28</v>
      </c>
      <c r="P1303" t="s">
        <v>54</v>
      </c>
      <c r="Q1303" s="6">
        <v>1.72899159663865</v>
      </c>
      <c r="R1303">
        <v>2.15</v>
      </c>
      <c r="S1303">
        <v>8.23</v>
      </c>
      <c r="T1303">
        <v>22.86</v>
      </c>
      <c r="U1303">
        <v>71.08</v>
      </c>
      <c r="V1303">
        <v>39.11</v>
      </c>
      <c r="W1303">
        <v>1.71</v>
      </c>
    </row>
    <row r="1304" spans="1:23" x14ac:dyDescent="0.3">
      <c r="A1304">
        <v>1303</v>
      </c>
      <c r="B1304" t="s">
        <v>1347</v>
      </c>
      <c r="C1304" t="s">
        <v>38</v>
      </c>
      <c r="D1304">
        <v>168</v>
      </c>
      <c r="E1304">
        <v>4614</v>
      </c>
      <c r="F1304" s="3">
        <v>241</v>
      </c>
      <c r="G1304">
        <v>28</v>
      </c>
      <c r="H1304">
        <v>9</v>
      </c>
      <c r="I1304" s="5">
        <v>5.3571428571428499E-2</v>
      </c>
      <c r="J1304" s="3">
        <v>267</v>
      </c>
      <c r="K1304" s="1">
        <v>45597</v>
      </c>
      <c r="L1304" t="s">
        <v>25</v>
      </c>
      <c r="M1304" t="s">
        <v>31</v>
      </c>
      <c r="N1304" t="s">
        <v>44</v>
      </c>
      <c r="O1304" t="s">
        <v>28</v>
      </c>
      <c r="P1304" t="s">
        <v>45</v>
      </c>
      <c r="Q1304" s="6">
        <v>1.43595238095238</v>
      </c>
      <c r="R1304">
        <v>3.64</v>
      </c>
      <c r="S1304">
        <v>8.6199999999999992</v>
      </c>
      <c r="T1304">
        <v>26.8</v>
      </c>
      <c r="U1304">
        <v>10.68</v>
      </c>
      <c r="V1304">
        <v>29.67</v>
      </c>
      <c r="W1304">
        <v>1.1100000000000001</v>
      </c>
    </row>
    <row r="1305" spans="1:23" x14ac:dyDescent="0.3">
      <c r="A1305">
        <v>1304</v>
      </c>
      <c r="B1305" t="s">
        <v>1348</v>
      </c>
      <c r="C1305" t="s">
        <v>24</v>
      </c>
      <c r="D1305">
        <v>117</v>
      </c>
      <c r="E1305">
        <v>5016</v>
      </c>
      <c r="F1305" s="3">
        <v>249</v>
      </c>
      <c r="G1305">
        <v>10</v>
      </c>
      <c r="H1305">
        <v>9</v>
      </c>
      <c r="I1305" s="5">
        <v>7.69230769230769E-2</v>
      </c>
      <c r="J1305" s="3">
        <v>374</v>
      </c>
      <c r="K1305" s="1">
        <v>45598</v>
      </c>
      <c r="L1305" t="s">
        <v>25</v>
      </c>
      <c r="M1305" t="s">
        <v>39</v>
      </c>
      <c r="N1305" t="s">
        <v>27</v>
      </c>
      <c r="O1305" t="s">
        <v>28</v>
      </c>
      <c r="P1305" t="s">
        <v>29</v>
      </c>
      <c r="Q1305" s="6">
        <v>2.1314529914529898</v>
      </c>
      <c r="R1305">
        <v>2.33</v>
      </c>
      <c r="S1305">
        <v>24.94</v>
      </c>
      <c r="T1305">
        <v>27.71</v>
      </c>
      <c r="U1305">
        <v>49.97</v>
      </c>
      <c r="V1305">
        <v>41.56</v>
      </c>
      <c r="W1305">
        <v>1.5</v>
      </c>
    </row>
    <row r="1306" spans="1:23" x14ac:dyDescent="0.3">
      <c r="A1306">
        <v>1305</v>
      </c>
      <c r="B1306" t="s">
        <v>1349</v>
      </c>
      <c r="C1306" t="s">
        <v>38</v>
      </c>
      <c r="D1306">
        <v>156</v>
      </c>
      <c r="E1306">
        <v>5072</v>
      </c>
      <c r="F1306" s="3">
        <v>249</v>
      </c>
      <c r="G1306">
        <v>18</v>
      </c>
      <c r="H1306">
        <v>3</v>
      </c>
      <c r="I1306" s="5">
        <v>1.9230769230769201E-2</v>
      </c>
      <c r="J1306" s="3">
        <v>347</v>
      </c>
      <c r="K1306" s="1">
        <v>45608</v>
      </c>
      <c r="L1306" t="s">
        <v>25</v>
      </c>
      <c r="M1306" t="s">
        <v>31</v>
      </c>
      <c r="N1306" t="s">
        <v>27</v>
      </c>
      <c r="O1306" t="s">
        <v>28</v>
      </c>
      <c r="P1306" t="s">
        <v>41</v>
      </c>
      <c r="Q1306" s="6">
        <v>1.5985256410256401</v>
      </c>
      <c r="R1306">
        <v>3.08</v>
      </c>
      <c r="S1306">
        <v>13.85</v>
      </c>
      <c r="T1306">
        <v>83.12</v>
      </c>
      <c r="U1306">
        <v>39.15</v>
      </c>
      <c r="V1306">
        <v>115.67</v>
      </c>
      <c r="W1306">
        <v>1.39</v>
      </c>
    </row>
    <row r="1307" spans="1:23" x14ac:dyDescent="0.3">
      <c r="A1307">
        <v>1306</v>
      </c>
      <c r="B1307" t="s">
        <v>1350</v>
      </c>
      <c r="C1307" t="s">
        <v>35</v>
      </c>
      <c r="D1307">
        <v>151</v>
      </c>
      <c r="E1307">
        <v>4805</v>
      </c>
      <c r="F1307" s="3">
        <v>242</v>
      </c>
      <c r="G1307">
        <v>22</v>
      </c>
      <c r="H1307">
        <v>3</v>
      </c>
      <c r="I1307" s="5">
        <v>1.98675496688741E-2</v>
      </c>
      <c r="J1307" s="3">
        <v>321</v>
      </c>
      <c r="K1307" s="1">
        <v>45599</v>
      </c>
      <c r="L1307" t="s">
        <v>25</v>
      </c>
      <c r="M1307" t="s">
        <v>39</v>
      </c>
      <c r="N1307" t="s">
        <v>44</v>
      </c>
      <c r="O1307" t="s">
        <v>28</v>
      </c>
      <c r="P1307" t="s">
        <v>50</v>
      </c>
      <c r="Q1307" s="6">
        <v>1.6023178807947001</v>
      </c>
      <c r="R1307">
        <v>3.14</v>
      </c>
      <c r="S1307">
        <v>11</v>
      </c>
      <c r="T1307">
        <v>80.650000000000006</v>
      </c>
      <c r="U1307">
        <v>32.67</v>
      </c>
      <c r="V1307">
        <v>107</v>
      </c>
      <c r="W1307">
        <v>1.33</v>
      </c>
    </row>
    <row r="1308" spans="1:23" x14ac:dyDescent="0.3">
      <c r="A1308">
        <v>1307</v>
      </c>
      <c r="B1308" t="s">
        <v>1351</v>
      </c>
      <c r="C1308" t="s">
        <v>38</v>
      </c>
      <c r="D1308">
        <v>133</v>
      </c>
      <c r="E1308">
        <v>4474</v>
      </c>
      <c r="F1308" s="3">
        <v>199</v>
      </c>
      <c r="G1308">
        <v>10</v>
      </c>
      <c r="H1308">
        <v>6</v>
      </c>
      <c r="I1308" s="5">
        <v>4.5112781954887202E-2</v>
      </c>
      <c r="J1308" s="3">
        <v>284</v>
      </c>
      <c r="K1308" s="1">
        <v>45599</v>
      </c>
      <c r="L1308" t="s">
        <v>25</v>
      </c>
      <c r="M1308" t="s">
        <v>31</v>
      </c>
      <c r="N1308" t="s">
        <v>44</v>
      </c>
      <c r="O1308" t="s">
        <v>28</v>
      </c>
      <c r="P1308" t="s">
        <v>50</v>
      </c>
      <c r="Q1308" s="6">
        <v>1.49616541353383</v>
      </c>
      <c r="R1308">
        <v>2.97</v>
      </c>
      <c r="S1308">
        <v>19.899999999999999</v>
      </c>
      <c r="T1308">
        <v>33.159999999999997</v>
      </c>
      <c r="U1308">
        <v>42.72</v>
      </c>
      <c r="V1308">
        <v>47.33</v>
      </c>
      <c r="W1308">
        <v>1.43</v>
      </c>
    </row>
    <row r="1309" spans="1:23" x14ac:dyDescent="0.3">
      <c r="A1309">
        <v>1308</v>
      </c>
      <c r="B1309" t="s">
        <v>1352</v>
      </c>
      <c r="C1309" t="s">
        <v>43</v>
      </c>
      <c r="D1309">
        <v>105</v>
      </c>
      <c r="E1309">
        <v>5151</v>
      </c>
      <c r="F1309" s="3">
        <v>188</v>
      </c>
      <c r="G1309">
        <v>14</v>
      </c>
      <c r="H1309">
        <v>9</v>
      </c>
      <c r="I1309" s="5">
        <v>8.5714285714285701E-2</v>
      </c>
      <c r="J1309" s="3">
        <v>326</v>
      </c>
      <c r="K1309" s="1">
        <v>45599</v>
      </c>
      <c r="L1309" t="s">
        <v>25</v>
      </c>
      <c r="M1309" t="s">
        <v>39</v>
      </c>
      <c r="N1309" t="s">
        <v>44</v>
      </c>
      <c r="O1309" t="s">
        <v>28</v>
      </c>
      <c r="P1309" t="s">
        <v>50</v>
      </c>
      <c r="Q1309" s="6">
        <v>1.7921904761904699</v>
      </c>
      <c r="R1309">
        <v>2.04</v>
      </c>
      <c r="S1309">
        <v>13.44</v>
      </c>
      <c r="T1309">
        <v>20.91</v>
      </c>
      <c r="U1309">
        <v>73.239999999999995</v>
      </c>
      <c r="V1309">
        <v>36.22</v>
      </c>
      <c r="W1309">
        <v>1.73</v>
      </c>
    </row>
    <row r="1310" spans="1:23" x14ac:dyDescent="0.3">
      <c r="A1310">
        <v>1309</v>
      </c>
      <c r="B1310" t="s">
        <v>1353</v>
      </c>
      <c r="C1310" t="s">
        <v>43</v>
      </c>
      <c r="D1310">
        <v>98</v>
      </c>
      <c r="E1310">
        <v>4515</v>
      </c>
      <c r="F1310" s="3">
        <v>219</v>
      </c>
      <c r="G1310">
        <v>12</v>
      </c>
      <c r="H1310">
        <v>7</v>
      </c>
      <c r="I1310" s="5">
        <v>7.1428571428571397E-2</v>
      </c>
      <c r="J1310" s="3">
        <v>368</v>
      </c>
      <c r="K1310" s="1">
        <v>45603</v>
      </c>
      <c r="L1310" t="s">
        <v>25</v>
      </c>
      <c r="M1310" t="s">
        <v>26</v>
      </c>
      <c r="N1310" t="s">
        <v>27</v>
      </c>
      <c r="O1310" t="s">
        <v>28</v>
      </c>
      <c r="P1310" t="s">
        <v>54</v>
      </c>
      <c r="Q1310" s="6">
        <v>2.2386734693877499</v>
      </c>
      <c r="R1310">
        <v>2.17</v>
      </c>
      <c r="S1310">
        <v>18.28</v>
      </c>
      <c r="T1310">
        <v>31.34</v>
      </c>
      <c r="U1310">
        <v>67.739999999999995</v>
      </c>
      <c r="V1310">
        <v>52.57</v>
      </c>
      <c r="W1310">
        <v>1.68</v>
      </c>
    </row>
    <row r="1311" spans="1:23" x14ac:dyDescent="0.3">
      <c r="A1311">
        <v>1310</v>
      </c>
      <c r="B1311" t="s">
        <v>1354</v>
      </c>
      <c r="C1311" t="s">
        <v>43</v>
      </c>
      <c r="D1311">
        <v>93</v>
      </c>
      <c r="E1311">
        <v>4269</v>
      </c>
      <c r="F1311" s="3">
        <v>248</v>
      </c>
      <c r="G1311">
        <v>21</v>
      </c>
      <c r="H1311">
        <v>8</v>
      </c>
      <c r="I1311" s="5">
        <v>8.6021505376343996E-2</v>
      </c>
      <c r="J1311" s="3">
        <v>315</v>
      </c>
      <c r="K1311" s="1">
        <v>45615</v>
      </c>
      <c r="L1311" t="s">
        <v>25</v>
      </c>
      <c r="M1311" t="s">
        <v>39</v>
      </c>
      <c r="N1311" t="s">
        <v>27</v>
      </c>
      <c r="O1311" t="s">
        <v>28</v>
      </c>
      <c r="P1311" t="s">
        <v>41</v>
      </c>
      <c r="Q1311" s="6">
        <v>2.6640860215053701</v>
      </c>
      <c r="R1311">
        <v>2.1800000000000002</v>
      </c>
      <c r="S1311">
        <v>11.8</v>
      </c>
      <c r="T1311">
        <v>30.97</v>
      </c>
      <c r="U1311">
        <v>27.14</v>
      </c>
      <c r="V1311">
        <v>39.380000000000003</v>
      </c>
      <c r="W1311">
        <v>1.27</v>
      </c>
    </row>
    <row r="1312" spans="1:23" x14ac:dyDescent="0.3">
      <c r="A1312">
        <v>1311</v>
      </c>
      <c r="B1312" t="s">
        <v>1355</v>
      </c>
      <c r="C1312" t="s">
        <v>43</v>
      </c>
      <c r="D1312">
        <v>165</v>
      </c>
      <c r="E1312">
        <v>3759</v>
      </c>
      <c r="F1312" s="3">
        <v>232</v>
      </c>
      <c r="G1312">
        <v>23</v>
      </c>
      <c r="H1312">
        <v>8</v>
      </c>
      <c r="I1312" s="5">
        <v>4.8484848484848402E-2</v>
      </c>
      <c r="J1312" s="3">
        <v>215</v>
      </c>
      <c r="K1312" s="1">
        <v>45624</v>
      </c>
      <c r="L1312" t="s">
        <v>25</v>
      </c>
      <c r="M1312" t="s">
        <v>31</v>
      </c>
      <c r="N1312" t="s">
        <v>49</v>
      </c>
      <c r="O1312" t="s">
        <v>28</v>
      </c>
      <c r="P1312" t="s">
        <v>54</v>
      </c>
      <c r="Q1312" s="6">
        <v>1.40375757575757</v>
      </c>
      <c r="R1312">
        <v>4.3899999999999997</v>
      </c>
      <c r="S1312">
        <v>10.07</v>
      </c>
      <c r="T1312">
        <v>28.95</v>
      </c>
      <c r="U1312">
        <v>-7.18</v>
      </c>
      <c r="V1312">
        <v>26.88</v>
      </c>
      <c r="W1312">
        <v>0.93</v>
      </c>
    </row>
    <row r="1313" spans="1:23" x14ac:dyDescent="0.3">
      <c r="A1313">
        <v>1312</v>
      </c>
      <c r="B1313" t="s">
        <v>1356</v>
      </c>
      <c r="C1313" t="s">
        <v>43</v>
      </c>
      <c r="D1313">
        <v>156</v>
      </c>
      <c r="E1313">
        <v>4476</v>
      </c>
      <c r="F1313" s="3">
        <v>187</v>
      </c>
      <c r="G1313">
        <v>17</v>
      </c>
      <c r="H1313">
        <v>10</v>
      </c>
      <c r="I1313" s="5">
        <v>6.4102564102564097E-2</v>
      </c>
      <c r="J1313" s="3">
        <v>280</v>
      </c>
      <c r="K1313" s="1">
        <v>45609</v>
      </c>
      <c r="L1313" t="s">
        <v>25</v>
      </c>
      <c r="M1313" t="s">
        <v>39</v>
      </c>
      <c r="N1313" t="s">
        <v>49</v>
      </c>
      <c r="O1313" t="s">
        <v>28</v>
      </c>
      <c r="P1313" t="s">
        <v>33</v>
      </c>
      <c r="Q1313" s="6">
        <v>1.1966666666666601</v>
      </c>
      <c r="R1313">
        <v>3.49</v>
      </c>
      <c r="S1313">
        <v>10.98</v>
      </c>
      <c r="T1313">
        <v>18.670000000000002</v>
      </c>
      <c r="U1313">
        <v>49.99</v>
      </c>
      <c r="V1313">
        <v>28</v>
      </c>
      <c r="W1313">
        <v>1.5</v>
      </c>
    </row>
    <row r="1314" spans="1:23" x14ac:dyDescent="0.3">
      <c r="A1314">
        <v>1313</v>
      </c>
      <c r="B1314" t="s">
        <v>1357</v>
      </c>
      <c r="C1314" t="s">
        <v>24</v>
      </c>
      <c r="D1314">
        <v>166</v>
      </c>
      <c r="E1314">
        <v>5749</v>
      </c>
      <c r="F1314" s="3">
        <v>237</v>
      </c>
      <c r="G1314">
        <v>11</v>
      </c>
      <c r="H1314">
        <v>5</v>
      </c>
      <c r="I1314" s="5">
        <v>3.0120481927710802E-2</v>
      </c>
      <c r="J1314" s="3">
        <v>363</v>
      </c>
      <c r="K1314" s="1">
        <v>45611</v>
      </c>
      <c r="L1314" t="s">
        <v>25</v>
      </c>
      <c r="M1314" t="s">
        <v>26</v>
      </c>
      <c r="N1314" t="s">
        <v>49</v>
      </c>
      <c r="O1314" t="s">
        <v>28</v>
      </c>
      <c r="P1314" t="s">
        <v>45</v>
      </c>
      <c r="Q1314" s="6">
        <v>1.42481927710843</v>
      </c>
      <c r="R1314">
        <v>2.89</v>
      </c>
      <c r="S1314">
        <v>21.5</v>
      </c>
      <c r="T1314">
        <v>47.3</v>
      </c>
      <c r="U1314">
        <v>53.48</v>
      </c>
      <c r="V1314">
        <v>72.599999999999994</v>
      </c>
      <c r="W1314">
        <v>1.53</v>
      </c>
    </row>
    <row r="1315" spans="1:23" x14ac:dyDescent="0.3">
      <c r="A1315">
        <v>1314</v>
      </c>
      <c r="B1315" t="s">
        <v>1358</v>
      </c>
      <c r="C1315" t="s">
        <v>35</v>
      </c>
      <c r="D1315">
        <v>134</v>
      </c>
      <c r="E1315">
        <v>5166</v>
      </c>
      <c r="F1315" s="3">
        <v>192</v>
      </c>
      <c r="G1315">
        <v>10</v>
      </c>
      <c r="H1315">
        <v>3</v>
      </c>
      <c r="I1315" s="5">
        <v>2.2388059701492501E-2</v>
      </c>
      <c r="J1315" s="3">
        <v>311</v>
      </c>
      <c r="K1315" s="1">
        <v>45600</v>
      </c>
      <c r="L1315" t="s">
        <v>25</v>
      </c>
      <c r="M1315" t="s">
        <v>31</v>
      </c>
      <c r="N1315" t="s">
        <v>27</v>
      </c>
      <c r="O1315" t="s">
        <v>28</v>
      </c>
      <c r="P1315" t="s">
        <v>59</v>
      </c>
      <c r="Q1315" s="6">
        <v>1.4322388059701401</v>
      </c>
      <c r="R1315">
        <v>2.59</v>
      </c>
      <c r="S1315">
        <v>19.190000000000001</v>
      </c>
      <c r="T1315">
        <v>63.97</v>
      </c>
      <c r="U1315">
        <v>62.05</v>
      </c>
      <c r="V1315">
        <v>103.67</v>
      </c>
      <c r="W1315">
        <v>1.62</v>
      </c>
    </row>
    <row r="1316" spans="1:23" x14ac:dyDescent="0.3">
      <c r="A1316">
        <v>1315</v>
      </c>
      <c r="B1316" t="s">
        <v>1359</v>
      </c>
      <c r="C1316" t="s">
        <v>43</v>
      </c>
      <c r="D1316">
        <v>103</v>
      </c>
      <c r="E1316">
        <v>3687</v>
      </c>
      <c r="F1316" s="3">
        <v>195</v>
      </c>
      <c r="G1316">
        <v>27</v>
      </c>
      <c r="H1316">
        <v>4</v>
      </c>
      <c r="I1316" s="5">
        <v>3.88349514563106E-2</v>
      </c>
      <c r="J1316" s="3">
        <v>275</v>
      </c>
      <c r="K1316" s="1">
        <v>45611</v>
      </c>
      <c r="L1316" t="s">
        <v>25</v>
      </c>
      <c r="M1316" t="s">
        <v>39</v>
      </c>
      <c r="N1316" t="s">
        <v>27</v>
      </c>
      <c r="O1316" t="s">
        <v>28</v>
      </c>
      <c r="P1316" t="s">
        <v>45</v>
      </c>
      <c r="Q1316" s="6">
        <v>1.8905825242718399</v>
      </c>
      <c r="R1316">
        <v>2.79</v>
      </c>
      <c r="S1316">
        <v>7.21</v>
      </c>
      <c r="T1316">
        <v>48.68</v>
      </c>
      <c r="U1316">
        <v>41.22</v>
      </c>
      <c r="V1316">
        <v>68.75</v>
      </c>
      <c r="W1316">
        <v>1.41</v>
      </c>
    </row>
    <row r="1317" spans="1:23" x14ac:dyDescent="0.3">
      <c r="A1317">
        <v>1316</v>
      </c>
      <c r="B1317" t="s">
        <v>1360</v>
      </c>
      <c r="C1317" t="s">
        <v>38</v>
      </c>
      <c r="D1317">
        <v>95</v>
      </c>
      <c r="E1317">
        <v>4939</v>
      </c>
      <c r="F1317" s="3">
        <v>219</v>
      </c>
      <c r="G1317">
        <v>26</v>
      </c>
      <c r="H1317">
        <v>3</v>
      </c>
      <c r="I1317" s="5">
        <v>3.1578947368420998E-2</v>
      </c>
      <c r="J1317" s="3">
        <v>364</v>
      </c>
      <c r="K1317" s="1">
        <v>45603</v>
      </c>
      <c r="L1317" t="s">
        <v>25</v>
      </c>
      <c r="M1317" t="s">
        <v>31</v>
      </c>
      <c r="N1317" t="s">
        <v>40</v>
      </c>
      <c r="O1317" t="s">
        <v>28</v>
      </c>
      <c r="P1317" t="s">
        <v>54</v>
      </c>
      <c r="Q1317" s="6">
        <v>2.3097894736842099</v>
      </c>
      <c r="R1317">
        <v>1.92</v>
      </c>
      <c r="S1317">
        <v>8.44</v>
      </c>
      <c r="T1317">
        <v>73.14</v>
      </c>
      <c r="U1317">
        <v>65.88</v>
      </c>
      <c r="V1317">
        <v>121.33</v>
      </c>
      <c r="W1317">
        <v>1.66</v>
      </c>
    </row>
    <row r="1318" spans="1:23" x14ac:dyDescent="0.3">
      <c r="A1318">
        <v>1317</v>
      </c>
      <c r="B1318" t="s">
        <v>1361</v>
      </c>
      <c r="C1318" t="s">
        <v>43</v>
      </c>
      <c r="D1318">
        <v>155</v>
      </c>
      <c r="E1318">
        <v>3180</v>
      </c>
      <c r="F1318" s="3">
        <v>230</v>
      </c>
      <c r="G1318">
        <v>15</v>
      </c>
      <c r="H1318">
        <v>8</v>
      </c>
      <c r="I1318" s="5">
        <v>5.1612903225806403E-2</v>
      </c>
      <c r="J1318" s="3">
        <v>374</v>
      </c>
      <c r="K1318" s="1">
        <v>45611</v>
      </c>
      <c r="L1318" t="s">
        <v>25</v>
      </c>
      <c r="M1318" t="s">
        <v>26</v>
      </c>
      <c r="N1318" t="s">
        <v>32</v>
      </c>
      <c r="O1318" t="s">
        <v>28</v>
      </c>
      <c r="P1318" t="s">
        <v>45</v>
      </c>
      <c r="Q1318" s="6">
        <v>1.48148387096774</v>
      </c>
      <c r="R1318">
        <v>4.87</v>
      </c>
      <c r="S1318">
        <v>15.31</v>
      </c>
      <c r="T1318">
        <v>28.7</v>
      </c>
      <c r="U1318">
        <v>62.87</v>
      </c>
      <c r="V1318">
        <v>46.75</v>
      </c>
      <c r="W1318">
        <v>1.63</v>
      </c>
    </row>
    <row r="1319" spans="1:23" x14ac:dyDescent="0.3">
      <c r="A1319">
        <v>1318</v>
      </c>
      <c r="B1319" t="s">
        <v>1362</v>
      </c>
      <c r="C1319" t="s">
        <v>35</v>
      </c>
      <c r="D1319">
        <v>184</v>
      </c>
      <c r="E1319">
        <v>3981</v>
      </c>
      <c r="F1319" s="3">
        <v>193</v>
      </c>
      <c r="G1319">
        <v>16</v>
      </c>
      <c r="H1319">
        <v>3</v>
      </c>
      <c r="I1319" s="5">
        <v>1.6304347826086901E-2</v>
      </c>
      <c r="J1319" s="3">
        <v>277</v>
      </c>
      <c r="K1319" s="1">
        <v>45626</v>
      </c>
      <c r="L1319" t="s">
        <v>25</v>
      </c>
      <c r="M1319" t="s">
        <v>39</v>
      </c>
      <c r="N1319" t="s">
        <v>27</v>
      </c>
      <c r="O1319" t="s">
        <v>28</v>
      </c>
      <c r="P1319" t="s">
        <v>29</v>
      </c>
      <c r="Q1319" s="6">
        <v>1.0502717391304299</v>
      </c>
      <c r="R1319">
        <v>4.62</v>
      </c>
      <c r="S1319">
        <v>12.08</v>
      </c>
      <c r="T1319">
        <v>64.42</v>
      </c>
      <c r="U1319">
        <v>43.34</v>
      </c>
      <c r="V1319">
        <v>92.33</v>
      </c>
      <c r="W1319">
        <v>1.43</v>
      </c>
    </row>
    <row r="1320" spans="1:23" x14ac:dyDescent="0.3">
      <c r="A1320">
        <v>1319</v>
      </c>
      <c r="B1320" t="s">
        <v>1363</v>
      </c>
      <c r="C1320" t="s">
        <v>24</v>
      </c>
      <c r="D1320">
        <v>186</v>
      </c>
      <c r="E1320">
        <v>3392</v>
      </c>
      <c r="F1320" s="3">
        <v>218</v>
      </c>
      <c r="G1320">
        <v>29</v>
      </c>
      <c r="H1320">
        <v>7</v>
      </c>
      <c r="I1320" s="5">
        <v>3.7634408602150497E-2</v>
      </c>
      <c r="J1320" s="3">
        <v>207</v>
      </c>
      <c r="K1320" s="1">
        <v>45604</v>
      </c>
      <c r="L1320" t="s">
        <v>25</v>
      </c>
      <c r="M1320" t="s">
        <v>26</v>
      </c>
      <c r="N1320" t="s">
        <v>49</v>
      </c>
      <c r="O1320" t="s">
        <v>28</v>
      </c>
      <c r="P1320" t="s">
        <v>45</v>
      </c>
      <c r="Q1320" s="6">
        <v>1.17290322580645</v>
      </c>
      <c r="R1320">
        <v>5.48</v>
      </c>
      <c r="S1320">
        <v>7.52</v>
      </c>
      <c r="T1320">
        <v>31.17</v>
      </c>
      <c r="U1320">
        <v>-5.12</v>
      </c>
      <c r="V1320">
        <v>29.57</v>
      </c>
      <c r="W1320">
        <v>0.95</v>
      </c>
    </row>
    <row r="1321" spans="1:23" x14ac:dyDescent="0.3">
      <c r="A1321">
        <v>1320</v>
      </c>
      <c r="B1321" t="s">
        <v>1364</v>
      </c>
      <c r="C1321" t="s">
        <v>35</v>
      </c>
      <c r="D1321">
        <v>93</v>
      </c>
      <c r="E1321">
        <v>3160</v>
      </c>
      <c r="F1321" s="3">
        <v>221</v>
      </c>
      <c r="G1321">
        <v>30</v>
      </c>
      <c r="H1321">
        <v>8</v>
      </c>
      <c r="I1321" s="5">
        <v>8.6021505376343996E-2</v>
      </c>
      <c r="J1321" s="3">
        <v>300</v>
      </c>
      <c r="K1321" s="1">
        <v>45604</v>
      </c>
      <c r="L1321" t="s">
        <v>25</v>
      </c>
      <c r="M1321" t="s">
        <v>26</v>
      </c>
      <c r="N1321" t="s">
        <v>36</v>
      </c>
      <c r="O1321" t="s">
        <v>28</v>
      </c>
      <c r="P1321" t="s">
        <v>45</v>
      </c>
      <c r="Q1321" s="6">
        <v>2.3736559139784901</v>
      </c>
      <c r="R1321">
        <v>2.94</v>
      </c>
      <c r="S1321">
        <v>7.36</v>
      </c>
      <c r="T1321">
        <v>27.59</v>
      </c>
      <c r="U1321">
        <v>35.9</v>
      </c>
      <c r="V1321">
        <v>37.5</v>
      </c>
      <c r="W1321">
        <v>1.36</v>
      </c>
    </row>
    <row r="1322" spans="1:23" x14ac:dyDescent="0.3">
      <c r="A1322">
        <v>1321</v>
      </c>
      <c r="B1322" t="s">
        <v>1365</v>
      </c>
      <c r="C1322" t="s">
        <v>35</v>
      </c>
      <c r="D1322">
        <v>138</v>
      </c>
      <c r="E1322">
        <v>4699</v>
      </c>
      <c r="F1322" s="3">
        <v>203</v>
      </c>
      <c r="G1322">
        <v>26</v>
      </c>
      <c r="H1322">
        <v>9</v>
      </c>
      <c r="I1322" s="5">
        <v>6.5217391304347797E-2</v>
      </c>
      <c r="J1322" s="3">
        <v>231</v>
      </c>
      <c r="K1322" s="1">
        <v>45621</v>
      </c>
      <c r="L1322" t="s">
        <v>25</v>
      </c>
      <c r="M1322" t="s">
        <v>39</v>
      </c>
      <c r="N1322" t="s">
        <v>44</v>
      </c>
      <c r="O1322" t="s">
        <v>28</v>
      </c>
      <c r="P1322" t="s">
        <v>59</v>
      </c>
      <c r="Q1322" s="6">
        <v>1.4676811594202801</v>
      </c>
      <c r="R1322">
        <v>2.94</v>
      </c>
      <c r="S1322">
        <v>7.79</v>
      </c>
      <c r="T1322">
        <v>22.5</v>
      </c>
      <c r="U1322">
        <v>14.05</v>
      </c>
      <c r="V1322">
        <v>25.67</v>
      </c>
      <c r="W1322">
        <v>1.1399999999999999</v>
      </c>
    </row>
    <row r="1323" spans="1:23" x14ac:dyDescent="0.3">
      <c r="A1323">
        <v>1322</v>
      </c>
      <c r="B1323" t="s">
        <v>1366</v>
      </c>
      <c r="C1323" t="s">
        <v>43</v>
      </c>
      <c r="D1323">
        <v>96</v>
      </c>
      <c r="E1323">
        <v>3730</v>
      </c>
      <c r="F1323" s="3">
        <v>218</v>
      </c>
      <c r="G1323">
        <v>16</v>
      </c>
      <c r="H1323">
        <v>4</v>
      </c>
      <c r="I1323" s="5">
        <v>4.1666666666666602E-2</v>
      </c>
      <c r="J1323" s="3">
        <v>262</v>
      </c>
      <c r="K1323" s="1">
        <v>45603</v>
      </c>
      <c r="L1323" t="s">
        <v>25</v>
      </c>
      <c r="M1323" t="s">
        <v>26</v>
      </c>
      <c r="N1323" t="s">
        <v>49</v>
      </c>
      <c r="O1323" t="s">
        <v>28</v>
      </c>
      <c r="P1323" t="s">
        <v>54</v>
      </c>
      <c r="Q1323" s="6">
        <v>2.2667708333333301</v>
      </c>
      <c r="R1323">
        <v>2.57</v>
      </c>
      <c r="S1323">
        <v>13.6</v>
      </c>
      <c r="T1323">
        <v>54.4</v>
      </c>
      <c r="U1323">
        <v>20.399999999999999</v>
      </c>
      <c r="V1323">
        <v>65.5</v>
      </c>
      <c r="W1323">
        <v>1.2</v>
      </c>
    </row>
    <row r="1324" spans="1:23" x14ac:dyDescent="0.3">
      <c r="A1324">
        <v>1323</v>
      </c>
      <c r="B1324" t="s">
        <v>1367</v>
      </c>
      <c r="C1324" t="s">
        <v>24</v>
      </c>
      <c r="D1324">
        <v>127</v>
      </c>
      <c r="E1324">
        <v>5221</v>
      </c>
      <c r="F1324" s="3">
        <v>227</v>
      </c>
      <c r="G1324">
        <v>17</v>
      </c>
      <c r="H1324">
        <v>3</v>
      </c>
      <c r="I1324" s="5">
        <v>2.3622047244094401E-2</v>
      </c>
      <c r="J1324" s="3">
        <v>282</v>
      </c>
      <c r="K1324" s="1">
        <v>45599</v>
      </c>
      <c r="L1324" t="s">
        <v>25</v>
      </c>
      <c r="M1324" t="s">
        <v>39</v>
      </c>
      <c r="N1324" t="s">
        <v>40</v>
      </c>
      <c r="O1324" t="s">
        <v>28</v>
      </c>
      <c r="P1324" t="s">
        <v>50</v>
      </c>
      <c r="Q1324" s="6">
        <v>1.7848031496062899</v>
      </c>
      <c r="R1324">
        <v>2.4300000000000002</v>
      </c>
      <c r="S1324">
        <v>13.33</v>
      </c>
      <c r="T1324">
        <v>75.56</v>
      </c>
      <c r="U1324">
        <v>24.41</v>
      </c>
      <c r="V1324">
        <v>94</v>
      </c>
      <c r="W1324">
        <v>1.24</v>
      </c>
    </row>
    <row r="1325" spans="1:23" x14ac:dyDescent="0.3">
      <c r="A1325">
        <v>1324</v>
      </c>
      <c r="B1325" t="s">
        <v>1368</v>
      </c>
      <c r="C1325" t="s">
        <v>38</v>
      </c>
      <c r="D1325">
        <v>92</v>
      </c>
      <c r="E1325">
        <v>3299</v>
      </c>
      <c r="F1325" s="3">
        <v>189</v>
      </c>
      <c r="G1325">
        <v>11</v>
      </c>
      <c r="H1325">
        <v>9</v>
      </c>
      <c r="I1325" s="5">
        <v>9.7826086956521702E-2</v>
      </c>
      <c r="J1325" s="3">
        <v>342</v>
      </c>
      <c r="K1325" s="1">
        <v>45623</v>
      </c>
      <c r="L1325" t="s">
        <v>25</v>
      </c>
      <c r="M1325" t="s">
        <v>26</v>
      </c>
      <c r="N1325" t="s">
        <v>36</v>
      </c>
      <c r="O1325" t="s">
        <v>28</v>
      </c>
      <c r="P1325" t="s">
        <v>33</v>
      </c>
      <c r="Q1325" s="6">
        <v>2.0497826086956499</v>
      </c>
      <c r="R1325">
        <v>2.79</v>
      </c>
      <c r="S1325">
        <v>17.14</v>
      </c>
      <c r="T1325">
        <v>20.95</v>
      </c>
      <c r="U1325">
        <v>81.36</v>
      </c>
      <c r="V1325">
        <v>38</v>
      </c>
      <c r="W1325">
        <v>1.81</v>
      </c>
    </row>
    <row r="1326" spans="1:23" x14ac:dyDescent="0.3">
      <c r="A1326">
        <v>1325</v>
      </c>
      <c r="B1326" t="s">
        <v>1369</v>
      </c>
      <c r="C1326" t="s">
        <v>43</v>
      </c>
      <c r="D1326">
        <v>156</v>
      </c>
      <c r="E1326">
        <v>5634</v>
      </c>
      <c r="F1326" s="3">
        <v>247</v>
      </c>
      <c r="G1326">
        <v>16</v>
      </c>
      <c r="H1326">
        <v>5</v>
      </c>
      <c r="I1326" s="5">
        <v>3.2051282051282E-2</v>
      </c>
      <c r="J1326" s="3">
        <v>393</v>
      </c>
      <c r="K1326" s="1">
        <v>45604</v>
      </c>
      <c r="L1326" t="s">
        <v>25</v>
      </c>
      <c r="M1326" t="s">
        <v>39</v>
      </c>
      <c r="N1326" t="s">
        <v>32</v>
      </c>
      <c r="O1326" t="s">
        <v>28</v>
      </c>
      <c r="P1326" t="s">
        <v>45</v>
      </c>
      <c r="Q1326" s="6">
        <v>1.58621794871794</v>
      </c>
      <c r="R1326">
        <v>2.77</v>
      </c>
      <c r="S1326">
        <v>15.47</v>
      </c>
      <c r="T1326">
        <v>49.49</v>
      </c>
      <c r="U1326">
        <v>58.82</v>
      </c>
      <c r="V1326">
        <v>78.599999999999994</v>
      </c>
      <c r="W1326">
        <v>1.59</v>
      </c>
    </row>
    <row r="1327" spans="1:23" x14ac:dyDescent="0.3">
      <c r="A1327">
        <v>1326</v>
      </c>
      <c r="B1327" t="s">
        <v>1370</v>
      </c>
      <c r="C1327" t="s">
        <v>38</v>
      </c>
      <c r="D1327">
        <v>113</v>
      </c>
      <c r="E1327">
        <v>5991</v>
      </c>
      <c r="F1327" s="3">
        <v>211</v>
      </c>
      <c r="G1327">
        <v>16</v>
      </c>
      <c r="H1327">
        <v>3</v>
      </c>
      <c r="I1327" s="5">
        <v>2.6548672566371601E-2</v>
      </c>
      <c r="J1327" s="3">
        <v>306</v>
      </c>
      <c r="K1327" s="1">
        <v>45612</v>
      </c>
      <c r="L1327" t="s">
        <v>25</v>
      </c>
      <c r="M1327" t="s">
        <v>39</v>
      </c>
      <c r="N1327" t="s">
        <v>27</v>
      </c>
      <c r="O1327" t="s">
        <v>28</v>
      </c>
      <c r="P1327" t="s">
        <v>29</v>
      </c>
      <c r="Q1327" s="6">
        <v>1.8697345132743299</v>
      </c>
      <c r="R1327">
        <v>1.89</v>
      </c>
      <c r="S1327">
        <v>13.2</v>
      </c>
      <c r="T1327">
        <v>70.430000000000007</v>
      </c>
      <c r="U1327">
        <v>44.83</v>
      </c>
      <c r="V1327">
        <v>102</v>
      </c>
      <c r="W1327">
        <v>1.45</v>
      </c>
    </row>
    <row r="1328" spans="1:23" x14ac:dyDescent="0.3">
      <c r="A1328">
        <v>1327</v>
      </c>
      <c r="B1328" t="s">
        <v>1371</v>
      </c>
      <c r="C1328" t="s">
        <v>43</v>
      </c>
      <c r="D1328">
        <v>84</v>
      </c>
      <c r="E1328">
        <v>3917</v>
      </c>
      <c r="F1328" s="3">
        <v>233</v>
      </c>
      <c r="G1328">
        <v>13</v>
      </c>
      <c r="H1328">
        <v>10</v>
      </c>
      <c r="I1328" s="5">
        <v>0.119047619047619</v>
      </c>
      <c r="J1328" s="3">
        <v>467.142857142857</v>
      </c>
      <c r="K1328" s="1">
        <v>45607</v>
      </c>
      <c r="L1328" t="s">
        <v>25</v>
      </c>
      <c r="M1328" t="s">
        <v>26</v>
      </c>
      <c r="N1328" t="s">
        <v>32</v>
      </c>
      <c r="O1328" t="s">
        <v>28</v>
      </c>
      <c r="P1328" t="s">
        <v>59</v>
      </c>
      <c r="Q1328" s="6">
        <v>2.7760714285714201</v>
      </c>
      <c r="R1328">
        <v>2.14</v>
      </c>
      <c r="S1328">
        <v>17.940000000000001</v>
      </c>
      <c r="T1328">
        <v>23.32</v>
      </c>
      <c r="U1328">
        <v>100.33</v>
      </c>
      <c r="V1328">
        <v>46.71</v>
      </c>
      <c r="W1328">
        <v>2</v>
      </c>
    </row>
    <row r="1329" spans="1:23" x14ac:dyDescent="0.3">
      <c r="A1329">
        <v>1328</v>
      </c>
      <c r="B1329" t="s">
        <v>1372</v>
      </c>
      <c r="C1329" t="s">
        <v>43</v>
      </c>
      <c r="D1329">
        <v>189</v>
      </c>
      <c r="E1329">
        <v>5335</v>
      </c>
      <c r="F1329" s="3">
        <v>181</v>
      </c>
      <c r="G1329">
        <v>27</v>
      </c>
      <c r="H1329">
        <v>9</v>
      </c>
      <c r="I1329" s="5">
        <v>4.7619047619047603E-2</v>
      </c>
      <c r="J1329" s="3">
        <v>354</v>
      </c>
      <c r="K1329" s="1">
        <v>45604</v>
      </c>
      <c r="L1329" t="s">
        <v>25</v>
      </c>
      <c r="M1329" t="s">
        <v>31</v>
      </c>
      <c r="N1329" t="s">
        <v>44</v>
      </c>
      <c r="O1329" t="s">
        <v>28</v>
      </c>
      <c r="P1329" t="s">
        <v>45</v>
      </c>
      <c r="Q1329" s="6">
        <v>0.96010582010582002</v>
      </c>
      <c r="R1329">
        <v>3.54</v>
      </c>
      <c r="S1329">
        <v>6.72</v>
      </c>
      <c r="T1329">
        <v>20.16</v>
      </c>
      <c r="U1329">
        <v>95.08</v>
      </c>
      <c r="V1329">
        <v>39.33</v>
      </c>
      <c r="W1329">
        <v>1.95</v>
      </c>
    </row>
    <row r="1330" spans="1:23" x14ac:dyDescent="0.3">
      <c r="A1330">
        <v>1329</v>
      </c>
      <c r="B1330" t="s">
        <v>1373</v>
      </c>
      <c r="C1330" t="s">
        <v>35</v>
      </c>
      <c r="D1330">
        <v>149</v>
      </c>
      <c r="E1330">
        <v>4550</v>
      </c>
      <c r="F1330" s="3">
        <v>219</v>
      </c>
      <c r="G1330">
        <v>11</v>
      </c>
      <c r="H1330">
        <v>9</v>
      </c>
      <c r="I1330" s="5">
        <v>6.0402684563758302E-2</v>
      </c>
      <c r="J1330" s="3">
        <v>339</v>
      </c>
      <c r="K1330" s="1">
        <v>45612</v>
      </c>
      <c r="L1330" t="s">
        <v>25</v>
      </c>
      <c r="M1330" t="s">
        <v>39</v>
      </c>
      <c r="N1330" t="s">
        <v>44</v>
      </c>
      <c r="O1330" t="s">
        <v>28</v>
      </c>
      <c r="P1330" t="s">
        <v>29</v>
      </c>
      <c r="Q1330" s="6">
        <v>1.47275167785234</v>
      </c>
      <c r="R1330">
        <v>3.27</v>
      </c>
      <c r="S1330">
        <v>19.95</v>
      </c>
      <c r="T1330">
        <v>24.38</v>
      </c>
      <c r="U1330">
        <v>54.48</v>
      </c>
      <c r="V1330">
        <v>37.67</v>
      </c>
      <c r="W1330">
        <v>1.54</v>
      </c>
    </row>
    <row r="1331" spans="1:23" x14ac:dyDescent="0.3">
      <c r="A1331">
        <v>1330</v>
      </c>
      <c r="B1331" t="s">
        <v>1374</v>
      </c>
      <c r="C1331" t="s">
        <v>35</v>
      </c>
      <c r="D1331">
        <v>100</v>
      </c>
      <c r="E1331">
        <v>5805</v>
      </c>
      <c r="F1331" s="3">
        <v>181</v>
      </c>
      <c r="G1331">
        <v>15</v>
      </c>
      <c r="H1331">
        <v>4</v>
      </c>
      <c r="I1331" s="5">
        <v>0.04</v>
      </c>
      <c r="J1331" s="3">
        <v>244</v>
      </c>
      <c r="K1331" s="1">
        <v>45600</v>
      </c>
      <c r="L1331" t="s">
        <v>25</v>
      </c>
      <c r="M1331" t="s">
        <v>26</v>
      </c>
      <c r="N1331" t="s">
        <v>27</v>
      </c>
      <c r="O1331" t="s">
        <v>28</v>
      </c>
      <c r="P1331" t="s">
        <v>59</v>
      </c>
      <c r="Q1331" s="6">
        <v>1.8127</v>
      </c>
      <c r="R1331">
        <v>1.72</v>
      </c>
      <c r="S1331">
        <v>12.08</v>
      </c>
      <c r="T1331">
        <v>45.32</v>
      </c>
      <c r="U1331">
        <v>34.61</v>
      </c>
      <c r="V1331">
        <v>61</v>
      </c>
      <c r="W1331">
        <v>1.35</v>
      </c>
    </row>
    <row r="1332" spans="1:23" x14ac:dyDescent="0.3">
      <c r="A1332">
        <v>1331</v>
      </c>
      <c r="B1332" t="s">
        <v>1375</v>
      </c>
      <c r="C1332" t="s">
        <v>43</v>
      </c>
      <c r="D1332">
        <v>105</v>
      </c>
      <c r="E1332">
        <v>5156</v>
      </c>
      <c r="F1332" s="3">
        <v>201</v>
      </c>
      <c r="G1332">
        <v>25</v>
      </c>
      <c r="H1332">
        <v>10</v>
      </c>
      <c r="I1332" s="5">
        <v>9.5238095238095205E-2</v>
      </c>
      <c r="J1332" s="3">
        <v>300</v>
      </c>
      <c r="K1332" s="1">
        <v>45607</v>
      </c>
      <c r="L1332" t="s">
        <v>25</v>
      </c>
      <c r="M1332" t="s">
        <v>26</v>
      </c>
      <c r="N1332" t="s">
        <v>49</v>
      </c>
      <c r="O1332" t="s">
        <v>28</v>
      </c>
      <c r="P1332" t="s">
        <v>59</v>
      </c>
      <c r="Q1332" s="6">
        <v>1.9143809523809501</v>
      </c>
      <c r="R1332">
        <v>2.04</v>
      </c>
      <c r="S1332">
        <v>8.0399999999999991</v>
      </c>
      <c r="T1332">
        <v>20.100000000000001</v>
      </c>
      <c r="U1332">
        <v>49.25</v>
      </c>
      <c r="V1332">
        <v>30</v>
      </c>
      <c r="W1332">
        <v>1.49</v>
      </c>
    </row>
    <row r="1333" spans="1:23" x14ac:dyDescent="0.3">
      <c r="A1333">
        <v>1332</v>
      </c>
      <c r="B1333" t="s">
        <v>1376</v>
      </c>
      <c r="C1333" t="s">
        <v>38</v>
      </c>
      <c r="D1333">
        <v>86</v>
      </c>
      <c r="E1333">
        <v>5060</v>
      </c>
      <c r="F1333" s="3">
        <v>249</v>
      </c>
      <c r="G1333">
        <v>15</v>
      </c>
      <c r="H1333">
        <v>4</v>
      </c>
      <c r="I1333" s="5">
        <v>4.6511627906976702E-2</v>
      </c>
      <c r="J1333" s="3">
        <v>359</v>
      </c>
      <c r="K1333" s="1">
        <v>45611</v>
      </c>
      <c r="L1333" t="s">
        <v>25</v>
      </c>
      <c r="M1333" t="s">
        <v>39</v>
      </c>
      <c r="N1333" t="s">
        <v>36</v>
      </c>
      <c r="O1333" t="s">
        <v>28</v>
      </c>
      <c r="P1333" t="s">
        <v>45</v>
      </c>
      <c r="Q1333" s="6">
        <v>2.9</v>
      </c>
      <c r="R1333">
        <v>1.7</v>
      </c>
      <c r="S1333">
        <v>16.63</v>
      </c>
      <c r="T1333">
        <v>62.35</v>
      </c>
      <c r="U1333">
        <v>43.95</v>
      </c>
      <c r="V1333">
        <v>89.75</v>
      </c>
      <c r="W1333">
        <v>1.44</v>
      </c>
    </row>
    <row r="1334" spans="1:23" x14ac:dyDescent="0.3">
      <c r="A1334">
        <v>1333</v>
      </c>
      <c r="B1334" t="s">
        <v>1377</v>
      </c>
      <c r="C1334" t="s">
        <v>38</v>
      </c>
      <c r="D1334">
        <v>93</v>
      </c>
      <c r="E1334">
        <v>5178</v>
      </c>
      <c r="F1334" s="3">
        <v>245</v>
      </c>
      <c r="G1334">
        <v>14</v>
      </c>
      <c r="H1334">
        <v>5</v>
      </c>
      <c r="I1334" s="5">
        <v>5.3763440860214999E-2</v>
      </c>
      <c r="J1334" s="3">
        <v>220</v>
      </c>
      <c r="K1334" s="1">
        <v>45604</v>
      </c>
      <c r="L1334" t="s">
        <v>25</v>
      </c>
      <c r="M1334" t="s">
        <v>31</v>
      </c>
      <c r="N1334" t="s">
        <v>36</v>
      </c>
      <c r="O1334" t="s">
        <v>28</v>
      </c>
      <c r="P1334" t="s">
        <v>45</v>
      </c>
      <c r="Q1334" s="6">
        <v>2.6358064516129001</v>
      </c>
      <c r="R1334">
        <v>1.8</v>
      </c>
      <c r="S1334">
        <v>17.510000000000002</v>
      </c>
      <c r="T1334">
        <v>49.03</v>
      </c>
      <c r="U1334">
        <v>-10.25</v>
      </c>
      <c r="V1334">
        <v>44</v>
      </c>
      <c r="W1334">
        <v>0.9</v>
      </c>
    </row>
    <row r="1335" spans="1:23" x14ac:dyDescent="0.3">
      <c r="A1335">
        <v>1334</v>
      </c>
      <c r="B1335" t="s">
        <v>1378</v>
      </c>
      <c r="C1335" t="s">
        <v>38</v>
      </c>
      <c r="D1335">
        <v>180</v>
      </c>
      <c r="E1335">
        <v>3076</v>
      </c>
      <c r="F1335" s="3">
        <v>228</v>
      </c>
      <c r="G1335">
        <v>12</v>
      </c>
      <c r="H1335">
        <v>10</v>
      </c>
      <c r="I1335" s="5">
        <v>5.5555555555555497E-2</v>
      </c>
      <c r="J1335" s="3">
        <v>467.142857142857</v>
      </c>
      <c r="K1335" s="1">
        <v>45601</v>
      </c>
      <c r="L1335" t="s">
        <v>25</v>
      </c>
      <c r="M1335" t="s">
        <v>26</v>
      </c>
      <c r="N1335" t="s">
        <v>44</v>
      </c>
      <c r="O1335" t="s">
        <v>28</v>
      </c>
      <c r="P1335" t="s">
        <v>41</v>
      </c>
      <c r="Q1335" s="6">
        <v>1.26616666666666</v>
      </c>
      <c r="R1335">
        <v>5.85</v>
      </c>
      <c r="S1335">
        <v>18.989999999999998</v>
      </c>
      <c r="T1335">
        <v>22.79</v>
      </c>
      <c r="U1335">
        <v>104.97</v>
      </c>
      <c r="V1335">
        <v>46.71</v>
      </c>
      <c r="W1335">
        <v>2.0499999999999998</v>
      </c>
    </row>
    <row r="1336" spans="1:23" x14ac:dyDescent="0.3">
      <c r="A1336">
        <v>1335</v>
      </c>
      <c r="B1336" t="s">
        <v>1379</v>
      </c>
      <c r="C1336" t="s">
        <v>38</v>
      </c>
      <c r="D1336">
        <v>156</v>
      </c>
      <c r="E1336">
        <v>3218</v>
      </c>
      <c r="F1336" s="3">
        <v>236</v>
      </c>
      <c r="G1336">
        <v>28</v>
      </c>
      <c r="H1336">
        <v>6</v>
      </c>
      <c r="I1336" s="5">
        <v>3.8461538461538401E-2</v>
      </c>
      <c r="J1336" s="3">
        <v>263</v>
      </c>
      <c r="K1336" s="1">
        <v>45612</v>
      </c>
      <c r="L1336" t="s">
        <v>25</v>
      </c>
      <c r="M1336" t="s">
        <v>39</v>
      </c>
      <c r="N1336" t="s">
        <v>36</v>
      </c>
      <c r="O1336" t="s">
        <v>28</v>
      </c>
      <c r="P1336" t="s">
        <v>29</v>
      </c>
      <c r="Q1336" s="6">
        <v>1.5108333333333299</v>
      </c>
      <c r="R1336">
        <v>4.8499999999999996</v>
      </c>
      <c r="S1336">
        <v>8.42</v>
      </c>
      <c r="T1336">
        <v>39.28</v>
      </c>
      <c r="U1336">
        <v>11.59</v>
      </c>
      <c r="V1336">
        <v>43.83</v>
      </c>
      <c r="W1336">
        <v>1.1200000000000001</v>
      </c>
    </row>
    <row r="1337" spans="1:23" x14ac:dyDescent="0.3">
      <c r="A1337">
        <v>1336</v>
      </c>
      <c r="B1337" t="s">
        <v>1380</v>
      </c>
      <c r="C1337" t="s">
        <v>35</v>
      </c>
      <c r="D1337">
        <v>124</v>
      </c>
      <c r="E1337">
        <v>4682</v>
      </c>
      <c r="F1337" s="3">
        <v>208</v>
      </c>
      <c r="G1337">
        <v>20</v>
      </c>
      <c r="H1337">
        <v>3</v>
      </c>
      <c r="I1337" s="5">
        <v>2.4193548387096701E-2</v>
      </c>
      <c r="J1337" s="3">
        <v>316</v>
      </c>
      <c r="K1337" s="1">
        <v>45599</v>
      </c>
      <c r="L1337" t="s">
        <v>25</v>
      </c>
      <c r="M1337" t="s">
        <v>39</v>
      </c>
      <c r="N1337" t="s">
        <v>44</v>
      </c>
      <c r="O1337" t="s">
        <v>28</v>
      </c>
      <c r="P1337" t="s">
        <v>50</v>
      </c>
      <c r="Q1337" s="6">
        <v>1.67362903225806</v>
      </c>
      <c r="R1337">
        <v>2.65</v>
      </c>
      <c r="S1337">
        <v>10.38</v>
      </c>
      <c r="T1337">
        <v>69.180000000000007</v>
      </c>
      <c r="U1337">
        <v>52.27</v>
      </c>
      <c r="V1337">
        <v>105.33</v>
      </c>
      <c r="W1337">
        <v>1.52</v>
      </c>
    </row>
    <row r="1338" spans="1:23" x14ac:dyDescent="0.3">
      <c r="A1338">
        <v>1337</v>
      </c>
      <c r="B1338" t="s">
        <v>1381</v>
      </c>
      <c r="C1338" t="s">
        <v>24</v>
      </c>
      <c r="D1338">
        <v>177</v>
      </c>
      <c r="E1338">
        <v>3592</v>
      </c>
      <c r="F1338" s="3">
        <v>205</v>
      </c>
      <c r="G1338">
        <v>29</v>
      </c>
      <c r="H1338">
        <v>9</v>
      </c>
      <c r="I1338" s="5">
        <v>5.0847457627118599E-2</v>
      </c>
      <c r="J1338" s="3">
        <v>259</v>
      </c>
      <c r="K1338" s="1">
        <v>45611</v>
      </c>
      <c r="L1338" t="s">
        <v>25</v>
      </c>
      <c r="M1338" t="s">
        <v>26</v>
      </c>
      <c r="N1338" t="s">
        <v>40</v>
      </c>
      <c r="O1338" t="s">
        <v>28</v>
      </c>
      <c r="P1338" t="s">
        <v>45</v>
      </c>
      <c r="Q1338" s="6">
        <v>1.1596045197740099</v>
      </c>
      <c r="R1338">
        <v>4.93</v>
      </c>
      <c r="S1338">
        <v>7.08</v>
      </c>
      <c r="T1338">
        <v>22.81</v>
      </c>
      <c r="U1338">
        <v>26.19</v>
      </c>
      <c r="V1338">
        <v>28.78</v>
      </c>
      <c r="W1338">
        <v>1.26</v>
      </c>
    </row>
    <row r="1339" spans="1:23" x14ac:dyDescent="0.3">
      <c r="A1339">
        <v>1338</v>
      </c>
      <c r="B1339" t="s">
        <v>1382</v>
      </c>
      <c r="C1339" t="s">
        <v>43</v>
      </c>
      <c r="D1339">
        <v>156</v>
      </c>
      <c r="E1339">
        <v>3506</v>
      </c>
      <c r="F1339" s="3">
        <v>243</v>
      </c>
      <c r="G1339">
        <v>13</v>
      </c>
      <c r="H1339">
        <v>7</v>
      </c>
      <c r="I1339" s="5">
        <v>4.4871794871794803E-2</v>
      </c>
      <c r="J1339" s="3">
        <v>247</v>
      </c>
      <c r="K1339" s="1">
        <v>45597</v>
      </c>
      <c r="L1339" t="s">
        <v>25</v>
      </c>
      <c r="M1339" t="s">
        <v>26</v>
      </c>
      <c r="N1339" t="s">
        <v>49</v>
      </c>
      <c r="O1339" t="s">
        <v>28</v>
      </c>
      <c r="P1339" t="s">
        <v>45</v>
      </c>
      <c r="Q1339" s="6">
        <v>1.5570512820512801</v>
      </c>
      <c r="R1339">
        <v>4.45</v>
      </c>
      <c r="S1339">
        <v>18.68</v>
      </c>
      <c r="T1339">
        <v>34.700000000000003</v>
      </c>
      <c r="U1339">
        <v>1.69</v>
      </c>
      <c r="V1339">
        <v>35.29</v>
      </c>
      <c r="W1339">
        <v>1.02</v>
      </c>
    </row>
    <row r="1340" spans="1:23" x14ac:dyDescent="0.3">
      <c r="A1340">
        <v>1339</v>
      </c>
      <c r="B1340" t="s">
        <v>1383</v>
      </c>
      <c r="C1340" t="s">
        <v>43</v>
      </c>
      <c r="D1340">
        <v>132</v>
      </c>
      <c r="E1340">
        <v>3562</v>
      </c>
      <c r="F1340" s="3">
        <v>238</v>
      </c>
      <c r="G1340">
        <v>23</v>
      </c>
      <c r="H1340">
        <v>4</v>
      </c>
      <c r="I1340" s="5">
        <v>3.03030303030303E-2</v>
      </c>
      <c r="J1340" s="3">
        <v>211</v>
      </c>
      <c r="K1340" s="1">
        <v>45625</v>
      </c>
      <c r="L1340" t="s">
        <v>25</v>
      </c>
      <c r="M1340" t="s">
        <v>39</v>
      </c>
      <c r="N1340" t="s">
        <v>32</v>
      </c>
      <c r="O1340" t="s">
        <v>28</v>
      </c>
      <c r="P1340" t="s">
        <v>45</v>
      </c>
      <c r="Q1340" s="6">
        <v>1.80560606060606</v>
      </c>
      <c r="R1340">
        <v>3.71</v>
      </c>
      <c r="S1340">
        <v>10.36</v>
      </c>
      <c r="T1340">
        <v>59.58</v>
      </c>
      <c r="U1340">
        <v>-11.47</v>
      </c>
      <c r="V1340">
        <v>52.75</v>
      </c>
      <c r="W1340">
        <v>0.89</v>
      </c>
    </row>
    <row r="1341" spans="1:23" x14ac:dyDescent="0.3">
      <c r="A1341">
        <v>1340</v>
      </c>
      <c r="B1341" t="s">
        <v>1384</v>
      </c>
      <c r="C1341" t="s">
        <v>38</v>
      </c>
      <c r="D1341">
        <v>178</v>
      </c>
      <c r="E1341">
        <v>5870</v>
      </c>
      <c r="F1341" s="3">
        <v>204</v>
      </c>
      <c r="G1341">
        <v>12</v>
      </c>
      <c r="H1341">
        <v>3</v>
      </c>
      <c r="I1341" s="5">
        <v>1.68539325842696E-2</v>
      </c>
      <c r="J1341" s="3">
        <v>236</v>
      </c>
      <c r="K1341" s="1">
        <v>45598</v>
      </c>
      <c r="L1341" t="s">
        <v>25</v>
      </c>
      <c r="M1341" t="s">
        <v>39</v>
      </c>
      <c r="N1341" t="s">
        <v>49</v>
      </c>
      <c r="O1341" t="s">
        <v>28</v>
      </c>
      <c r="P1341" t="s">
        <v>29</v>
      </c>
      <c r="Q1341" s="6">
        <v>1.1438202247191001</v>
      </c>
      <c r="R1341">
        <v>3.03</v>
      </c>
      <c r="S1341">
        <v>16.97</v>
      </c>
      <c r="T1341">
        <v>67.87</v>
      </c>
      <c r="U1341">
        <v>15.91</v>
      </c>
      <c r="V1341">
        <v>78.67</v>
      </c>
      <c r="W1341">
        <v>1.1599999999999999</v>
      </c>
    </row>
    <row r="1342" spans="1:23" x14ac:dyDescent="0.3">
      <c r="A1342">
        <v>1341</v>
      </c>
      <c r="B1342" t="s">
        <v>1385</v>
      </c>
      <c r="C1342" t="s">
        <v>38</v>
      </c>
      <c r="D1342">
        <v>153</v>
      </c>
      <c r="E1342">
        <v>3953</v>
      </c>
      <c r="F1342" s="3">
        <v>238</v>
      </c>
      <c r="G1342">
        <v>20</v>
      </c>
      <c r="H1342">
        <v>6</v>
      </c>
      <c r="I1342" s="5">
        <v>3.9215686274509803E-2</v>
      </c>
      <c r="J1342" s="3">
        <v>283</v>
      </c>
      <c r="K1342" s="1">
        <v>45622</v>
      </c>
      <c r="L1342" t="s">
        <v>25</v>
      </c>
      <c r="M1342" t="s">
        <v>39</v>
      </c>
      <c r="N1342" t="s">
        <v>27</v>
      </c>
      <c r="O1342" t="s">
        <v>28</v>
      </c>
      <c r="P1342" t="s">
        <v>41</v>
      </c>
      <c r="Q1342" s="6">
        <v>1.5526797385620901</v>
      </c>
      <c r="R1342">
        <v>3.87</v>
      </c>
      <c r="S1342">
        <v>11.88</v>
      </c>
      <c r="T1342">
        <v>39.590000000000003</v>
      </c>
      <c r="U1342">
        <v>19.13</v>
      </c>
      <c r="V1342">
        <v>47.17</v>
      </c>
      <c r="W1342">
        <v>1.19</v>
      </c>
    </row>
    <row r="1343" spans="1:23" x14ac:dyDescent="0.3">
      <c r="A1343">
        <v>1342</v>
      </c>
      <c r="B1343" t="s">
        <v>1386</v>
      </c>
      <c r="C1343" t="s">
        <v>43</v>
      </c>
      <c r="D1343">
        <v>187</v>
      </c>
      <c r="E1343">
        <v>4891</v>
      </c>
      <c r="F1343" s="3">
        <v>224</v>
      </c>
      <c r="G1343">
        <v>14</v>
      </c>
      <c r="H1343">
        <v>8</v>
      </c>
      <c r="I1343" s="5">
        <v>4.2780748663101602E-2</v>
      </c>
      <c r="J1343" s="3">
        <v>207</v>
      </c>
      <c r="K1343" s="1">
        <v>45622</v>
      </c>
      <c r="L1343" t="s">
        <v>25</v>
      </c>
      <c r="M1343" t="s">
        <v>31</v>
      </c>
      <c r="N1343" t="s">
        <v>44</v>
      </c>
      <c r="O1343" t="s">
        <v>28</v>
      </c>
      <c r="P1343" t="s">
        <v>41</v>
      </c>
      <c r="Q1343" s="6">
        <v>1.19780748663101</v>
      </c>
      <c r="R1343">
        <v>3.82</v>
      </c>
      <c r="S1343">
        <v>16</v>
      </c>
      <c r="T1343">
        <v>28</v>
      </c>
      <c r="U1343">
        <v>-7.59</v>
      </c>
      <c r="V1343">
        <v>25.88</v>
      </c>
      <c r="W1343">
        <v>0.92</v>
      </c>
    </row>
    <row r="1344" spans="1:23" x14ac:dyDescent="0.3">
      <c r="A1344">
        <v>1343</v>
      </c>
      <c r="B1344" t="s">
        <v>1387</v>
      </c>
      <c r="C1344" t="s">
        <v>43</v>
      </c>
      <c r="D1344">
        <v>155</v>
      </c>
      <c r="E1344">
        <v>4976</v>
      </c>
      <c r="F1344" s="3">
        <v>183</v>
      </c>
      <c r="G1344">
        <v>10</v>
      </c>
      <c r="H1344">
        <v>5</v>
      </c>
      <c r="I1344" s="5">
        <v>3.2258064516128997E-2</v>
      </c>
      <c r="J1344" s="3">
        <v>317</v>
      </c>
      <c r="K1344" s="1">
        <v>45609</v>
      </c>
      <c r="L1344" t="s">
        <v>25</v>
      </c>
      <c r="M1344" t="s">
        <v>39</v>
      </c>
      <c r="N1344" t="s">
        <v>44</v>
      </c>
      <c r="O1344" t="s">
        <v>28</v>
      </c>
      <c r="P1344" t="s">
        <v>33</v>
      </c>
      <c r="Q1344" s="6">
        <v>1.1819999999999999</v>
      </c>
      <c r="R1344">
        <v>3.11</v>
      </c>
      <c r="S1344">
        <v>18.32</v>
      </c>
      <c r="T1344">
        <v>36.64</v>
      </c>
      <c r="U1344">
        <v>73.03</v>
      </c>
      <c r="V1344">
        <v>63.4</v>
      </c>
      <c r="W1344">
        <v>1.73</v>
      </c>
    </row>
    <row r="1345" spans="1:23" x14ac:dyDescent="0.3">
      <c r="A1345">
        <v>1344</v>
      </c>
      <c r="B1345" t="s">
        <v>1388</v>
      </c>
      <c r="C1345" t="s">
        <v>43</v>
      </c>
      <c r="D1345">
        <v>90</v>
      </c>
      <c r="E1345">
        <v>5781</v>
      </c>
      <c r="F1345" s="3">
        <v>201</v>
      </c>
      <c r="G1345">
        <v>28</v>
      </c>
      <c r="H1345">
        <v>5</v>
      </c>
      <c r="I1345" s="5">
        <v>5.5555555555555497E-2</v>
      </c>
      <c r="J1345" s="3">
        <v>233.57142857142799</v>
      </c>
      <c r="K1345" s="1">
        <v>45603</v>
      </c>
      <c r="L1345" t="s">
        <v>25</v>
      </c>
      <c r="M1345" t="s">
        <v>31</v>
      </c>
      <c r="N1345" t="s">
        <v>36</v>
      </c>
      <c r="O1345" t="s">
        <v>28</v>
      </c>
      <c r="P1345" t="s">
        <v>54</v>
      </c>
      <c r="Q1345" s="6">
        <v>2.23011111111111</v>
      </c>
      <c r="R1345">
        <v>1.56</v>
      </c>
      <c r="S1345">
        <v>7.17</v>
      </c>
      <c r="T1345">
        <v>40.14</v>
      </c>
      <c r="U1345">
        <v>16.37</v>
      </c>
      <c r="V1345">
        <v>46.71</v>
      </c>
      <c r="W1345">
        <v>1.1599999999999999</v>
      </c>
    </row>
    <row r="1346" spans="1:23" x14ac:dyDescent="0.3">
      <c r="A1346">
        <v>1345</v>
      </c>
      <c r="B1346" t="s">
        <v>1389</v>
      </c>
      <c r="C1346" t="s">
        <v>38</v>
      </c>
      <c r="D1346">
        <v>172</v>
      </c>
      <c r="E1346">
        <v>3001</v>
      </c>
      <c r="F1346" s="3">
        <v>211</v>
      </c>
      <c r="G1346">
        <v>14</v>
      </c>
      <c r="H1346">
        <v>4</v>
      </c>
      <c r="I1346" s="5">
        <v>2.3255813953488299E-2</v>
      </c>
      <c r="J1346" s="3">
        <v>243</v>
      </c>
      <c r="K1346" s="1">
        <v>45621</v>
      </c>
      <c r="L1346" t="s">
        <v>25</v>
      </c>
      <c r="M1346" t="s">
        <v>39</v>
      </c>
      <c r="N1346" t="s">
        <v>36</v>
      </c>
      <c r="O1346" t="s">
        <v>28</v>
      </c>
      <c r="P1346" t="s">
        <v>59</v>
      </c>
      <c r="Q1346" s="6">
        <v>1.22453488372093</v>
      </c>
      <c r="R1346">
        <v>5.73</v>
      </c>
      <c r="S1346">
        <v>15.04</v>
      </c>
      <c r="T1346">
        <v>52.66</v>
      </c>
      <c r="U1346">
        <v>15.37</v>
      </c>
      <c r="V1346">
        <v>60.75</v>
      </c>
      <c r="W1346">
        <v>1.1499999999999999</v>
      </c>
    </row>
    <row r="1347" spans="1:23" x14ac:dyDescent="0.3">
      <c r="A1347">
        <v>1346</v>
      </c>
      <c r="B1347" t="s">
        <v>1390</v>
      </c>
      <c r="C1347" t="s">
        <v>43</v>
      </c>
      <c r="D1347">
        <v>92</v>
      </c>
      <c r="E1347">
        <v>5728</v>
      </c>
      <c r="F1347" s="3">
        <v>224</v>
      </c>
      <c r="G1347">
        <v>14</v>
      </c>
      <c r="H1347">
        <v>9</v>
      </c>
      <c r="I1347" s="5">
        <v>9.7826086956521702E-2</v>
      </c>
      <c r="J1347" s="3">
        <v>383</v>
      </c>
      <c r="K1347" s="1">
        <v>45622</v>
      </c>
      <c r="L1347" t="s">
        <v>25</v>
      </c>
      <c r="M1347" t="s">
        <v>39</v>
      </c>
      <c r="N1347" t="s">
        <v>44</v>
      </c>
      <c r="O1347" t="s">
        <v>28</v>
      </c>
      <c r="P1347" t="s">
        <v>41</v>
      </c>
      <c r="Q1347" s="6">
        <v>2.4402173913043401</v>
      </c>
      <c r="R1347">
        <v>1.61</v>
      </c>
      <c r="S1347">
        <v>16.04</v>
      </c>
      <c r="T1347">
        <v>24.94</v>
      </c>
      <c r="U1347">
        <v>70.599999999999994</v>
      </c>
      <c r="V1347">
        <v>42.56</v>
      </c>
      <c r="W1347">
        <v>1.71</v>
      </c>
    </row>
    <row r="1348" spans="1:23" x14ac:dyDescent="0.3">
      <c r="A1348">
        <v>1347</v>
      </c>
      <c r="B1348" t="s">
        <v>1391</v>
      </c>
      <c r="C1348" t="s">
        <v>35</v>
      </c>
      <c r="D1348">
        <v>162</v>
      </c>
      <c r="E1348">
        <v>5103</v>
      </c>
      <c r="F1348" s="3">
        <v>188</v>
      </c>
      <c r="G1348">
        <v>13</v>
      </c>
      <c r="H1348">
        <v>9</v>
      </c>
      <c r="I1348" s="5">
        <v>5.5555555555555497E-2</v>
      </c>
      <c r="J1348" s="3">
        <v>258</v>
      </c>
      <c r="K1348" s="1">
        <v>45624</v>
      </c>
      <c r="L1348" t="s">
        <v>25</v>
      </c>
      <c r="M1348" t="s">
        <v>31</v>
      </c>
      <c r="N1348" t="s">
        <v>49</v>
      </c>
      <c r="O1348" t="s">
        <v>28</v>
      </c>
      <c r="P1348" t="s">
        <v>54</v>
      </c>
      <c r="Q1348" s="6">
        <v>1.1614197530864101</v>
      </c>
      <c r="R1348">
        <v>3.17</v>
      </c>
      <c r="S1348">
        <v>14.47</v>
      </c>
      <c r="T1348">
        <v>20.91</v>
      </c>
      <c r="U1348">
        <v>37.119999999999997</v>
      </c>
      <c r="V1348">
        <v>28.67</v>
      </c>
      <c r="W1348">
        <v>1.37</v>
      </c>
    </row>
    <row r="1349" spans="1:23" x14ac:dyDescent="0.3">
      <c r="A1349">
        <v>1348</v>
      </c>
      <c r="B1349" t="s">
        <v>1392</v>
      </c>
      <c r="C1349" t="s">
        <v>43</v>
      </c>
      <c r="D1349">
        <v>193</v>
      </c>
      <c r="E1349">
        <v>3131</v>
      </c>
      <c r="F1349" s="3">
        <v>198</v>
      </c>
      <c r="G1349">
        <v>22</v>
      </c>
      <c r="H1349">
        <v>5</v>
      </c>
      <c r="I1349" s="5">
        <v>2.59067357512953E-2</v>
      </c>
      <c r="J1349" s="3">
        <v>382</v>
      </c>
      <c r="K1349" s="1">
        <v>45615</v>
      </c>
      <c r="L1349" t="s">
        <v>25</v>
      </c>
      <c r="M1349" t="s">
        <v>39</v>
      </c>
      <c r="N1349" t="s">
        <v>32</v>
      </c>
      <c r="O1349" t="s">
        <v>28</v>
      </c>
      <c r="P1349" t="s">
        <v>41</v>
      </c>
      <c r="Q1349" s="6">
        <v>1.0264248704663199</v>
      </c>
      <c r="R1349">
        <v>6.16</v>
      </c>
      <c r="S1349">
        <v>9</v>
      </c>
      <c r="T1349">
        <v>39.619999999999997</v>
      </c>
      <c r="U1349">
        <v>92.83</v>
      </c>
      <c r="V1349">
        <v>76.400000000000006</v>
      </c>
      <c r="W1349">
        <v>1.93</v>
      </c>
    </row>
    <row r="1350" spans="1:23" x14ac:dyDescent="0.3">
      <c r="A1350">
        <v>1349</v>
      </c>
      <c r="B1350" t="s">
        <v>1393</v>
      </c>
      <c r="C1350" t="s">
        <v>38</v>
      </c>
      <c r="D1350">
        <v>108</v>
      </c>
      <c r="E1350">
        <v>3547</v>
      </c>
      <c r="F1350" s="3">
        <v>238</v>
      </c>
      <c r="G1350">
        <v>13</v>
      </c>
      <c r="H1350">
        <v>5</v>
      </c>
      <c r="I1350" s="5">
        <v>4.6296296296296197E-2</v>
      </c>
      <c r="J1350" s="3">
        <v>231</v>
      </c>
      <c r="K1350" s="1">
        <v>45598</v>
      </c>
      <c r="L1350" t="s">
        <v>25</v>
      </c>
      <c r="M1350" t="s">
        <v>26</v>
      </c>
      <c r="N1350" t="s">
        <v>36</v>
      </c>
      <c r="O1350" t="s">
        <v>28</v>
      </c>
      <c r="P1350" t="s">
        <v>29</v>
      </c>
      <c r="Q1350" s="6">
        <v>2.2068518518518498</v>
      </c>
      <c r="R1350">
        <v>3.04</v>
      </c>
      <c r="S1350">
        <v>18.329999999999998</v>
      </c>
      <c r="T1350">
        <v>47.67</v>
      </c>
      <c r="U1350">
        <v>-3.08</v>
      </c>
      <c r="V1350">
        <v>46.2</v>
      </c>
      <c r="W1350">
        <v>0.97</v>
      </c>
    </row>
    <row r="1351" spans="1:23" x14ac:dyDescent="0.3">
      <c r="A1351">
        <v>1350</v>
      </c>
      <c r="B1351" t="s">
        <v>1394</v>
      </c>
      <c r="C1351" t="s">
        <v>38</v>
      </c>
      <c r="D1351">
        <v>185</v>
      </c>
      <c r="E1351">
        <v>4070</v>
      </c>
      <c r="F1351" s="3">
        <v>201</v>
      </c>
      <c r="G1351">
        <v>21</v>
      </c>
      <c r="H1351">
        <v>5</v>
      </c>
      <c r="I1351" s="5">
        <v>2.7027027027027001E-2</v>
      </c>
      <c r="J1351" s="3">
        <v>307</v>
      </c>
      <c r="K1351" s="1">
        <v>45603</v>
      </c>
      <c r="L1351" t="s">
        <v>25</v>
      </c>
      <c r="M1351" t="s">
        <v>31</v>
      </c>
      <c r="N1351" t="s">
        <v>44</v>
      </c>
      <c r="O1351" t="s">
        <v>28</v>
      </c>
      <c r="P1351" t="s">
        <v>54</v>
      </c>
      <c r="Q1351" s="6">
        <v>1.0862162162162099</v>
      </c>
      <c r="R1351">
        <v>4.55</v>
      </c>
      <c r="S1351">
        <v>9.57</v>
      </c>
      <c r="T1351">
        <v>40.19</v>
      </c>
      <c r="U1351">
        <v>52.77</v>
      </c>
      <c r="V1351">
        <v>61.4</v>
      </c>
      <c r="W1351">
        <v>1.53</v>
      </c>
    </row>
    <row r="1352" spans="1:23" x14ac:dyDescent="0.3">
      <c r="A1352">
        <v>1351</v>
      </c>
      <c r="B1352" t="s">
        <v>1395</v>
      </c>
      <c r="C1352" t="s">
        <v>38</v>
      </c>
      <c r="D1352">
        <v>117</v>
      </c>
      <c r="E1352">
        <v>3350</v>
      </c>
      <c r="F1352" s="3">
        <v>244</v>
      </c>
      <c r="G1352">
        <v>23</v>
      </c>
      <c r="H1352">
        <v>5</v>
      </c>
      <c r="I1352" s="5">
        <v>4.2735042735042701E-2</v>
      </c>
      <c r="J1352" s="3">
        <v>246</v>
      </c>
      <c r="K1352" s="1">
        <v>45610</v>
      </c>
      <c r="L1352" t="s">
        <v>25</v>
      </c>
      <c r="M1352" t="s">
        <v>26</v>
      </c>
      <c r="N1352" t="s">
        <v>49</v>
      </c>
      <c r="O1352" t="s">
        <v>28</v>
      </c>
      <c r="P1352" t="s">
        <v>54</v>
      </c>
      <c r="Q1352" s="6">
        <v>2.08273504273504</v>
      </c>
      <c r="R1352">
        <v>3.49</v>
      </c>
      <c r="S1352">
        <v>10.59</v>
      </c>
      <c r="T1352">
        <v>48.74</v>
      </c>
      <c r="U1352">
        <v>0.95</v>
      </c>
      <c r="V1352">
        <v>49.2</v>
      </c>
      <c r="W1352">
        <v>1.01</v>
      </c>
    </row>
    <row r="1353" spans="1:23" x14ac:dyDescent="0.3">
      <c r="A1353">
        <v>1352</v>
      </c>
      <c r="B1353" t="s">
        <v>1396</v>
      </c>
      <c r="C1353" t="s">
        <v>24</v>
      </c>
      <c r="D1353">
        <v>123</v>
      </c>
      <c r="E1353">
        <v>4976</v>
      </c>
      <c r="F1353" s="3">
        <v>244</v>
      </c>
      <c r="G1353">
        <v>14</v>
      </c>
      <c r="H1353">
        <v>4</v>
      </c>
      <c r="I1353" s="5">
        <v>3.2520325203252001E-2</v>
      </c>
      <c r="J1353" s="3">
        <v>322</v>
      </c>
      <c r="K1353" s="1">
        <v>45598</v>
      </c>
      <c r="L1353" t="s">
        <v>25</v>
      </c>
      <c r="M1353" t="s">
        <v>26</v>
      </c>
      <c r="N1353" t="s">
        <v>49</v>
      </c>
      <c r="O1353" t="s">
        <v>28</v>
      </c>
      <c r="P1353" t="s">
        <v>29</v>
      </c>
      <c r="Q1353" s="6">
        <v>1.98772357723577</v>
      </c>
      <c r="R1353">
        <v>2.4700000000000002</v>
      </c>
      <c r="S1353">
        <v>17.46</v>
      </c>
      <c r="T1353">
        <v>61.12</v>
      </c>
      <c r="U1353">
        <v>31.7</v>
      </c>
      <c r="V1353">
        <v>80.5</v>
      </c>
      <c r="W1353">
        <v>1.32</v>
      </c>
    </row>
    <row r="1354" spans="1:23" x14ac:dyDescent="0.3">
      <c r="A1354">
        <v>1353</v>
      </c>
      <c r="B1354" t="s">
        <v>1397</v>
      </c>
      <c r="C1354" t="s">
        <v>24</v>
      </c>
      <c r="D1354">
        <v>181</v>
      </c>
      <c r="E1354">
        <v>5612</v>
      </c>
      <c r="F1354" s="3">
        <v>204</v>
      </c>
      <c r="G1354">
        <v>17</v>
      </c>
      <c r="H1354">
        <v>3</v>
      </c>
      <c r="I1354" s="5">
        <v>1.6574585635359101E-2</v>
      </c>
      <c r="J1354" s="3">
        <v>140.142857142857</v>
      </c>
      <c r="K1354" s="1">
        <v>45603</v>
      </c>
      <c r="L1354" t="s">
        <v>25</v>
      </c>
      <c r="M1354" t="s">
        <v>39</v>
      </c>
      <c r="N1354" t="s">
        <v>40</v>
      </c>
      <c r="O1354" t="s">
        <v>28</v>
      </c>
      <c r="P1354" t="s">
        <v>54</v>
      </c>
      <c r="Q1354" s="6">
        <v>1.1251933701657399</v>
      </c>
      <c r="R1354">
        <v>3.23</v>
      </c>
      <c r="S1354">
        <v>11.98</v>
      </c>
      <c r="T1354">
        <v>67.89</v>
      </c>
      <c r="U1354">
        <v>-31.19</v>
      </c>
      <c r="V1354">
        <v>46.71</v>
      </c>
      <c r="W1354">
        <v>0.69</v>
      </c>
    </row>
    <row r="1355" spans="1:23" x14ac:dyDescent="0.3">
      <c r="A1355">
        <v>1354</v>
      </c>
      <c r="B1355" t="s">
        <v>1398</v>
      </c>
      <c r="C1355" t="s">
        <v>38</v>
      </c>
      <c r="D1355">
        <v>118</v>
      </c>
      <c r="E1355">
        <v>4390</v>
      </c>
      <c r="F1355" s="3">
        <v>214</v>
      </c>
      <c r="G1355">
        <v>24</v>
      </c>
      <c r="H1355">
        <v>8</v>
      </c>
      <c r="I1355" s="5">
        <v>6.7796610169491497E-2</v>
      </c>
      <c r="J1355" s="3">
        <v>219</v>
      </c>
      <c r="K1355" s="1">
        <v>45614</v>
      </c>
      <c r="L1355" t="s">
        <v>25</v>
      </c>
      <c r="M1355" t="s">
        <v>39</v>
      </c>
      <c r="N1355" t="s">
        <v>49</v>
      </c>
      <c r="O1355" t="s">
        <v>28</v>
      </c>
      <c r="P1355" t="s">
        <v>59</v>
      </c>
      <c r="Q1355" s="6">
        <v>1.8138983050847399</v>
      </c>
      <c r="R1355">
        <v>2.69</v>
      </c>
      <c r="S1355">
        <v>8.92</v>
      </c>
      <c r="T1355">
        <v>26.76</v>
      </c>
      <c r="U1355">
        <v>2.3199999999999998</v>
      </c>
      <c r="V1355">
        <v>27.38</v>
      </c>
      <c r="W1355">
        <v>1.02</v>
      </c>
    </row>
    <row r="1356" spans="1:23" x14ac:dyDescent="0.3">
      <c r="A1356">
        <v>1355</v>
      </c>
      <c r="B1356" t="s">
        <v>1399</v>
      </c>
      <c r="C1356" t="s">
        <v>43</v>
      </c>
      <c r="D1356">
        <v>82</v>
      </c>
      <c r="E1356">
        <v>3698</v>
      </c>
      <c r="F1356" s="3">
        <v>229</v>
      </c>
      <c r="G1356">
        <v>30</v>
      </c>
      <c r="H1356">
        <v>9</v>
      </c>
      <c r="I1356" s="5">
        <v>0.109756097560975</v>
      </c>
      <c r="J1356" s="3">
        <v>254</v>
      </c>
      <c r="K1356" s="1">
        <v>45616</v>
      </c>
      <c r="L1356" t="s">
        <v>25</v>
      </c>
      <c r="M1356" t="s">
        <v>31</v>
      </c>
      <c r="N1356" t="s">
        <v>27</v>
      </c>
      <c r="O1356" t="s">
        <v>28</v>
      </c>
      <c r="P1356" t="s">
        <v>33</v>
      </c>
      <c r="Q1356" s="6">
        <v>2.79414634146341</v>
      </c>
      <c r="R1356">
        <v>2.2200000000000002</v>
      </c>
      <c r="S1356">
        <v>7.64</v>
      </c>
      <c r="T1356">
        <v>25.46</v>
      </c>
      <c r="U1356">
        <v>10.86</v>
      </c>
      <c r="V1356">
        <v>28.22</v>
      </c>
      <c r="W1356">
        <v>1.1100000000000001</v>
      </c>
    </row>
    <row r="1357" spans="1:23" x14ac:dyDescent="0.3">
      <c r="A1357">
        <v>1356</v>
      </c>
      <c r="B1357" t="s">
        <v>1400</v>
      </c>
      <c r="C1357" t="s">
        <v>43</v>
      </c>
      <c r="D1357">
        <v>175</v>
      </c>
      <c r="E1357">
        <v>4295</v>
      </c>
      <c r="F1357" s="3">
        <v>195</v>
      </c>
      <c r="G1357">
        <v>18</v>
      </c>
      <c r="H1357">
        <v>6</v>
      </c>
      <c r="I1357" s="5">
        <v>3.4285714285714197E-2</v>
      </c>
      <c r="J1357" s="3">
        <v>396</v>
      </c>
      <c r="K1357" s="1">
        <v>45623</v>
      </c>
      <c r="L1357" t="s">
        <v>25</v>
      </c>
      <c r="M1357" t="s">
        <v>39</v>
      </c>
      <c r="N1357" t="s">
        <v>36</v>
      </c>
      <c r="O1357" t="s">
        <v>28</v>
      </c>
      <c r="P1357" t="s">
        <v>33</v>
      </c>
      <c r="Q1357" s="6">
        <v>1.1152571428571401</v>
      </c>
      <c r="R1357">
        <v>4.07</v>
      </c>
      <c r="S1357">
        <v>10.84</v>
      </c>
      <c r="T1357">
        <v>32.53</v>
      </c>
      <c r="U1357">
        <v>102.9</v>
      </c>
      <c r="V1357">
        <v>66</v>
      </c>
      <c r="W1357">
        <v>2.0299999999999998</v>
      </c>
    </row>
    <row r="1358" spans="1:23" x14ac:dyDescent="0.3">
      <c r="A1358">
        <v>1357</v>
      </c>
      <c r="B1358" t="s">
        <v>1401</v>
      </c>
      <c r="C1358" t="s">
        <v>43</v>
      </c>
      <c r="D1358">
        <v>130</v>
      </c>
      <c r="E1358">
        <v>3332</v>
      </c>
      <c r="F1358" s="3">
        <v>202</v>
      </c>
      <c r="G1358">
        <v>14</v>
      </c>
      <c r="H1358">
        <v>5</v>
      </c>
      <c r="I1358" s="5">
        <v>3.8461538461538401E-2</v>
      </c>
      <c r="J1358" s="3">
        <v>242</v>
      </c>
      <c r="K1358" s="1">
        <v>45610</v>
      </c>
      <c r="L1358" t="s">
        <v>25</v>
      </c>
      <c r="M1358" t="s">
        <v>26</v>
      </c>
      <c r="N1358" t="s">
        <v>44</v>
      </c>
      <c r="O1358" t="s">
        <v>28</v>
      </c>
      <c r="P1358" t="s">
        <v>54</v>
      </c>
      <c r="Q1358" s="6">
        <v>1.5543076923076899</v>
      </c>
      <c r="R1358">
        <v>3.9</v>
      </c>
      <c r="S1358">
        <v>14.43</v>
      </c>
      <c r="T1358">
        <v>40.409999999999997</v>
      </c>
      <c r="U1358">
        <v>19.77</v>
      </c>
      <c r="V1358">
        <v>48.4</v>
      </c>
      <c r="W1358">
        <v>1.2</v>
      </c>
    </row>
    <row r="1359" spans="1:23" x14ac:dyDescent="0.3">
      <c r="A1359">
        <v>1358</v>
      </c>
      <c r="B1359" t="s">
        <v>1402</v>
      </c>
      <c r="C1359" t="s">
        <v>38</v>
      </c>
      <c r="D1359">
        <v>92</v>
      </c>
      <c r="E1359">
        <v>4082</v>
      </c>
      <c r="F1359" s="3">
        <v>186</v>
      </c>
      <c r="G1359">
        <v>25</v>
      </c>
      <c r="H1359">
        <v>5</v>
      </c>
      <c r="I1359" s="5">
        <v>5.4347826086956499E-2</v>
      </c>
      <c r="J1359" s="3">
        <v>213</v>
      </c>
      <c r="K1359" s="1">
        <v>45620</v>
      </c>
      <c r="L1359" t="s">
        <v>25</v>
      </c>
      <c r="M1359" t="s">
        <v>39</v>
      </c>
      <c r="N1359" t="s">
        <v>44</v>
      </c>
      <c r="O1359" t="s">
        <v>28</v>
      </c>
      <c r="P1359" t="s">
        <v>50</v>
      </c>
      <c r="Q1359" s="6">
        <v>2.0248913043478201</v>
      </c>
      <c r="R1359">
        <v>2.25</v>
      </c>
      <c r="S1359">
        <v>7.45</v>
      </c>
      <c r="T1359">
        <v>37.26</v>
      </c>
      <c r="U1359">
        <v>14.34</v>
      </c>
      <c r="V1359">
        <v>42.6</v>
      </c>
      <c r="W1359">
        <v>1.1399999999999999</v>
      </c>
    </row>
    <row r="1360" spans="1:23" x14ac:dyDescent="0.3">
      <c r="A1360">
        <v>1359</v>
      </c>
      <c r="B1360" t="s">
        <v>1403</v>
      </c>
      <c r="C1360" t="s">
        <v>35</v>
      </c>
      <c r="D1360">
        <v>159</v>
      </c>
      <c r="E1360">
        <v>4464</v>
      </c>
      <c r="F1360" s="3">
        <v>205</v>
      </c>
      <c r="G1360">
        <v>27</v>
      </c>
      <c r="H1360">
        <v>3</v>
      </c>
      <c r="I1360" s="5">
        <v>1.8867924528301799E-2</v>
      </c>
      <c r="J1360" s="3">
        <v>401</v>
      </c>
      <c r="K1360" s="1">
        <v>45616</v>
      </c>
      <c r="L1360" t="s">
        <v>25</v>
      </c>
      <c r="M1360" t="s">
        <v>39</v>
      </c>
      <c r="N1360" t="s">
        <v>49</v>
      </c>
      <c r="O1360" t="s">
        <v>28</v>
      </c>
      <c r="P1360" t="s">
        <v>33</v>
      </c>
      <c r="Q1360" s="6">
        <v>1.28842767295597</v>
      </c>
      <c r="R1360">
        <v>3.56</v>
      </c>
      <c r="S1360">
        <v>7.59</v>
      </c>
      <c r="T1360">
        <v>68.290000000000006</v>
      </c>
      <c r="U1360">
        <v>95.74</v>
      </c>
      <c r="V1360">
        <v>133.66999999999999</v>
      </c>
      <c r="W1360">
        <v>1.96</v>
      </c>
    </row>
    <row r="1361" spans="1:23" x14ac:dyDescent="0.3">
      <c r="A1361">
        <v>1360</v>
      </c>
      <c r="B1361" t="s">
        <v>1404</v>
      </c>
      <c r="C1361" t="s">
        <v>24</v>
      </c>
      <c r="D1361">
        <v>193</v>
      </c>
      <c r="E1361">
        <v>5263</v>
      </c>
      <c r="F1361" s="3">
        <v>240</v>
      </c>
      <c r="G1361">
        <v>18</v>
      </c>
      <c r="H1361">
        <v>6</v>
      </c>
      <c r="I1361" s="5">
        <v>3.10880829015544E-2</v>
      </c>
      <c r="J1361" s="3">
        <v>341</v>
      </c>
      <c r="K1361" s="1">
        <v>45617</v>
      </c>
      <c r="L1361" t="s">
        <v>25</v>
      </c>
      <c r="M1361" t="s">
        <v>39</v>
      </c>
      <c r="N1361" t="s">
        <v>44</v>
      </c>
      <c r="O1361" t="s">
        <v>28</v>
      </c>
      <c r="P1361" t="s">
        <v>54</v>
      </c>
      <c r="Q1361" s="6">
        <v>1.2461139896372999</v>
      </c>
      <c r="R1361">
        <v>3.67</v>
      </c>
      <c r="S1361">
        <v>13.36</v>
      </c>
      <c r="T1361">
        <v>40.08</v>
      </c>
      <c r="U1361">
        <v>41.79</v>
      </c>
      <c r="V1361">
        <v>56.83</v>
      </c>
      <c r="W1361">
        <v>1.42</v>
      </c>
    </row>
    <row r="1362" spans="1:23" x14ac:dyDescent="0.3">
      <c r="A1362">
        <v>1361</v>
      </c>
      <c r="B1362" t="s">
        <v>1405</v>
      </c>
      <c r="C1362" t="s">
        <v>35</v>
      </c>
      <c r="D1362">
        <v>98</v>
      </c>
      <c r="E1362">
        <v>4371</v>
      </c>
      <c r="F1362" s="3">
        <v>246</v>
      </c>
      <c r="G1362">
        <v>25</v>
      </c>
      <c r="H1362">
        <v>7</v>
      </c>
      <c r="I1362" s="5">
        <v>7.1428571428571397E-2</v>
      </c>
      <c r="J1362" s="3">
        <v>227</v>
      </c>
      <c r="K1362" s="1">
        <v>45610</v>
      </c>
      <c r="L1362" t="s">
        <v>25</v>
      </c>
      <c r="M1362" t="s">
        <v>39</v>
      </c>
      <c r="N1362" t="s">
        <v>49</v>
      </c>
      <c r="O1362" t="s">
        <v>28</v>
      </c>
      <c r="P1362" t="s">
        <v>54</v>
      </c>
      <c r="Q1362" s="6">
        <v>2.5125510204081598</v>
      </c>
      <c r="R1362">
        <v>2.2400000000000002</v>
      </c>
      <c r="S1362">
        <v>9.85</v>
      </c>
      <c r="T1362">
        <v>35.18</v>
      </c>
      <c r="U1362">
        <v>-7.81</v>
      </c>
      <c r="V1362">
        <v>32.43</v>
      </c>
      <c r="W1362">
        <v>0.92</v>
      </c>
    </row>
    <row r="1363" spans="1:23" x14ac:dyDescent="0.3">
      <c r="A1363">
        <v>1362</v>
      </c>
      <c r="B1363" t="s">
        <v>1406</v>
      </c>
      <c r="C1363" t="s">
        <v>43</v>
      </c>
      <c r="D1363">
        <v>176</v>
      </c>
      <c r="E1363">
        <v>3657</v>
      </c>
      <c r="F1363" s="3">
        <v>209</v>
      </c>
      <c r="G1363">
        <v>19</v>
      </c>
      <c r="H1363">
        <v>3</v>
      </c>
      <c r="I1363" s="5">
        <v>1.7045454545454499E-2</v>
      </c>
      <c r="J1363" s="3">
        <v>239</v>
      </c>
      <c r="K1363" s="1">
        <v>45603</v>
      </c>
      <c r="L1363" t="s">
        <v>25</v>
      </c>
      <c r="M1363" t="s">
        <v>26</v>
      </c>
      <c r="N1363" t="s">
        <v>44</v>
      </c>
      <c r="O1363" t="s">
        <v>28</v>
      </c>
      <c r="P1363" t="s">
        <v>54</v>
      </c>
      <c r="Q1363" s="6">
        <v>1.19</v>
      </c>
      <c r="R1363">
        <v>4.8099999999999996</v>
      </c>
      <c r="S1363">
        <v>11.02</v>
      </c>
      <c r="T1363">
        <v>69.81</v>
      </c>
      <c r="U1363">
        <v>14.11</v>
      </c>
      <c r="V1363">
        <v>79.67</v>
      </c>
      <c r="W1363">
        <v>1.1399999999999999</v>
      </c>
    </row>
    <row r="1364" spans="1:23" x14ac:dyDescent="0.3">
      <c r="A1364">
        <v>1363</v>
      </c>
      <c r="B1364" t="s">
        <v>1407</v>
      </c>
      <c r="C1364" t="s">
        <v>43</v>
      </c>
      <c r="D1364">
        <v>182</v>
      </c>
      <c r="E1364">
        <v>5833</v>
      </c>
      <c r="F1364" s="3">
        <v>244</v>
      </c>
      <c r="G1364">
        <v>20</v>
      </c>
      <c r="H1364">
        <v>5</v>
      </c>
      <c r="I1364" s="5">
        <v>2.7472527472527399E-2</v>
      </c>
      <c r="J1364" s="3">
        <v>246</v>
      </c>
      <c r="K1364" s="1">
        <v>45610</v>
      </c>
      <c r="L1364" t="s">
        <v>25</v>
      </c>
      <c r="M1364" t="s">
        <v>26</v>
      </c>
      <c r="N1364" t="s">
        <v>32</v>
      </c>
      <c r="O1364" t="s">
        <v>28</v>
      </c>
      <c r="P1364" t="s">
        <v>54</v>
      </c>
      <c r="Q1364" s="6">
        <v>1.33912087912087</v>
      </c>
      <c r="R1364">
        <v>3.12</v>
      </c>
      <c r="S1364">
        <v>12.19</v>
      </c>
      <c r="T1364">
        <v>48.74</v>
      </c>
      <c r="U1364">
        <v>0.94</v>
      </c>
      <c r="V1364">
        <v>49.2</v>
      </c>
      <c r="W1364">
        <v>1.01</v>
      </c>
    </row>
    <row r="1365" spans="1:23" x14ac:dyDescent="0.3">
      <c r="A1365">
        <v>1364</v>
      </c>
      <c r="B1365" t="s">
        <v>1408</v>
      </c>
      <c r="C1365" t="s">
        <v>38</v>
      </c>
      <c r="D1365">
        <v>85</v>
      </c>
      <c r="E1365">
        <v>3077</v>
      </c>
      <c r="F1365" s="3">
        <v>200</v>
      </c>
      <c r="G1365">
        <v>11</v>
      </c>
      <c r="H1365">
        <v>10</v>
      </c>
      <c r="I1365" s="5">
        <v>0.11764705882352899</v>
      </c>
      <c r="J1365" s="3">
        <v>383</v>
      </c>
      <c r="K1365" s="1">
        <v>45619</v>
      </c>
      <c r="L1365" t="s">
        <v>25</v>
      </c>
      <c r="M1365" t="s">
        <v>31</v>
      </c>
      <c r="N1365" t="s">
        <v>49</v>
      </c>
      <c r="O1365" t="s">
        <v>28</v>
      </c>
      <c r="P1365" t="s">
        <v>29</v>
      </c>
      <c r="Q1365" s="6">
        <v>2.3548235294117599</v>
      </c>
      <c r="R1365">
        <v>2.76</v>
      </c>
      <c r="S1365">
        <v>18.2</v>
      </c>
      <c r="T1365">
        <v>20.02</v>
      </c>
      <c r="U1365">
        <v>91.35</v>
      </c>
      <c r="V1365">
        <v>38.299999999999997</v>
      </c>
      <c r="W1365">
        <v>1.91</v>
      </c>
    </row>
    <row r="1366" spans="1:23" x14ac:dyDescent="0.3">
      <c r="A1366">
        <v>1365</v>
      </c>
      <c r="B1366" t="s">
        <v>1409</v>
      </c>
      <c r="C1366" t="s">
        <v>38</v>
      </c>
      <c r="D1366">
        <v>98</v>
      </c>
      <c r="E1366">
        <v>3646</v>
      </c>
      <c r="F1366" s="3">
        <v>239</v>
      </c>
      <c r="G1366">
        <v>14</v>
      </c>
      <c r="H1366">
        <v>6</v>
      </c>
      <c r="I1366" s="5">
        <v>6.1224489795918297E-2</v>
      </c>
      <c r="J1366" s="3">
        <v>324</v>
      </c>
      <c r="K1366" s="1">
        <v>45610</v>
      </c>
      <c r="L1366" t="s">
        <v>25</v>
      </c>
      <c r="M1366" t="s">
        <v>26</v>
      </c>
      <c r="N1366" t="s">
        <v>32</v>
      </c>
      <c r="O1366" t="s">
        <v>28</v>
      </c>
      <c r="P1366" t="s">
        <v>54</v>
      </c>
      <c r="Q1366" s="6">
        <v>2.4392857142857101</v>
      </c>
      <c r="R1366">
        <v>2.69</v>
      </c>
      <c r="S1366">
        <v>17.079999999999998</v>
      </c>
      <c r="T1366">
        <v>39.840000000000003</v>
      </c>
      <c r="U1366">
        <v>35.54</v>
      </c>
      <c r="V1366">
        <v>54</v>
      </c>
      <c r="W1366">
        <v>1.36</v>
      </c>
    </row>
    <row r="1367" spans="1:23" x14ac:dyDescent="0.3">
      <c r="A1367">
        <v>1366</v>
      </c>
      <c r="B1367" t="s">
        <v>1410</v>
      </c>
      <c r="C1367" t="s">
        <v>43</v>
      </c>
      <c r="D1367">
        <v>160</v>
      </c>
      <c r="E1367">
        <v>3139</v>
      </c>
      <c r="F1367" s="3">
        <v>231</v>
      </c>
      <c r="G1367">
        <v>28</v>
      </c>
      <c r="H1367">
        <v>5</v>
      </c>
      <c r="I1367" s="5">
        <v>3.125E-2</v>
      </c>
      <c r="J1367" s="3">
        <v>296</v>
      </c>
      <c r="K1367" s="1">
        <v>45611</v>
      </c>
      <c r="L1367" t="s">
        <v>25</v>
      </c>
      <c r="M1367" t="s">
        <v>26</v>
      </c>
      <c r="N1367" t="s">
        <v>49</v>
      </c>
      <c r="O1367" t="s">
        <v>28</v>
      </c>
      <c r="P1367" t="s">
        <v>45</v>
      </c>
      <c r="Q1367" s="6">
        <v>1.4409375</v>
      </c>
      <c r="R1367">
        <v>5.0999999999999996</v>
      </c>
      <c r="S1367">
        <v>8.23</v>
      </c>
      <c r="T1367">
        <v>46.11</v>
      </c>
      <c r="U1367">
        <v>28.39</v>
      </c>
      <c r="V1367">
        <v>59.2</v>
      </c>
      <c r="W1367">
        <v>1.28</v>
      </c>
    </row>
    <row r="1368" spans="1:23" x14ac:dyDescent="0.3">
      <c r="A1368">
        <v>1367</v>
      </c>
      <c r="B1368" t="s">
        <v>1411</v>
      </c>
      <c r="C1368" t="s">
        <v>38</v>
      </c>
      <c r="D1368">
        <v>179</v>
      </c>
      <c r="E1368">
        <v>4005</v>
      </c>
      <c r="F1368" s="3">
        <v>232</v>
      </c>
      <c r="G1368">
        <v>16</v>
      </c>
      <c r="H1368">
        <v>10</v>
      </c>
      <c r="I1368" s="5">
        <v>5.5865921787709397E-2</v>
      </c>
      <c r="J1368" s="3">
        <v>317</v>
      </c>
      <c r="K1368" s="1">
        <v>45620</v>
      </c>
      <c r="L1368" t="s">
        <v>25</v>
      </c>
      <c r="M1368" t="s">
        <v>26</v>
      </c>
      <c r="N1368" t="s">
        <v>49</v>
      </c>
      <c r="O1368" t="s">
        <v>28</v>
      </c>
      <c r="P1368" t="s">
        <v>50</v>
      </c>
      <c r="Q1368" s="6">
        <v>1.2987150837988799</v>
      </c>
      <c r="R1368">
        <v>4.47</v>
      </c>
      <c r="S1368">
        <v>14.53</v>
      </c>
      <c r="T1368">
        <v>23.25</v>
      </c>
      <c r="U1368">
        <v>36.36</v>
      </c>
      <c r="V1368">
        <v>31.7</v>
      </c>
      <c r="W1368">
        <v>1.36</v>
      </c>
    </row>
    <row r="1369" spans="1:23" x14ac:dyDescent="0.3">
      <c r="A1369">
        <v>1368</v>
      </c>
      <c r="B1369" t="s">
        <v>1412</v>
      </c>
      <c r="C1369" t="s">
        <v>43</v>
      </c>
      <c r="D1369">
        <v>131</v>
      </c>
      <c r="E1369">
        <v>4315</v>
      </c>
      <c r="F1369" s="3">
        <v>196</v>
      </c>
      <c r="G1369">
        <v>24</v>
      </c>
      <c r="H1369">
        <v>5</v>
      </c>
      <c r="I1369" s="5">
        <v>3.8167938931297697E-2</v>
      </c>
      <c r="J1369" s="3">
        <v>278</v>
      </c>
      <c r="K1369" s="1">
        <v>45622</v>
      </c>
      <c r="L1369" t="s">
        <v>25</v>
      </c>
      <c r="M1369" t="s">
        <v>31</v>
      </c>
      <c r="N1369" t="s">
        <v>32</v>
      </c>
      <c r="O1369" t="s">
        <v>28</v>
      </c>
      <c r="P1369" t="s">
        <v>41</v>
      </c>
      <c r="Q1369" s="6">
        <v>1.49847328244274</v>
      </c>
      <c r="R1369">
        <v>3.04</v>
      </c>
      <c r="S1369">
        <v>8.18</v>
      </c>
      <c r="T1369">
        <v>39.26</v>
      </c>
      <c r="U1369">
        <v>41.62</v>
      </c>
      <c r="V1369">
        <v>55.6</v>
      </c>
      <c r="W1369">
        <v>1.42</v>
      </c>
    </row>
    <row r="1370" spans="1:23" x14ac:dyDescent="0.3">
      <c r="A1370">
        <v>1369</v>
      </c>
      <c r="B1370" t="s">
        <v>1413</v>
      </c>
      <c r="C1370" t="s">
        <v>24</v>
      </c>
      <c r="D1370">
        <v>195</v>
      </c>
      <c r="E1370">
        <v>3876</v>
      </c>
      <c r="F1370" s="3">
        <v>188</v>
      </c>
      <c r="G1370">
        <v>28</v>
      </c>
      <c r="H1370">
        <v>3</v>
      </c>
      <c r="I1370" s="5">
        <v>1.53846153846153E-2</v>
      </c>
      <c r="J1370" s="3">
        <v>373</v>
      </c>
      <c r="K1370" s="1">
        <v>45617</v>
      </c>
      <c r="L1370" t="s">
        <v>25</v>
      </c>
      <c r="M1370" t="s">
        <v>31</v>
      </c>
      <c r="N1370" t="s">
        <v>32</v>
      </c>
      <c r="O1370" t="s">
        <v>28</v>
      </c>
      <c r="P1370" t="s">
        <v>54</v>
      </c>
      <c r="Q1370" s="6">
        <v>0.96199999999999997</v>
      </c>
      <c r="R1370">
        <v>5.03</v>
      </c>
      <c r="S1370">
        <v>6.7</v>
      </c>
      <c r="T1370">
        <v>62.53</v>
      </c>
      <c r="U1370">
        <v>98.84</v>
      </c>
      <c r="V1370">
        <v>124.33</v>
      </c>
      <c r="W1370">
        <v>1.99</v>
      </c>
    </row>
    <row r="1371" spans="1:23" x14ac:dyDescent="0.3">
      <c r="A1371">
        <v>1370</v>
      </c>
      <c r="B1371" t="s">
        <v>1414</v>
      </c>
      <c r="C1371" t="s">
        <v>24</v>
      </c>
      <c r="D1371">
        <v>197</v>
      </c>
      <c r="E1371">
        <v>3174</v>
      </c>
      <c r="F1371" s="3">
        <v>304</v>
      </c>
      <c r="G1371">
        <v>22</v>
      </c>
      <c r="H1371">
        <v>7</v>
      </c>
      <c r="I1371" s="5">
        <v>3.5532994923857801E-2</v>
      </c>
      <c r="J1371" s="3">
        <v>312</v>
      </c>
      <c r="K1371" s="1">
        <v>45610</v>
      </c>
      <c r="L1371" t="s">
        <v>25</v>
      </c>
      <c r="M1371" t="s">
        <v>39</v>
      </c>
      <c r="N1371" t="s">
        <v>36</v>
      </c>
      <c r="O1371" t="s">
        <v>28</v>
      </c>
      <c r="P1371" t="s">
        <v>54</v>
      </c>
      <c r="Q1371" s="6">
        <v>1.5454545454545401</v>
      </c>
      <c r="R1371">
        <v>6.21</v>
      </c>
      <c r="S1371">
        <v>13.84</v>
      </c>
      <c r="T1371">
        <v>43.49</v>
      </c>
      <c r="U1371">
        <v>2.48</v>
      </c>
      <c r="V1371">
        <v>44.57</v>
      </c>
      <c r="W1371">
        <v>1.02</v>
      </c>
    </row>
    <row r="1372" spans="1:23" x14ac:dyDescent="0.3">
      <c r="A1372">
        <v>1371</v>
      </c>
      <c r="B1372" t="s">
        <v>1415</v>
      </c>
      <c r="C1372" t="s">
        <v>43</v>
      </c>
      <c r="D1372">
        <v>92</v>
      </c>
      <c r="E1372">
        <v>5550</v>
      </c>
      <c r="F1372" s="3">
        <v>226</v>
      </c>
      <c r="G1372">
        <v>28</v>
      </c>
      <c r="H1372">
        <v>8</v>
      </c>
      <c r="I1372" s="5">
        <v>8.6956521739130405E-2</v>
      </c>
      <c r="J1372" s="3">
        <v>270</v>
      </c>
      <c r="K1372" s="1">
        <v>45617</v>
      </c>
      <c r="L1372" t="s">
        <v>25</v>
      </c>
      <c r="M1372" t="s">
        <v>39</v>
      </c>
      <c r="N1372" t="s">
        <v>27</v>
      </c>
      <c r="O1372" t="s">
        <v>28</v>
      </c>
      <c r="P1372" t="s">
        <v>54</v>
      </c>
      <c r="Q1372" s="6">
        <v>2.46065217391304</v>
      </c>
      <c r="R1372">
        <v>1.66</v>
      </c>
      <c r="S1372">
        <v>8.08</v>
      </c>
      <c r="T1372">
        <v>28.3</v>
      </c>
      <c r="U1372">
        <v>19.27</v>
      </c>
      <c r="V1372">
        <v>33.75</v>
      </c>
      <c r="W1372">
        <v>1.19</v>
      </c>
    </row>
    <row r="1373" spans="1:23" x14ac:dyDescent="0.3">
      <c r="A1373">
        <v>1372</v>
      </c>
      <c r="B1373" t="s">
        <v>1416</v>
      </c>
      <c r="C1373" t="s">
        <v>24</v>
      </c>
      <c r="D1373">
        <v>90</v>
      </c>
      <c r="E1373">
        <v>3526</v>
      </c>
      <c r="F1373" s="3">
        <v>211</v>
      </c>
      <c r="G1373">
        <v>10</v>
      </c>
      <c r="H1373">
        <v>3</v>
      </c>
      <c r="I1373" s="5">
        <v>3.3333333333333298E-2</v>
      </c>
      <c r="J1373" s="3">
        <v>285</v>
      </c>
      <c r="K1373" s="1">
        <v>45616</v>
      </c>
      <c r="L1373" t="s">
        <v>25</v>
      </c>
      <c r="M1373" t="s">
        <v>26</v>
      </c>
      <c r="N1373" t="s">
        <v>44</v>
      </c>
      <c r="O1373" t="s">
        <v>28</v>
      </c>
      <c r="P1373" t="s">
        <v>33</v>
      </c>
      <c r="Q1373" s="6">
        <v>2.3487777777777699</v>
      </c>
      <c r="R1373">
        <v>2.5499999999999998</v>
      </c>
      <c r="S1373">
        <v>21.14</v>
      </c>
      <c r="T1373">
        <v>70.459999999999994</v>
      </c>
      <c r="U1373">
        <v>34.82</v>
      </c>
      <c r="V1373">
        <v>95</v>
      </c>
      <c r="W1373">
        <v>1.35</v>
      </c>
    </row>
    <row r="1374" spans="1:23" x14ac:dyDescent="0.3">
      <c r="A1374">
        <v>1373</v>
      </c>
      <c r="B1374" t="s">
        <v>1417</v>
      </c>
      <c r="C1374" t="s">
        <v>43</v>
      </c>
      <c r="D1374">
        <v>149</v>
      </c>
      <c r="E1374">
        <v>3192</v>
      </c>
      <c r="F1374" s="3">
        <v>230</v>
      </c>
      <c r="G1374">
        <v>21</v>
      </c>
      <c r="H1374">
        <v>4</v>
      </c>
      <c r="I1374" s="5">
        <v>2.68456375838926E-2</v>
      </c>
      <c r="J1374" s="3">
        <v>349</v>
      </c>
      <c r="K1374" s="1">
        <v>45610</v>
      </c>
      <c r="L1374" t="s">
        <v>25</v>
      </c>
      <c r="M1374" t="s">
        <v>39</v>
      </c>
      <c r="N1374" t="s">
        <v>44</v>
      </c>
      <c r="O1374" t="s">
        <v>28</v>
      </c>
      <c r="P1374" t="s">
        <v>54</v>
      </c>
      <c r="Q1374" s="6">
        <v>1.5454545454545401</v>
      </c>
      <c r="R1374">
        <v>4.67</v>
      </c>
      <c r="S1374">
        <v>10.97</v>
      </c>
      <c r="T1374">
        <v>57.57</v>
      </c>
      <c r="U1374">
        <v>51.56</v>
      </c>
      <c r="V1374">
        <v>87.25</v>
      </c>
      <c r="W1374">
        <v>1.52</v>
      </c>
    </row>
    <row r="1375" spans="1:23" x14ac:dyDescent="0.3">
      <c r="A1375">
        <v>1374</v>
      </c>
      <c r="B1375" t="s">
        <v>1418</v>
      </c>
      <c r="C1375" t="s">
        <v>24</v>
      </c>
      <c r="D1375">
        <v>82</v>
      </c>
      <c r="E1375">
        <v>4132</v>
      </c>
      <c r="F1375" s="3">
        <v>247</v>
      </c>
      <c r="G1375">
        <v>11</v>
      </c>
      <c r="H1375">
        <v>6</v>
      </c>
      <c r="I1375" s="5">
        <v>7.3170731707316999E-2</v>
      </c>
      <c r="J1375" s="3">
        <v>223</v>
      </c>
      <c r="K1375" s="1">
        <v>45608</v>
      </c>
      <c r="L1375" t="s">
        <v>25</v>
      </c>
      <c r="M1375" t="s">
        <v>39</v>
      </c>
      <c r="N1375" t="s">
        <v>40</v>
      </c>
      <c r="O1375" t="s">
        <v>28</v>
      </c>
      <c r="P1375" t="s">
        <v>41</v>
      </c>
      <c r="Q1375" s="6">
        <v>3.01378048780487</v>
      </c>
      <c r="R1375">
        <v>1.98</v>
      </c>
      <c r="S1375">
        <v>22.47</v>
      </c>
      <c r="T1375">
        <v>41.19</v>
      </c>
      <c r="U1375">
        <v>-9.76</v>
      </c>
      <c r="V1375">
        <v>37.17</v>
      </c>
      <c r="W1375">
        <v>0.9</v>
      </c>
    </row>
    <row r="1376" spans="1:23" x14ac:dyDescent="0.3">
      <c r="A1376">
        <v>1375</v>
      </c>
      <c r="B1376" t="s">
        <v>1419</v>
      </c>
      <c r="C1376" t="s">
        <v>38</v>
      </c>
      <c r="D1376">
        <v>151</v>
      </c>
      <c r="E1376">
        <v>5826</v>
      </c>
      <c r="F1376" s="3">
        <v>227</v>
      </c>
      <c r="G1376">
        <v>16</v>
      </c>
      <c r="H1376">
        <v>8</v>
      </c>
      <c r="I1376" s="5">
        <v>5.2980132450331098E-2</v>
      </c>
      <c r="J1376" s="3">
        <v>308</v>
      </c>
      <c r="K1376" s="1">
        <v>45621</v>
      </c>
      <c r="L1376" t="s">
        <v>25</v>
      </c>
      <c r="M1376" t="s">
        <v>26</v>
      </c>
      <c r="N1376" t="s">
        <v>27</v>
      </c>
      <c r="O1376" t="s">
        <v>28</v>
      </c>
      <c r="P1376" t="s">
        <v>59</v>
      </c>
      <c r="Q1376" s="6">
        <v>1.5001986754966801</v>
      </c>
      <c r="R1376">
        <v>2.59</v>
      </c>
      <c r="S1376">
        <v>14.16</v>
      </c>
      <c r="T1376">
        <v>28.32</v>
      </c>
      <c r="U1376">
        <v>35.96</v>
      </c>
      <c r="V1376">
        <v>38.5</v>
      </c>
      <c r="W1376">
        <v>1.36</v>
      </c>
    </row>
    <row r="1377" spans="1:23" x14ac:dyDescent="0.3">
      <c r="A1377">
        <v>1376</v>
      </c>
      <c r="B1377" t="s">
        <v>1420</v>
      </c>
      <c r="C1377" t="s">
        <v>43</v>
      </c>
      <c r="D1377">
        <v>162</v>
      </c>
      <c r="E1377">
        <v>5997</v>
      </c>
      <c r="F1377" s="3">
        <v>240</v>
      </c>
      <c r="G1377">
        <v>20</v>
      </c>
      <c r="H1377">
        <v>5</v>
      </c>
      <c r="I1377" s="5">
        <v>3.0864197530864099E-2</v>
      </c>
      <c r="J1377" s="3">
        <v>233</v>
      </c>
      <c r="K1377" s="1">
        <v>45620</v>
      </c>
      <c r="L1377" t="s">
        <v>25</v>
      </c>
      <c r="M1377" t="s">
        <v>31</v>
      </c>
      <c r="N1377" t="s">
        <v>36</v>
      </c>
      <c r="O1377" t="s">
        <v>28</v>
      </c>
      <c r="P1377" t="s">
        <v>50</v>
      </c>
      <c r="Q1377" s="6">
        <v>1.4832716049382699</v>
      </c>
      <c r="R1377">
        <v>2.7</v>
      </c>
      <c r="S1377">
        <v>12.01</v>
      </c>
      <c r="T1377">
        <v>48.06</v>
      </c>
      <c r="U1377">
        <v>-3.03</v>
      </c>
      <c r="V1377">
        <v>46.6</v>
      </c>
      <c r="W1377">
        <v>0.97</v>
      </c>
    </row>
    <row r="1378" spans="1:23" x14ac:dyDescent="0.3">
      <c r="A1378">
        <v>1377</v>
      </c>
      <c r="B1378" t="s">
        <v>1421</v>
      </c>
      <c r="C1378" t="s">
        <v>38</v>
      </c>
      <c r="D1378">
        <v>197</v>
      </c>
      <c r="E1378">
        <v>4541</v>
      </c>
      <c r="F1378" s="3">
        <v>244</v>
      </c>
      <c r="G1378">
        <v>19</v>
      </c>
      <c r="H1378">
        <v>9</v>
      </c>
      <c r="I1378" s="5">
        <v>4.5685279187817202E-2</v>
      </c>
      <c r="J1378" s="3">
        <v>347</v>
      </c>
      <c r="K1378" s="1">
        <v>45607</v>
      </c>
      <c r="L1378" t="s">
        <v>25</v>
      </c>
      <c r="M1378" t="s">
        <v>26</v>
      </c>
      <c r="N1378" t="s">
        <v>40</v>
      </c>
      <c r="O1378" t="s">
        <v>28</v>
      </c>
      <c r="P1378" t="s">
        <v>59</v>
      </c>
      <c r="Q1378" s="6">
        <v>1.2376142131979599</v>
      </c>
      <c r="R1378">
        <v>4.34</v>
      </c>
      <c r="S1378">
        <v>12.83</v>
      </c>
      <c r="T1378">
        <v>27.09</v>
      </c>
      <c r="U1378">
        <v>42.32</v>
      </c>
      <c r="V1378">
        <v>38.56</v>
      </c>
      <c r="W1378">
        <v>1.42</v>
      </c>
    </row>
    <row r="1379" spans="1:23" x14ac:dyDescent="0.3">
      <c r="A1379">
        <v>1378</v>
      </c>
      <c r="B1379" t="s">
        <v>1422</v>
      </c>
      <c r="C1379" t="s">
        <v>38</v>
      </c>
      <c r="D1379">
        <v>133</v>
      </c>
      <c r="E1379">
        <v>4642</v>
      </c>
      <c r="F1379" s="3">
        <v>185</v>
      </c>
      <c r="G1379">
        <v>22</v>
      </c>
      <c r="H1379">
        <v>4</v>
      </c>
      <c r="I1379" s="5">
        <v>3.00751879699248E-2</v>
      </c>
      <c r="J1379" s="3">
        <v>219</v>
      </c>
      <c r="K1379" s="1">
        <v>45610</v>
      </c>
      <c r="L1379" t="s">
        <v>25</v>
      </c>
      <c r="M1379" t="s">
        <v>26</v>
      </c>
      <c r="N1379" t="s">
        <v>44</v>
      </c>
      <c r="O1379" t="s">
        <v>28</v>
      </c>
      <c r="P1379" t="s">
        <v>54</v>
      </c>
      <c r="Q1379" s="6">
        <v>1.38736842105263</v>
      </c>
      <c r="R1379">
        <v>2.87</v>
      </c>
      <c r="S1379">
        <v>8.39</v>
      </c>
      <c r="T1379">
        <v>46.13</v>
      </c>
      <c r="U1379">
        <v>18.690000000000001</v>
      </c>
      <c r="V1379">
        <v>54.75</v>
      </c>
      <c r="W1379">
        <v>1.19</v>
      </c>
    </row>
    <row r="1380" spans="1:23" x14ac:dyDescent="0.3">
      <c r="A1380">
        <v>1379</v>
      </c>
      <c r="B1380" t="s">
        <v>1423</v>
      </c>
      <c r="C1380" t="s">
        <v>43</v>
      </c>
      <c r="D1380">
        <v>194</v>
      </c>
      <c r="E1380">
        <v>5509</v>
      </c>
      <c r="F1380" s="3">
        <v>235</v>
      </c>
      <c r="G1380">
        <v>18</v>
      </c>
      <c r="H1380">
        <v>5</v>
      </c>
      <c r="I1380" s="5">
        <v>2.5773195876288599E-2</v>
      </c>
      <c r="J1380" s="3">
        <v>209</v>
      </c>
      <c r="K1380" s="1">
        <v>45608</v>
      </c>
      <c r="L1380" t="s">
        <v>25</v>
      </c>
      <c r="M1380" t="s">
        <v>39</v>
      </c>
      <c r="N1380" t="s">
        <v>44</v>
      </c>
      <c r="O1380" t="s">
        <v>28</v>
      </c>
      <c r="P1380" t="s">
        <v>41</v>
      </c>
      <c r="Q1380" s="6">
        <v>1.21365979381443</v>
      </c>
      <c r="R1380">
        <v>3.52</v>
      </c>
      <c r="S1380">
        <v>13.08</v>
      </c>
      <c r="T1380">
        <v>47.09</v>
      </c>
      <c r="U1380">
        <v>-11.23</v>
      </c>
      <c r="V1380">
        <v>41.8</v>
      </c>
      <c r="W1380">
        <v>0.89</v>
      </c>
    </row>
    <row r="1381" spans="1:23" x14ac:dyDescent="0.3">
      <c r="A1381">
        <v>1380</v>
      </c>
      <c r="B1381" t="s">
        <v>1424</v>
      </c>
      <c r="C1381" t="s">
        <v>43</v>
      </c>
      <c r="D1381">
        <v>169</v>
      </c>
      <c r="E1381">
        <v>3647</v>
      </c>
      <c r="F1381" s="3">
        <v>194</v>
      </c>
      <c r="G1381">
        <v>12</v>
      </c>
      <c r="H1381">
        <v>6</v>
      </c>
      <c r="I1381" s="5">
        <v>3.5502958579881602E-2</v>
      </c>
      <c r="J1381" s="3">
        <v>346</v>
      </c>
      <c r="K1381" s="1">
        <v>45618</v>
      </c>
      <c r="L1381" t="s">
        <v>25</v>
      </c>
      <c r="M1381" t="s">
        <v>26</v>
      </c>
      <c r="N1381" t="s">
        <v>27</v>
      </c>
      <c r="O1381" t="s">
        <v>28</v>
      </c>
      <c r="P1381" t="s">
        <v>45</v>
      </c>
      <c r="Q1381" s="6">
        <v>1.1486390532544299</v>
      </c>
      <c r="R1381">
        <v>4.63</v>
      </c>
      <c r="S1381">
        <v>16.18</v>
      </c>
      <c r="T1381">
        <v>32.35</v>
      </c>
      <c r="U1381">
        <v>78.239999999999995</v>
      </c>
      <c r="V1381">
        <v>57.67</v>
      </c>
      <c r="W1381">
        <v>1.78</v>
      </c>
    </row>
    <row r="1382" spans="1:23" x14ac:dyDescent="0.3">
      <c r="A1382">
        <v>1381</v>
      </c>
      <c r="B1382" t="s">
        <v>1425</v>
      </c>
      <c r="C1382" t="s">
        <v>24</v>
      </c>
      <c r="D1382">
        <v>149</v>
      </c>
      <c r="E1382">
        <v>5209</v>
      </c>
      <c r="F1382" s="3">
        <v>184</v>
      </c>
      <c r="G1382">
        <v>18</v>
      </c>
      <c r="H1382">
        <v>10</v>
      </c>
      <c r="I1382" s="5">
        <v>6.7114093959731502E-2</v>
      </c>
      <c r="J1382" s="3">
        <v>367</v>
      </c>
      <c r="K1382" s="1">
        <v>45625</v>
      </c>
      <c r="L1382" t="s">
        <v>25</v>
      </c>
      <c r="M1382" t="s">
        <v>26</v>
      </c>
      <c r="N1382" t="s">
        <v>27</v>
      </c>
      <c r="O1382" t="s">
        <v>28</v>
      </c>
      <c r="P1382" t="s">
        <v>45</v>
      </c>
      <c r="Q1382" s="6">
        <v>1.23429530201342</v>
      </c>
      <c r="R1382">
        <v>2.86</v>
      </c>
      <c r="S1382">
        <v>10.220000000000001</v>
      </c>
      <c r="T1382">
        <v>18.39</v>
      </c>
      <c r="U1382">
        <v>99.55</v>
      </c>
      <c r="V1382">
        <v>36.700000000000003</v>
      </c>
      <c r="W1382">
        <v>2</v>
      </c>
    </row>
    <row r="1383" spans="1:23" x14ac:dyDescent="0.3">
      <c r="A1383">
        <v>1382</v>
      </c>
      <c r="B1383" t="s">
        <v>1426</v>
      </c>
      <c r="C1383" t="s">
        <v>38</v>
      </c>
      <c r="D1383">
        <v>124</v>
      </c>
      <c r="E1383">
        <v>5980</v>
      </c>
      <c r="F1383" s="3">
        <v>201</v>
      </c>
      <c r="G1383">
        <v>25</v>
      </c>
      <c r="H1383">
        <v>4</v>
      </c>
      <c r="I1383" s="5">
        <v>3.2258064516128997E-2</v>
      </c>
      <c r="J1383" s="3">
        <v>361</v>
      </c>
      <c r="K1383" s="1">
        <v>45600</v>
      </c>
      <c r="L1383" t="s">
        <v>25</v>
      </c>
      <c r="M1383" t="s">
        <v>26</v>
      </c>
      <c r="N1383" t="s">
        <v>27</v>
      </c>
      <c r="O1383" t="s">
        <v>28</v>
      </c>
      <c r="P1383" t="s">
        <v>59</v>
      </c>
      <c r="Q1383" s="6">
        <v>1.6181451612903199</v>
      </c>
      <c r="R1383">
        <v>2.0699999999999998</v>
      </c>
      <c r="S1383">
        <v>8.0299999999999994</v>
      </c>
      <c r="T1383">
        <v>50.16</v>
      </c>
      <c r="U1383">
        <v>79.92</v>
      </c>
      <c r="V1383">
        <v>90.25</v>
      </c>
      <c r="W1383">
        <v>1.8</v>
      </c>
    </row>
    <row r="1384" spans="1:23" x14ac:dyDescent="0.3">
      <c r="A1384">
        <v>1383</v>
      </c>
      <c r="B1384" t="s">
        <v>1427</v>
      </c>
      <c r="C1384" t="s">
        <v>24</v>
      </c>
      <c r="D1384">
        <v>170</v>
      </c>
      <c r="E1384">
        <v>5443</v>
      </c>
      <c r="F1384" s="3">
        <v>236</v>
      </c>
      <c r="G1384">
        <v>23</v>
      </c>
      <c r="H1384">
        <v>5</v>
      </c>
      <c r="I1384" s="5">
        <v>2.94117647058823E-2</v>
      </c>
      <c r="J1384" s="3">
        <v>268</v>
      </c>
      <c r="K1384" s="1">
        <v>45617</v>
      </c>
      <c r="L1384" t="s">
        <v>25</v>
      </c>
      <c r="M1384" t="s">
        <v>31</v>
      </c>
      <c r="N1384" t="s">
        <v>49</v>
      </c>
      <c r="O1384" t="s">
        <v>28</v>
      </c>
      <c r="P1384" t="s">
        <v>54</v>
      </c>
      <c r="Q1384" s="6">
        <v>1.38817647058823</v>
      </c>
      <c r="R1384">
        <v>3.12</v>
      </c>
      <c r="S1384">
        <v>10.26</v>
      </c>
      <c r="T1384">
        <v>47.2</v>
      </c>
      <c r="U1384">
        <v>13.56</v>
      </c>
      <c r="V1384">
        <v>53.6</v>
      </c>
      <c r="W1384">
        <v>1.1399999999999999</v>
      </c>
    </row>
    <row r="1385" spans="1:23" x14ac:dyDescent="0.3">
      <c r="A1385">
        <v>1384</v>
      </c>
      <c r="B1385" t="s">
        <v>1428</v>
      </c>
      <c r="C1385" t="s">
        <v>24</v>
      </c>
      <c r="D1385">
        <v>127</v>
      </c>
      <c r="E1385">
        <v>5326</v>
      </c>
      <c r="F1385" s="3">
        <v>226</v>
      </c>
      <c r="G1385">
        <v>18</v>
      </c>
      <c r="H1385">
        <v>10</v>
      </c>
      <c r="I1385" s="5">
        <v>7.8740157480314904E-2</v>
      </c>
      <c r="J1385" s="3">
        <v>212</v>
      </c>
      <c r="K1385" s="1">
        <v>45617</v>
      </c>
      <c r="L1385" t="s">
        <v>25</v>
      </c>
      <c r="M1385" t="s">
        <v>31</v>
      </c>
      <c r="N1385" t="s">
        <v>44</v>
      </c>
      <c r="O1385" t="s">
        <v>28</v>
      </c>
      <c r="P1385" t="s">
        <v>54</v>
      </c>
      <c r="Q1385" s="6">
        <v>1.7803937007874</v>
      </c>
      <c r="R1385">
        <v>2.38</v>
      </c>
      <c r="S1385">
        <v>12.56</v>
      </c>
      <c r="T1385">
        <v>22.61</v>
      </c>
      <c r="U1385">
        <v>-6.24</v>
      </c>
      <c r="V1385">
        <v>21.2</v>
      </c>
      <c r="W1385">
        <v>0.94</v>
      </c>
    </row>
    <row r="1386" spans="1:23" x14ac:dyDescent="0.3">
      <c r="A1386">
        <v>1385</v>
      </c>
      <c r="B1386" t="s">
        <v>1429</v>
      </c>
      <c r="C1386" t="s">
        <v>35</v>
      </c>
      <c r="D1386">
        <v>114</v>
      </c>
      <c r="E1386">
        <v>5565</v>
      </c>
      <c r="F1386" s="3">
        <v>210</v>
      </c>
      <c r="G1386">
        <v>16</v>
      </c>
      <c r="H1386">
        <v>4</v>
      </c>
      <c r="I1386" s="5">
        <v>3.5087719298245598E-2</v>
      </c>
      <c r="J1386" s="3">
        <v>367</v>
      </c>
      <c r="K1386" s="1">
        <v>45603</v>
      </c>
      <c r="L1386" t="s">
        <v>25</v>
      </c>
      <c r="M1386" t="s">
        <v>26</v>
      </c>
      <c r="N1386" t="s">
        <v>40</v>
      </c>
      <c r="O1386" t="s">
        <v>28</v>
      </c>
      <c r="P1386" t="s">
        <v>54</v>
      </c>
      <c r="Q1386" s="6">
        <v>1.8424561403508699</v>
      </c>
      <c r="R1386">
        <v>2.0499999999999998</v>
      </c>
      <c r="S1386">
        <v>13.13</v>
      </c>
      <c r="T1386">
        <v>52.51</v>
      </c>
      <c r="U1386">
        <v>74.73</v>
      </c>
      <c r="V1386">
        <v>91.75</v>
      </c>
      <c r="W1386">
        <v>1.75</v>
      </c>
    </row>
    <row r="1387" spans="1:23" x14ac:dyDescent="0.3">
      <c r="A1387">
        <v>1386</v>
      </c>
      <c r="B1387" t="s">
        <v>1430</v>
      </c>
      <c r="C1387" t="s">
        <v>35</v>
      </c>
      <c r="D1387">
        <v>154</v>
      </c>
      <c r="E1387">
        <v>3312</v>
      </c>
      <c r="F1387" s="3">
        <v>203</v>
      </c>
      <c r="G1387">
        <v>16</v>
      </c>
      <c r="H1387">
        <v>5</v>
      </c>
      <c r="I1387" s="5">
        <v>3.2467532467532402E-2</v>
      </c>
      <c r="J1387" s="3">
        <v>403</v>
      </c>
      <c r="K1387" s="1">
        <v>45600</v>
      </c>
      <c r="L1387" t="s">
        <v>25</v>
      </c>
      <c r="M1387" t="s">
        <v>26</v>
      </c>
      <c r="N1387" t="s">
        <v>40</v>
      </c>
      <c r="O1387" t="s">
        <v>28</v>
      </c>
      <c r="P1387" t="s">
        <v>59</v>
      </c>
      <c r="Q1387" s="6">
        <v>1.3196753246753199</v>
      </c>
      <c r="R1387">
        <v>4.6500000000000004</v>
      </c>
      <c r="S1387">
        <v>12.7</v>
      </c>
      <c r="T1387">
        <v>40.65</v>
      </c>
      <c r="U1387">
        <v>98.3</v>
      </c>
      <c r="V1387">
        <v>80.599999999999994</v>
      </c>
      <c r="W1387">
        <v>1.98</v>
      </c>
    </row>
    <row r="1388" spans="1:23" x14ac:dyDescent="0.3">
      <c r="A1388">
        <v>1387</v>
      </c>
      <c r="B1388" t="s">
        <v>1431</v>
      </c>
      <c r="C1388" t="s">
        <v>43</v>
      </c>
      <c r="D1388">
        <v>132</v>
      </c>
      <c r="E1388">
        <v>4369</v>
      </c>
      <c r="F1388" s="3">
        <v>226</v>
      </c>
      <c r="G1388">
        <v>28</v>
      </c>
      <c r="H1388">
        <v>4</v>
      </c>
      <c r="I1388" s="5">
        <v>3.03030303030303E-2</v>
      </c>
      <c r="J1388" s="3">
        <v>253</v>
      </c>
      <c r="K1388" s="1">
        <v>45619</v>
      </c>
      <c r="L1388" t="s">
        <v>25</v>
      </c>
      <c r="M1388" t="s">
        <v>39</v>
      </c>
      <c r="N1388" t="s">
        <v>36</v>
      </c>
      <c r="O1388" t="s">
        <v>28</v>
      </c>
      <c r="P1388" t="s">
        <v>29</v>
      </c>
      <c r="Q1388" s="6">
        <v>1.7085606060606</v>
      </c>
      <c r="R1388">
        <v>3.02</v>
      </c>
      <c r="S1388">
        <v>8.0500000000000007</v>
      </c>
      <c r="T1388">
        <v>56.38</v>
      </c>
      <c r="U1388">
        <v>12.18</v>
      </c>
      <c r="V1388">
        <v>63.25</v>
      </c>
      <c r="W1388">
        <v>1.1200000000000001</v>
      </c>
    </row>
    <row r="1389" spans="1:23" x14ac:dyDescent="0.3">
      <c r="A1389">
        <v>1388</v>
      </c>
      <c r="B1389" t="s">
        <v>1432</v>
      </c>
      <c r="C1389" t="s">
        <v>35</v>
      </c>
      <c r="D1389">
        <v>126</v>
      </c>
      <c r="E1389">
        <v>3570</v>
      </c>
      <c r="F1389" s="3">
        <v>215</v>
      </c>
      <c r="G1389">
        <v>28</v>
      </c>
      <c r="H1389">
        <v>9</v>
      </c>
      <c r="I1389" s="5">
        <v>7.1428571428571397E-2</v>
      </c>
      <c r="J1389" s="3">
        <v>220</v>
      </c>
      <c r="K1389" s="1">
        <v>45608</v>
      </c>
      <c r="L1389" t="s">
        <v>25</v>
      </c>
      <c r="M1389" t="s">
        <v>39</v>
      </c>
      <c r="N1389" t="s">
        <v>40</v>
      </c>
      <c r="O1389" t="s">
        <v>28</v>
      </c>
      <c r="P1389" t="s">
        <v>41</v>
      </c>
      <c r="Q1389" s="6">
        <v>1.70460317460317</v>
      </c>
      <c r="R1389">
        <v>3.53</v>
      </c>
      <c r="S1389">
        <v>7.67</v>
      </c>
      <c r="T1389">
        <v>23.86</v>
      </c>
      <c r="U1389">
        <v>2.4300000000000002</v>
      </c>
      <c r="V1389">
        <v>24.44</v>
      </c>
      <c r="W1389">
        <v>1.02</v>
      </c>
    </row>
    <row r="1390" spans="1:23" x14ac:dyDescent="0.3">
      <c r="A1390">
        <v>1389</v>
      </c>
      <c r="B1390" t="s">
        <v>1433</v>
      </c>
      <c r="C1390" t="s">
        <v>38</v>
      </c>
      <c r="D1390">
        <v>118</v>
      </c>
      <c r="E1390">
        <v>3883</v>
      </c>
      <c r="F1390" s="3">
        <v>226</v>
      </c>
      <c r="G1390">
        <v>23</v>
      </c>
      <c r="H1390">
        <v>5</v>
      </c>
      <c r="I1390" s="5">
        <v>4.2372881355932202E-2</v>
      </c>
      <c r="J1390" s="3">
        <v>241</v>
      </c>
      <c r="K1390" s="1">
        <v>45617</v>
      </c>
      <c r="L1390" t="s">
        <v>25</v>
      </c>
      <c r="M1390" t="s">
        <v>31</v>
      </c>
      <c r="N1390" t="s">
        <v>44</v>
      </c>
      <c r="O1390" t="s">
        <v>28</v>
      </c>
      <c r="P1390" t="s">
        <v>54</v>
      </c>
      <c r="Q1390" s="6">
        <v>1.9143220338983</v>
      </c>
      <c r="R1390">
        <v>3.04</v>
      </c>
      <c r="S1390">
        <v>9.82</v>
      </c>
      <c r="T1390">
        <v>45.18</v>
      </c>
      <c r="U1390">
        <v>6.69</v>
      </c>
      <c r="V1390">
        <v>48.2</v>
      </c>
      <c r="W1390">
        <v>1.07</v>
      </c>
    </row>
    <row r="1391" spans="1:23" x14ac:dyDescent="0.3">
      <c r="A1391">
        <v>1390</v>
      </c>
      <c r="B1391" t="s">
        <v>1434</v>
      </c>
      <c r="C1391" t="s">
        <v>35</v>
      </c>
      <c r="D1391">
        <v>125</v>
      </c>
      <c r="E1391">
        <v>5736</v>
      </c>
      <c r="F1391" s="3">
        <v>197</v>
      </c>
      <c r="G1391">
        <v>30</v>
      </c>
      <c r="H1391">
        <v>5</v>
      </c>
      <c r="I1391" s="5">
        <v>0.04</v>
      </c>
      <c r="J1391" s="3">
        <v>258</v>
      </c>
      <c r="K1391" s="1">
        <v>45614</v>
      </c>
      <c r="L1391" t="s">
        <v>25</v>
      </c>
      <c r="M1391" t="s">
        <v>31</v>
      </c>
      <c r="N1391" t="s">
        <v>49</v>
      </c>
      <c r="O1391" t="s">
        <v>28</v>
      </c>
      <c r="P1391" t="s">
        <v>59</v>
      </c>
      <c r="Q1391" s="6">
        <v>1.5782400000000001</v>
      </c>
      <c r="R1391">
        <v>2.1800000000000002</v>
      </c>
      <c r="S1391">
        <v>6.58</v>
      </c>
      <c r="T1391">
        <v>39.46</v>
      </c>
      <c r="U1391">
        <v>30.78</v>
      </c>
      <c r="V1391">
        <v>51.6</v>
      </c>
      <c r="W1391">
        <v>1.31</v>
      </c>
    </row>
    <row r="1392" spans="1:23" x14ac:dyDescent="0.3">
      <c r="A1392">
        <v>1391</v>
      </c>
      <c r="B1392" t="s">
        <v>1435</v>
      </c>
      <c r="C1392" t="s">
        <v>43</v>
      </c>
      <c r="D1392">
        <v>197</v>
      </c>
      <c r="E1392">
        <v>5921</v>
      </c>
      <c r="F1392" s="3">
        <v>215</v>
      </c>
      <c r="G1392">
        <v>18</v>
      </c>
      <c r="H1392">
        <v>6</v>
      </c>
      <c r="I1392" s="5">
        <v>3.0456852791878101E-2</v>
      </c>
      <c r="J1392" s="3">
        <v>403</v>
      </c>
      <c r="K1392" s="1">
        <v>45610</v>
      </c>
      <c r="L1392" t="s">
        <v>25</v>
      </c>
      <c r="M1392" t="s">
        <v>26</v>
      </c>
      <c r="N1392" t="s">
        <v>27</v>
      </c>
      <c r="O1392" t="s">
        <v>28</v>
      </c>
      <c r="P1392" t="s">
        <v>54</v>
      </c>
      <c r="Q1392" s="6">
        <v>1.0912182741116701</v>
      </c>
      <c r="R1392">
        <v>3.33</v>
      </c>
      <c r="S1392">
        <v>11.94</v>
      </c>
      <c r="T1392">
        <v>35.83</v>
      </c>
      <c r="U1392">
        <v>87.47</v>
      </c>
      <c r="V1392">
        <v>67.17</v>
      </c>
      <c r="W1392">
        <v>1.87</v>
      </c>
    </row>
    <row r="1393" spans="1:23" x14ac:dyDescent="0.3">
      <c r="A1393">
        <v>1392</v>
      </c>
      <c r="B1393" t="s">
        <v>1436</v>
      </c>
      <c r="C1393" t="s">
        <v>38</v>
      </c>
      <c r="D1393">
        <v>98</v>
      </c>
      <c r="E1393">
        <v>3687</v>
      </c>
      <c r="F1393" s="3">
        <v>207</v>
      </c>
      <c r="G1393">
        <v>12</v>
      </c>
      <c r="H1393">
        <v>10</v>
      </c>
      <c r="I1393" s="5">
        <v>0.10204081632653</v>
      </c>
      <c r="J1393" s="3">
        <v>335</v>
      </c>
      <c r="K1393" s="1">
        <v>45603</v>
      </c>
      <c r="L1393" t="s">
        <v>25</v>
      </c>
      <c r="M1393" t="s">
        <v>31</v>
      </c>
      <c r="N1393" t="s">
        <v>44</v>
      </c>
      <c r="O1393" t="s">
        <v>28</v>
      </c>
      <c r="P1393" t="s">
        <v>54</v>
      </c>
      <c r="Q1393" s="6">
        <v>2.1091836734693801</v>
      </c>
      <c r="R1393">
        <v>2.66</v>
      </c>
      <c r="S1393">
        <v>17.22</v>
      </c>
      <c r="T1393">
        <v>20.67</v>
      </c>
      <c r="U1393">
        <v>62.07</v>
      </c>
      <c r="V1393">
        <v>33.5</v>
      </c>
      <c r="W1393">
        <v>1.62</v>
      </c>
    </row>
    <row r="1394" spans="1:23" x14ac:dyDescent="0.3">
      <c r="A1394">
        <v>1393</v>
      </c>
      <c r="B1394" t="s">
        <v>1437</v>
      </c>
      <c r="C1394" t="s">
        <v>35</v>
      </c>
      <c r="D1394">
        <v>164</v>
      </c>
      <c r="E1394">
        <v>5334</v>
      </c>
      <c r="F1394" s="3">
        <v>204</v>
      </c>
      <c r="G1394">
        <v>18</v>
      </c>
      <c r="H1394">
        <v>6</v>
      </c>
      <c r="I1394" s="5">
        <v>3.65853658536585E-2</v>
      </c>
      <c r="J1394" s="3">
        <v>230</v>
      </c>
      <c r="K1394" s="1">
        <v>45614</v>
      </c>
      <c r="L1394" t="s">
        <v>25</v>
      </c>
      <c r="M1394" t="s">
        <v>26</v>
      </c>
      <c r="N1394" t="s">
        <v>32</v>
      </c>
      <c r="O1394" t="s">
        <v>28</v>
      </c>
      <c r="P1394" t="s">
        <v>59</v>
      </c>
      <c r="Q1394" s="6">
        <v>1.2433536585365801</v>
      </c>
      <c r="R1394">
        <v>3.07</v>
      </c>
      <c r="S1394">
        <v>11.33</v>
      </c>
      <c r="T1394">
        <v>33.979999999999997</v>
      </c>
      <c r="U1394">
        <v>12.79</v>
      </c>
      <c r="V1394">
        <v>38.33</v>
      </c>
      <c r="W1394">
        <v>1.1299999999999999</v>
      </c>
    </row>
    <row r="1395" spans="1:23" x14ac:dyDescent="0.3">
      <c r="A1395">
        <v>1394</v>
      </c>
      <c r="B1395" t="s">
        <v>1438</v>
      </c>
      <c r="C1395" t="s">
        <v>35</v>
      </c>
      <c r="D1395">
        <v>111</v>
      </c>
      <c r="E1395">
        <v>4647</v>
      </c>
      <c r="F1395" s="3">
        <v>247</v>
      </c>
      <c r="G1395">
        <v>15</v>
      </c>
      <c r="H1395">
        <v>4</v>
      </c>
      <c r="I1395" s="5">
        <v>3.6036036036036001E-2</v>
      </c>
      <c r="J1395" s="3">
        <v>327</v>
      </c>
      <c r="K1395" s="1">
        <v>45625</v>
      </c>
      <c r="L1395" t="s">
        <v>25</v>
      </c>
      <c r="M1395" t="s">
        <v>26</v>
      </c>
      <c r="N1395" t="s">
        <v>27</v>
      </c>
      <c r="O1395" t="s">
        <v>28</v>
      </c>
      <c r="P1395" t="s">
        <v>45</v>
      </c>
      <c r="Q1395" s="6">
        <v>2.2252252252252198</v>
      </c>
      <c r="R1395">
        <v>2.39</v>
      </c>
      <c r="S1395">
        <v>16.47</v>
      </c>
      <c r="T1395">
        <v>61.75</v>
      </c>
      <c r="U1395">
        <v>32.39</v>
      </c>
      <c r="V1395">
        <v>81.75</v>
      </c>
      <c r="W1395">
        <v>1.32</v>
      </c>
    </row>
    <row r="1396" spans="1:23" x14ac:dyDescent="0.3">
      <c r="A1396">
        <v>1395</v>
      </c>
      <c r="B1396" t="s">
        <v>1439</v>
      </c>
      <c r="C1396" t="s">
        <v>43</v>
      </c>
      <c r="D1396">
        <v>191</v>
      </c>
      <c r="E1396">
        <v>3485</v>
      </c>
      <c r="F1396" s="3">
        <v>212</v>
      </c>
      <c r="G1396">
        <v>10</v>
      </c>
      <c r="H1396">
        <v>7</v>
      </c>
      <c r="I1396" s="5">
        <v>3.6649214659685798E-2</v>
      </c>
      <c r="J1396" s="3">
        <v>370</v>
      </c>
      <c r="K1396" s="1">
        <v>45624</v>
      </c>
      <c r="L1396" t="s">
        <v>25</v>
      </c>
      <c r="M1396" t="s">
        <v>31</v>
      </c>
      <c r="N1396" t="s">
        <v>49</v>
      </c>
      <c r="O1396" t="s">
        <v>28</v>
      </c>
      <c r="P1396" t="s">
        <v>54</v>
      </c>
      <c r="Q1396" s="6">
        <v>1.1121989528795799</v>
      </c>
      <c r="R1396">
        <v>5.48</v>
      </c>
      <c r="S1396">
        <v>21.24</v>
      </c>
      <c r="T1396">
        <v>30.35</v>
      </c>
      <c r="U1396">
        <v>74.180000000000007</v>
      </c>
      <c r="V1396">
        <v>52.86</v>
      </c>
      <c r="W1396">
        <v>1.74</v>
      </c>
    </row>
    <row r="1397" spans="1:23" x14ac:dyDescent="0.3">
      <c r="A1397">
        <v>1396</v>
      </c>
      <c r="B1397" t="s">
        <v>1440</v>
      </c>
      <c r="C1397" t="s">
        <v>35</v>
      </c>
      <c r="D1397">
        <v>149</v>
      </c>
      <c r="E1397">
        <v>5720</v>
      </c>
      <c r="F1397" s="3">
        <v>212</v>
      </c>
      <c r="G1397">
        <v>14</v>
      </c>
      <c r="H1397">
        <v>5</v>
      </c>
      <c r="I1397" s="5">
        <v>3.3557046979865703E-2</v>
      </c>
      <c r="J1397" s="3">
        <v>329</v>
      </c>
      <c r="K1397" s="1">
        <v>45625</v>
      </c>
      <c r="L1397" t="s">
        <v>25</v>
      </c>
      <c r="M1397" t="s">
        <v>26</v>
      </c>
      <c r="N1397" t="s">
        <v>32</v>
      </c>
      <c r="O1397" t="s">
        <v>28</v>
      </c>
      <c r="P1397" t="s">
        <v>45</v>
      </c>
      <c r="Q1397" s="6">
        <v>1.41973154362416</v>
      </c>
      <c r="R1397">
        <v>2.6</v>
      </c>
      <c r="S1397">
        <v>15.11</v>
      </c>
      <c r="T1397">
        <v>42.31</v>
      </c>
      <c r="U1397">
        <v>55.53</v>
      </c>
      <c r="V1397">
        <v>65.8</v>
      </c>
      <c r="W1397">
        <v>1.56</v>
      </c>
    </row>
    <row r="1398" spans="1:23" x14ac:dyDescent="0.3">
      <c r="A1398">
        <v>1397</v>
      </c>
      <c r="B1398" t="s">
        <v>1441</v>
      </c>
      <c r="C1398" t="s">
        <v>35</v>
      </c>
      <c r="D1398">
        <v>183</v>
      </c>
      <c r="E1398">
        <v>3540</v>
      </c>
      <c r="F1398" s="3">
        <v>222</v>
      </c>
      <c r="G1398">
        <v>15</v>
      </c>
      <c r="H1398">
        <v>3</v>
      </c>
      <c r="I1398" s="5">
        <v>1.63934426229508E-2</v>
      </c>
      <c r="J1398" s="3">
        <v>255</v>
      </c>
      <c r="K1398" s="1">
        <v>45607</v>
      </c>
      <c r="L1398" t="s">
        <v>25</v>
      </c>
      <c r="M1398" t="s">
        <v>31</v>
      </c>
      <c r="N1398" t="s">
        <v>27</v>
      </c>
      <c r="O1398" t="s">
        <v>28</v>
      </c>
      <c r="P1398" t="s">
        <v>59</v>
      </c>
      <c r="Q1398" s="6">
        <v>1.21387978142076</v>
      </c>
      <c r="R1398">
        <v>5.17</v>
      </c>
      <c r="S1398">
        <v>14.81</v>
      </c>
      <c r="T1398">
        <v>74.05</v>
      </c>
      <c r="U1398">
        <v>14.79</v>
      </c>
      <c r="V1398">
        <v>85</v>
      </c>
      <c r="W1398">
        <v>1.1499999999999999</v>
      </c>
    </row>
    <row r="1399" spans="1:23" x14ac:dyDescent="0.3">
      <c r="A1399">
        <v>1398</v>
      </c>
      <c r="B1399" t="s">
        <v>1442</v>
      </c>
      <c r="C1399" t="s">
        <v>38</v>
      </c>
      <c r="D1399">
        <v>198</v>
      </c>
      <c r="E1399">
        <v>4035</v>
      </c>
      <c r="F1399" s="3">
        <v>216</v>
      </c>
      <c r="G1399">
        <v>22</v>
      </c>
      <c r="H1399">
        <v>8</v>
      </c>
      <c r="I1399" s="5">
        <v>4.0404040404040401E-2</v>
      </c>
      <c r="J1399" s="3">
        <v>373.71428571428498</v>
      </c>
      <c r="K1399" s="1">
        <v>45606</v>
      </c>
      <c r="L1399" t="s">
        <v>25</v>
      </c>
      <c r="M1399" t="s">
        <v>31</v>
      </c>
      <c r="N1399" t="s">
        <v>27</v>
      </c>
      <c r="O1399" t="s">
        <v>28</v>
      </c>
      <c r="P1399" t="s">
        <v>50</v>
      </c>
      <c r="Q1399" s="6">
        <v>1.0906060606060599</v>
      </c>
      <c r="R1399">
        <v>4.91</v>
      </c>
      <c r="S1399">
        <v>9.82</v>
      </c>
      <c r="T1399">
        <v>26.99</v>
      </c>
      <c r="U1399">
        <v>73.06</v>
      </c>
      <c r="V1399">
        <v>46.71</v>
      </c>
      <c r="W1399">
        <v>1.73</v>
      </c>
    </row>
    <row r="1400" spans="1:23" x14ac:dyDescent="0.3">
      <c r="A1400">
        <v>1399</v>
      </c>
      <c r="B1400" t="s">
        <v>1443</v>
      </c>
      <c r="C1400" t="s">
        <v>38</v>
      </c>
      <c r="D1400">
        <v>170</v>
      </c>
      <c r="E1400">
        <v>3024</v>
      </c>
      <c r="F1400" s="3">
        <v>235</v>
      </c>
      <c r="G1400">
        <v>11</v>
      </c>
      <c r="H1400">
        <v>10</v>
      </c>
      <c r="I1400" s="5">
        <v>5.8823529411764698E-2</v>
      </c>
      <c r="J1400" s="3">
        <v>396</v>
      </c>
      <c r="K1400" s="1">
        <v>45602</v>
      </c>
      <c r="L1400" t="s">
        <v>25</v>
      </c>
      <c r="M1400" t="s">
        <v>31</v>
      </c>
      <c r="N1400" t="s">
        <v>27</v>
      </c>
      <c r="O1400" t="s">
        <v>28</v>
      </c>
      <c r="P1400" t="s">
        <v>33</v>
      </c>
      <c r="Q1400" s="6">
        <v>1.3809411764705799</v>
      </c>
      <c r="R1400">
        <v>5.62</v>
      </c>
      <c r="S1400">
        <v>21.34</v>
      </c>
      <c r="T1400">
        <v>23.48</v>
      </c>
      <c r="U1400">
        <v>68.680000000000007</v>
      </c>
      <c r="V1400">
        <v>39.6</v>
      </c>
      <c r="W1400">
        <v>1.69</v>
      </c>
    </row>
    <row r="1401" spans="1:23" x14ac:dyDescent="0.3">
      <c r="A1401">
        <v>1400</v>
      </c>
      <c r="B1401" t="s">
        <v>1444</v>
      </c>
      <c r="C1401" t="s">
        <v>35</v>
      </c>
      <c r="D1401">
        <v>174</v>
      </c>
      <c r="E1401">
        <v>4334</v>
      </c>
      <c r="F1401" s="3">
        <v>186</v>
      </c>
      <c r="G1401">
        <v>12</v>
      </c>
      <c r="H1401">
        <v>4</v>
      </c>
      <c r="I1401" s="5">
        <v>2.2988505747126398E-2</v>
      </c>
      <c r="J1401" s="3">
        <v>297</v>
      </c>
      <c r="K1401" s="1">
        <v>45618</v>
      </c>
      <c r="L1401" t="s">
        <v>25</v>
      </c>
      <c r="M1401" t="s">
        <v>31</v>
      </c>
      <c r="N1401" t="s">
        <v>49</v>
      </c>
      <c r="O1401" t="s">
        <v>28</v>
      </c>
      <c r="P1401" t="s">
        <v>45</v>
      </c>
      <c r="Q1401" s="6">
        <v>1.0706321839080399</v>
      </c>
      <c r="R1401">
        <v>4.01</v>
      </c>
      <c r="S1401">
        <v>15.52</v>
      </c>
      <c r="T1401">
        <v>46.57</v>
      </c>
      <c r="U1401">
        <v>59.43</v>
      </c>
      <c r="V1401">
        <v>74.25</v>
      </c>
      <c r="W1401">
        <v>1.59</v>
      </c>
    </row>
    <row r="1402" spans="1:23" x14ac:dyDescent="0.3">
      <c r="A1402">
        <v>1401</v>
      </c>
      <c r="B1402" t="s">
        <v>1445</v>
      </c>
      <c r="C1402" t="s">
        <v>38</v>
      </c>
      <c r="D1402">
        <v>91</v>
      </c>
      <c r="E1402">
        <v>4038</v>
      </c>
      <c r="F1402" s="3">
        <v>197</v>
      </c>
      <c r="G1402">
        <v>23</v>
      </c>
      <c r="H1402">
        <v>6</v>
      </c>
      <c r="I1402" s="5">
        <v>6.5934065934065894E-2</v>
      </c>
      <c r="J1402" s="3">
        <v>204</v>
      </c>
      <c r="K1402" s="1">
        <v>45625</v>
      </c>
      <c r="L1402" t="s">
        <v>25</v>
      </c>
      <c r="M1402" t="s">
        <v>31</v>
      </c>
      <c r="N1402" t="s">
        <v>36</v>
      </c>
      <c r="O1402" t="s">
        <v>28</v>
      </c>
      <c r="P1402" t="s">
        <v>45</v>
      </c>
      <c r="Q1402" s="6">
        <v>2.1664835164835101</v>
      </c>
      <c r="R1402">
        <v>2.25</v>
      </c>
      <c r="S1402">
        <v>8.57</v>
      </c>
      <c r="T1402">
        <v>32.86</v>
      </c>
      <c r="U1402">
        <v>3.47</v>
      </c>
      <c r="V1402">
        <v>34</v>
      </c>
      <c r="W1402">
        <v>1.03</v>
      </c>
    </row>
    <row r="1403" spans="1:23" x14ac:dyDescent="0.3">
      <c r="A1403">
        <v>1402</v>
      </c>
      <c r="B1403" t="s">
        <v>1446</v>
      </c>
      <c r="C1403" t="s">
        <v>38</v>
      </c>
      <c r="D1403">
        <v>197</v>
      </c>
      <c r="E1403">
        <v>4347</v>
      </c>
      <c r="F1403" s="3">
        <v>215</v>
      </c>
      <c r="G1403">
        <v>20</v>
      </c>
      <c r="H1403">
        <v>6</v>
      </c>
      <c r="I1403" s="5">
        <v>3.0456852791878101E-2</v>
      </c>
      <c r="J1403" s="3">
        <v>246</v>
      </c>
      <c r="K1403" s="1">
        <v>45622</v>
      </c>
      <c r="L1403" t="s">
        <v>25</v>
      </c>
      <c r="M1403" t="s">
        <v>26</v>
      </c>
      <c r="N1403" t="s">
        <v>44</v>
      </c>
      <c r="O1403" t="s">
        <v>28</v>
      </c>
      <c r="P1403" t="s">
        <v>41</v>
      </c>
      <c r="Q1403" s="6">
        <v>1.0923857868020299</v>
      </c>
      <c r="R1403">
        <v>4.53</v>
      </c>
      <c r="S1403">
        <v>10.76</v>
      </c>
      <c r="T1403">
        <v>35.869999999999997</v>
      </c>
      <c r="U1403">
        <v>14.31</v>
      </c>
      <c r="V1403">
        <v>41</v>
      </c>
      <c r="W1403">
        <v>1.1399999999999999</v>
      </c>
    </row>
    <row r="1404" spans="1:23" x14ac:dyDescent="0.3">
      <c r="A1404">
        <v>1403</v>
      </c>
      <c r="B1404" t="s">
        <v>1447</v>
      </c>
      <c r="C1404" t="s">
        <v>38</v>
      </c>
      <c r="D1404">
        <v>176</v>
      </c>
      <c r="E1404">
        <v>5803</v>
      </c>
      <c r="F1404" s="3">
        <v>203</v>
      </c>
      <c r="G1404">
        <v>16</v>
      </c>
      <c r="H1404">
        <v>8</v>
      </c>
      <c r="I1404" s="5">
        <v>4.54545454545454E-2</v>
      </c>
      <c r="J1404" s="3">
        <v>285</v>
      </c>
      <c r="K1404" s="1">
        <v>45626</v>
      </c>
      <c r="L1404" t="s">
        <v>25</v>
      </c>
      <c r="M1404" t="s">
        <v>31</v>
      </c>
      <c r="N1404" t="s">
        <v>49</v>
      </c>
      <c r="O1404" t="s">
        <v>28</v>
      </c>
      <c r="P1404" t="s">
        <v>29</v>
      </c>
      <c r="Q1404" s="6">
        <v>1.1535795454545399</v>
      </c>
      <c r="R1404">
        <v>3.03</v>
      </c>
      <c r="S1404">
        <v>12.69</v>
      </c>
      <c r="T1404">
        <v>25.38</v>
      </c>
      <c r="U1404">
        <v>40.369999999999997</v>
      </c>
      <c r="V1404">
        <v>35.619999999999997</v>
      </c>
      <c r="W1404">
        <v>1.4</v>
      </c>
    </row>
    <row r="1405" spans="1:23" x14ac:dyDescent="0.3">
      <c r="A1405">
        <v>1404</v>
      </c>
      <c r="B1405" t="s">
        <v>1448</v>
      </c>
      <c r="C1405" t="s">
        <v>35</v>
      </c>
      <c r="D1405">
        <v>152</v>
      </c>
      <c r="E1405">
        <v>4182</v>
      </c>
      <c r="F1405" s="3">
        <v>233</v>
      </c>
      <c r="G1405">
        <v>19</v>
      </c>
      <c r="H1405">
        <v>5</v>
      </c>
      <c r="I1405" s="5">
        <v>3.2894736842105199E-2</v>
      </c>
      <c r="J1405" s="3">
        <v>351</v>
      </c>
      <c r="K1405" s="1">
        <v>45609</v>
      </c>
      <c r="L1405" t="s">
        <v>25</v>
      </c>
      <c r="M1405" t="s">
        <v>31</v>
      </c>
      <c r="N1405" t="s">
        <v>32</v>
      </c>
      <c r="O1405" t="s">
        <v>28</v>
      </c>
      <c r="P1405" t="s">
        <v>33</v>
      </c>
      <c r="Q1405" s="6">
        <v>1.5358552631578899</v>
      </c>
      <c r="R1405">
        <v>3.63</v>
      </c>
      <c r="S1405">
        <v>12.29</v>
      </c>
      <c r="T1405">
        <v>46.69</v>
      </c>
      <c r="U1405">
        <v>50.35</v>
      </c>
      <c r="V1405">
        <v>70.2</v>
      </c>
      <c r="W1405">
        <v>1.5</v>
      </c>
    </row>
    <row r="1406" spans="1:23" x14ac:dyDescent="0.3">
      <c r="A1406">
        <v>1405</v>
      </c>
      <c r="B1406" t="s">
        <v>1449</v>
      </c>
      <c r="C1406" t="s">
        <v>38</v>
      </c>
      <c r="D1406">
        <v>189</v>
      </c>
      <c r="E1406">
        <v>4809</v>
      </c>
      <c r="F1406" s="3">
        <v>225</v>
      </c>
      <c r="G1406">
        <v>27</v>
      </c>
      <c r="H1406">
        <v>10</v>
      </c>
      <c r="I1406" s="5">
        <v>5.29100529100529E-2</v>
      </c>
      <c r="J1406" s="3">
        <v>270</v>
      </c>
      <c r="K1406" s="1">
        <v>45614</v>
      </c>
      <c r="L1406" t="s">
        <v>25</v>
      </c>
      <c r="M1406" t="s">
        <v>31</v>
      </c>
      <c r="N1406" t="s">
        <v>49</v>
      </c>
      <c r="O1406" t="s">
        <v>28</v>
      </c>
      <c r="P1406" t="s">
        <v>59</v>
      </c>
      <c r="Q1406" s="6">
        <v>1.19216931216931</v>
      </c>
      <c r="R1406">
        <v>3.93</v>
      </c>
      <c r="S1406">
        <v>8.35</v>
      </c>
      <c r="T1406">
        <v>22.53</v>
      </c>
      <c r="U1406">
        <v>19.829999999999998</v>
      </c>
      <c r="V1406">
        <v>27</v>
      </c>
      <c r="W1406">
        <v>1.2</v>
      </c>
    </row>
    <row r="1407" spans="1:23" x14ac:dyDescent="0.3">
      <c r="A1407">
        <v>1406</v>
      </c>
      <c r="B1407" t="s">
        <v>1450</v>
      </c>
      <c r="C1407" t="s">
        <v>24</v>
      </c>
      <c r="D1407">
        <v>171</v>
      </c>
      <c r="E1407">
        <v>5640</v>
      </c>
      <c r="F1407" s="3">
        <v>211</v>
      </c>
      <c r="G1407">
        <v>13</v>
      </c>
      <c r="H1407">
        <v>8</v>
      </c>
      <c r="I1407" s="5">
        <v>4.6783625730994101E-2</v>
      </c>
      <c r="J1407" s="3">
        <v>313</v>
      </c>
      <c r="K1407" s="1">
        <v>45607</v>
      </c>
      <c r="L1407" t="s">
        <v>25</v>
      </c>
      <c r="M1407" t="s">
        <v>26</v>
      </c>
      <c r="N1407" t="s">
        <v>32</v>
      </c>
      <c r="O1407" t="s">
        <v>28</v>
      </c>
      <c r="P1407" t="s">
        <v>59</v>
      </c>
      <c r="Q1407" s="6">
        <v>1.2310526315789401</v>
      </c>
      <c r="R1407">
        <v>3.03</v>
      </c>
      <c r="S1407">
        <v>16.190000000000001</v>
      </c>
      <c r="T1407">
        <v>26.31</v>
      </c>
      <c r="U1407">
        <v>48.69</v>
      </c>
      <c r="V1407">
        <v>39.119999999999997</v>
      </c>
      <c r="W1407">
        <v>1.49</v>
      </c>
    </row>
    <row r="1408" spans="1:23" x14ac:dyDescent="0.3">
      <c r="A1408">
        <v>1407</v>
      </c>
      <c r="B1408" t="s">
        <v>1451</v>
      </c>
      <c r="C1408" t="s">
        <v>38</v>
      </c>
      <c r="D1408">
        <v>159</v>
      </c>
      <c r="E1408">
        <v>3401</v>
      </c>
      <c r="F1408" s="3">
        <v>223</v>
      </c>
      <c r="G1408">
        <v>18</v>
      </c>
      <c r="H1408">
        <v>3</v>
      </c>
      <c r="I1408" s="5">
        <v>1.8867924528301799E-2</v>
      </c>
      <c r="J1408" s="3">
        <v>377</v>
      </c>
      <c r="K1408" s="1">
        <v>45601</v>
      </c>
      <c r="L1408" t="s">
        <v>25</v>
      </c>
      <c r="M1408" t="s">
        <v>26</v>
      </c>
      <c r="N1408" t="s">
        <v>36</v>
      </c>
      <c r="O1408" t="s">
        <v>28</v>
      </c>
      <c r="P1408" t="s">
        <v>41</v>
      </c>
      <c r="Q1408" s="6">
        <v>1.40069182389937</v>
      </c>
      <c r="R1408">
        <v>4.68</v>
      </c>
      <c r="S1408">
        <v>12.37</v>
      </c>
      <c r="T1408">
        <v>74.239999999999995</v>
      </c>
      <c r="U1408">
        <v>69.28</v>
      </c>
      <c r="V1408">
        <v>125.67</v>
      </c>
      <c r="W1408">
        <v>1.69</v>
      </c>
    </row>
    <row r="1409" spans="1:23" x14ac:dyDescent="0.3">
      <c r="A1409">
        <v>1408</v>
      </c>
      <c r="B1409" t="s">
        <v>1452</v>
      </c>
      <c r="C1409" t="s">
        <v>38</v>
      </c>
      <c r="D1409">
        <v>175</v>
      </c>
      <c r="E1409">
        <v>5561</v>
      </c>
      <c r="F1409" s="3">
        <v>232</v>
      </c>
      <c r="G1409">
        <v>20</v>
      </c>
      <c r="H1409">
        <v>8</v>
      </c>
      <c r="I1409" s="5">
        <v>4.57142857142857E-2</v>
      </c>
      <c r="J1409" s="3">
        <v>240</v>
      </c>
      <c r="K1409" s="1">
        <v>45610</v>
      </c>
      <c r="L1409" t="s">
        <v>25</v>
      </c>
      <c r="M1409" t="s">
        <v>31</v>
      </c>
      <c r="N1409" t="s">
        <v>32</v>
      </c>
      <c r="O1409" t="s">
        <v>28</v>
      </c>
      <c r="P1409" t="s">
        <v>54</v>
      </c>
      <c r="Q1409" s="6">
        <v>1.3254857142857099</v>
      </c>
      <c r="R1409">
        <v>3.15</v>
      </c>
      <c r="S1409">
        <v>11.6</v>
      </c>
      <c r="T1409">
        <v>29</v>
      </c>
      <c r="U1409">
        <v>3.47</v>
      </c>
      <c r="V1409">
        <v>30</v>
      </c>
      <c r="W1409">
        <v>1.03</v>
      </c>
    </row>
    <row r="1410" spans="1:23" x14ac:dyDescent="0.3">
      <c r="A1410">
        <v>1409</v>
      </c>
      <c r="B1410" t="s">
        <v>1453</v>
      </c>
      <c r="C1410" t="s">
        <v>24</v>
      </c>
      <c r="D1410">
        <v>175</v>
      </c>
      <c r="E1410">
        <v>5720</v>
      </c>
      <c r="F1410" s="3">
        <v>244</v>
      </c>
      <c r="G1410">
        <v>17</v>
      </c>
      <c r="H1410">
        <v>6</v>
      </c>
      <c r="I1410" s="5">
        <v>3.4285714285714197E-2</v>
      </c>
      <c r="J1410" s="3">
        <v>280.28571428571399</v>
      </c>
      <c r="K1410" s="1">
        <v>45622</v>
      </c>
      <c r="L1410" t="s">
        <v>25</v>
      </c>
      <c r="M1410" t="s">
        <v>26</v>
      </c>
      <c r="N1410" t="s">
        <v>36</v>
      </c>
      <c r="O1410" t="s">
        <v>28</v>
      </c>
      <c r="P1410" t="s">
        <v>41</v>
      </c>
      <c r="Q1410" s="6">
        <v>1.3931428571428499</v>
      </c>
      <c r="R1410">
        <v>3.06</v>
      </c>
      <c r="S1410">
        <v>14.34</v>
      </c>
      <c r="T1410">
        <v>40.630000000000003</v>
      </c>
      <c r="U1410">
        <v>14.97</v>
      </c>
      <c r="V1410">
        <v>46.71</v>
      </c>
      <c r="W1410">
        <v>1.1499999999999999</v>
      </c>
    </row>
    <row r="1411" spans="1:23" x14ac:dyDescent="0.3">
      <c r="A1411">
        <v>1410</v>
      </c>
      <c r="B1411" t="s">
        <v>1454</v>
      </c>
      <c r="C1411" t="s">
        <v>38</v>
      </c>
      <c r="D1411">
        <v>82</v>
      </c>
      <c r="E1411">
        <v>4898</v>
      </c>
      <c r="F1411" s="3">
        <v>215</v>
      </c>
      <c r="G1411">
        <v>25</v>
      </c>
      <c r="H1411">
        <v>8</v>
      </c>
      <c r="I1411" s="5">
        <v>9.7560975609756101E-2</v>
      </c>
      <c r="J1411" s="3">
        <v>362</v>
      </c>
      <c r="K1411" s="1">
        <v>45605</v>
      </c>
      <c r="L1411" t="s">
        <v>25</v>
      </c>
      <c r="M1411" t="s">
        <v>39</v>
      </c>
      <c r="N1411" t="s">
        <v>49</v>
      </c>
      <c r="O1411" t="s">
        <v>28</v>
      </c>
      <c r="P1411" t="s">
        <v>29</v>
      </c>
      <c r="Q1411" s="6">
        <v>2.6232926829268202</v>
      </c>
      <c r="R1411">
        <v>1.67</v>
      </c>
      <c r="S1411">
        <v>8.6</v>
      </c>
      <c r="T1411">
        <v>26.89</v>
      </c>
      <c r="U1411">
        <v>68.290000000000006</v>
      </c>
      <c r="V1411">
        <v>45.25</v>
      </c>
      <c r="W1411">
        <v>1.68</v>
      </c>
    </row>
    <row r="1412" spans="1:23" x14ac:dyDescent="0.3">
      <c r="A1412">
        <v>1411</v>
      </c>
      <c r="B1412" t="s">
        <v>1455</v>
      </c>
      <c r="C1412" t="s">
        <v>38</v>
      </c>
      <c r="D1412">
        <v>146</v>
      </c>
      <c r="E1412">
        <v>5871</v>
      </c>
      <c r="F1412" s="3">
        <v>219</v>
      </c>
      <c r="G1412">
        <v>30</v>
      </c>
      <c r="H1412">
        <v>4</v>
      </c>
      <c r="I1412" s="5">
        <v>2.7397260273972601E-2</v>
      </c>
      <c r="J1412" s="3">
        <v>186.85714285714201</v>
      </c>
      <c r="K1412" s="1">
        <v>45618</v>
      </c>
      <c r="L1412" t="s">
        <v>25</v>
      </c>
      <c r="M1412" t="s">
        <v>26</v>
      </c>
      <c r="N1412" t="s">
        <v>27</v>
      </c>
      <c r="O1412" t="s">
        <v>28</v>
      </c>
      <c r="P1412" t="s">
        <v>45</v>
      </c>
      <c r="Q1412" s="6">
        <v>1.49787671232876</v>
      </c>
      <c r="R1412">
        <v>2.4900000000000002</v>
      </c>
      <c r="S1412">
        <v>7.29</v>
      </c>
      <c r="T1412">
        <v>54.67</v>
      </c>
      <c r="U1412">
        <v>-14.56</v>
      </c>
      <c r="V1412">
        <v>46.71</v>
      </c>
      <c r="W1412">
        <v>0.85</v>
      </c>
    </row>
    <row r="1413" spans="1:23" x14ac:dyDescent="0.3">
      <c r="A1413">
        <v>1412</v>
      </c>
      <c r="B1413" t="s">
        <v>1456</v>
      </c>
      <c r="C1413" t="s">
        <v>35</v>
      </c>
      <c r="D1413">
        <v>85</v>
      </c>
      <c r="E1413">
        <v>5954</v>
      </c>
      <c r="F1413" s="3">
        <v>202</v>
      </c>
      <c r="G1413">
        <v>18</v>
      </c>
      <c r="H1413">
        <v>6</v>
      </c>
      <c r="I1413" s="5">
        <v>7.0588235294117604E-2</v>
      </c>
      <c r="J1413" s="3">
        <v>311</v>
      </c>
      <c r="K1413" s="1">
        <v>45623</v>
      </c>
      <c r="L1413" t="s">
        <v>25</v>
      </c>
      <c r="M1413" t="s">
        <v>39</v>
      </c>
      <c r="N1413" t="s">
        <v>49</v>
      </c>
      <c r="O1413" t="s">
        <v>28</v>
      </c>
      <c r="P1413" t="s">
        <v>33</v>
      </c>
      <c r="Q1413" s="6">
        <v>2.3750588235294101</v>
      </c>
      <c r="R1413">
        <v>1.43</v>
      </c>
      <c r="S1413">
        <v>11.22</v>
      </c>
      <c r="T1413">
        <v>33.65</v>
      </c>
      <c r="U1413">
        <v>54.05</v>
      </c>
      <c r="V1413">
        <v>51.83</v>
      </c>
      <c r="W1413">
        <v>1.54</v>
      </c>
    </row>
    <row r="1414" spans="1:23" x14ac:dyDescent="0.3">
      <c r="A1414">
        <v>1413</v>
      </c>
      <c r="B1414" t="s">
        <v>1457</v>
      </c>
      <c r="C1414" t="s">
        <v>35</v>
      </c>
      <c r="D1414">
        <v>128</v>
      </c>
      <c r="E1414">
        <v>3487</v>
      </c>
      <c r="F1414" s="3">
        <v>236</v>
      </c>
      <c r="G1414">
        <v>25</v>
      </c>
      <c r="H1414">
        <v>6</v>
      </c>
      <c r="I1414" s="5">
        <v>4.6875E-2</v>
      </c>
      <c r="J1414" s="3">
        <v>400</v>
      </c>
      <c r="K1414" s="1">
        <v>45598</v>
      </c>
      <c r="L1414" t="s">
        <v>25</v>
      </c>
      <c r="M1414" t="s">
        <v>39</v>
      </c>
      <c r="N1414" t="s">
        <v>32</v>
      </c>
      <c r="O1414" t="s">
        <v>28</v>
      </c>
      <c r="P1414" t="s">
        <v>29</v>
      </c>
      <c r="Q1414" s="6">
        <v>1.845234375</v>
      </c>
      <c r="R1414">
        <v>3.67</v>
      </c>
      <c r="S1414">
        <v>9.4499999999999993</v>
      </c>
      <c r="T1414">
        <v>39.36</v>
      </c>
      <c r="U1414">
        <v>69.36</v>
      </c>
      <c r="V1414">
        <v>66.67</v>
      </c>
      <c r="W1414">
        <v>1.69</v>
      </c>
    </row>
    <row r="1415" spans="1:23" x14ac:dyDescent="0.3">
      <c r="A1415">
        <v>1414</v>
      </c>
      <c r="B1415" t="s">
        <v>1458</v>
      </c>
      <c r="C1415" t="s">
        <v>43</v>
      </c>
      <c r="D1415">
        <v>153</v>
      </c>
      <c r="E1415">
        <v>3808</v>
      </c>
      <c r="F1415" s="3">
        <v>190</v>
      </c>
      <c r="G1415">
        <v>19</v>
      </c>
      <c r="H1415">
        <v>8</v>
      </c>
      <c r="I1415" s="5">
        <v>5.22875816993464E-2</v>
      </c>
      <c r="J1415" s="3">
        <v>254</v>
      </c>
      <c r="K1415" s="1">
        <v>45598</v>
      </c>
      <c r="L1415" t="s">
        <v>25</v>
      </c>
      <c r="M1415" t="s">
        <v>39</v>
      </c>
      <c r="N1415" t="s">
        <v>32</v>
      </c>
      <c r="O1415" t="s">
        <v>28</v>
      </c>
      <c r="P1415" t="s">
        <v>29</v>
      </c>
      <c r="Q1415" s="6">
        <v>1.2392810457516299</v>
      </c>
      <c r="R1415">
        <v>4.0199999999999996</v>
      </c>
      <c r="S1415">
        <v>9.98</v>
      </c>
      <c r="T1415">
        <v>23.7</v>
      </c>
      <c r="U1415">
        <v>33.96</v>
      </c>
      <c r="V1415">
        <v>31.75</v>
      </c>
      <c r="W1415">
        <v>1.34</v>
      </c>
    </row>
    <row r="1416" spans="1:23" x14ac:dyDescent="0.3">
      <c r="A1416">
        <v>1415</v>
      </c>
      <c r="B1416" t="s">
        <v>1459</v>
      </c>
      <c r="C1416" t="s">
        <v>38</v>
      </c>
      <c r="D1416">
        <v>192</v>
      </c>
      <c r="E1416">
        <v>5720</v>
      </c>
      <c r="F1416" s="3">
        <v>243</v>
      </c>
      <c r="G1416">
        <v>30</v>
      </c>
      <c r="H1416">
        <v>9</v>
      </c>
      <c r="I1416" s="5">
        <v>4.6875E-2</v>
      </c>
      <c r="J1416" s="3">
        <v>317</v>
      </c>
      <c r="K1416" s="1">
        <v>45598</v>
      </c>
      <c r="L1416" t="s">
        <v>25</v>
      </c>
      <c r="M1416" t="s">
        <v>31</v>
      </c>
      <c r="N1416" t="s">
        <v>44</v>
      </c>
      <c r="O1416" t="s">
        <v>28</v>
      </c>
      <c r="P1416" t="s">
        <v>29</v>
      </c>
      <c r="Q1416" s="6">
        <v>1.2661979166666599</v>
      </c>
      <c r="R1416">
        <v>3.36</v>
      </c>
      <c r="S1416">
        <v>8.1</v>
      </c>
      <c r="T1416">
        <v>27.01</v>
      </c>
      <c r="U1416">
        <v>30.39</v>
      </c>
      <c r="V1416">
        <v>35.22</v>
      </c>
      <c r="W1416">
        <v>1.3</v>
      </c>
    </row>
    <row r="1417" spans="1:23" x14ac:dyDescent="0.3">
      <c r="A1417">
        <v>1416</v>
      </c>
      <c r="B1417" t="s">
        <v>1460</v>
      </c>
      <c r="C1417" t="s">
        <v>38</v>
      </c>
      <c r="D1417">
        <v>148</v>
      </c>
      <c r="E1417">
        <v>4721</v>
      </c>
      <c r="F1417" s="3">
        <v>189</v>
      </c>
      <c r="G1417">
        <v>26</v>
      </c>
      <c r="H1417">
        <v>8</v>
      </c>
      <c r="I1417" s="5">
        <v>5.4054054054054002E-2</v>
      </c>
      <c r="J1417" s="3">
        <v>240</v>
      </c>
      <c r="K1417" s="1">
        <v>45597</v>
      </c>
      <c r="L1417" t="s">
        <v>25</v>
      </c>
      <c r="M1417" t="s">
        <v>31</v>
      </c>
      <c r="N1417" t="s">
        <v>44</v>
      </c>
      <c r="O1417" t="s">
        <v>28</v>
      </c>
      <c r="P1417" t="s">
        <v>45</v>
      </c>
      <c r="Q1417" s="6">
        <v>1.28027027027027</v>
      </c>
      <c r="R1417">
        <v>3.13</v>
      </c>
      <c r="S1417">
        <v>7.29</v>
      </c>
      <c r="T1417">
        <v>23.68</v>
      </c>
      <c r="U1417">
        <v>26.66</v>
      </c>
      <c r="V1417">
        <v>30</v>
      </c>
      <c r="W1417">
        <v>1.27</v>
      </c>
    </row>
    <row r="1418" spans="1:23" x14ac:dyDescent="0.3">
      <c r="A1418">
        <v>1417</v>
      </c>
      <c r="B1418" t="s">
        <v>1461</v>
      </c>
      <c r="C1418" t="s">
        <v>43</v>
      </c>
      <c r="D1418">
        <v>153</v>
      </c>
      <c r="E1418">
        <v>4768</v>
      </c>
      <c r="F1418" s="3">
        <v>214</v>
      </c>
      <c r="G1418">
        <v>25</v>
      </c>
      <c r="H1418">
        <v>5</v>
      </c>
      <c r="I1418" s="5">
        <v>3.2679738562091498E-2</v>
      </c>
      <c r="J1418" s="3">
        <v>375</v>
      </c>
      <c r="K1418" s="1">
        <v>45622</v>
      </c>
      <c r="L1418" t="s">
        <v>25</v>
      </c>
      <c r="M1418" t="s">
        <v>39</v>
      </c>
      <c r="N1418" t="s">
        <v>36</v>
      </c>
      <c r="O1418" t="s">
        <v>28</v>
      </c>
      <c r="P1418" t="s">
        <v>41</v>
      </c>
      <c r="Q1418" s="6">
        <v>1.40124183006535</v>
      </c>
      <c r="R1418">
        <v>3.21</v>
      </c>
      <c r="S1418">
        <v>8.58</v>
      </c>
      <c r="T1418">
        <v>42.88</v>
      </c>
      <c r="U1418">
        <v>74.91</v>
      </c>
      <c r="V1418">
        <v>75</v>
      </c>
      <c r="W1418">
        <v>1.75</v>
      </c>
    </row>
    <row r="1419" spans="1:23" x14ac:dyDescent="0.3">
      <c r="A1419">
        <v>1418</v>
      </c>
      <c r="B1419" t="s">
        <v>1462</v>
      </c>
      <c r="C1419" t="s">
        <v>35</v>
      </c>
      <c r="D1419">
        <v>167</v>
      </c>
      <c r="E1419">
        <v>5494</v>
      </c>
      <c r="F1419" s="3">
        <v>188</v>
      </c>
      <c r="G1419">
        <v>23</v>
      </c>
      <c r="H1419">
        <v>8</v>
      </c>
      <c r="I1419" s="5">
        <v>4.7904191616766401E-2</v>
      </c>
      <c r="J1419" s="3">
        <v>286</v>
      </c>
      <c r="K1419" s="1">
        <v>45620</v>
      </c>
      <c r="L1419" t="s">
        <v>25</v>
      </c>
      <c r="M1419" t="s">
        <v>39</v>
      </c>
      <c r="N1419" t="s">
        <v>32</v>
      </c>
      <c r="O1419" t="s">
        <v>28</v>
      </c>
      <c r="P1419" t="s">
        <v>50</v>
      </c>
      <c r="Q1419" s="6">
        <v>1.12383233532934</v>
      </c>
      <c r="R1419">
        <v>3.04</v>
      </c>
      <c r="S1419">
        <v>8.16</v>
      </c>
      <c r="T1419">
        <v>23.46</v>
      </c>
      <c r="U1419">
        <v>52.39</v>
      </c>
      <c r="V1419">
        <v>35.75</v>
      </c>
      <c r="W1419">
        <v>1.52</v>
      </c>
    </row>
    <row r="1420" spans="1:23" x14ac:dyDescent="0.3">
      <c r="A1420">
        <v>1419</v>
      </c>
      <c r="B1420" t="s">
        <v>1463</v>
      </c>
      <c r="C1420" t="s">
        <v>24</v>
      </c>
      <c r="D1420">
        <v>169</v>
      </c>
      <c r="E1420">
        <v>5573</v>
      </c>
      <c r="F1420" s="3">
        <v>181</v>
      </c>
      <c r="G1420">
        <v>30</v>
      </c>
      <c r="H1420">
        <v>7</v>
      </c>
      <c r="I1420" s="5">
        <v>4.14201183431952E-2</v>
      </c>
      <c r="J1420" s="3">
        <v>339</v>
      </c>
      <c r="K1420" s="1">
        <v>45622</v>
      </c>
      <c r="L1420" t="s">
        <v>25</v>
      </c>
      <c r="M1420" t="s">
        <v>31</v>
      </c>
      <c r="N1420" t="s">
        <v>40</v>
      </c>
      <c r="O1420" t="s">
        <v>28</v>
      </c>
      <c r="P1420" t="s">
        <v>41</v>
      </c>
      <c r="Q1420" s="6">
        <v>1.06852071005917</v>
      </c>
      <c r="R1420">
        <v>3.03</v>
      </c>
      <c r="S1420">
        <v>6.02</v>
      </c>
      <c r="T1420">
        <v>25.8</v>
      </c>
      <c r="U1420">
        <v>87.73</v>
      </c>
      <c r="V1420">
        <v>48.43</v>
      </c>
      <c r="W1420">
        <v>1.88</v>
      </c>
    </row>
    <row r="1421" spans="1:23" x14ac:dyDescent="0.3">
      <c r="A1421">
        <v>1420</v>
      </c>
      <c r="B1421" t="s">
        <v>1464</v>
      </c>
      <c r="C1421" t="s">
        <v>43</v>
      </c>
      <c r="D1421">
        <v>146</v>
      </c>
      <c r="E1421">
        <v>5173</v>
      </c>
      <c r="F1421" s="3">
        <v>234</v>
      </c>
      <c r="G1421">
        <v>20</v>
      </c>
      <c r="H1421">
        <v>7</v>
      </c>
      <c r="I1421" s="5">
        <v>4.7945205479451997E-2</v>
      </c>
      <c r="J1421" s="3">
        <v>222</v>
      </c>
      <c r="K1421" s="1">
        <v>45624</v>
      </c>
      <c r="L1421" t="s">
        <v>25</v>
      </c>
      <c r="M1421" t="s">
        <v>31</v>
      </c>
      <c r="N1421" t="s">
        <v>44</v>
      </c>
      <c r="O1421" t="s">
        <v>28</v>
      </c>
      <c r="P1421" t="s">
        <v>54</v>
      </c>
      <c r="Q1421" s="6">
        <v>1.6045205479452</v>
      </c>
      <c r="R1421">
        <v>2.82</v>
      </c>
      <c r="S1421">
        <v>11.71</v>
      </c>
      <c r="T1421">
        <v>33.47</v>
      </c>
      <c r="U1421">
        <v>-5.23</v>
      </c>
      <c r="V1421">
        <v>31.71</v>
      </c>
      <c r="W1421">
        <v>0.95</v>
      </c>
    </row>
    <row r="1422" spans="1:23" x14ac:dyDescent="0.3">
      <c r="A1422">
        <v>1421</v>
      </c>
      <c r="B1422" t="s">
        <v>1465</v>
      </c>
      <c r="C1422" t="s">
        <v>24</v>
      </c>
      <c r="D1422">
        <v>81</v>
      </c>
      <c r="E1422">
        <v>4808</v>
      </c>
      <c r="F1422" s="3">
        <v>189</v>
      </c>
      <c r="G1422">
        <v>17</v>
      </c>
      <c r="H1422">
        <v>9</v>
      </c>
      <c r="I1422" s="5">
        <v>0.11111111111111099</v>
      </c>
      <c r="J1422" s="3">
        <v>359</v>
      </c>
      <c r="K1422" s="1">
        <v>45621</v>
      </c>
      <c r="L1422" t="s">
        <v>25</v>
      </c>
      <c r="M1422" t="s">
        <v>26</v>
      </c>
      <c r="N1422" t="s">
        <v>44</v>
      </c>
      <c r="O1422" t="s">
        <v>28</v>
      </c>
      <c r="P1422" t="s">
        <v>59</v>
      </c>
      <c r="Q1422" s="6">
        <v>2.3356790123456701</v>
      </c>
      <c r="R1422">
        <v>1.68</v>
      </c>
      <c r="S1422">
        <v>11.13</v>
      </c>
      <c r="T1422">
        <v>21.02</v>
      </c>
      <c r="U1422">
        <v>89.76</v>
      </c>
      <c r="V1422">
        <v>39.89</v>
      </c>
      <c r="W1422">
        <v>1.9</v>
      </c>
    </row>
    <row r="1423" spans="1:23" x14ac:dyDescent="0.3">
      <c r="A1423">
        <v>1422</v>
      </c>
      <c r="B1423" t="s">
        <v>1466</v>
      </c>
      <c r="C1423" t="s">
        <v>38</v>
      </c>
      <c r="D1423">
        <v>185</v>
      </c>
      <c r="E1423">
        <v>6101</v>
      </c>
      <c r="F1423" s="3">
        <v>235</v>
      </c>
      <c r="G1423">
        <v>18</v>
      </c>
      <c r="H1423">
        <v>6</v>
      </c>
      <c r="I1423" s="5">
        <v>3.24324324324324E-2</v>
      </c>
      <c r="J1423" s="3">
        <v>308</v>
      </c>
      <c r="K1423" s="1">
        <v>45623</v>
      </c>
      <c r="L1423" t="s">
        <v>25</v>
      </c>
      <c r="M1423" t="s">
        <v>26</v>
      </c>
      <c r="N1423" t="s">
        <v>36</v>
      </c>
      <c r="O1423" t="s">
        <v>28</v>
      </c>
      <c r="P1423" t="s">
        <v>33</v>
      </c>
      <c r="Q1423" s="6">
        <v>1.2687567567567499</v>
      </c>
      <c r="R1423">
        <v>3.03</v>
      </c>
      <c r="S1423">
        <v>13.04</v>
      </c>
      <c r="T1423">
        <v>39.119999999999997</v>
      </c>
      <c r="U1423">
        <v>31.22</v>
      </c>
      <c r="V1423">
        <v>51.33</v>
      </c>
      <c r="W1423">
        <v>1.31</v>
      </c>
    </row>
    <row r="1424" spans="1:23" x14ac:dyDescent="0.3">
      <c r="A1424">
        <v>1423</v>
      </c>
      <c r="B1424" t="s">
        <v>1467</v>
      </c>
      <c r="C1424" t="s">
        <v>35</v>
      </c>
      <c r="D1424">
        <v>90</v>
      </c>
      <c r="E1424">
        <v>5319</v>
      </c>
      <c r="F1424" s="3">
        <v>208</v>
      </c>
      <c r="G1424">
        <v>13</v>
      </c>
      <c r="H1424">
        <v>7</v>
      </c>
      <c r="I1424" s="5">
        <v>7.7777777777777696E-2</v>
      </c>
      <c r="J1424" s="3">
        <v>351</v>
      </c>
      <c r="K1424" s="1">
        <v>45622</v>
      </c>
      <c r="L1424" t="s">
        <v>25</v>
      </c>
      <c r="M1424" t="s">
        <v>39</v>
      </c>
      <c r="N1424" t="s">
        <v>40</v>
      </c>
      <c r="O1424" t="s">
        <v>28</v>
      </c>
      <c r="P1424" t="s">
        <v>41</v>
      </c>
      <c r="Q1424" s="6">
        <v>2.3132222222222198</v>
      </c>
      <c r="R1424">
        <v>1.69</v>
      </c>
      <c r="S1424">
        <v>16.010000000000002</v>
      </c>
      <c r="T1424">
        <v>29.74</v>
      </c>
      <c r="U1424">
        <v>68.599999999999994</v>
      </c>
      <c r="V1424">
        <v>50.14</v>
      </c>
      <c r="W1424">
        <v>1.69</v>
      </c>
    </row>
    <row r="1425" spans="1:23" x14ac:dyDescent="0.3">
      <c r="A1425">
        <v>1424</v>
      </c>
      <c r="B1425" t="s">
        <v>1468</v>
      </c>
      <c r="C1425" t="s">
        <v>24</v>
      </c>
      <c r="D1425">
        <v>155</v>
      </c>
      <c r="E1425">
        <v>4532</v>
      </c>
      <c r="F1425" s="3">
        <v>203</v>
      </c>
      <c r="G1425">
        <v>19</v>
      </c>
      <c r="H1425">
        <v>8</v>
      </c>
      <c r="I1425" s="5">
        <v>5.1612903225806403E-2</v>
      </c>
      <c r="J1425" s="3">
        <v>349</v>
      </c>
      <c r="K1425" s="1">
        <v>45613</v>
      </c>
      <c r="L1425" t="s">
        <v>25</v>
      </c>
      <c r="M1425" t="s">
        <v>26</v>
      </c>
      <c r="N1425" t="s">
        <v>27</v>
      </c>
      <c r="O1425" t="s">
        <v>28</v>
      </c>
      <c r="P1425" t="s">
        <v>50</v>
      </c>
      <c r="Q1425" s="6">
        <v>1.31251612903225</v>
      </c>
      <c r="R1425">
        <v>3.42</v>
      </c>
      <c r="S1425">
        <v>10.71</v>
      </c>
      <c r="T1425">
        <v>25.43</v>
      </c>
      <c r="U1425">
        <v>71.55</v>
      </c>
      <c r="V1425">
        <v>43.62</v>
      </c>
      <c r="W1425">
        <v>1.72</v>
      </c>
    </row>
    <row r="1426" spans="1:23" x14ac:dyDescent="0.3">
      <c r="A1426">
        <v>1425</v>
      </c>
      <c r="B1426" t="s">
        <v>1469</v>
      </c>
      <c r="C1426" t="s">
        <v>38</v>
      </c>
      <c r="D1426">
        <v>125</v>
      </c>
      <c r="E1426">
        <v>3458</v>
      </c>
      <c r="F1426" s="3">
        <v>180</v>
      </c>
      <c r="G1426">
        <v>19</v>
      </c>
      <c r="H1426">
        <v>3</v>
      </c>
      <c r="I1426" s="5">
        <v>2.4E-2</v>
      </c>
      <c r="J1426" s="3">
        <v>358</v>
      </c>
      <c r="K1426" s="1">
        <v>45605</v>
      </c>
      <c r="L1426" t="s">
        <v>25</v>
      </c>
      <c r="M1426" t="s">
        <v>39</v>
      </c>
      <c r="N1426" t="s">
        <v>36</v>
      </c>
      <c r="O1426" t="s">
        <v>28</v>
      </c>
      <c r="P1426" t="s">
        <v>29</v>
      </c>
      <c r="Q1426" s="6">
        <v>1.4439200000000001</v>
      </c>
      <c r="R1426">
        <v>3.61</v>
      </c>
      <c r="S1426">
        <v>9.5</v>
      </c>
      <c r="T1426">
        <v>60.16</v>
      </c>
      <c r="U1426">
        <v>98.35</v>
      </c>
      <c r="V1426">
        <v>119.33</v>
      </c>
      <c r="W1426">
        <v>1.98</v>
      </c>
    </row>
    <row r="1427" spans="1:23" x14ac:dyDescent="0.3">
      <c r="A1427">
        <v>1426</v>
      </c>
      <c r="B1427" t="s">
        <v>1470</v>
      </c>
      <c r="C1427" t="s">
        <v>43</v>
      </c>
      <c r="D1427">
        <v>151</v>
      </c>
      <c r="E1427">
        <v>5432</v>
      </c>
      <c r="F1427" s="3">
        <v>205</v>
      </c>
      <c r="G1427">
        <v>18</v>
      </c>
      <c r="H1427">
        <v>9</v>
      </c>
      <c r="I1427" s="5">
        <v>5.9602649006622502E-2</v>
      </c>
      <c r="J1427" s="3">
        <v>420.42857142857099</v>
      </c>
      <c r="K1427" s="1">
        <v>45609</v>
      </c>
      <c r="L1427" t="s">
        <v>25</v>
      </c>
      <c r="M1427" t="s">
        <v>31</v>
      </c>
      <c r="N1427" t="s">
        <v>40</v>
      </c>
      <c r="O1427" t="s">
        <v>28</v>
      </c>
      <c r="P1427" t="s">
        <v>33</v>
      </c>
      <c r="Q1427" s="6">
        <v>1.35602649006622</v>
      </c>
      <c r="R1427">
        <v>2.78</v>
      </c>
      <c r="S1427">
        <v>11.38</v>
      </c>
      <c r="T1427">
        <v>22.75</v>
      </c>
      <c r="U1427">
        <v>105.33</v>
      </c>
      <c r="V1427">
        <v>46.71</v>
      </c>
      <c r="W1427">
        <v>2.0499999999999998</v>
      </c>
    </row>
    <row r="1428" spans="1:23" x14ac:dyDescent="0.3">
      <c r="A1428">
        <v>1427</v>
      </c>
      <c r="B1428" t="s">
        <v>1471</v>
      </c>
      <c r="C1428" t="s">
        <v>43</v>
      </c>
      <c r="D1428">
        <v>82</v>
      </c>
      <c r="E1428">
        <v>3052</v>
      </c>
      <c r="F1428" s="3">
        <v>211</v>
      </c>
      <c r="G1428">
        <v>12</v>
      </c>
      <c r="H1428">
        <v>3</v>
      </c>
      <c r="I1428" s="5">
        <v>3.65853658536585E-2</v>
      </c>
      <c r="J1428" s="3">
        <v>391</v>
      </c>
      <c r="K1428" s="1">
        <v>45602</v>
      </c>
      <c r="L1428" t="s">
        <v>25</v>
      </c>
      <c r="M1428" t="s">
        <v>26</v>
      </c>
      <c r="N1428" t="s">
        <v>27</v>
      </c>
      <c r="O1428" t="s">
        <v>28</v>
      </c>
      <c r="P1428" t="s">
        <v>33</v>
      </c>
      <c r="Q1428" s="6">
        <v>2.5745121951219501</v>
      </c>
      <c r="R1428">
        <v>2.69</v>
      </c>
      <c r="S1428">
        <v>17.59</v>
      </c>
      <c r="T1428">
        <v>70.37</v>
      </c>
      <c r="U1428">
        <v>85.21</v>
      </c>
      <c r="V1428">
        <v>130.33000000000001</v>
      </c>
      <c r="W1428">
        <v>1.85</v>
      </c>
    </row>
    <row r="1429" spans="1:23" x14ac:dyDescent="0.3">
      <c r="A1429">
        <v>1428</v>
      </c>
      <c r="B1429" t="s">
        <v>1472</v>
      </c>
      <c r="C1429" t="s">
        <v>38</v>
      </c>
      <c r="D1429">
        <v>198</v>
      </c>
      <c r="E1429">
        <v>5718</v>
      </c>
      <c r="F1429" s="3">
        <v>194</v>
      </c>
      <c r="G1429">
        <v>13</v>
      </c>
      <c r="H1429">
        <v>8</v>
      </c>
      <c r="I1429" s="5">
        <v>4.0404040404040401E-2</v>
      </c>
      <c r="J1429" s="3">
        <v>228</v>
      </c>
      <c r="K1429" s="1">
        <v>45612</v>
      </c>
      <c r="L1429" t="s">
        <v>25</v>
      </c>
      <c r="M1429" t="s">
        <v>39</v>
      </c>
      <c r="N1429" t="s">
        <v>40</v>
      </c>
      <c r="O1429" t="s">
        <v>28</v>
      </c>
      <c r="P1429" t="s">
        <v>29</v>
      </c>
      <c r="Q1429" s="6">
        <v>0.98166666666666602</v>
      </c>
      <c r="R1429">
        <v>3.46</v>
      </c>
      <c r="S1429">
        <v>14.95</v>
      </c>
      <c r="T1429">
        <v>24.3</v>
      </c>
      <c r="U1429">
        <v>17.3</v>
      </c>
      <c r="V1429">
        <v>28.5</v>
      </c>
      <c r="W1429">
        <v>1.17</v>
      </c>
    </row>
    <row r="1430" spans="1:23" x14ac:dyDescent="0.3">
      <c r="A1430">
        <v>1429</v>
      </c>
      <c r="B1430" t="s">
        <v>1473</v>
      </c>
      <c r="C1430" t="s">
        <v>38</v>
      </c>
      <c r="D1430">
        <v>115</v>
      </c>
      <c r="E1430">
        <v>4762</v>
      </c>
      <c r="F1430" s="3">
        <v>242</v>
      </c>
      <c r="G1430">
        <v>20</v>
      </c>
      <c r="H1430">
        <v>8</v>
      </c>
      <c r="I1430" s="5">
        <v>6.9565217391304293E-2</v>
      </c>
      <c r="J1430" s="3">
        <v>317</v>
      </c>
      <c r="K1430" s="1">
        <v>45599</v>
      </c>
      <c r="L1430" t="s">
        <v>25</v>
      </c>
      <c r="M1430" t="s">
        <v>26</v>
      </c>
      <c r="N1430" t="s">
        <v>32</v>
      </c>
      <c r="O1430" t="s">
        <v>28</v>
      </c>
      <c r="P1430" t="s">
        <v>50</v>
      </c>
      <c r="Q1430" s="6">
        <v>2.1011304347826001</v>
      </c>
      <c r="R1430">
        <v>2.41</v>
      </c>
      <c r="S1430">
        <v>12.08</v>
      </c>
      <c r="T1430">
        <v>30.2</v>
      </c>
      <c r="U1430">
        <v>31.19</v>
      </c>
      <c r="V1430">
        <v>39.619999999999997</v>
      </c>
      <c r="W1430">
        <v>1.31</v>
      </c>
    </row>
    <row r="1431" spans="1:23" x14ac:dyDescent="0.3">
      <c r="A1431">
        <v>1430</v>
      </c>
      <c r="B1431" t="s">
        <v>1474</v>
      </c>
      <c r="C1431" t="s">
        <v>43</v>
      </c>
      <c r="D1431">
        <v>158</v>
      </c>
      <c r="E1431">
        <v>4953</v>
      </c>
      <c r="F1431" s="3">
        <v>243</v>
      </c>
      <c r="G1431">
        <v>20</v>
      </c>
      <c r="H1431">
        <v>8</v>
      </c>
      <c r="I1431" s="5">
        <v>5.0632911392405E-2</v>
      </c>
      <c r="J1431" s="3">
        <v>399</v>
      </c>
      <c r="K1431" s="1">
        <v>45600</v>
      </c>
      <c r="L1431" t="s">
        <v>25</v>
      </c>
      <c r="M1431" t="s">
        <v>39</v>
      </c>
      <c r="N1431" t="s">
        <v>27</v>
      </c>
      <c r="O1431" t="s">
        <v>28</v>
      </c>
      <c r="P1431" t="s">
        <v>59</v>
      </c>
      <c r="Q1431" s="6">
        <v>1.53841772151898</v>
      </c>
      <c r="R1431">
        <v>3.19</v>
      </c>
      <c r="S1431">
        <v>12.15</v>
      </c>
      <c r="T1431">
        <v>30.38</v>
      </c>
      <c r="U1431">
        <v>64.150000000000006</v>
      </c>
      <c r="V1431">
        <v>49.88</v>
      </c>
      <c r="W1431">
        <v>1.64</v>
      </c>
    </row>
    <row r="1432" spans="1:23" x14ac:dyDescent="0.3">
      <c r="A1432">
        <v>1431</v>
      </c>
      <c r="B1432" t="s">
        <v>1475</v>
      </c>
      <c r="C1432" t="s">
        <v>24</v>
      </c>
      <c r="D1432">
        <v>102</v>
      </c>
      <c r="E1432">
        <v>3784</v>
      </c>
      <c r="F1432" s="3">
        <v>219</v>
      </c>
      <c r="G1432">
        <v>13</v>
      </c>
      <c r="H1432">
        <v>9</v>
      </c>
      <c r="I1432" s="5">
        <v>8.8235294117646995E-2</v>
      </c>
      <c r="J1432" s="3">
        <v>401</v>
      </c>
      <c r="K1432" s="1">
        <v>45616</v>
      </c>
      <c r="L1432" t="s">
        <v>25</v>
      </c>
      <c r="M1432" t="s">
        <v>26</v>
      </c>
      <c r="N1432" t="s">
        <v>32</v>
      </c>
      <c r="O1432" t="s">
        <v>28</v>
      </c>
      <c r="P1432" t="s">
        <v>33</v>
      </c>
      <c r="Q1432" s="6">
        <v>2.15147058823529</v>
      </c>
      <c r="R1432">
        <v>2.7</v>
      </c>
      <c r="S1432">
        <v>16.88</v>
      </c>
      <c r="T1432">
        <v>24.38</v>
      </c>
      <c r="U1432">
        <v>82.73</v>
      </c>
      <c r="V1432">
        <v>44.56</v>
      </c>
      <c r="W1432">
        <v>1.83</v>
      </c>
    </row>
    <row r="1433" spans="1:23" x14ac:dyDescent="0.3">
      <c r="A1433">
        <v>1432</v>
      </c>
      <c r="B1433" t="s">
        <v>1476</v>
      </c>
      <c r="C1433" t="s">
        <v>38</v>
      </c>
      <c r="D1433">
        <v>93</v>
      </c>
      <c r="E1433">
        <v>3067</v>
      </c>
      <c r="F1433" s="3">
        <v>193</v>
      </c>
      <c r="G1433">
        <v>22</v>
      </c>
      <c r="H1433">
        <v>7</v>
      </c>
      <c r="I1433" s="5">
        <v>7.5268817204300995E-2</v>
      </c>
      <c r="J1433" s="3">
        <v>352</v>
      </c>
      <c r="K1433" s="1">
        <v>45614</v>
      </c>
      <c r="L1433" t="s">
        <v>25</v>
      </c>
      <c r="M1433" t="s">
        <v>26</v>
      </c>
      <c r="N1433" t="s">
        <v>27</v>
      </c>
      <c r="O1433" t="s">
        <v>28</v>
      </c>
      <c r="P1433" t="s">
        <v>59</v>
      </c>
      <c r="Q1433" s="6">
        <v>2.0732258064516098</v>
      </c>
      <c r="R1433">
        <v>3.03</v>
      </c>
      <c r="S1433">
        <v>8.76</v>
      </c>
      <c r="T1433">
        <v>27.54</v>
      </c>
      <c r="U1433">
        <v>82.56</v>
      </c>
      <c r="V1433">
        <v>50.29</v>
      </c>
      <c r="W1433">
        <v>1.83</v>
      </c>
    </row>
    <row r="1434" spans="1:23" x14ac:dyDescent="0.3">
      <c r="A1434">
        <v>1433</v>
      </c>
      <c r="B1434" t="s">
        <v>1477</v>
      </c>
      <c r="C1434" t="s">
        <v>43</v>
      </c>
      <c r="D1434">
        <v>198</v>
      </c>
      <c r="E1434">
        <v>5860</v>
      </c>
      <c r="F1434" s="3">
        <v>185</v>
      </c>
      <c r="G1434">
        <v>24</v>
      </c>
      <c r="H1434">
        <v>9</v>
      </c>
      <c r="I1434" s="5">
        <v>4.54545454545454E-2</v>
      </c>
      <c r="J1434" s="3">
        <v>398</v>
      </c>
      <c r="K1434" s="1">
        <v>45597</v>
      </c>
      <c r="L1434" t="s">
        <v>25</v>
      </c>
      <c r="M1434" t="s">
        <v>39</v>
      </c>
      <c r="N1434" t="s">
        <v>40</v>
      </c>
      <c r="O1434" t="s">
        <v>28</v>
      </c>
      <c r="P1434" t="s">
        <v>45</v>
      </c>
      <c r="Q1434" s="6">
        <v>0.93560606060606</v>
      </c>
      <c r="R1434">
        <v>3.38</v>
      </c>
      <c r="S1434">
        <v>7.72</v>
      </c>
      <c r="T1434">
        <v>20.58</v>
      </c>
      <c r="U1434">
        <v>114.84</v>
      </c>
      <c r="V1434">
        <v>44.22</v>
      </c>
      <c r="W1434">
        <v>2.15</v>
      </c>
    </row>
    <row r="1435" spans="1:23" x14ac:dyDescent="0.3">
      <c r="A1435">
        <v>1434</v>
      </c>
      <c r="B1435" t="s">
        <v>1478</v>
      </c>
      <c r="C1435" t="s">
        <v>43</v>
      </c>
      <c r="D1435">
        <v>174</v>
      </c>
      <c r="E1435">
        <v>4169</v>
      </c>
      <c r="F1435" s="3">
        <v>189</v>
      </c>
      <c r="G1435">
        <v>23</v>
      </c>
      <c r="H1435">
        <v>8</v>
      </c>
      <c r="I1435" s="5">
        <v>4.5977011494252797E-2</v>
      </c>
      <c r="J1435" s="3">
        <v>227</v>
      </c>
      <c r="K1435" s="1">
        <v>45610</v>
      </c>
      <c r="L1435" t="s">
        <v>25</v>
      </c>
      <c r="M1435" t="s">
        <v>39</v>
      </c>
      <c r="N1435" t="s">
        <v>32</v>
      </c>
      <c r="O1435" t="s">
        <v>28</v>
      </c>
      <c r="P1435" t="s">
        <v>54</v>
      </c>
      <c r="Q1435" s="6">
        <v>1.0882758620689601</v>
      </c>
      <c r="R1435">
        <v>4.17</v>
      </c>
      <c r="S1435">
        <v>8.23</v>
      </c>
      <c r="T1435">
        <v>23.67</v>
      </c>
      <c r="U1435">
        <v>19.88</v>
      </c>
      <c r="V1435">
        <v>28.38</v>
      </c>
      <c r="W1435">
        <v>1.2</v>
      </c>
    </row>
    <row r="1436" spans="1:23" x14ac:dyDescent="0.3">
      <c r="A1436">
        <v>1435</v>
      </c>
      <c r="B1436" t="s">
        <v>1479</v>
      </c>
      <c r="C1436" t="s">
        <v>35</v>
      </c>
      <c r="D1436">
        <v>193</v>
      </c>
      <c r="E1436">
        <v>5831</v>
      </c>
      <c r="F1436" s="3">
        <v>294</v>
      </c>
      <c r="G1436">
        <v>24</v>
      </c>
      <c r="H1436">
        <v>5</v>
      </c>
      <c r="I1436" s="5">
        <v>2.59067357512953E-2</v>
      </c>
      <c r="J1436" s="3">
        <v>258</v>
      </c>
      <c r="K1436" s="1">
        <v>45610</v>
      </c>
      <c r="L1436" t="s">
        <v>25</v>
      </c>
      <c r="M1436" t="s">
        <v>31</v>
      </c>
      <c r="N1436" t="s">
        <v>44</v>
      </c>
      <c r="O1436" t="s">
        <v>28</v>
      </c>
      <c r="P1436" t="s">
        <v>54</v>
      </c>
      <c r="Q1436" s="6">
        <v>1.5243795620437901</v>
      </c>
      <c r="R1436">
        <v>3.31</v>
      </c>
      <c r="S1436">
        <v>12.26</v>
      </c>
      <c r="T1436">
        <v>58.84</v>
      </c>
      <c r="U1436">
        <v>-12.31</v>
      </c>
      <c r="V1436">
        <v>51.6</v>
      </c>
      <c r="W1436">
        <v>0.88</v>
      </c>
    </row>
    <row r="1437" spans="1:23" x14ac:dyDescent="0.3">
      <c r="A1437">
        <v>1436</v>
      </c>
      <c r="B1437" t="s">
        <v>1480</v>
      </c>
      <c r="C1437" t="s">
        <v>43</v>
      </c>
      <c r="D1437">
        <v>117</v>
      </c>
      <c r="E1437">
        <v>5269</v>
      </c>
      <c r="F1437" s="3">
        <v>196</v>
      </c>
      <c r="G1437">
        <v>26</v>
      </c>
      <c r="H1437">
        <v>5</v>
      </c>
      <c r="I1437" s="5">
        <v>4.2735042735042701E-2</v>
      </c>
      <c r="J1437" s="3">
        <v>224</v>
      </c>
      <c r="K1437" s="1">
        <v>45601</v>
      </c>
      <c r="L1437" t="s">
        <v>25</v>
      </c>
      <c r="M1437" t="s">
        <v>26</v>
      </c>
      <c r="N1437" t="s">
        <v>44</v>
      </c>
      <c r="O1437" t="s">
        <v>28</v>
      </c>
      <c r="P1437" t="s">
        <v>41</v>
      </c>
      <c r="Q1437" s="6">
        <v>1.6760683760683699</v>
      </c>
      <c r="R1437">
        <v>2.2200000000000002</v>
      </c>
      <c r="S1437">
        <v>7.54</v>
      </c>
      <c r="T1437">
        <v>39.22</v>
      </c>
      <c r="U1437">
        <v>14.23</v>
      </c>
      <c r="V1437">
        <v>44.8</v>
      </c>
      <c r="W1437">
        <v>1.1399999999999999</v>
      </c>
    </row>
    <row r="1438" spans="1:23" x14ac:dyDescent="0.3">
      <c r="A1438">
        <v>1437</v>
      </c>
      <c r="B1438" t="s">
        <v>1481</v>
      </c>
      <c r="C1438" t="s">
        <v>43</v>
      </c>
      <c r="D1438">
        <v>147</v>
      </c>
      <c r="E1438">
        <v>5793</v>
      </c>
      <c r="F1438" s="3">
        <v>240</v>
      </c>
      <c r="G1438">
        <v>25</v>
      </c>
      <c r="H1438">
        <v>5</v>
      </c>
      <c r="I1438" s="5">
        <v>3.4013605442176797E-2</v>
      </c>
      <c r="J1438" s="3">
        <v>336</v>
      </c>
      <c r="K1438" s="1">
        <v>45623</v>
      </c>
      <c r="L1438" t="s">
        <v>25</v>
      </c>
      <c r="M1438" t="s">
        <v>39</v>
      </c>
      <c r="N1438" t="s">
        <v>32</v>
      </c>
      <c r="O1438" t="s">
        <v>28</v>
      </c>
      <c r="P1438" t="s">
        <v>33</v>
      </c>
      <c r="Q1438" s="6">
        <v>1.6348299319727799</v>
      </c>
      <c r="R1438">
        <v>2.54</v>
      </c>
      <c r="S1438">
        <v>9.61</v>
      </c>
      <c r="T1438">
        <v>48.06</v>
      </c>
      <c r="U1438">
        <v>39.81</v>
      </c>
      <c r="V1438">
        <v>67.2</v>
      </c>
      <c r="W1438">
        <v>1.4</v>
      </c>
    </row>
    <row r="1439" spans="1:23" x14ac:dyDescent="0.3">
      <c r="A1439">
        <v>1438</v>
      </c>
      <c r="B1439" t="s">
        <v>1482</v>
      </c>
      <c r="C1439" t="s">
        <v>43</v>
      </c>
      <c r="D1439">
        <v>179</v>
      </c>
      <c r="E1439">
        <v>3338</v>
      </c>
      <c r="F1439" s="3">
        <v>218</v>
      </c>
      <c r="G1439">
        <v>30</v>
      </c>
      <c r="H1439">
        <v>7</v>
      </c>
      <c r="I1439" s="5">
        <v>3.91061452513966E-2</v>
      </c>
      <c r="J1439" s="3">
        <v>327</v>
      </c>
      <c r="K1439" s="1">
        <v>45620</v>
      </c>
      <c r="L1439" t="s">
        <v>25</v>
      </c>
      <c r="M1439" t="s">
        <v>26</v>
      </c>
      <c r="N1439" t="s">
        <v>36</v>
      </c>
      <c r="O1439" t="s">
        <v>28</v>
      </c>
      <c r="P1439" t="s">
        <v>50</v>
      </c>
      <c r="Q1439" s="6">
        <v>1.2197206703910599</v>
      </c>
      <c r="R1439">
        <v>5.36</v>
      </c>
      <c r="S1439">
        <v>7.28</v>
      </c>
      <c r="T1439">
        <v>31.19</v>
      </c>
      <c r="U1439">
        <v>49.77</v>
      </c>
      <c r="V1439">
        <v>46.71</v>
      </c>
      <c r="W1439">
        <v>1.5</v>
      </c>
    </row>
    <row r="1440" spans="1:23" x14ac:dyDescent="0.3">
      <c r="A1440">
        <v>1439</v>
      </c>
      <c r="B1440" t="s">
        <v>1483</v>
      </c>
      <c r="C1440" t="s">
        <v>35</v>
      </c>
      <c r="D1440">
        <v>194</v>
      </c>
      <c r="E1440">
        <v>4297</v>
      </c>
      <c r="F1440" s="3">
        <v>238</v>
      </c>
      <c r="G1440">
        <v>22</v>
      </c>
      <c r="H1440">
        <v>3</v>
      </c>
      <c r="I1440" s="5">
        <v>1.5463917525773099E-2</v>
      </c>
      <c r="J1440" s="3">
        <v>355</v>
      </c>
      <c r="K1440" s="1">
        <v>45625</v>
      </c>
      <c r="L1440" t="s">
        <v>25</v>
      </c>
      <c r="M1440" t="s">
        <v>26</v>
      </c>
      <c r="N1440" t="s">
        <v>32</v>
      </c>
      <c r="O1440" t="s">
        <v>28</v>
      </c>
      <c r="P1440" t="s">
        <v>45</v>
      </c>
      <c r="Q1440" s="6">
        <v>1.22613402061855</v>
      </c>
      <c r="R1440">
        <v>4.51</v>
      </c>
      <c r="S1440">
        <v>10.81</v>
      </c>
      <c r="T1440">
        <v>79.290000000000006</v>
      </c>
      <c r="U1440">
        <v>49.24</v>
      </c>
      <c r="V1440">
        <v>118.33</v>
      </c>
      <c r="W1440">
        <v>1.49</v>
      </c>
    </row>
    <row r="1441" spans="1:23" x14ac:dyDescent="0.3">
      <c r="A1441">
        <v>1440</v>
      </c>
      <c r="B1441" t="s">
        <v>1484</v>
      </c>
      <c r="C1441" t="s">
        <v>43</v>
      </c>
      <c r="D1441">
        <v>112</v>
      </c>
      <c r="E1441">
        <v>3961</v>
      </c>
      <c r="F1441" s="3">
        <v>214</v>
      </c>
      <c r="G1441">
        <v>13</v>
      </c>
      <c r="H1441">
        <v>7</v>
      </c>
      <c r="I1441" s="5">
        <v>6.25E-2</v>
      </c>
      <c r="J1441" s="3">
        <v>325</v>
      </c>
      <c r="K1441" s="1">
        <v>45613</v>
      </c>
      <c r="L1441" t="s">
        <v>25</v>
      </c>
      <c r="M1441" t="s">
        <v>26</v>
      </c>
      <c r="N1441" t="s">
        <v>49</v>
      </c>
      <c r="O1441" t="s">
        <v>28</v>
      </c>
      <c r="P1441" t="s">
        <v>50</v>
      </c>
      <c r="Q1441" s="6">
        <v>1.91473214285714</v>
      </c>
      <c r="R1441">
        <v>2.83</v>
      </c>
      <c r="S1441">
        <v>16.5</v>
      </c>
      <c r="T1441">
        <v>30.64</v>
      </c>
      <c r="U1441">
        <v>51.55</v>
      </c>
      <c r="V1441">
        <v>46.43</v>
      </c>
      <c r="W1441">
        <v>1.52</v>
      </c>
    </row>
    <row r="1442" spans="1:23" x14ac:dyDescent="0.3">
      <c r="A1442">
        <v>1441</v>
      </c>
      <c r="B1442" t="s">
        <v>1485</v>
      </c>
      <c r="C1442" t="s">
        <v>24</v>
      </c>
      <c r="D1442">
        <v>88</v>
      </c>
      <c r="E1442">
        <v>5063</v>
      </c>
      <c r="F1442" s="3">
        <v>195</v>
      </c>
      <c r="G1442">
        <v>22</v>
      </c>
      <c r="H1442">
        <v>3</v>
      </c>
      <c r="I1442" s="5">
        <v>3.4090909090908998E-2</v>
      </c>
      <c r="J1442" s="3">
        <v>298</v>
      </c>
      <c r="K1442" s="1">
        <v>45616</v>
      </c>
      <c r="L1442" t="s">
        <v>25</v>
      </c>
      <c r="M1442" t="s">
        <v>31</v>
      </c>
      <c r="N1442" t="s">
        <v>49</v>
      </c>
      <c r="O1442" t="s">
        <v>28</v>
      </c>
      <c r="P1442" t="s">
        <v>33</v>
      </c>
      <c r="Q1442" s="6">
        <v>2.2181818181818098</v>
      </c>
      <c r="R1442">
        <v>1.74</v>
      </c>
      <c r="S1442">
        <v>8.8699999999999992</v>
      </c>
      <c r="T1442">
        <v>65.069999999999993</v>
      </c>
      <c r="U1442">
        <v>52.66</v>
      </c>
      <c r="V1442">
        <v>99.33</v>
      </c>
      <c r="W1442">
        <v>1.53</v>
      </c>
    </row>
    <row r="1443" spans="1:23" x14ac:dyDescent="0.3">
      <c r="A1443">
        <v>1442</v>
      </c>
      <c r="B1443" t="s">
        <v>1486</v>
      </c>
      <c r="C1443" t="s">
        <v>38</v>
      </c>
      <c r="D1443">
        <v>172</v>
      </c>
      <c r="E1443">
        <v>5635</v>
      </c>
      <c r="F1443" s="3">
        <v>200</v>
      </c>
      <c r="G1443">
        <v>21</v>
      </c>
      <c r="H1443">
        <v>7</v>
      </c>
      <c r="I1443" s="5">
        <v>4.0697674418604599E-2</v>
      </c>
      <c r="J1443" s="3">
        <v>352</v>
      </c>
      <c r="K1443" s="1">
        <v>45610</v>
      </c>
      <c r="L1443" t="s">
        <v>25</v>
      </c>
      <c r="M1443" t="s">
        <v>31</v>
      </c>
      <c r="N1443" t="s">
        <v>36</v>
      </c>
      <c r="O1443" t="s">
        <v>28</v>
      </c>
      <c r="P1443" t="s">
        <v>54</v>
      </c>
      <c r="Q1443" s="6">
        <v>1.16372093023255</v>
      </c>
      <c r="R1443">
        <v>3.05</v>
      </c>
      <c r="S1443">
        <v>9.5299999999999994</v>
      </c>
      <c r="T1443">
        <v>28.59</v>
      </c>
      <c r="U1443">
        <v>75.86</v>
      </c>
      <c r="V1443">
        <v>50.29</v>
      </c>
      <c r="W1443">
        <v>1.76</v>
      </c>
    </row>
    <row r="1444" spans="1:23" x14ac:dyDescent="0.3">
      <c r="A1444">
        <v>1443</v>
      </c>
      <c r="B1444" t="s">
        <v>1487</v>
      </c>
      <c r="C1444" t="s">
        <v>38</v>
      </c>
      <c r="D1444">
        <v>81</v>
      </c>
      <c r="E1444">
        <v>4404</v>
      </c>
      <c r="F1444" s="3">
        <v>240</v>
      </c>
      <c r="G1444">
        <v>11</v>
      </c>
      <c r="H1444">
        <v>4</v>
      </c>
      <c r="I1444" s="5">
        <v>4.9382716049382699E-2</v>
      </c>
      <c r="J1444" s="3">
        <v>370</v>
      </c>
      <c r="K1444" s="1">
        <v>45617</v>
      </c>
      <c r="L1444" t="s">
        <v>25</v>
      </c>
      <c r="M1444" t="s">
        <v>31</v>
      </c>
      <c r="N1444" t="s">
        <v>32</v>
      </c>
      <c r="O1444" t="s">
        <v>28</v>
      </c>
      <c r="P1444" t="s">
        <v>54</v>
      </c>
      <c r="Q1444" s="6">
        <v>2.95827160493827</v>
      </c>
      <c r="R1444">
        <v>1.84</v>
      </c>
      <c r="S1444">
        <v>21.78</v>
      </c>
      <c r="T1444">
        <v>59.9</v>
      </c>
      <c r="U1444">
        <v>54.41</v>
      </c>
      <c r="V1444">
        <v>92.5</v>
      </c>
      <c r="W1444">
        <v>1.54</v>
      </c>
    </row>
    <row r="1445" spans="1:23" x14ac:dyDescent="0.3">
      <c r="A1445">
        <v>1444</v>
      </c>
      <c r="B1445" t="s">
        <v>1488</v>
      </c>
      <c r="C1445" t="s">
        <v>24</v>
      </c>
      <c r="D1445">
        <v>142</v>
      </c>
      <c r="E1445">
        <v>4312</v>
      </c>
      <c r="F1445" s="3">
        <v>214</v>
      </c>
      <c r="G1445">
        <v>21</v>
      </c>
      <c r="H1445">
        <v>7</v>
      </c>
      <c r="I1445" s="5">
        <v>4.92957746478873E-2</v>
      </c>
      <c r="J1445" s="3">
        <v>340</v>
      </c>
      <c r="K1445" s="1">
        <v>45616</v>
      </c>
      <c r="L1445" t="s">
        <v>25</v>
      </c>
      <c r="M1445" t="s">
        <v>26</v>
      </c>
      <c r="N1445" t="s">
        <v>27</v>
      </c>
      <c r="O1445" t="s">
        <v>28</v>
      </c>
      <c r="P1445" t="s">
        <v>33</v>
      </c>
      <c r="Q1445" s="6">
        <v>1.5038028169013999</v>
      </c>
      <c r="R1445">
        <v>3.29</v>
      </c>
      <c r="S1445">
        <v>10.17</v>
      </c>
      <c r="T1445">
        <v>30.51</v>
      </c>
      <c r="U1445">
        <v>59.22</v>
      </c>
      <c r="V1445">
        <v>48.57</v>
      </c>
      <c r="W1445">
        <v>1.59</v>
      </c>
    </row>
    <row r="1446" spans="1:23" x14ac:dyDescent="0.3">
      <c r="A1446">
        <v>1445</v>
      </c>
      <c r="B1446" t="s">
        <v>1489</v>
      </c>
      <c r="C1446" t="s">
        <v>43</v>
      </c>
      <c r="D1446">
        <v>111</v>
      </c>
      <c r="E1446">
        <v>3302</v>
      </c>
      <c r="F1446" s="3">
        <v>193</v>
      </c>
      <c r="G1446">
        <v>30</v>
      </c>
      <c r="H1446">
        <v>10</v>
      </c>
      <c r="I1446" s="5">
        <v>9.0090090090090003E-2</v>
      </c>
      <c r="J1446" s="3">
        <v>364</v>
      </c>
      <c r="K1446" s="1">
        <v>45615</v>
      </c>
      <c r="L1446" t="s">
        <v>25</v>
      </c>
      <c r="M1446" t="s">
        <v>31</v>
      </c>
      <c r="N1446" t="s">
        <v>49</v>
      </c>
      <c r="O1446" t="s">
        <v>28</v>
      </c>
      <c r="P1446" t="s">
        <v>41</v>
      </c>
      <c r="Q1446" s="6">
        <v>1.7403603603603599</v>
      </c>
      <c r="R1446">
        <v>3.36</v>
      </c>
      <c r="S1446">
        <v>6.44</v>
      </c>
      <c r="T1446">
        <v>19.32</v>
      </c>
      <c r="U1446">
        <v>88.43</v>
      </c>
      <c r="V1446">
        <v>36.4</v>
      </c>
      <c r="W1446">
        <v>1.88</v>
      </c>
    </row>
    <row r="1447" spans="1:23" x14ac:dyDescent="0.3">
      <c r="A1447">
        <v>1446</v>
      </c>
      <c r="B1447" t="s">
        <v>1490</v>
      </c>
      <c r="C1447" t="s">
        <v>43</v>
      </c>
      <c r="D1447">
        <v>81</v>
      </c>
      <c r="E1447">
        <v>3575</v>
      </c>
      <c r="F1447" s="3">
        <v>193</v>
      </c>
      <c r="G1447">
        <v>27</v>
      </c>
      <c r="H1447">
        <v>4</v>
      </c>
      <c r="I1447" s="5">
        <v>4.9382716049382699E-2</v>
      </c>
      <c r="J1447" s="3">
        <v>236</v>
      </c>
      <c r="K1447" s="1">
        <v>45607</v>
      </c>
      <c r="L1447" t="s">
        <v>25</v>
      </c>
      <c r="M1447" t="s">
        <v>39</v>
      </c>
      <c r="N1447" t="s">
        <v>44</v>
      </c>
      <c r="O1447" t="s">
        <v>28</v>
      </c>
      <c r="P1447" t="s">
        <v>59</v>
      </c>
      <c r="Q1447" s="6">
        <v>2.37913580246913</v>
      </c>
      <c r="R1447">
        <v>2.27</v>
      </c>
      <c r="S1447">
        <v>7.14</v>
      </c>
      <c r="T1447">
        <v>48.18</v>
      </c>
      <c r="U1447">
        <v>22.46</v>
      </c>
      <c r="V1447">
        <v>59</v>
      </c>
      <c r="W1447">
        <v>1.22</v>
      </c>
    </row>
    <row r="1448" spans="1:23" x14ac:dyDescent="0.3">
      <c r="A1448">
        <v>1447</v>
      </c>
      <c r="B1448" t="s">
        <v>1491</v>
      </c>
      <c r="C1448" t="s">
        <v>38</v>
      </c>
      <c r="D1448">
        <v>112</v>
      </c>
      <c r="E1448">
        <v>5055</v>
      </c>
      <c r="F1448" s="3">
        <v>213</v>
      </c>
      <c r="G1448">
        <v>26</v>
      </c>
      <c r="H1448">
        <v>5</v>
      </c>
      <c r="I1448" s="5">
        <v>4.4642857142857102E-2</v>
      </c>
      <c r="J1448" s="3">
        <v>400</v>
      </c>
      <c r="K1448" s="1">
        <v>45625</v>
      </c>
      <c r="L1448" t="s">
        <v>25</v>
      </c>
      <c r="M1448" t="s">
        <v>26</v>
      </c>
      <c r="N1448" t="s">
        <v>40</v>
      </c>
      <c r="O1448" t="s">
        <v>28</v>
      </c>
      <c r="P1448" t="s">
        <v>45</v>
      </c>
      <c r="Q1448" s="6">
        <v>1.905</v>
      </c>
      <c r="R1448">
        <v>2.2200000000000002</v>
      </c>
      <c r="S1448">
        <v>8.2100000000000009</v>
      </c>
      <c r="T1448">
        <v>42.67</v>
      </c>
      <c r="U1448">
        <v>87.48</v>
      </c>
      <c r="V1448">
        <v>80</v>
      </c>
      <c r="W1448">
        <v>1.87</v>
      </c>
    </row>
    <row r="1449" spans="1:23" x14ac:dyDescent="0.3">
      <c r="A1449">
        <v>1448</v>
      </c>
      <c r="B1449" t="s">
        <v>1492</v>
      </c>
      <c r="C1449" t="s">
        <v>43</v>
      </c>
      <c r="D1449">
        <v>101</v>
      </c>
      <c r="E1449">
        <v>5415</v>
      </c>
      <c r="F1449" s="3">
        <v>236</v>
      </c>
      <c r="G1449">
        <v>13</v>
      </c>
      <c r="H1449">
        <v>10</v>
      </c>
      <c r="I1449" s="5">
        <v>9.9009900990099001E-2</v>
      </c>
      <c r="J1449" s="3">
        <v>374</v>
      </c>
      <c r="K1449" s="1">
        <v>45611</v>
      </c>
      <c r="L1449" t="s">
        <v>25</v>
      </c>
      <c r="M1449" t="s">
        <v>39</v>
      </c>
      <c r="N1449" t="s">
        <v>27</v>
      </c>
      <c r="O1449" t="s">
        <v>28</v>
      </c>
      <c r="P1449" t="s">
        <v>45</v>
      </c>
      <c r="Q1449" s="6">
        <v>2.3406930693069299</v>
      </c>
      <c r="R1449">
        <v>1.87</v>
      </c>
      <c r="S1449">
        <v>18.190000000000001</v>
      </c>
      <c r="T1449">
        <v>23.64</v>
      </c>
      <c r="U1449">
        <v>58.2</v>
      </c>
      <c r="V1449">
        <v>37.4</v>
      </c>
      <c r="W1449">
        <v>1.58</v>
      </c>
    </row>
    <row r="1450" spans="1:23" x14ac:dyDescent="0.3">
      <c r="A1450">
        <v>1449</v>
      </c>
      <c r="B1450" t="s">
        <v>1493</v>
      </c>
      <c r="C1450" t="s">
        <v>43</v>
      </c>
      <c r="D1450">
        <v>166</v>
      </c>
      <c r="E1450">
        <v>3118</v>
      </c>
      <c r="F1450" s="3">
        <v>212</v>
      </c>
      <c r="G1450">
        <v>25</v>
      </c>
      <c r="H1450">
        <v>7</v>
      </c>
      <c r="I1450" s="5">
        <v>4.2168674698795101E-2</v>
      </c>
      <c r="J1450" s="3">
        <v>370</v>
      </c>
      <c r="K1450" s="1">
        <v>45610</v>
      </c>
      <c r="L1450" t="s">
        <v>25</v>
      </c>
      <c r="M1450" t="s">
        <v>39</v>
      </c>
      <c r="N1450" t="s">
        <v>44</v>
      </c>
      <c r="O1450" t="s">
        <v>28</v>
      </c>
      <c r="P1450" t="s">
        <v>54</v>
      </c>
      <c r="Q1450" s="6">
        <v>1.27987951807228</v>
      </c>
      <c r="R1450">
        <v>5.32</v>
      </c>
      <c r="S1450">
        <v>8.5</v>
      </c>
      <c r="T1450">
        <v>30.35</v>
      </c>
      <c r="U1450">
        <v>74.150000000000006</v>
      </c>
      <c r="V1450">
        <v>52.86</v>
      </c>
      <c r="W1450">
        <v>1.74</v>
      </c>
    </row>
    <row r="1451" spans="1:23" x14ac:dyDescent="0.3">
      <c r="A1451">
        <v>1450</v>
      </c>
      <c r="B1451" t="s">
        <v>1494</v>
      </c>
      <c r="C1451" t="s">
        <v>24</v>
      </c>
      <c r="D1451">
        <v>160</v>
      </c>
      <c r="E1451">
        <v>5271</v>
      </c>
      <c r="F1451" s="3">
        <v>244</v>
      </c>
      <c r="G1451">
        <v>14</v>
      </c>
      <c r="H1451">
        <v>8</v>
      </c>
      <c r="I1451" s="5">
        <v>0.05</v>
      </c>
      <c r="J1451" s="3">
        <v>332</v>
      </c>
      <c r="K1451" s="1">
        <v>45618</v>
      </c>
      <c r="L1451" t="s">
        <v>25</v>
      </c>
      <c r="M1451" t="s">
        <v>31</v>
      </c>
      <c r="N1451" t="s">
        <v>36</v>
      </c>
      <c r="O1451" t="s">
        <v>28</v>
      </c>
      <c r="P1451" t="s">
        <v>45</v>
      </c>
      <c r="Q1451" s="6">
        <v>1.5228379802818299</v>
      </c>
      <c r="R1451">
        <v>3.04</v>
      </c>
      <c r="S1451">
        <v>17.399999999999999</v>
      </c>
      <c r="T1451">
        <v>30.46</v>
      </c>
      <c r="U1451">
        <v>36.26</v>
      </c>
      <c r="V1451">
        <v>41.5</v>
      </c>
      <c r="W1451">
        <v>1.36</v>
      </c>
    </row>
    <row r="1452" spans="1:23" x14ac:dyDescent="0.3">
      <c r="A1452">
        <v>1451</v>
      </c>
      <c r="B1452" t="s">
        <v>1495</v>
      </c>
      <c r="C1452" t="s">
        <v>38</v>
      </c>
      <c r="D1452">
        <v>148</v>
      </c>
      <c r="E1452">
        <v>4881</v>
      </c>
      <c r="F1452" s="3">
        <v>214</v>
      </c>
      <c r="G1452">
        <v>21</v>
      </c>
      <c r="H1452">
        <v>8</v>
      </c>
      <c r="I1452" s="5">
        <v>5.4054054054054002E-2</v>
      </c>
      <c r="J1452" s="3">
        <v>332</v>
      </c>
      <c r="K1452" s="1">
        <v>45609</v>
      </c>
      <c r="L1452" t="s">
        <v>25</v>
      </c>
      <c r="M1452" t="s">
        <v>39</v>
      </c>
      <c r="N1452" t="s">
        <v>36</v>
      </c>
      <c r="O1452" t="s">
        <v>28</v>
      </c>
      <c r="P1452" t="s">
        <v>33</v>
      </c>
      <c r="Q1452" s="6">
        <v>1.4477027027027001</v>
      </c>
      <c r="R1452">
        <v>3.03</v>
      </c>
      <c r="S1452">
        <v>10.199999999999999</v>
      </c>
      <c r="T1452">
        <v>26.78</v>
      </c>
      <c r="U1452">
        <v>54.95</v>
      </c>
      <c r="V1452">
        <v>41.5</v>
      </c>
      <c r="W1452">
        <v>1.55</v>
      </c>
    </row>
    <row r="1453" spans="1:23" x14ac:dyDescent="0.3">
      <c r="A1453">
        <v>1452</v>
      </c>
      <c r="B1453" t="s">
        <v>1496</v>
      </c>
      <c r="C1453" t="s">
        <v>38</v>
      </c>
      <c r="D1453">
        <v>126</v>
      </c>
      <c r="E1453">
        <v>5250</v>
      </c>
      <c r="F1453" s="3">
        <v>240</v>
      </c>
      <c r="G1453">
        <v>30</v>
      </c>
      <c r="H1453">
        <v>4</v>
      </c>
      <c r="I1453" s="5">
        <v>3.1746031746031703E-2</v>
      </c>
      <c r="J1453" s="3">
        <v>218</v>
      </c>
      <c r="K1453" s="1">
        <v>45619</v>
      </c>
      <c r="L1453" t="s">
        <v>25</v>
      </c>
      <c r="M1453" t="s">
        <v>39</v>
      </c>
      <c r="N1453" t="s">
        <v>49</v>
      </c>
      <c r="O1453" t="s">
        <v>28</v>
      </c>
      <c r="P1453" t="s">
        <v>29</v>
      </c>
      <c r="Q1453" s="6">
        <v>1.9026190476190401</v>
      </c>
      <c r="R1453">
        <v>2.4</v>
      </c>
      <c r="S1453">
        <v>7.99</v>
      </c>
      <c r="T1453">
        <v>59.93</v>
      </c>
      <c r="U1453">
        <v>-9.06</v>
      </c>
      <c r="V1453">
        <v>54.5</v>
      </c>
      <c r="W1453">
        <v>0.91</v>
      </c>
    </row>
    <row r="1454" spans="1:23" x14ac:dyDescent="0.3">
      <c r="A1454">
        <v>1453</v>
      </c>
      <c r="B1454" t="s">
        <v>1497</v>
      </c>
      <c r="C1454" t="s">
        <v>35</v>
      </c>
      <c r="D1454">
        <v>119</v>
      </c>
      <c r="E1454">
        <v>4405</v>
      </c>
      <c r="F1454" s="3">
        <v>234</v>
      </c>
      <c r="G1454">
        <v>25</v>
      </c>
      <c r="H1454">
        <v>3</v>
      </c>
      <c r="I1454" s="5">
        <v>2.5210084033613401E-2</v>
      </c>
      <c r="J1454" s="3">
        <v>287</v>
      </c>
      <c r="K1454" s="1">
        <v>45608</v>
      </c>
      <c r="L1454" t="s">
        <v>25</v>
      </c>
      <c r="M1454" t="s">
        <v>26</v>
      </c>
      <c r="N1454" t="s">
        <v>32</v>
      </c>
      <c r="O1454" t="s">
        <v>28</v>
      </c>
      <c r="P1454" t="s">
        <v>41</v>
      </c>
      <c r="Q1454" s="6">
        <v>1.9635294117647</v>
      </c>
      <c r="R1454">
        <v>2.7</v>
      </c>
      <c r="S1454">
        <v>9.35</v>
      </c>
      <c r="T1454">
        <v>77.89</v>
      </c>
      <c r="U1454">
        <v>22.83</v>
      </c>
      <c r="V1454">
        <v>95.67</v>
      </c>
      <c r="W1454">
        <v>1.23</v>
      </c>
    </row>
    <row r="1455" spans="1:23" x14ac:dyDescent="0.3">
      <c r="A1455">
        <v>1454</v>
      </c>
      <c r="B1455" t="s">
        <v>1498</v>
      </c>
      <c r="C1455" t="s">
        <v>43</v>
      </c>
      <c r="D1455">
        <v>189</v>
      </c>
      <c r="E1455">
        <v>5060</v>
      </c>
      <c r="F1455" s="3">
        <v>237</v>
      </c>
      <c r="G1455">
        <v>26</v>
      </c>
      <c r="H1455">
        <v>7</v>
      </c>
      <c r="I1455" s="5">
        <v>3.7037037037037E-2</v>
      </c>
      <c r="J1455" s="3">
        <v>383</v>
      </c>
      <c r="K1455" s="1">
        <v>45606</v>
      </c>
      <c r="L1455" t="s">
        <v>25</v>
      </c>
      <c r="M1455" t="s">
        <v>31</v>
      </c>
      <c r="N1455" t="s">
        <v>40</v>
      </c>
      <c r="O1455" t="s">
        <v>28</v>
      </c>
      <c r="P1455" t="s">
        <v>50</v>
      </c>
      <c r="Q1455" s="6">
        <v>1.2515343915343899</v>
      </c>
      <c r="R1455">
        <v>3.74</v>
      </c>
      <c r="S1455">
        <v>9.1</v>
      </c>
      <c r="T1455">
        <v>33.79</v>
      </c>
      <c r="U1455">
        <v>61.92</v>
      </c>
      <c r="V1455">
        <v>54.71</v>
      </c>
      <c r="W1455">
        <v>1.62</v>
      </c>
    </row>
    <row r="1456" spans="1:23" x14ac:dyDescent="0.3">
      <c r="A1456">
        <v>1455</v>
      </c>
      <c r="B1456" t="s">
        <v>1499</v>
      </c>
      <c r="C1456" t="s">
        <v>24</v>
      </c>
      <c r="D1456">
        <v>167</v>
      </c>
      <c r="E1456">
        <v>3296</v>
      </c>
      <c r="F1456" s="3">
        <v>247</v>
      </c>
      <c r="G1456">
        <v>29</v>
      </c>
      <c r="H1456">
        <v>8</v>
      </c>
      <c r="I1456" s="5">
        <v>4.7904191616766401E-2</v>
      </c>
      <c r="J1456" s="3">
        <v>352</v>
      </c>
      <c r="K1456" s="1">
        <v>45613</v>
      </c>
      <c r="L1456" t="s">
        <v>25</v>
      </c>
      <c r="M1456" t="s">
        <v>26</v>
      </c>
      <c r="N1456" t="s">
        <v>36</v>
      </c>
      <c r="O1456" t="s">
        <v>28</v>
      </c>
      <c r="P1456" t="s">
        <v>50</v>
      </c>
      <c r="Q1456" s="6">
        <v>1.47814371257485</v>
      </c>
      <c r="R1456">
        <v>5.07</v>
      </c>
      <c r="S1456">
        <v>8.51</v>
      </c>
      <c r="T1456">
        <v>30.86</v>
      </c>
      <c r="U1456">
        <v>42.6</v>
      </c>
      <c r="V1456">
        <v>44</v>
      </c>
      <c r="W1456">
        <v>1.43</v>
      </c>
    </row>
    <row r="1457" spans="1:23" x14ac:dyDescent="0.3">
      <c r="A1457">
        <v>1456</v>
      </c>
      <c r="B1457" t="s">
        <v>1500</v>
      </c>
      <c r="C1457" t="s">
        <v>38</v>
      </c>
      <c r="D1457">
        <v>198</v>
      </c>
      <c r="E1457">
        <v>3499</v>
      </c>
      <c r="F1457" s="3">
        <v>210</v>
      </c>
      <c r="G1457">
        <v>30</v>
      </c>
      <c r="H1457">
        <v>9</v>
      </c>
      <c r="I1457" s="5">
        <v>4.54545454545454E-2</v>
      </c>
      <c r="J1457" s="3">
        <v>386</v>
      </c>
      <c r="K1457" s="1">
        <v>45621</v>
      </c>
      <c r="L1457" t="s">
        <v>25</v>
      </c>
      <c r="M1457" t="s">
        <v>26</v>
      </c>
      <c r="N1457" t="s">
        <v>32</v>
      </c>
      <c r="O1457" t="s">
        <v>28</v>
      </c>
      <c r="P1457" t="s">
        <v>59</v>
      </c>
      <c r="Q1457" s="6">
        <v>1.0592929292929201</v>
      </c>
      <c r="R1457">
        <v>5.66</v>
      </c>
      <c r="S1457">
        <v>6.99</v>
      </c>
      <c r="T1457">
        <v>23.3</v>
      </c>
      <c r="U1457">
        <v>84.04</v>
      </c>
      <c r="V1457">
        <v>42.89</v>
      </c>
      <c r="W1457">
        <v>1.84</v>
      </c>
    </row>
    <row r="1458" spans="1:23" x14ac:dyDescent="0.3">
      <c r="A1458">
        <v>1457</v>
      </c>
      <c r="B1458" t="s">
        <v>1501</v>
      </c>
      <c r="C1458" t="s">
        <v>24</v>
      </c>
      <c r="D1458">
        <v>95</v>
      </c>
      <c r="E1458">
        <v>3449</v>
      </c>
      <c r="F1458" s="3">
        <v>185</v>
      </c>
      <c r="G1458">
        <v>10</v>
      </c>
      <c r="H1458">
        <v>10</v>
      </c>
      <c r="I1458" s="5">
        <v>0.105263157894736</v>
      </c>
      <c r="J1458" s="3">
        <v>327</v>
      </c>
      <c r="K1458" s="1">
        <v>45612</v>
      </c>
      <c r="L1458" t="s">
        <v>25</v>
      </c>
      <c r="M1458" t="s">
        <v>31</v>
      </c>
      <c r="N1458" t="s">
        <v>49</v>
      </c>
      <c r="O1458" t="s">
        <v>28</v>
      </c>
      <c r="P1458" t="s">
        <v>29</v>
      </c>
      <c r="Q1458" s="6">
        <v>1.94263157894736</v>
      </c>
      <c r="R1458">
        <v>2.75</v>
      </c>
      <c r="S1458">
        <v>18.46</v>
      </c>
      <c r="T1458">
        <v>18.46</v>
      </c>
      <c r="U1458">
        <v>77.19</v>
      </c>
      <c r="V1458">
        <v>32.700000000000003</v>
      </c>
      <c r="W1458">
        <v>1.77</v>
      </c>
    </row>
    <row r="1459" spans="1:23" x14ac:dyDescent="0.3">
      <c r="A1459">
        <v>1458</v>
      </c>
      <c r="B1459" t="s">
        <v>1502</v>
      </c>
      <c r="C1459" t="s">
        <v>24</v>
      </c>
      <c r="D1459">
        <v>181</v>
      </c>
      <c r="E1459">
        <v>3738</v>
      </c>
      <c r="F1459" s="3">
        <v>207</v>
      </c>
      <c r="G1459">
        <v>16</v>
      </c>
      <c r="H1459">
        <v>9</v>
      </c>
      <c r="I1459" s="5">
        <v>4.9723756906077297E-2</v>
      </c>
      <c r="J1459" s="3">
        <v>381</v>
      </c>
      <c r="K1459" s="1">
        <v>45605</v>
      </c>
      <c r="L1459" t="s">
        <v>25</v>
      </c>
      <c r="M1459" t="s">
        <v>31</v>
      </c>
      <c r="N1459" t="s">
        <v>44</v>
      </c>
      <c r="O1459" t="s">
        <v>28</v>
      </c>
      <c r="P1459" t="s">
        <v>29</v>
      </c>
      <c r="Q1459" s="6">
        <v>1.14149171270718</v>
      </c>
      <c r="R1459">
        <v>4.84</v>
      </c>
      <c r="S1459">
        <v>12.91</v>
      </c>
      <c r="T1459">
        <v>22.96</v>
      </c>
      <c r="U1459">
        <v>84.41</v>
      </c>
      <c r="V1459">
        <v>42.33</v>
      </c>
      <c r="W1459">
        <v>1.84</v>
      </c>
    </row>
    <row r="1460" spans="1:23" x14ac:dyDescent="0.3">
      <c r="A1460">
        <v>1459</v>
      </c>
      <c r="B1460" t="s">
        <v>1503</v>
      </c>
      <c r="C1460" t="s">
        <v>43</v>
      </c>
      <c r="D1460">
        <v>105</v>
      </c>
      <c r="E1460">
        <v>4236</v>
      </c>
      <c r="F1460" s="3">
        <v>180</v>
      </c>
      <c r="G1460">
        <v>12</v>
      </c>
      <c r="H1460">
        <v>7</v>
      </c>
      <c r="I1460" s="5">
        <v>6.6666666666666596E-2</v>
      </c>
      <c r="J1460" s="3">
        <v>327</v>
      </c>
      <c r="K1460" s="1">
        <v>45620</v>
      </c>
      <c r="L1460" t="s">
        <v>25</v>
      </c>
      <c r="M1460" t="s">
        <v>31</v>
      </c>
      <c r="N1460" t="s">
        <v>27</v>
      </c>
      <c r="O1460" t="s">
        <v>28</v>
      </c>
      <c r="P1460" t="s">
        <v>50</v>
      </c>
      <c r="Q1460" s="6">
        <v>1.71619047619047</v>
      </c>
      <c r="R1460">
        <v>2.48</v>
      </c>
      <c r="S1460">
        <v>15.02</v>
      </c>
      <c r="T1460">
        <v>25.74</v>
      </c>
      <c r="U1460">
        <v>81.47</v>
      </c>
      <c r="V1460">
        <v>46.71</v>
      </c>
      <c r="W1460">
        <v>1.81</v>
      </c>
    </row>
    <row r="1461" spans="1:23" x14ac:dyDescent="0.3">
      <c r="A1461">
        <v>1460</v>
      </c>
      <c r="B1461" t="s">
        <v>1504</v>
      </c>
      <c r="C1461" t="s">
        <v>43</v>
      </c>
      <c r="D1461">
        <v>178</v>
      </c>
      <c r="E1461">
        <v>5751</v>
      </c>
      <c r="F1461" s="3">
        <v>205</v>
      </c>
      <c r="G1461">
        <v>24</v>
      </c>
      <c r="H1461">
        <v>10</v>
      </c>
      <c r="I1461" s="5">
        <v>5.6179775280898799E-2</v>
      </c>
      <c r="J1461" s="3">
        <v>388</v>
      </c>
      <c r="K1461" s="1">
        <v>45616</v>
      </c>
      <c r="L1461" t="s">
        <v>25</v>
      </c>
      <c r="M1461" t="s">
        <v>26</v>
      </c>
      <c r="N1461" t="s">
        <v>32</v>
      </c>
      <c r="O1461" t="s">
        <v>28</v>
      </c>
      <c r="P1461" t="s">
        <v>33</v>
      </c>
      <c r="Q1461" s="6">
        <v>1.1535955056179701</v>
      </c>
      <c r="R1461">
        <v>3.1</v>
      </c>
      <c r="S1461">
        <v>8.56</v>
      </c>
      <c r="T1461">
        <v>20.53</v>
      </c>
      <c r="U1461">
        <v>88.95</v>
      </c>
      <c r="V1461">
        <v>38.799999999999997</v>
      </c>
      <c r="W1461">
        <v>1.89</v>
      </c>
    </row>
    <row r="1462" spans="1:23" x14ac:dyDescent="0.3">
      <c r="A1462">
        <v>1461</v>
      </c>
      <c r="B1462" t="s">
        <v>1505</v>
      </c>
      <c r="C1462" t="s">
        <v>38</v>
      </c>
      <c r="D1462">
        <v>127</v>
      </c>
      <c r="E1462">
        <v>5050</v>
      </c>
      <c r="F1462" s="3">
        <v>185</v>
      </c>
      <c r="G1462">
        <v>28</v>
      </c>
      <c r="H1462">
        <v>9</v>
      </c>
      <c r="I1462" s="5">
        <v>7.0866141732283394E-2</v>
      </c>
      <c r="J1462" s="3">
        <v>389</v>
      </c>
      <c r="K1462" s="1">
        <v>45598</v>
      </c>
      <c r="L1462" t="s">
        <v>25</v>
      </c>
      <c r="M1462" t="s">
        <v>26</v>
      </c>
      <c r="N1462" t="s">
        <v>36</v>
      </c>
      <c r="O1462" t="s">
        <v>28</v>
      </c>
      <c r="P1462" t="s">
        <v>29</v>
      </c>
      <c r="Q1462" s="6">
        <v>1.4548818897637701</v>
      </c>
      <c r="R1462">
        <v>2.5099999999999998</v>
      </c>
      <c r="S1462">
        <v>6.6</v>
      </c>
      <c r="T1462">
        <v>20.53</v>
      </c>
      <c r="U1462">
        <v>110.53</v>
      </c>
      <c r="V1462">
        <v>43.22</v>
      </c>
      <c r="W1462">
        <v>2.11</v>
      </c>
    </row>
    <row r="1463" spans="1:23" x14ac:dyDescent="0.3">
      <c r="A1463">
        <v>1462</v>
      </c>
      <c r="B1463" t="s">
        <v>1506</v>
      </c>
      <c r="C1463" t="s">
        <v>35</v>
      </c>
      <c r="D1463">
        <v>198</v>
      </c>
      <c r="E1463">
        <v>4773</v>
      </c>
      <c r="F1463" s="3">
        <v>203</v>
      </c>
      <c r="G1463">
        <v>17</v>
      </c>
      <c r="H1463">
        <v>10</v>
      </c>
      <c r="I1463" s="5">
        <v>5.0505050505050497E-2</v>
      </c>
      <c r="J1463" s="3">
        <v>221</v>
      </c>
      <c r="K1463" s="1">
        <v>45615</v>
      </c>
      <c r="L1463" t="s">
        <v>25</v>
      </c>
      <c r="M1463" t="s">
        <v>31</v>
      </c>
      <c r="N1463" t="s">
        <v>36</v>
      </c>
      <c r="O1463" t="s">
        <v>28</v>
      </c>
      <c r="P1463" t="s">
        <v>41</v>
      </c>
      <c r="Q1463" s="6">
        <v>1.0229292929292899</v>
      </c>
      <c r="R1463">
        <v>4.1500000000000004</v>
      </c>
      <c r="S1463">
        <v>11.91</v>
      </c>
      <c r="T1463">
        <v>20.25</v>
      </c>
      <c r="U1463">
        <v>9.11</v>
      </c>
      <c r="V1463">
        <v>22.1</v>
      </c>
      <c r="W1463">
        <v>1.0900000000000001</v>
      </c>
    </row>
    <row r="1464" spans="1:23" x14ac:dyDescent="0.3">
      <c r="A1464">
        <v>1463</v>
      </c>
      <c r="B1464" t="s">
        <v>1507</v>
      </c>
      <c r="C1464" t="s">
        <v>38</v>
      </c>
      <c r="D1464">
        <v>86</v>
      </c>
      <c r="E1464">
        <v>5652</v>
      </c>
      <c r="F1464" s="3">
        <v>249</v>
      </c>
      <c r="G1464">
        <v>25</v>
      </c>
      <c r="H1464">
        <v>7</v>
      </c>
      <c r="I1464" s="5">
        <v>8.1395348837209294E-2</v>
      </c>
      <c r="J1464" s="3">
        <v>404</v>
      </c>
      <c r="K1464" s="1">
        <v>45602</v>
      </c>
      <c r="L1464" t="s">
        <v>25</v>
      </c>
      <c r="M1464" t="s">
        <v>31</v>
      </c>
      <c r="N1464" t="s">
        <v>40</v>
      </c>
      <c r="O1464" t="s">
        <v>28</v>
      </c>
      <c r="P1464" t="s">
        <v>33</v>
      </c>
      <c r="Q1464" s="6">
        <v>2.8968604651162702</v>
      </c>
      <c r="R1464">
        <v>1.52</v>
      </c>
      <c r="S1464">
        <v>9.9700000000000006</v>
      </c>
      <c r="T1464">
        <v>35.590000000000003</v>
      </c>
      <c r="U1464">
        <v>62.16</v>
      </c>
      <c r="V1464">
        <v>57.71</v>
      </c>
      <c r="W1464">
        <v>1.62</v>
      </c>
    </row>
    <row r="1465" spans="1:23" x14ac:dyDescent="0.3">
      <c r="A1465">
        <v>1464</v>
      </c>
      <c r="B1465" t="s">
        <v>1508</v>
      </c>
      <c r="C1465" t="s">
        <v>43</v>
      </c>
      <c r="D1465">
        <v>154</v>
      </c>
      <c r="E1465">
        <v>5085</v>
      </c>
      <c r="F1465" s="3">
        <v>182</v>
      </c>
      <c r="G1465">
        <v>11</v>
      </c>
      <c r="H1465">
        <v>7</v>
      </c>
      <c r="I1465" s="5">
        <v>4.54545454545454E-2</v>
      </c>
      <c r="J1465" s="3">
        <v>226</v>
      </c>
      <c r="K1465" s="1">
        <v>45600</v>
      </c>
      <c r="L1465" t="s">
        <v>25</v>
      </c>
      <c r="M1465" t="s">
        <v>26</v>
      </c>
      <c r="N1465" t="s">
        <v>44</v>
      </c>
      <c r="O1465" t="s">
        <v>28</v>
      </c>
      <c r="P1465" t="s">
        <v>59</v>
      </c>
      <c r="Q1465" s="6">
        <v>1.1845454545454499</v>
      </c>
      <c r="R1465">
        <v>3.03</v>
      </c>
      <c r="S1465">
        <v>16.579999999999998</v>
      </c>
      <c r="T1465">
        <v>26.06</v>
      </c>
      <c r="U1465">
        <v>23.89</v>
      </c>
      <c r="V1465">
        <v>32.29</v>
      </c>
      <c r="W1465">
        <v>1.24</v>
      </c>
    </row>
    <row r="1466" spans="1:23" x14ac:dyDescent="0.3">
      <c r="A1466">
        <v>1465</v>
      </c>
      <c r="B1466" t="s">
        <v>1509</v>
      </c>
      <c r="C1466" t="s">
        <v>24</v>
      </c>
      <c r="D1466">
        <v>191</v>
      </c>
      <c r="E1466">
        <v>5070</v>
      </c>
      <c r="F1466" s="3">
        <v>247</v>
      </c>
      <c r="G1466">
        <v>12</v>
      </c>
      <c r="H1466">
        <v>4</v>
      </c>
      <c r="I1466" s="5">
        <v>2.09424083769633E-2</v>
      </c>
      <c r="J1466" s="3">
        <v>258</v>
      </c>
      <c r="K1466" s="1">
        <v>45621</v>
      </c>
      <c r="L1466" t="s">
        <v>25</v>
      </c>
      <c r="M1466" t="s">
        <v>31</v>
      </c>
      <c r="N1466" t="s">
        <v>49</v>
      </c>
      <c r="O1466" t="s">
        <v>28</v>
      </c>
      <c r="P1466" t="s">
        <v>59</v>
      </c>
      <c r="Q1466" s="6">
        <v>1.2953403141361199</v>
      </c>
      <c r="R1466">
        <v>3.77</v>
      </c>
      <c r="S1466">
        <v>20.62</v>
      </c>
      <c r="T1466">
        <v>61.85</v>
      </c>
      <c r="U1466">
        <v>4.28</v>
      </c>
      <c r="V1466">
        <v>64.5</v>
      </c>
      <c r="W1466">
        <v>1.04</v>
      </c>
    </row>
    <row r="1467" spans="1:23" x14ac:dyDescent="0.3">
      <c r="A1467">
        <v>1466</v>
      </c>
      <c r="B1467" t="s">
        <v>1510</v>
      </c>
      <c r="C1467" t="s">
        <v>38</v>
      </c>
      <c r="D1467">
        <v>139</v>
      </c>
      <c r="E1467">
        <v>5879</v>
      </c>
      <c r="F1467" s="3">
        <v>198</v>
      </c>
      <c r="G1467">
        <v>24</v>
      </c>
      <c r="H1467">
        <v>4</v>
      </c>
      <c r="I1467" s="5">
        <v>2.8776978417266098E-2</v>
      </c>
      <c r="J1467" s="3">
        <v>301</v>
      </c>
      <c r="K1467" s="1">
        <v>45601</v>
      </c>
      <c r="L1467" t="s">
        <v>25</v>
      </c>
      <c r="M1467" t="s">
        <v>31</v>
      </c>
      <c r="N1467" t="s">
        <v>32</v>
      </c>
      <c r="O1467" t="s">
        <v>28</v>
      </c>
      <c r="P1467" t="s">
        <v>41</v>
      </c>
      <c r="Q1467" s="6">
        <v>1.42374100719424</v>
      </c>
      <c r="R1467">
        <v>2.36</v>
      </c>
      <c r="S1467">
        <v>8.25</v>
      </c>
      <c r="T1467">
        <v>49.48</v>
      </c>
      <c r="U1467">
        <v>52.1</v>
      </c>
      <c r="V1467">
        <v>75.25</v>
      </c>
      <c r="W1467">
        <v>1.52</v>
      </c>
    </row>
    <row r="1468" spans="1:23" x14ac:dyDescent="0.3">
      <c r="A1468">
        <v>1467</v>
      </c>
      <c r="B1468" t="s">
        <v>1511</v>
      </c>
      <c r="C1468" t="s">
        <v>43</v>
      </c>
      <c r="D1468">
        <v>197</v>
      </c>
      <c r="E1468">
        <v>3620</v>
      </c>
      <c r="F1468" s="3">
        <v>235</v>
      </c>
      <c r="G1468">
        <v>18</v>
      </c>
      <c r="H1468">
        <v>7</v>
      </c>
      <c r="I1468" s="5">
        <v>3.5532994923857801E-2</v>
      </c>
      <c r="J1468" s="3">
        <v>355</v>
      </c>
      <c r="K1468" s="1">
        <v>45597</v>
      </c>
      <c r="L1468" t="s">
        <v>25</v>
      </c>
      <c r="M1468" t="s">
        <v>31</v>
      </c>
      <c r="N1468" t="s">
        <v>44</v>
      </c>
      <c r="O1468" t="s">
        <v>28</v>
      </c>
      <c r="P1468" t="s">
        <v>45</v>
      </c>
      <c r="Q1468" s="6">
        <v>1.1938578680203</v>
      </c>
      <c r="R1468">
        <v>5.44</v>
      </c>
      <c r="S1468">
        <v>13.07</v>
      </c>
      <c r="T1468">
        <v>33.6</v>
      </c>
      <c r="U1468">
        <v>50.94</v>
      </c>
      <c r="V1468">
        <v>50.71</v>
      </c>
      <c r="W1468">
        <v>1.51</v>
      </c>
    </row>
    <row r="1469" spans="1:23" x14ac:dyDescent="0.3">
      <c r="A1469">
        <v>1468</v>
      </c>
      <c r="B1469" t="s">
        <v>1512</v>
      </c>
      <c r="C1469" t="s">
        <v>24</v>
      </c>
      <c r="D1469">
        <v>116</v>
      </c>
      <c r="E1469">
        <v>4250</v>
      </c>
      <c r="F1469" s="3">
        <v>217</v>
      </c>
      <c r="G1469">
        <v>10</v>
      </c>
      <c r="H1469">
        <v>9</v>
      </c>
      <c r="I1469" s="5">
        <v>7.7586206896551699E-2</v>
      </c>
      <c r="J1469" s="3">
        <v>383</v>
      </c>
      <c r="K1469" s="1">
        <v>45598</v>
      </c>
      <c r="L1469" t="s">
        <v>25</v>
      </c>
      <c r="M1469" t="s">
        <v>31</v>
      </c>
      <c r="N1469" t="s">
        <v>40</v>
      </c>
      <c r="O1469" t="s">
        <v>28</v>
      </c>
      <c r="P1469" t="s">
        <v>29</v>
      </c>
      <c r="Q1469" s="6">
        <v>1.8677586206896499</v>
      </c>
      <c r="R1469">
        <v>2.73</v>
      </c>
      <c r="S1469">
        <v>21.67</v>
      </c>
      <c r="T1469">
        <v>24.07</v>
      </c>
      <c r="U1469">
        <v>76.77</v>
      </c>
      <c r="V1469">
        <v>42.56</v>
      </c>
      <c r="W1469">
        <v>1.77</v>
      </c>
    </row>
    <row r="1470" spans="1:23" x14ac:dyDescent="0.3">
      <c r="A1470">
        <v>1469</v>
      </c>
      <c r="B1470" t="s">
        <v>1513</v>
      </c>
      <c r="C1470" t="s">
        <v>24</v>
      </c>
      <c r="D1470">
        <v>192</v>
      </c>
      <c r="E1470">
        <v>4850</v>
      </c>
      <c r="F1470" s="3">
        <v>235</v>
      </c>
      <c r="G1470">
        <v>22</v>
      </c>
      <c r="H1470">
        <v>10</v>
      </c>
      <c r="I1470" s="5">
        <v>5.2083333333333301E-2</v>
      </c>
      <c r="J1470" s="3">
        <v>229</v>
      </c>
      <c r="K1470" s="1">
        <v>45610</v>
      </c>
      <c r="L1470" t="s">
        <v>25</v>
      </c>
      <c r="M1470" t="s">
        <v>26</v>
      </c>
      <c r="N1470" t="s">
        <v>49</v>
      </c>
      <c r="O1470" t="s">
        <v>28</v>
      </c>
      <c r="P1470" t="s">
        <v>54</v>
      </c>
      <c r="Q1470" s="6">
        <v>1.2261458333333299</v>
      </c>
      <c r="R1470">
        <v>3.96</v>
      </c>
      <c r="S1470">
        <v>10.7</v>
      </c>
      <c r="T1470">
        <v>23.54</v>
      </c>
      <c r="U1470">
        <v>-2.73</v>
      </c>
      <c r="V1470">
        <v>22.9</v>
      </c>
      <c r="W1470">
        <v>0.97</v>
      </c>
    </row>
    <row r="1471" spans="1:23" x14ac:dyDescent="0.3">
      <c r="A1471">
        <v>1470</v>
      </c>
      <c r="B1471" t="s">
        <v>1514</v>
      </c>
      <c r="C1471" t="s">
        <v>43</v>
      </c>
      <c r="D1471">
        <v>118</v>
      </c>
      <c r="E1471">
        <v>3815</v>
      </c>
      <c r="F1471" s="3">
        <v>186</v>
      </c>
      <c r="G1471">
        <v>16</v>
      </c>
      <c r="H1471">
        <v>4</v>
      </c>
      <c r="I1471" s="5">
        <v>3.38983050847457E-2</v>
      </c>
      <c r="J1471" s="3">
        <v>223</v>
      </c>
      <c r="K1471" s="1">
        <v>45613</v>
      </c>
      <c r="L1471" t="s">
        <v>25</v>
      </c>
      <c r="M1471" t="s">
        <v>26</v>
      </c>
      <c r="N1471" t="s">
        <v>36</v>
      </c>
      <c r="O1471" t="s">
        <v>28</v>
      </c>
      <c r="P1471" t="s">
        <v>50</v>
      </c>
      <c r="Q1471" s="6">
        <v>1.5744067796610099</v>
      </c>
      <c r="R1471">
        <v>3.09</v>
      </c>
      <c r="S1471">
        <v>11.61</v>
      </c>
      <c r="T1471">
        <v>46.44</v>
      </c>
      <c r="U1471">
        <v>20.03</v>
      </c>
      <c r="V1471">
        <v>55.75</v>
      </c>
      <c r="W1471">
        <v>1.2</v>
      </c>
    </row>
    <row r="1472" spans="1:23" x14ac:dyDescent="0.3">
      <c r="A1472">
        <v>1471</v>
      </c>
      <c r="B1472" t="s">
        <v>1515</v>
      </c>
      <c r="C1472" t="s">
        <v>35</v>
      </c>
      <c r="D1472">
        <v>172</v>
      </c>
      <c r="E1472">
        <v>5741</v>
      </c>
      <c r="F1472" s="3">
        <v>198</v>
      </c>
      <c r="G1472">
        <v>14</v>
      </c>
      <c r="H1472">
        <v>4</v>
      </c>
      <c r="I1472" s="5">
        <v>2.3255813953488299E-2</v>
      </c>
      <c r="J1472" s="3">
        <v>358</v>
      </c>
      <c r="K1472" s="1">
        <v>45607</v>
      </c>
      <c r="L1472" t="s">
        <v>25</v>
      </c>
      <c r="M1472" t="s">
        <v>26</v>
      </c>
      <c r="N1472" t="s">
        <v>49</v>
      </c>
      <c r="O1472" t="s">
        <v>28</v>
      </c>
      <c r="P1472" t="s">
        <v>59</v>
      </c>
      <c r="Q1472" s="6">
        <v>1.15372093023255</v>
      </c>
      <c r="R1472">
        <v>3</v>
      </c>
      <c r="S1472">
        <v>14.17</v>
      </c>
      <c r="T1472">
        <v>49.61</v>
      </c>
      <c r="U1472">
        <v>80.41</v>
      </c>
      <c r="V1472">
        <v>89.5</v>
      </c>
      <c r="W1472">
        <v>1.8</v>
      </c>
    </row>
    <row r="1473" spans="1:23" x14ac:dyDescent="0.3">
      <c r="A1473">
        <v>1472</v>
      </c>
      <c r="B1473" t="s">
        <v>1516</v>
      </c>
      <c r="C1473" t="s">
        <v>24</v>
      </c>
      <c r="D1473">
        <v>174</v>
      </c>
      <c r="E1473">
        <v>4272</v>
      </c>
      <c r="F1473" s="3">
        <v>241</v>
      </c>
      <c r="G1473">
        <v>16</v>
      </c>
      <c r="H1473">
        <v>7</v>
      </c>
      <c r="I1473" s="5">
        <v>4.0229885057471201E-2</v>
      </c>
      <c r="J1473" s="3">
        <v>205</v>
      </c>
      <c r="K1473" s="1">
        <v>45619</v>
      </c>
      <c r="L1473" t="s">
        <v>25</v>
      </c>
      <c r="M1473" t="s">
        <v>26</v>
      </c>
      <c r="N1473" t="s">
        <v>27</v>
      </c>
      <c r="O1473" t="s">
        <v>28</v>
      </c>
      <c r="P1473" t="s">
        <v>29</v>
      </c>
      <c r="Q1473" s="6">
        <v>1.3837356321839001</v>
      </c>
      <c r="R1473">
        <v>4.07</v>
      </c>
      <c r="S1473">
        <v>15.05</v>
      </c>
      <c r="T1473">
        <v>34.4</v>
      </c>
      <c r="U1473">
        <v>-14.86</v>
      </c>
      <c r="V1473">
        <v>29.29</v>
      </c>
      <c r="W1473">
        <v>0.85</v>
      </c>
    </row>
    <row r="1474" spans="1:23" x14ac:dyDescent="0.3">
      <c r="A1474">
        <v>1473</v>
      </c>
      <c r="B1474" t="s">
        <v>1517</v>
      </c>
      <c r="C1474" t="s">
        <v>43</v>
      </c>
      <c r="D1474">
        <v>175</v>
      </c>
      <c r="E1474">
        <v>4974</v>
      </c>
      <c r="F1474" s="3">
        <v>182</v>
      </c>
      <c r="G1474">
        <v>21</v>
      </c>
      <c r="H1474">
        <v>5</v>
      </c>
      <c r="I1474" s="5">
        <v>2.8571428571428501E-2</v>
      </c>
      <c r="J1474" s="3">
        <v>265</v>
      </c>
      <c r="K1474" s="1">
        <v>45619</v>
      </c>
      <c r="L1474" t="s">
        <v>25</v>
      </c>
      <c r="M1474" t="s">
        <v>31</v>
      </c>
      <c r="N1474" t="s">
        <v>27</v>
      </c>
      <c r="O1474" t="s">
        <v>28</v>
      </c>
      <c r="P1474" t="s">
        <v>29</v>
      </c>
      <c r="Q1474" s="6">
        <v>1.04125714285714</v>
      </c>
      <c r="R1474">
        <v>3.52</v>
      </c>
      <c r="S1474">
        <v>8.68</v>
      </c>
      <c r="T1474">
        <v>36.44</v>
      </c>
      <c r="U1474">
        <v>45.43</v>
      </c>
      <c r="V1474">
        <v>53</v>
      </c>
      <c r="W1474">
        <v>1.45</v>
      </c>
    </row>
    <row r="1475" spans="1:23" x14ac:dyDescent="0.3">
      <c r="A1475">
        <v>1474</v>
      </c>
      <c r="B1475" t="s">
        <v>1518</v>
      </c>
      <c r="C1475" t="s">
        <v>38</v>
      </c>
      <c r="D1475">
        <v>97</v>
      </c>
      <c r="E1475">
        <v>3215</v>
      </c>
      <c r="F1475" s="3">
        <v>191</v>
      </c>
      <c r="G1475">
        <v>30</v>
      </c>
      <c r="H1475">
        <v>7</v>
      </c>
      <c r="I1475" s="5">
        <v>7.2164948453608199E-2</v>
      </c>
      <c r="J1475" s="3">
        <v>324</v>
      </c>
      <c r="K1475" s="1">
        <v>45619</v>
      </c>
      <c r="L1475" t="s">
        <v>25</v>
      </c>
      <c r="M1475" t="s">
        <v>26</v>
      </c>
      <c r="N1475" t="s">
        <v>49</v>
      </c>
      <c r="O1475" t="s">
        <v>28</v>
      </c>
      <c r="P1475" t="s">
        <v>29</v>
      </c>
      <c r="Q1475" s="6">
        <v>1.9713402061855601</v>
      </c>
      <c r="R1475">
        <v>3.02</v>
      </c>
      <c r="S1475">
        <v>6.37</v>
      </c>
      <c r="T1475">
        <v>27.32</v>
      </c>
      <c r="U1475">
        <v>69.44</v>
      </c>
      <c r="V1475">
        <v>46.29</v>
      </c>
      <c r="W1475">
        <v>1.69</v>
      </c>
    </row>
    <row r="1476" spans="1:23" x14ac:dyDescent="0.3">
      <c r="A1476">
        <v>1475</v>
      </c>
      <c r="B1476" t="s">
        <v>1519</v>
      </c>
      <c r="C1476" t="s">
        <v>24</v>
      </c>
      <c r="D1476">
        <v>113</v>
      </c>
      <c r="E1476">
        <v>3723</v>
      </c>
      <c r="F1476" s="3">
        <v>201</v>
      </c>
      <c r="G1476">
        <v>21</v>
      </c>
      <c r="H1476">
        <v>8</v>
      </c>
      <c r="I1476" s="5">
        <v>7.0796460176991094E-2</v>
      </c>
      <c r="J1476" s="3">
        <v>373.71428571428498</v>
      </c>
      <c r="K1476" s="1">
        <v>45602</v>
      </c>
      <c r="L1476" t="s">
        <v>25</v>
      </c>
      <c r="M1476" t="s">
        <v>39</v>
      </c>
      <c r="N1476" t="s">
        <v>32</v>
      </c>
      <c r="O1476" t="s">
        <v>28</v>
      </c>
      <c r="P1476" t="s">
        <v>33</v>
      </c>
      <c r="Q1476" s="6">
        <v>1.78159292035398</v>
      </c>
      <c r="R1476">
        <v>3.04</v>
      </c>
      <c r="S1476">
        <v>9.59</v>
      </c>
      <c r="T1476">
        <v>25.16</v>
      </c>
      <c r="U1476">
        <v>85.63</v>
      </c>
      <c r="V1476">
        <v>46.71</v>
      </c>
      <c r="W1476">
        <v>1.86</v>
      </c>
    </row>
    <row r="1477" spans="1:23" x14ac:dyDescent="0.3">
      <c r="A1477">
        <v>1476</v>
      </c>
      <c r="B1477" t="s">
        <v>1520</v>
      </c>
      <c r="C1477" t="s">
        <v>38</v>
      </c>
      <c r="D1477">
        <v>103</v>
      </c>
      <c r="E1477">
        <v>4670</v>
      </c>
      <c r="F1477" s="3">
        <v>203</v>
      </c>
      <c r="G1477">
        <v>21</v>
      </c>
      <c r="H1477">
        <v>4</v>
      </c>
      <c r="I1477" s="5">
        <v>3.88349514563106E-2</v>
      </c>
      <c r="J1477" s="3">
        <v>319</v>
      </c>
      <c r="K1477" s="1">
        <v>45621</v>
      </c>
      <c r="L1477" t="s">
        <v>25</v>
      </c>
      <c r="M1477" t="s">
        <v>31</v>
      </c>
      <c r="N1477" t="s">
        <v>49</v>
      </c>
      <c r="O1477" t="s">
        <v>28</v>
      </c>
      <c r="P1477" t="s">
        <v>59</v>
      </c>
      <c r="Q1477" s="6">
        <v>1.97475728155339</v>
      </c>
      <c r="R1477">
        <v>2.21</v>
      </c>
      <c r="S1477">
        <v>9.69</v>
      </c>
      <c r="T1477">
        <v>50.85</v>
      </c>
      <c r="U1477">
        <v>56.83</v>
      </c>
      <c r="V1477">
        <v>79.75</v>
      </c>
      <c r="W1477">
        <v>1.57</v>
      </c>
    </row>
    <row r="1478" spans="1:23" x14ac:dyDescent="0.3">
      <c r="A1478">
        <v>1477</v>
      </c>
      <c r="B1478" t="s">
        <v>1521</v>
      </c>
      <c r="C1478" t="s">
        <v>38</v>
      </c>
      <c r="D1478">
        <v>187</v>
      </c>
      <c r="E1478">
        <v>4474</v>
      </c>
      <c r="F1478" s="3">
        <v>182</v>
      </c>
      <c r="G1478">
        <v>10</v>
      </c>
      <c r="H1478">
        <v>9</v>
      </c>
      <c r="I1478" s="5">
        <v>4.8128342245989303E-2</v>
      </c>
      <c r="J1478" s="3">
        <v>361</v>
      </c>
      <c r="K1478" s="1">
        <v>45609</v>
      </c>
      <c r="L1478" t="s">
        <v>25</v>
      </c>
      <c r="M1478" t="s">
        <v>39</v>
      </c>
      <c r="N1478" t="s">
        <v>44</v>
      </c>
      <c r="O1478" t="s">
        <v>28</v>
      </c>
      <c r="P1478" t="s">
        <v>33</v>
      </c>
      <c r="Q1478" s="6">
        <v>0.97577540106951799</v>
      </c>
      <c r="R1478">
        <v>4.18</v>
      </c>
      <c r="S1478">
        <v>18.25</v>
      </c>
      <c r="T1478">
        <v>20.27</v>
      </c>
      <c r="U1478">
        <v>97.84</v>
      </c>
      <c r="V1478">
        <v>40.11</v>
      </c>
      <c r="W1478">
        <v>1.98</v>
      </c>
    </row>
    <row r="1479" spans="1:23" x14ac:dyDescent="0.3">
      <c r="A1479">
        <v>1478</v>
      </c>
      <c r="B1479" t="s">
        <v>1522</v>
      </c>
      <c r="C1479" t="s">
        <v>38</v>
      </c>
      <c r="D1479">
        <v>91</v>
      </c>
      <c r="E1479">
        <v>3009</v>
      </c>
      <c r="F1479" s="3">
        <v>195</v>
      </c>
      <c r="G1479">
        <v>13</v>
      </c>
      <c r="H1479">
        <v>6</v>
      </c>
      <c r="I1479" s="5">
        <v>6.5934065934065894E-2</v>
      </c>
      <c r="J1479" s="3">
        <v>221</v>
      </c>
      <c r="K1479" s="1">
        <v>45619</v>
      </c>
      <c r="L1479" t="s">
        <v>25</v>
      </c>
      <c r="M1479" t="s">
        <v>39</v>
      </c>
      <c r="N1479" t="s">
        <v>36</v>
      </c>
      <c r="O1479" t="s">
        <v>28</v>
      </c>
      <c r="P1479" t="s">
        <v>29</v>
      </c>
      <c r="Q1479" s="6">
        <v>2.1447252747252699</v>
      </c>
      <c r="R1479">
        <v>3.02</v>
      </c>
      <c r="S1479">
        <v>15.01</v>
      </c>
      <c r="T1479">
        <v>32.53</v>
      </c>
      <c r="U1479">
        <v>13.23</v>
      </c>
      <c r="V1479">
        <v>36.83</v>
      </c>
      <c r="W1479">
        <v>1.1299999999999999</v>
      </c>
    </row>
    <row r="1480" spans="1:23" x14ac:dyDescent="0.3">
      <c r="A1480">
        <v>1479</v>
      </c>
      <c r="B1480" t="s">
        <v>1523</v>
      </c>
      <c r="C1480" t="s">
        <v>38</v>
      </c>
      <c r="D1480">
        <v>109</v>
      </c>
      <c r="E1480">
        <v>3933</v>
      </c>
      <c r="F1480" s="3">
        <v>190</v>
      </c>
      <c r="G1480">
        <v>11</v>
      </c>
      <c r="H1480">
        <v>4</v>
      </c>
      <c r="I1480" s="5">
        <v>3.6697247706422E-2</v>
      </c>
      <c r="J1480" s="3">
        <v>347</v>
      </c>
      <c r="K1480" s="1">
        <v>45603</v>
      </c>
      <c r="L1480" t="s">
        <v>25</v>
      </c>
      <c r="M1480" t="s">
        <v>26</v>
      </c>
      <c r="N1480" t="s">
        <v>36</v>
      </c>
      <c r="O1480" t="s">
        <v>28</v>
      </c>
      <c r="P1480" t="s">
        <v>54</v>
      </c>
      <c r="Q1480" s="6">
        <v>1.74064220183486</v>
      </c>
      <c r="R1480">
        <v>2.77</v>
      </c>
      <c r="S1480">
        <v>17.25</v>
      </c>
      <c r="T1480">
        <v>47.43</v>
      </c>
      <c r="U1480">
        <v>82.89</v>
      </c>
      <c r="V1480">
        <v>86.75</v>
      </c>
      <c r="W1480">
        <v>1.83</v>
      </c>
    </row>
    <row r="1481" spans="1:23" x14ac:dyDescent="0.3">
      <c r="A1481">
        <v>1480</v>
      </c>
      <c r="B1481" t="s">
        <v>1524</v>
      </c>
      <c r="C1481" t="s">
        <v>43</v>
      </c>
      <c r="D1481">
        <v>118</v>
      </c>
      <c r="E1481">
        <v>4360</v>
      </c>
      <c r="F1481" s="3">
        <v>232</v>
      </c>
      <c r="G1481">
        <v>10</v>
      </c>
      <c r="H1481">
        <v>9</v>
      </c>
      <c r="I1481" s="5">
        <v>7.6271186440677902E-2</v>
      </c>
      <c r="J1481" s="3">
        <v>256</v>
      </c>
      <c r="K1481" s="1">
        <v>45609</v>
      </c>
      <c r="L1481" t="s">
        <v>25</v>
      </c>
      <c r="M1481" t="s">
        <v>26</v>
      </c>
      <c r="N1481" t="s">
        <v>40</v>
      </c>
      <c r="O1481" t="s">
        <v>28</v>
      </c>
      <c r="P1481" t="s">
        <v>33</v>
      </c>
      <c r="Q1481" s="6">
        <v>1.9668644067796599</v>
      </c>
      <c r="R1481">
        <v>2.71</v>
      </c>
      <c r="S1481">
        <v>23.21</v>
      </c>
      <c r="T1481">
        <v>25.79</v>
      </c>
      <c r="U1481">
        <v>10.3</v>
      </c>
      <c r="V1481">
        <v>28.44</v>
      </c>
      <c r="W1481">
        <v>1.1000000000000001</v>
      </c>
    </row>
    <row r="1482" spans="1:23" x14ac:dyDescent="0.3">
      <c r="A1482">
        <v>1481</v>
      </c>
      <c r="B1482" t="s">
        <v>1525</v>
      </c>
      <c r="C1482" t="s">
        <v>24</v>
      </c>
      <c r="D1482">
        <v>164</v>
      </c>
      <c r="E1482">
        <v>5120</v>
      </c>
      <c r="F1482" s="3">
        <v>186</v>
      </c>
      <c r="G1482">
        <v>10</v>
      </c>
      <c r="H1482">
        <v>5</v>
      </c>
      <c r="I1482" s="5">
        <v>3.04878048780487E-2</v>
      </c>
      <c r="J1482" s="3">
        <v>326</v>
      </c>
      <c r="K1482" s="1">
        <v>45619</v>
      </c>
      <c r="L1482" t="s">
        <v>25</v>
      </c>
      <c r="M1482" t="s">
        <v>39</v>
      </c>
      <c r="N1482" t="s">
        <v>49</v>
      </c>
      <c r="O1482" t="s">
        <v>28</v>
      </c>
      <c r="P1482" t="s">
        <v>29</v>
      </c>
      <c r="Q1482" s="6">
        <v>1.1322560975609699</v>
      </c>
      <c r="R1482">
        <v>3.2</v>
      </c>
      <c r="S1482">
        <v>18.57</v>
      </c>
      <c r="T1482">
        <v>37.14</v>
      </c>
      <c r="U1482">
        <v>75.56</v>
      </c>
      <c r="V1482">
        <v>65.2</v>
      </c>
      <c r="W1482">
        <v>1.76</v>
      </c>
    </row>
    <row r="1483" spans="1:23" x14ac:dyDescent="0.3">
      <c r="A1483">
        <v>1482</v>
      </c>
      <c r="B1483" t="s">
        <v>1526</v>
      </c>
      <c r="C1483" t="s">
        <v>24</v>
      </c>
      <c r="D1483">
        <v>166</v>
      </c>
      <c r="E1483">
        <v>3887</v>
      </c>
      <c r="F1483" s="3">
        <v>192</v>
      </c>
      <c r="G1483">
        <v>24</v>
      </c>
      <c r="H1483">
        <v>9</v>
      </c>
      <c r="I1483" s="5">
        <v>5.4216867469879498E-2</v>
      </c>
      <c r="J1483" s="3">
        <v>386</v>
      </c>
      <c r="K1483" s="1">
        <v>45609</v>
      </c>
      <c r="L1483" t="s">
        <v>25</v>
      </c>
      <c r="M1483" t="s">
        <v>39</v>
      </c>
      <c r="N1483" t="s">
        <v>32</v>
      </c>
      <c r="O1483" t="s">
        <v>28</v>
      </c>
      <c r="P1483" t="s">
        <v>33</v>
      </c>
      <c r="Q1483" s="6">
        <v>1.1566265060240899</v>
      </c>
      <c r="R1483">
        <v>4.2699999999999996</v>
      </c>
      <c r="S1483">
        <v>8</v>
      </c>
      <c r="T1483">
        <v>21.33</v>
      </c>
      <c r="U1483">
        <v>101.04</v>
      </c>
      <c r="V1483">
        <v>42.89</v>
      </c>
      <c r="W1483">
        <v>2.0099999999999998</v>
      </c>
    </row>
    <row r="1484" spans="1:23" x14ac:dyDescent="0.3">
      <c r="A1484">
        <v>1483</v>
      </c>
      <c r="B1484" t="s">
        <v>1527</v>
      </c>
      <c r="C1484" t="s">
        <v>38</v>
      </c>
      <c r="D1484">
        <v>88</v>
      </c>
      <c r="E1484">
        <v>3909</v>
      </c>
      <c r="F1484" s="3">
        <v>190</v>
      </c>
      <c r="G1484">
        <v>30</v>
      </c>
      <c r="H1484">
        <v>10</v>
      </c>
      <c r="I1484" s="5">
        <v>0.11363636363636299</v>
      </c>
      <c r="J1484" s="3">
        <v>357</v>
      </c>
      <c r="K1484" s="1">
        <v>45625</v>
      </c>
      <c r="L1484" t="s">
        <v>25</v>
      </c>
      <c r="M1484" t="s">
        <v>26</v>
      </c>
      <c r="N1484" t="s">
        <v>40</v>
      </c>
      <c r="O1484" t="s">
        <v>28</v>
      </c>
      <c r="P1484" t="s">
        <v>45</v>
      </c>
      <c r="Q1484" s="6">
        <v>2.1542045454545402</v>
      </c>
      <c r="R1484">
        <v>2.25</v>
      </c>
      <c r="S1484">
        <v>6.32</v>
      </c>
      <c r="T1484">
        <v>18.96</v>
      </c>
      <c r="U1484">
        <v>88.32</v>
      </c>
      <c r="V1484">
        <v>35.700000000000003</v>
      </c>
      <c r="W1484">
        <v>1.88</v>
      </c>
    </row>
    <row r="1485" spans="1:23" x14ac:dyDescent="0.3">
      <c r="A1485">
        <v>1484</v>
      </c>
      <c r="B1485" t="s">
        <v>1528</v>
      </c>
      <c r="C1485" t="s">
        <v>24</v>
      </c>
      <c r="D1485">
        <v>125</v>
      </c>
      <c r="E1485">
        <v>3017</v>
      </c>
      <c r="F1485" s="3">
        <v>233</v>
      </c>
      <c r="G1485">
        <v>14</v>
      </c>
      <c r="H1485">
        <v>7</v>
      </c>
      <c r="I1485" s="5">
        <v>5.6000000000000001E-2</v>
      </c>
      <c r="J1485" s="3">
        <v>308</v>
      </c>
      <c r="K1485" s="1">
        <v>45604</v>
      </c>
      <c r="L1485" t="s">
        <v>25</v>
      </c>
      <c r="M1485" t="s">
        <v>39</v>
      </c>
      <c r="N1485" t="s">
        <v>40</v>
      </c>
      <c r="O1485" t="s">
        <v>28</v>
      </c>
      <c r="P1485" t="s">
        <v>45</v>
      </c>
      <c r="Q1485" s="6">
        <v>1.86008</v>
      </c>
      <c r="R1485">
        <v>4.1399999999999997</v>
      </c>
      <c r="S1485">
        <v>16.61</v>
      </c>
      <c r="T1485">
        <v>33.22</v>
      </c>
      <c r="U1485">
        <v>32.47</v>
      </c>
      <c r="V1485">
        <v>44</v>
      </c>
      <c r="W1485">
        <v>1.32</v>
      </c>
    </row>
    <row r="1486" spans="1:23" x14ac:dyDescent="0.3">
      <c r="A1486">
        <v>1485</v>
      </c>
      <c r="B1486" t="s">
        <v>1529</v>
      </c>
      <c r="C1486" t="s">
        <v>24</v>
      </c>
      <c r="D1486">
        <v>155</v>
      </c>
      <c r="E1486">
        <v>5127</v>
      </c>
      <c r="F1486" s="3">
        <v>207</v>
      </c>
      <c r="G1486">
        <v>26</v>
      </c>
      <c r="H1486">
        <v>5</v>
      </c>
      <c r="I1486" s="5">
        <v>3.2258064516128997E-2</v>
      </c>
      <c r="J1486" s="3">
        <v>388</v>
      </c>
      <c r="K1486" s="1">
        <v>45613</v>
      </c>
      <c r="L1486" t="s">
        <v>25</v>
      </c>
      <c r="M1486" t="s">
        <v>26</v>
      </c>
      <c r="N1486" t="s">
        <v>44</v>
      </c>
      <c r="O1486" t="s">
        <v>28</v>
      </c>
      <c r="P1486" t="s">
        <v>50</v>
      </c>
      <c r="Q1486" s="6">
        <v>1.33516129032258</v>
      </c>
      <c r="R1486">
        <v>3.02</v>
      </c>
      <c r="S1486">
        <v>7.96</v>
      </c>
      <c r="T1486">
        <v>41.39</v>
      </c>
      <c r="U1486">
        <v>87.48</v>
      </c>
      <c r="V1486">
        <v>77.599999999999994</v>
      </c>
      <c r="W1486">
        <v>1.87</v>
      </c>
    </row>
    <row r="1487" spans="1:23" x14ac:dyDescent="0.3">
      <c r="A1487">
        <v>1486</v>
      </c>
      <c r="B1487" t="s">
        <v>1530</v>
      </c>
      <c r="C1487" t="s">
        <v>43</v>
      </c>
      <c r="D1487">
        <v>151</v>
      </c>
      <c r="E1487">
        <v>3992</v>
      </c>
      <c r="F1487" s="3">
        <v>212</v>
      </c>
      <c r="G1487">
        <v>10</v>
      </c>
      <c r="H1487">
        <v>9</v>
      </c>
      <c r="I1487" s="5">
        <v>5.9602649006622502E-2</v>
      </c>
      <c r="J1487" s="3">
        <v>386</v>
      </c>
      <c r="K1487" s="1">
        <v>45622</v>
      </c>
      <c r="L1487" t="s">
        <v>25</v>
      </c>
      <c r="M1487" t="s">
        <v>39</v>
      </c>
      <c r="N1487" t="s">
        <v>27</v>
      </c>
      <c r="O1487" t="s">
        <v>28</v>
      </c>
      <c r="P1487" t="s">
        <v>41</v>
      </c>
      <c r="Q1487" s="6">
        <v>1.40675496688741</v>
      </c>
      <c r="R1487">
        <v>3.78</v>
      </c>
      <c r="S1487">
        <v>21.24</v>
      </c>
      <c r="T1487">
        <v>23.6</v>
      </c>
      <c r="U1487">
        <v>81.72</v>
      </c>
      <c r="V1487">
        <v>42.89</v>
      </c>
      <c r="W1487">
        <v>1.82</v>
      </c>
    </row>
    <row r="1488" spans="1:23" x14ac:dyDescent="0.3">
      <c r="A1488">
        <v>1487</v>
      </c>
      <c r="B1488" t="s">
        <v>1531</v>
      </c>
      <c r="C1488" t="s">
        <v>24</v>
      </c>
      <c r="D1488">
        <v>182</v>
      </c>
      <c r="E1488">
        <v>3554</v>
      </c>
      <c r="F1488" s="3">
        <v>182</v>
      </c>
      <c r="G1488">
        <v>18</v>
      </c>
      <c r="H1488">
        <v>4</v>
      </c>
      <c r="I1488" s="5">
        <v>2.19780219780219E-2</v>
      </c>
      <c r="J1488" s="3">
        <v>394</v>
      </c>
      <c r="K1488" s="1">
        <v>45598</v>
      </c>
      <c r="L1488" t="s">
        <v>25</v>
      </c>
      <c r="M1488" t="s">
        <v>39</v>
      </c>
      <c r="N1488" t="s">
        <v>27</v>
      </c>
      <c r="O1488" t="s">
        <v>28</v>
      </c>
      <c r="P1488" t="s">
        <v>29</v>
      </c>
      <c r="Q1488" s="6">
        <v>0.998571428571428</v>
      </c>
      <c r="R1488">
        <v>5.12</v>
      </c>
      <c r="S1488">
        <v>10.1</v>
      </c>
      <c r="T1488">
        <v>45.44</v>
      </c>
      <c r="U1488">
        <v>116.79</v>
      </c>
      <c r="V1488">
        <v>98.5</v>
      </c>
      <c r="W1488">
        <v>2.17</v>
      </c>
    </row>
    <row r="1489" spans="1:23" x14ac:dyDescent="0.3">
      <c r="A1489">
        <v>1488</v>
      </c>
      <c r="B1489" t="s">
        <v>1532</v>
      </c>
      <c r="C1489" t="s">
        <v>38</v>
      </c>
      <c r="D1489">
        <v>84</v>
      </c>
      <c r="E1489">
        <v>4051</v>
      </c>
      <c r="F1489" s="3">
        <v>197</v>
      </c>
      <c r="G1489">
        <v>21</v>
      </c>
      <c r="H1489">
        <v>4</v>
      </c>
      <c r="I1489" s="5">
        <v>4.7619047619047603E-2</v>
      </c>
      <c r="J1489" s="3">
        <v>223</v>
      </c>
      <c r="K1489" s="1">
        <v>45610</v>
      </c>
      <c r="L1489" t="s">
        <v>25</v>
      </c>
      <c r="M1489" t="s">
        <v>31</v>
      </c>
      <c r="N1489" t="s">
        <v>44</v>
      </c>
      <c r="O1489" t="s">
        <v>28</v>
      </c>
      <c r="P1489" t="s">
        <v>54</v>
      </c>
      <c r="Q1489" s="6">
        <v>2.3432142857142799</v>
      </c>
      <c r="R1489">
        <v>2.0699999999999998</v>
      </c>
      <c r="S1489">
        <v>9.3699999999999992</v>
      </c>
      <c r="T1489">
        <v>49.21</v>
      </c>
      <c r="U1489">
        <v>13.3</v>
      </c>
      <c r="V1489">
        <v>55.75</v>
      </c>
      <c r="W1489">
        <v>1.1299999999999999</v>
      </c>
    </row>
    <row r="1490" spans="1:23" x14ac:dyDescent="0.3">
      <c r="A1490">
        <v>1489</v>
      </c>
      <c r="B1490" t="s">
        <v>1533</v>
      </c>
      <c r="C1490" t="s">
        <v>35</v>
      </c>
      <c r="D1490">
        <v>127</v>
      </c>
      <c r="E1490">
        <v>3541</v>
      </c>
      <c r="F1490" s="3">
        <v>239</v>
      </c>
      <c r="G1490">
        <v>16</v>
      </c>
      <c r="H1490">
        <v>10</v>
      </c>
      <c r="I1490" s="5">
        <v>7.8740157480314904E-2</v>
      </c>
      <c r="J1490" s="3">
        <v>301</v>
      </c>
      <c r="K1490" s="1">
        <v>45621</v>
      </c>
      <c r="L1490" t="s">
        <v>25</v>
      </c>
      <c r="M1490" t="s">
        <v>39</v>
      </c>
      <c r="N1490" t="s">
        <v>40</v>
      </c>
      <c r="O1490" t="s">
        <v>28</v>
      </c>
      <c r="P1490" t="s">
        <v>59</v>
      </c>
      <c r="Q1490" s="6">
        <v>1.8855905511811</v>
      </c>
      <c r="R1490">
        <v>3.59</v>
      </c>
      <c r="S1490">
        <v>14.97</v>
      </c>
      <c r="T1490">
        <v>23.95</v>
      </c>
      <c r="U1490">
        <v>25.69</v>
      </c>
      <c r="V1490">
        <v>30.1</v>
      </c>
      <c r="W1490">
        <v>1.26</v>
      </c>
    </row>
    <row r="1491" spans="1:23" x14ac:dyDescent="0.3">
      <c r="A1491">
        <v>1490</v>
      </c>
      <c r="B1491" t="s">
        <v>1534</v>
      </c>
      <c r="C1491" t="s">
        <v>24</v>
      </c>
      <c r="D1491">
        <v>104</v>
      </c>
      <c r="E1491">
        <v>5878</v>
      </c>
      <c r="F1491" s="3">
        <v>229</v>
      </c>
      <c r="G1491">
        <v>21</v>
      </c>
      <c r="H1491">
        <v>3</v>
      </c>
      <c r="I1491" s="5">
        <v>2.8846153846153799E-2</v>
      </c>
      <c r="J1491" s="3">
        <v>225</v>
      </c>
      <c r="K1491" s="1">
        <v>45601</v>
      </c>
      <c r="L1491" t="s">
        <v>25</v>
      </c>
      <c r="M1491" t="s">
        <v>31</v>
      </c>
      <c r="N1491" t="s">
        <v>32</v>
      </c>
      <c r="O1491" t="s">
        <v>28</v>
      </c>
      <c r="P1491" t="s">
        <v>41</v>
      </c>
      <c r="Q1491" s="6">
        <v>2.1999038461538398</v>
      </c>
      <c r="R1491">
        <v>1.77</v>
      </c>
      <c r="S1491">
        <v>10.89</v>
      </c>
      <c r="T1491">
        <v>76.260000000000005</v>
      </c>
      <c r="U1491">
        <v>-1.66</v>
      </c>
      <c r="V1491">
        <v>75</v>
      </c>
      <c r="W1491">
        <v>0.98</v>
      </c>
    </row>
    <row r="1492" spans="1:23" x14ac:dyDescent="0.3">
      <c r="A1492">
        <v>1491</v>
      </c>
      <c r="B1492" t="s">
        <v>1535</v>
      </c>
      <c r="C1492" t="s">
        <v>43</v>
      </c>
      <c r="D1492">
        <v>161</v>
      </c>
      <c r="E1492">
        <v>4611</v>
      </c>
      <c r="F1492" s="3">
        <v>228</v>
      </c>
      <c r="G1492">
        <v>26</v>
      </c>
      <c r="H1492">
        <v>7</v>
      </c>
      <c r="I1492" s="5">
        <v>4.3478260869565202E-2</v>
      </c>
      <c r="J1492" s="3">
        <v>301</v>
      </c>
      <c r="K1492" s="1">
        <v>45621</v>
      </c>
      <c r="L1492" t="s">
        <v>25</v>
      </c>
      <c r="M1492" t="s">
        <v>39</v>
      </c>
      <c r="N1492" t="s">
        <v>36</v>
      </c>
      <c r="O1492" t="s">
        <v>28</v>
      </c>
      <c r="P1492" t="s">
        <v>59</v>
      </c>
      <c r="Q1492" s="6">
        <v>1.4182608695652099</v>
      </c>
      <c r="R1492">
        <v>3.49</v>
      </c>
      <c r="S1492">
        <v>8.7799999999999994</v>
      </c>
      <c r="T1492">
        <v>32.619999999999997</v>
      </c>
      <c r="U1492">
        <v>31.82</v>
      </c>
      <c r="V1492">
        <v>43</v>
      </c>
      <c r="W1492">
        <v>1.32</v>
      </c>
    </row>
    <row r="1493" spans="1:23" x14ac:dyDescent="0.3">
      <c r="A1493">
        <v>1492</v>
      </c>
      <c r="B1493" t="s">
        <v>1536</v>
      </c>
      <c r="C1493" t="s">
        <v>43</v>
      </c>
      <c r="D1493">
        <v>141</v>
      </c>
      <c r="E1493">
        <v>4764</v>
      </c>
      <c r="F1493" s="3">
        <v>188</v>
      </c>
      <c r="G1493">
        <v>28</v>
      </c>
      <c r="H1493">
        <v>4</v>
      </c>
      <c r="I1493" s="5">
        <v>2.8368794326241099E-2</v>
      </c>
      <c r="J1493" s="3">
        <v>291</v>
      </c>
      <c r="K1493" s="1">
        <v>45612</v>
      </c>
      <c r="L1493" t="s">
        <v>25</v>
      </c>
      <c r="M1493" t="s">
        <v>31</v>
      </c>
      <c r="N1493" t="s">
        <v>49</v>
      </c>
      <c r="O1493" t="s">
        <v>28</v>
      </c>
      <c r="P1493" t="s">
        <v>29</v>
      </c>
      <c r="Q1493" s="6">
        <v>1.3313475177304901</v>
      </c>
      <c r="R1493">
        <v>2.96</v>
      </c>
      <c r="S1493">
        <v>6.7</v>
      </c>
      <c r="T1493">
        <v>46.93</v>
      </c>
      <c r="U1493">
        <v>55.02</v>
      </c>
      <c r="V1493">
        <v>72.75</v>
      </c>
      <c r="W1493">
        <v>1.55</v>
      </c>
    </row>
    <row r="1494" spans="1:23" x14ac:dyDescent="0.3">
      <c r="A1494">
        <v>1493</v>
      </c>
      <c r="B1494" t="s">
        <v>1537</v>
      </c>
      <c r="C1494" t="s">
        <v>38</v>
      </c>
      <c r="D1494">
        <v>186</v>
      </c>
      <c r="E1494">
        <v>4603</v>
      </c>
      <c r="F1494" s="3">
        <v>192</v>
      </c>
      <c r="G1494">
        <v>26</v>
      </c>
      <c r="H1494">
        <v>9</v>
      </c>
      <c r="I1494" s="5">
        <v>4.8387096774193498E-2</v>
      </c>
      <c r="J1494" s="3">
        <v>391</v>
      </c>
      <c r="K1494" s="1">
        <v>45603</v>
      </c>
      <c r="L1494" t="s">
        <v>25</v>
      </c>
      <c r="M1494" t="s">
        <v>26</v>
      </c>
      <c r="N1494" t="s">
        <v>27</v>
      </c>
      <c r="O1494" t="s">
        <v>28</v>
      </c>
      <c r="P1494" t="s">
        <v>54</v>
      </c>
      <c r="Q1494" s="6">
        <v>1.0313978494623599</v>
      </c>
      <c r="R1494">
        <v>4.04</v>
      </c>
      <c r="S1494">
        <v>7.38</v>
      </c>
      <c r="T1494">
        <v>21.32</v>
      </c>
      <c r="U1494">
        <v>103.82</v>
      </c>
      <c r="V1494">
        <v>43.44</v>
      </c>
      <c r="W1494">
        <v>2.04</v>
      </c>
    </row>
    <row r="1495" spans="1:23" x14ac:dyDescent="0.3">
      <c r="A1495">
        <v>1494</v>
      </c>
      <c r="B1495" t="s">
        <v>1538</v>
      </c>
      <c r="C1495" t="s">
        <v>43</v>
      </c>
      <c r="D1495">
        <v>152</v>
      </c>
      <c r="E1495">
        <v>5003</v>
      </c>
      <c r="F1495" s="3">
        <v>195</v>
      </c>
      <c r="G1495">
        <v>15</v>
      </c>
      <c r="H1495">
        <v>7</v>
      </c>
      <c r="I1495" s="5">
        <v>4.6052631578947303E-2</v>
      </c>
      <c r="J1495" s="3">
        <v>260</v>
      </c>
      <c r="K1495" s="1">
        <v>45614</v>
      </c>
      <c r="L1495" t="s">
        <v>25</v>
      </c>
      <c r="M1495" t="s">
        <v>26</v>
      </c>
      <c r="N1495" t="s">
        <v>40</v>
      </c>
      <c r="O1495" t="s">
        <v>28</v>
      </c>
      <c r="P1495" t="s">
        <v>59</v>
      </c>
      <c r="Q1495" s="6">
        <v>1.2855263157894701</v>
      </c>
      <c r="R1495">
        <v>3.04</v>
      </c>
      <c r="S1495">
        <v>13.03</v>
      </c>
      <c r="T1495">
        <v>27.91</v>
      </c>
      <c r="U1495">
        <v>33.06</v>
      </c>
      <c r="V1495">
        <v>37.14</v>
      </c>
      <c r="W1495">
        <v>1.33</v>
      </c>
    </row>
    <row r="1496" spans="1:23" x14ac:dyDescent="0.3">
      <c r="A1496">
        <v>1495</v>
      </c>
      <c r="B1496" t="s">
        <v>1539</v>
      </c>
      <c r="C1496" t="s">
        <v>24</v>
      </c>
      <c r="D1496">
        <v>124</v>
      </c>
      <c r="E1496">
        <v>5212</v>
      </c>
      <c r="F1496" s="3">
        <v>191</v>
      </c>
      <c r="G1496">
        <v>13</v>
      </c>
      <c r="H1496">
        <v>6</v>
      </c>
      <c r="I1496" s="5">
        <v>4.8387096774193498E-2</v>
      </c>
      <c r="J1496" s="3">
        <v>286</v>
      </c>
      <c r="K1496" s="1">
        <v>45603</v>
      </c>
      <c r="L1496" t="s">
        <v>25</v>
      </c>
      <c r="M1496" t="s">
        <v>26</v>
      </c>
      <c r="N1496" t="s">
        <v>32</v>
      </c>
      <c r="O1496" t="s">
        <v>28</v>
      </c>
      <c r="P1496" t="s">
        <v>54</v>
      </c>
      <c r="Q1496" s="6">
        <v>1.5389516129032199</v>
      </c>
      <c r="R1496">
        <v>2.38</v>
      </c>
      <c r="S1496">
        <v>14.68</v>
      </c>
      <c r="T1496">
        <v>31.81</v>
      </c>
      <c r="U1496">
        <v>49.87</v>
      </c>
      <c r="V1496">
        <v>47.67</v>
      </c>
      <c r="W1496">
        <v>1.5</v>
      </c>
    </row>
    <row r="1497" spans="1:23" x14ac:dyDescent="0.3">
      <c r="A1497">
        <v>1496</v>
      </c>
      <c r="B1497" t="s">
        <v>1540</v>
      </c>
      <c r="C1497" t="s">
        <v>35</v>
      </c>
      <c r="D1497">
        <v>97</v>
      </c>
      <c r="E1497">
        <v>5285</v>
      </c>
      <c r="F1497" s="3">
        <v>250</v>
      </c>
      <c r="G1497">
        <v>12</v>
      </c>
      <c r="H1497">
        <v>7</v>
      </c>
      <c r="I1497" s="5">
        <v>7.2164948453608199E-2</v>
      </c>
      <c r="J1497" s="3">
        <v>288</v>
      </c>
      <c r="K1497" s="1">
        <v>45623</v>
      </c>
      <c r="L1497" t="s">
        <v>25</v>
      </c>
      <c r="M1497" t="s">
        <v>26</v>
      </c>
      <c r="N1497" t="s">
        <v>40</v>
      </c>
      <c r="O1497" t="s">
        <v>28</v>
      </c>
      <c r="P1497" t="s">
        <v>33</v>
      </c>
      <c r="Q1497" s="6">
        <v>2.57371134020618</v>
      </c>
      <c r="R1497">
        <v>1.84</v>
      </c>
      <c r="S1497">
        <v>20.8</v>
      </c>
      <c r="T1497">
        <v>35.659999999999997</v>
      </c>
      <c r="U1497">
        <v>15.36</v>
      </c>
      <c r="V1497">
        <v>41.14</v>
      </c>
      <c r="W1497">
        <v>1.1499999999999999</v>
      </c>
    </row>
    <row r="1498" spans="1:23" x14ac:dyDescent="0.3">
      <c r="A1498">
        <v>1497</v>
      </c>
      <c r="B1498" t="s">
        <v>1541</v>
      </c>
      <c r="C1498" t="s">
        <v>43</v>
      </c>
      <c r="D1498">
        <v>111</v>
      </c>
      <c r="E1498">
        <v>3177</v>
      </c>
      <c r="F1498" s="3">
        <v>225</v>
      </c>
      <c r="G1498">
        <v>18</v>
      </c>
      <c r="H1498">
        <v>8</v>
      </c>
      <c r="I1498" s="5">
        <v>7.2072072072072002E-2</v>
      </c>
      <c r="J1498" s="3">
        <v>397</v>
      </c>
      <c r="K1498" s="1">
        <v>45621</v>
      </c>
      <c r="L1498" t="s">
        <v>25</v>
      </c>
      <c r="M1498" t="s">
        <v>26</v>
      </c>
      <c r="N1498" t="s">
        <v>27</v>
      </c>
      <c r="O1498" t="s">
        <v>28</v>
      </c>
      <c r="P1498" t="s">
        <v>59</v>
      </c>
      <c r="Q1498" s="6">
        <v>2.0226126126126101</v>
      </c>
      <c r="R1498">
        <v>3.49</v>
      </c>
      <c r="S1498">
        <v>12.47</v>
      </c>
      <c r="T1498">
        <v>28.06</v>
      </c>
      <c r="U1498">
        <v>76.83</v>
      </c>
      <c r="V1498">
        <v>49.62</v>
      </c>
      <c r="W1498">
        <v>1.77</v>
      </c>
    </row>
    <row r="1499" spans="1:23" x14ac:dyDescent="0.3">
      <c r="A1499">
        <v>1498</v>
      </c>
      <c r="B1499" t="s">
        <v>1542</v>
      </c>
      <c r="C1499" t="s">
        <v>43</v>
      </c>
      <c r="D1499">
        <v>93</v>
      </c>
      <c r="E1499">
        <v>5571</v>
      </c>
      <c r="F1499" s="3">
        <v>186</v>
      </c>
      <c r="G1499">
        <v>12</v>
      </c>
      <c r="H1499">
        <v>7</v>
      </c>
      <c r="I1499" s="5">
        <v>7.5268817204300995E-2</v>
      </c>
      <c r="J1499" s="3">
        <v>333</v>
      </c>
      <c r="K1499" s="1">
        <v>45617</v>
      </c>
      <c r="L1499" t="s">
        <v>25</v>
      </c>
      <c r="M1499" t="s">
        <v>39</v>
      </c>
      <c r="N1499" t="s">
        <v>44</v>
      </c>
      <c r="O1499" t="s">
        <v>28</v>
      </c>
      <c r="P1499" t="s">
        <v>54</v>
      </c>
      <c r="Q1499" s="6">
        <v>1.9968817204300999</v>
      </c>
      <c r="R1499">
        <v>1.67</v>
      </c>
      <c r="S1499">
        <v>15.48</v>
      </c>
      <c r="T1499">
        <v>26.53</v>
      </c>
      <c r="U1499">
        <v>79.31</v>
      </c>
      <c r="V1499">
        <v>47.57</v>
      </c>
      <c r="W1499">
        <v>1.79</v>
      </c>
    </row>
    <row r="1500" spans="1:23" x14ac:dyDescent="0.3">
      <c r="A1500">
        <v>1499</v>
      </c>
      <c r="B1500" t="s">
        <v>1543</v>
      </c>
      <c r="C1500" t="s">
        <v>24</v>
      </c>
      <c r="D1500">
        <v>92</v>
      </c>
      <c r="E1500">
        <v>3237</v>
      </c>
      <c r="F1500" s="3">
        <v>245</v>
      </c>
      <c r="G1500">
        <v>15</v>
      </c>
      <c r="H1500">
        <v>6</v>
      </c>
      <c r="I1500" s="5">
        <v>6.5217391304347797E-2</v>
      </c>
      <c r="J1500" s="3">
        <v>280.28571428571399</v>
      </c>
      <c r="K1500" s="1">
        <v>45615</v>
      </c>
      <c r="L1500" t="s">
        <v>25</v>
      </c>
      <c r="M1500" t="s">
        <v>26</v>
      </c>
      <c r="N1500" t="s">
        <v>36</v>
      </c>
      <c r="O1500" t="s">
        <v>28</v>
      </c>
      <c r="P1500" t="s">
        <v>41</v>
      </c>
      <c r="Q1500" s="6">
        <v>2.6682608695652101</v>
      </c>
      <c r="R1500">
        <v>2.84</v>
      </c>
      <c r="S1500">
        <v>16.37</v>
      </c>
      <c r="T1500">
        <v>40.909999999999997</v>
      </c>
      <c r="U1500">
        <v>14.18</v>
      </c>
      <c r="V1500">
        <v>46.71</v>
      </c>
      <c r="W1500">
        <v>1.1399999999999999</v>
      </c>
    </row>
    <row r="1501" spans="1:23" x14ac:dyDescent="0.3">
      <c r="A1501">
        <v>1500</v>
      </c>
      <c r="B1501" t="s">
        <v>1544</v>
      </c>
      <c r="C1501" t="s">
        <v>24</v>
      </c>
      <c r="D1501">
        <v>138</v>
      </c>
      <c r="E1501">
        <v>5314</v>
      </c>
      <c r="F1501" s="3">
        <v>198</v>
      </c>
      <c r="G1501">
        <v>17</v>
      </c>
      <c r="H1501">
        <v>10</v>
      </c>
      <c r="I1501" s="5">
        <v>7.2463768115942004E-2</v>
      </c>
      <c r="J1501" s="3">
        <v>255</v>
      </c>
      <c r="K1501" s="1">
        <v>45616</v>
      </c>
      <c r="L1501" t="s">
        <v>25</v>
      </c>
      <c r="M1501" t="s">
        <v>26</v>
      </c>
      <c r="N1501" t="s">
        <v>44</v>
      </c>
      <c r="O1501" t="s">
        <v>28</v>
      </c>
      <c r="P1501" t="s">
        <v>33</v>
      </c>
      <c r="Q1501" s="6">
        <v>1.4376086956521701</v>
      </c>
      <c r="R1501">
        <v>2.6</v>
      </c>
      <c r="S1501">
        <v>11.67</v>
      </c>
      <c r="T1501">
        <v>19.84</v>
      </c>
      <c r="U1501">
        <v>28.53</v>
      </c>
      <c r="V1501">
        <v>25.5</v>
      </c>
      <c r="W1501">
        <v>1.29</v>
      </c>
    </row>
    <row r="1502" spans="1:23" x14ac:dyDescent="0.3">
      <c r="A1502">
        <v>1501</v>
      </c>
      <c r="B1502" t="s">
        <v>1545</v>
      </c>
      <c r="C1502" t="s">
        <v>24</v>
      </c>
      <c r="D1502">
        <v>129</v>
      </c>
      <c r="E1502">
        <v>4452</v>
      </c>
      <c r="F1502" s="3">
        <v>196</v>
      </c>
      <c r="G1502">
        <v>10</v>
      </c>
      <c r="H1502">
        <v>9</v>
      </c>
      <c r="I1502" s="5">
        <v>6.9767441860465101E-2</v>
      </c>
      <c r="J1502" s="3">
        <v>218</v>
      </c>
      <c r="K1502" s="1">
        <v>45609</v>
      </c>
      <c r="L1502" t="s">
        <v>25</v>
      </c>
      <c r="M1502" t="s">
        <v>39</v>
      </c>
      <c r="N1502" t="s">
        <v>27</v>
      </c>
      <c r="O1502" t="s">
        <v>28</v>
      </c>
      <c r="P1502" t="s">
        <v>33</v>
      </c>
      <c r="Q1502" s="6">
        <v>1.51984496124031</v>
      </c>
      <c r="R1502">
        <v>2.9</v>
      </c>
      <c r="S1502">
        <v>19.61</v>
      </c>
      <c r="T1502">
        <v>21.78</v>
      </c>
      <c r="U1502">
        <v>11.19</v>
      </c>
      <c r="V1502">
        <v>24.22</v>
      </c>
      <c r="W1502">
        <v>1.1100000000000001</v>
      </c>
    </row>
    <row r="1503" spans="1:23" x14ac:dyDescent="0.3">
      <c r="A1503">
        <v>1502</v>
      </c>
      <c r="B1503" t="s">
        <v>1546</v>
      </c>
      <c r="C1503" t="s">
        <v>38</v>
      </c>
      <c r="D1503">
        <v>183</v>
      </c>
      <c r="E1503">
        <v>3920</v>
      </c>
      <c r="F1503" s="3">
        <v>236</v>
      </c>
      <c r="G1503">
        <v>20</v>
      </c>
      <c r="H1503">
        <v>7</v>
      </c>
      <c r="I1503" s="5">
        <v>3.8251366120218497E-2</v>
      </c>
      <c r="J1503" s="3">
        <v>253</v>
      </c>
      <c r="K1503" s="1">
        <v>45613</v>
      </c>
      <c r="L1503" t="s">
        <v>25</v>
      </c>
      <c r="M1503" t="s">
        <v>31</v>
      </c>
      <c r="N1503" t="s">
        <v>40</v>
      </c>
      <c r="O1503" t="s">
        <v>28</v>
      </c>
      <c r="P1503" t="s">
        <v>50</v>
      </c>
      <c r="Q1503" s="6">
        <v>1.28846994535519</v>
      </c>
      <c r="R1503">
        <v>4.67</v>
      </c>
      <c r="S1503">
        <v>11.79</v>
      </c>
      <c r="T1503">
        <v>33.68</v>
      </c>
      <c r="U1503">
        <v>7.3</v>
      </c>
      <c r="V1503">
        <v>36.14</v>
      </c>
      <c r="W1503">
        <v>1.07</v>
      </c>
    </row>
    <row r="1504" spans="1:23" x14ac:dyDescent="0.3">
      <c r="A1504">
        <v>1503</v>
      </c>
      <c r="B1504" t="s">
        <v>1547</v>
      </c>
      <c r="C1504" t="s">
        <v>43</v>
      </c>
      <c r="D1504">
        <v>154</v>
      </c>
      <c r="E1504">
        <v>4603</v>
      </c>
      <c r="F1504" s="3">
        <v>214</v>
      </c>
      <c r="G1504">
        <v>20</v>
      </c>
      <c r="H1504">
        <v>3</v>
      </c>
      <c r="I1504" s="5">
        <v>1.94805194805194E-2</v>
      </c>
      <c r="J1504" s="3">
        <v>349</v>
      </c>
      <c r="K1504" s="1">
        <v>45614</v>
      </c>
      <c r="L1504" t="s">
        <v>25</v>
      </c>
      <c r="M1504" t="s">
        <v>39</v>
      </c>
      <c r="N1504" t="s">
        <v>32</v>
      </c>
      <c r="O1504" t="s">
        <v>28</v>
      </c>
      <c r="P1504" t="s">
        <v>59</v>
      </c>
      <c r="Q1504" s="6">
        <v>1.38961038961038</v>
      </c>
      <c r="R1504">
        <v>3.35</v>
      </c>
      <c r="S1504">
        <v>10.7</v>
      </c>
      <c r="T1504">
        <v>71.33</v>
      </c>
      <c r="U1504">
        <v>63.08</v>
      </c>
      <c r="V1504">
        <v>116.33</v>
      </c>
      <c r="W1504">
        <v>1.63</v>
      </c>
    </row>
    <row r="1505" spans="1:23" x14ac:dyDescent="0.3">
      <c r="A1505">
        <v>1504</v>
      </c>
      <c r="B1505" t="s">
        <v>1548</v>
      </c>
      <c r="C1505" t="s">
        <v>38</v>
      </c>
      <c r="D1505">
        <v>95</v>
      </c>
      <c r="E1505">
        <v>4938</v>
      </c>
      <c r="F1505" s="3">
        <v>204</v>
      </c>
      <c r="G1505">
        <v>12</v>
      </c>
      <c r="H1505">
        <v>6</v>
      </c>
      <c r="I1505" s="5">
        <v>6.3157894736842093E-2</v>
      </c>
      <c r="J1505" s="3">
        <v>305</v>
      </c>
      <c r="K1505" s="1">
        <v>45614</v>
      </c>
      <c r="L1505" t="s">
        <v>25</v>
      </c>
      <c r="M1505" t="s">
        <v>39</v>
      </c>
      <c r="N1505" t="s">
        <v>40</v>
      </c>
      <c r="O1505" t="s">
        <v>28</v>
      </c>
      <c r="P1505" t="s">
        <v>59</v>
      </c>
      <c r="Q1505" s="6">
        <v>2.1526315789473598</v>
      </c>
      <c r="R1505">
        <v>1.92</v>
      </c>
      <c r="S1505">
        <v>17.04</v>
      </c>
      <c r="T1505">
        <v>34.08</v>
      </c>
      <c r="U1505">
        <v>49.14</v>
      </c>
      <c r="V1505">
        <v>50.83</v>
      </c>
      <c r="W1505">
        <v>1.49</v>
      </c>
    </row>
    <row r="1506" spans="1:23" x14ac:dyDescent="0.3">
      <c r="A1506">
        <v>1505</v>
      </c>
      <c r="B1506" t="s">
        <v>1549</v>
      </c>
      <c r="C1506" t="s">
        <v>35</v>
      </c>
      <c r="D1506">
        <v>173</v>
      </c>
      <c r="E1506">
        <v>5291</v>
      </c>
      <c r="F1506" s="3">
        <v>264</v>
      </c>
      <c r="G1506">
        <v>23</v>
      </c>
      <c r="H1506">
        <v>8</v>
      </c>
      <c r="I1506" s="5">
        <v>4.6242774566473903E-2</v>
      </c>
      <c r="J1506" s="3">
        <v>318</v>
      </c>
      <c r="K1506" s="1">
        <v>45609</v>
      </c>
      <c r="L1506" t="s">
        <v>25</v>
      </c>
      <c r="M1506" t="s">
        <v>31</v>
      </c>
      <c r="N1506" t="s">
        <v>36</v>
      </c>
      <c r="O1506" t="s">
        <v>28</v>
      </c>
      <c r="P1506" t="s">
        <v>33</v>
      </c>
      <c r="Q1506" s="6">
        <v>1.5243795620437901</v>
      </c>
      <c r="R1506">
        <v>3.27</v>
      </c>
      <c r="S1506">
        <v>11.47</v>
      </c>
      <c r="T1506">
        <v>32.96</v>
      </c>
      <c r="U1506">
        <v>20.58</v>
      </c>
      <c r="V1506">
        <v>39.75</v>
      </c>
      <c r="W1506">
        <v>1.21</v>
      </c>
    </row>
    <row r="1507" spans="1:23" x14ac:dyDescent="0.3">
      <c r="A1507">
        <v>1506</v>
      </c>
      <c r="B1507" t="s">
        <v>1550</v>
      </c>
      <c r="C1507" t="s">
        <v>35</v>
      </c>
      <c r="D1507">
        <v>112</v>
      </c>
      <c r="E1507">
        <v>4072</v>
      </c>
      <c r="F1507" s="3">
        <v>212</v>
      </c>
      <c r="G1507">
        <v>17</v>
      </c>
      <c r="H1507">
        <v>10</v>
      </c>
      <c r="I1507" s="5">
        <v>8.9285714285714204E-2</v>
      </c>
      <c r="J1507" s="3">
        <v>251</v>
      </c>
      <c r="K1507" s="1">
        <v>45597</v>
      </c>
      <c r="L1507" t="s">
        <v>25</v>
      </c>
      <c r="M1507" t="s">
        <v>26</v>
      </c>
      <c r="N1507" t="s">
        <v>49</v>
      </c>
      <c r="O1507" t="s">
        <v>28</v>
      </c>
      <c r="P1507" t="s">
        <v>45</v>
      </c>
      <c r="Q1507" s="6">
        <v>1.88892857142857</v>
      </c>
      <c r="R1507">
        <v>2.75</v>
      </c>
      <c r="S1507">
        <v>12.44</v>
      </c>
      <c r="T1507">
        <v>21.16</v>
      </c>
      <c r="U1507">
        <v>18.64</v>
      </c>
      <c r="V1507">
        <v>25.1</v>
      </c>
      <c r="W1507">
        <v>1.19</v>
      </c>
    </row>
    <row r="1508" spans="1:23" x14ac:dyDescent="0.3">
      <c r="A1508">
        <v>1507</v>
      </c>
      <c r="B1508" t="s">
        <v>1551</v>
      </c>
      <c r="C1508" t="s">
        <v>43</v>
      </c>
      <c r="D1508">
        <v>170</v>
      </c>
      <c r="E1508">
        <v>5953</v>
      </c>
      <c r="F1508" s="3">
        <v>186</v>
      </c>
      <c r="G1508">
        <v>25</v>
      </c>
      <c r="H1508">
        <v>8</v>
      </c>
      <c r="I1508" s="5">
        <v>4.7058823529411702E-2</v>
      </c>
      <c r="J1508" s="3">
        <v>220</v>
      </c>
      <c r="K1508" s="1">
        <v>45622</v>
      </c>
      <c r="L1508" t="s">
        <v>25</v>
      </c>
      <c r="M1508" t="s">
        <v>31</v>
      </c>
      <c r="N1508" t="s">
        <v>36</v>
      </c>
      <c r="O1508" t="s">
        <v>28</v>
      </c>
      <c r="P1508" t="s">
        <v>41</v>
      </c>
      <c r="Q1508" s="6">
        <v>1.09476470588235</v>
      </c>
      <c r="R1508">
        <v>2.86</v>
      </c>
      <c r="S1508">
        <v>7.44</v>
      </c>
      <c r="T1508">
        <v>23.26</v>
      </c>
      <c r="U1508">
        <v>18.21</v>
      </c>
      <c r="V1508">
        <v>27.5</v>
      </c>
      <c r="W1508">
        <v>1.18</v>
      </c>
    </row>
    <row r="1509" spans="1:23" x14ac:dyDescent="0.3">
      <c r="A1509">
        <v>1508</v>
      </c>
      <c r="B1509" t="s">
        <v>1552</v>
      </c>
      <c r="C1509" t="s">
        <v>43</v>
      </c>
      <c r="D1509">
        <v>96</v>
      </c>
      <c r="E1509">
        <v>3166</v>
      </c>
      <c r="F1509" s="3">
        <v>233</v>
      </c>
      <c r="G1509">
        <v>14</v>
      </c>
      <c r="H1509">
        <v>10</v>
      </c>
      <c r="I1509" s="5">
        <v>0.10416666666666601</v>
      </c>
      <c r="J1509" s="3">
        <v>237</v>
      </c>
      <c r="K1509" s="1">
        <v>45610</v>
      </c>
      <c r="L1509" t="s">
        <v>25</v>
      </c>
      <c r="M1509" t="s">
        <v>31</v>
      </c>
      <c r="N1509" t="s">
        <v>27</v>
      </c>
      <c r="O1509" t="s">
        <v>28</v>
      </c>
      <c r="P1509" t="s">
        <v>54</v>
      </c>
      <c r="Q1509" s="6">
        <v>2.4257291666666601</v>
      </c>
      <c r="R1509">
        <v>3.03</v>
      </c>
      <c r="S1509">
        <v>16.63</v>
      </c>
      <c r="T1509">
        <v>23.29</v>
      </c>
      <c r="U1509">
        <v>1.77</v>
      </c>
      <c r="V1509">
        <v>23.7</v>
      </c>
      <c r="W1509">
        <v>1.02</v>
      </c>
    </row>
    <row r="1510" spans="1:23" x14ac:dyDescent="0.3">
      <c r="A1510">
        <v>1509</v>
      </c>
      <c r="B1510" t="s">
        <v>1553</v>
      </c>
      <c r="C1510" t="s">
        <v>38</v>
      </c>
      <c r="D1510">
        <v>113</v>
      </c>
      <c r="E1510">
        <v>3104</v>
      </c>
      <c r="F1510" s="3">
        <v>231</v>
      </c>
      <c r="G1510">
        <v>28</v>
      </c>
      <c r="H1510">
        <v>9</v>
      </c>
      <c r="I1510" s="5">
        <v>7.9646017699115002E-2</v>
      </c>
      <c r="J1510" s="3">
        <v>290</v>
      </c>
      <c r="K1510" s="1">
        <v>45623</v>
      </c>
      <c r="L1510" t="s">
        <v>25</v>
      </c>
      <c r="M1510" t="s">
        <v>39</v>
      </c>
      <c r="N1510" t="s">
        <v>32</v>
      </c>
      <c r="O1510" t="s">
        <v>28</v>
      </c>
      <c r="P1510" t="s">
        <v>33</v>
      </c>
      <c r="Q1510" s="6">
        <v>2.0435398230088402</v>
      </c>
      <c r="R1510">
        <v>3.64</v>
      </c>
      <c r="S1510">
        <v>8.25</v>
      </c>
      <c r="T1510">
        <v>25.66</v>
      </c>
      <c r="U1510">
        <v>25.58</v>
      </c>
      <c r="V1510">
        <v>32.22</v>
      </c>
      <c r="W1510">
        <v>1.26</v>
      </c>
    </row>
    <row r="1511" spans="1:23" x14ac:dyDescent="0.3">
      <c r="A1511">
        <v>1510</v>
      </c>
      <c r="B1511" t="s">
        <v>1554</v>
      </c>
      <c r="C1511" t="s">
        <v>35</v>
      </c>
      <c r="D1511">
        <v>145</v>
      </c>
      <c r="E1511">
        <v>4882</v>
      </c>
      <c r="F1511" s="3">
        <v>217</v>
      </c>
      <c r="G1511">
        <v>22</v>
      </c>
      <c r="H1511">
        <v>3</v>
      </c>
      <c r="I1511" s="5">
        <v>2.0689655172413699E-2</v>
      </c>
      <c r="J1511" s="3">
        <v>370</v>
      </c>
      <c r="K1511" s="1">
        <v>45615</v>
      </c>
      <c r="L1511" t="s">
        <v>25</v>
      </c>
      <c r="M1511" t="s">
        <v>31</v>
      </c>
      <c r="N1511" t="s">
        <v>49</v>
      </c>
      <c r="O1511" t="s">
        <v>28</v>
      </c>
      <c r="P1511" t="s">
        <v>41</v>
      </c>
      <c r="Q1511" s="6">
        <v>1.49827586206896</v>
      </c>
      <c r="R1511">
        <v>2.97</v>
      </c>
      <c r="S1511">
        <v>9.8800000000000008</v>
      </c>
      <c r="T1511">
        <v>72.42</v>
      </c>
      <c r="U1511">
        <v>70.31</v>
      </c>
      <c r="V1511">
        <v>123.33</v>
      </c>
      <c r="W1511">
        <v>1.7</v>
      </c>
    </row>
    <row r="1512" spans="1:23" x14ac:dyDescent="0.3">
      <c r="A1512">
        <v>1511</v>
      </c>
      <c r="B1512" t="s">
        <v>1555</v>
      </c>
      <c r="C1512" t="s">
        <v>35</v>
      </c>
      <c r="D1512">
        <v>83</v>
      </c>
      <c r="E1512">
        <v>3212</v>
      </c>
      <c r="F1512" s="3">
        <v>244</v>
      </c>
      <c r="G1512">
        <v>25</v>
      </c>
      <c r="H1512">
        <v>4</v>
      </c>
      <c r="I1512" s="5">
        <v>4.8192771084337303E-2</v>
      </c>
      <c r="J1512" s="3">
        <v>329</v>
      </c>
      <c r="K1512" s="1">
        <v>45615</v>
      </c>
      <c r="L1512" t="s">
        <v>25</v>
      </c>
      <c r="M1512" t="s">
        <v>31</v>
      </c>
      <c r="N1512" t="s">
        <v>32</v>
      </c>
      <c r="O1512" t="s">
        <v>28</v>
      </c>
      <c r="P1512" t="s">
        <v>41</v>
      </c>
      <c r="Q1512" s="6">
        <v>2.93807228915662</v>
      </c>
      <c r="R1512">
        <v>2.58</v>
      </c>
      <c r="S1512">
        <v>9.75</v>
      </c>
      <c r="T1512">
        <v>60.96</v>
      </c>
      <c r="U1512">
        <v>34.909999999999997</v>
      </c>
      <c r="V1512">
        <v>82.25</v>
      </c>
      <c r="W1512">
        <v>1.35</v>
      </c>
    </row>
    <row r="1513" spans="1:23" x14ac:dyDescent="0.3">
      <c r="A1513">
        <v>1512</v>
      </c>
      <c r="B1513" t="s">
        <v>1556</v>
      </c>
      <c r="C1513" t="s">
        <v>43</v>
      </c>
      <c r="D1513">
        <v>90</v>
      </c>
      <c r="E1513">
        <v>4973</v>
      </c>
      <c r="F1513" s="3">
        <v>181</v>
      </c>
      <c r="G1513">
        <v>23</v>
      </c>
      <c r="H1513">
        <v>5</v>
      </c>
      <c r="I1513" s="5">
        <v>5.5555555555555497E-2</v>
      </c>
      <c r="J1513" s="3">
        <v>212</v>
      </c>
      <c r="K1513" s="1">
        <v>45599</v>
      </c>
      <c r="L1513" t="s">
        <v>25</v>
      </c>
      <c r="M1513" t="s">
        <v>26</v>
      </c>
      <c r="N1513" t="s">
        <v>44</v>
      </c>
      <c r="O1513" t="s">
        <v>28</v>
      </c>
      <c r="P1513" t="s">
        <v>50</v>
      </c>
      <c r="Q1513" s="6">
        <v>2.01155555555555</v>
      </c>
      <c r="R1513">
        <v>1.81</v>
      </c>
      <c r="S1513">
        <v>7.87</v>
      </c>
      <c r="T1513">
        <v>36.21</v>
      </c>
      <c r="U1513">
        <v>17.100000000000001</v>
      </c>
      <c r="V1513">
        <v>42.4</v>
      </c>
      <c r="W1513">
        <v>1.17</v>
      </c>
    </row>
    <row r="1514" spans="1:23" x14ac:dyDescent="0.3">
      <c r="A1514">
        <v>1513</v>
      </c>
      <c r="B1514" t="s">
        <v>1557</v>
      </c>
      <c r="C1514" t="s">
        <v>43</v>
      </c>
      <c r="D1514">
        <v>140</v>
      </c>
      <c r="E1514">
        <v>5227</v>
      </c>
      <c r="F1514" s="3">
        <v>223</v>
      </c>
      <c r="G1514">
        <v>27</v>
      </c>
      <c r="H1514">
        <v>3</v>
      </c>
      <c r="I1514" s="5">
        <v>2.1428571428571401E-2</v>
      </c>
      <c r="J1514" s="3">
        <v>312</v>
      </c>
      <c r="K1514" s="1">
        <v>45614</v>
      </c>
      <c r="L1514" t="s">
        <v>25</v>
      </c>
      <c r="M1514" t="s">
        <v>26</v>
      </c>
      <c r="N1514" t="s">
        <v>27</v>
      </c>
      <c r="O1514" t="s">
        <v>28</v>
      </c>
      <c r="P1514" t="s">
        <v>59</v>
      </c>
      <c r="Q1514" s="6">
        <v>1.5897857142857099</v>
      </c>
      <c r="R1514">
        <v>2.68</v>
      </c>
      <c r="S1514">
        <v>8.24</v>
      </c>
      <c r="T1514">
        <v>74.19</v>
      </c>
      <c r="U1514">
        <v>40.18</v>
      </c>
      <c r="V1514">
        <v>104</v>
      </c>
      <c r="W1514">
        <v>1.4</v>
      </c>
    </row>
    <row r="1515" spans="1:23" x14ac:dyDescent="0.3">
      <c r="A1515">
        <v>1514</v>
      </c>
      <c r="B1515" t="s">
        <v>1558</v>
      </c>
      <c r="C1515" t="s">
        <v>38</v>
      </c>
      <c r="D1515">
        <v>111</v>
      </c>
      <c r="E1515">
        <v>5434</v>
      </c>
      <c r="F1515" s="3">
        <v>181</v>
      </c>
      <c r="G1515">
        <v>10</v>
      </c>
      <c r="H1515">
        <v>5</v>
      </c>
      <c r="I1515" s="5">
        <v>4.5045045045045001E-2</v>
      </c>
      <c r="J1515" s="3">
        <v>332</v>
      </c>
      <c r="K1515" s="1">
        <v>45619</v>
      </c>
      <c r="L1515" t="s">
        <v>25</v>
      </c>
      <c r="M1515" t="s">
        <v>31</v>
      </c>
      <c r="N1515" t="s">
        <v>40</v>
      </c>
      <c r="O1515" t="s">
        <v>28</v>
      </c>
      <c r="P1515" t="s">
        <v>29</v>
      </c>
      <c r="Q1515" s="6">
        <v>1.6310810810810801</v>
      </c>
      <c r="R1515">
        <v>2.04</v>
      </c>
      <c r="S1515">
        <v>18.100000000000001</v>
      </c>
      <c r="T1515">
        <v>36.21</v>
      </c>
      <c r="U1515">
        <v>83.37</v>
      </c>
      <c r="V1515">
        <v>66.400000000000006</v>
      </c>
      <c r="W1515">
        <v>1.83</v>
      </c>
    </row>
    <row r="1516" spans="1:23" x14ac:dyDescent="0.3">
      <c r="A1516">
        <v>1515</v>
      </c>
      <c r="B1516" t="s">
        <v>1559</v>
      </c>
      <c r="C1516" t="s">
        <v>43</v>
      </c>
      <c r="D1516">
        <v>105</v>
      </c>
      <c r="E1516">
        <v>3300</v>
      </c>
      <c r="F1516" s="3">
        <v>180</v>
      </c>
      <c r="G1516">
        <v>22</v>
      </c>
      <c r="H1516">
        <v>10</v>
      </c>
      <c r="I1516" s="5">
        <v>9.5238095238095205E-2</v>
      </c>
      <c r="J1516" s="3">
        <v>335</v>
      </c>
      <c r="K1516" s="1">
        <v>45617</v>
      </c>
      <c r="L1516" t="s">
        <v>25</v>
      </c>
      <c r="M1516" t="s">
        <v>31</v>
      </c>
      <c r="N1516" t="s">
        <v>44</v>
      </c>
      <c r="O1516" t="s">
        <v>28</v>
      </c>
      <c r="P1516" t="s">
        <v>54</v>
      </c>
      <c r="Q1516" s="6">
        <v>1.7166666666666599</v>
      </c>
      <c r="R1516">
        <v>3.18</v>
      </c>
      <c r="S1516">
        <v>8.19</v>
      </c>
      <c r="T1516">
        <v>18.02</v>
      </c>
      <c r="U1516">
        <v>85.85</v>
      </c>
      <c r="V1516">
        <v>33.5</v>
      </c>
      <c r="W1516">
        <v>1.86</v>
      </c>
    </row>
    <row r="1517" spans="1:23" x14ac:dyDescent="0.3">
      <c r="A1517">
        <v>1516</v>
      </c>
      <c r="B1517" t="s">
        <v>1560</v>
      </c>
      <c r="C1517" t="s">
        <v>24</v>
      </c>
      <c r="D1517">
        <v>181</v>
      </c>
      <c r="E1517">
        <v>4857</v>
      </c>
      <c r="F1517" s="3">
        <v>216</v>
      </c>
      <c r="G1517">
        <v>13</v>
      </c>
      <c r="H1517">
        <v>8</v>
      </c>
      <c r="I1517" s="5">
        <v>4.4198895027624301E-2</v>
      </c>
      <c r="J1517" s="3">
        <v>384</v>
      </c>
      <c r="K1517" s="1">
        <v>45619</v>
      </c>
      <c r="L1517" t="s">
        <v>25</v>
      </c>
      <c r="M1517" t="s">
        <v>26</v>
      </c>
      <c r="N1517" t="s">
        <v>27</v>
      </c>
      <c r="O1517" t="s">
        <v>28</v>
      </c>
      <c r="P1517" t="s">
        <v>29</v>
      </c>
      <c r="Q1517" s="6">
        <v>1.1911049723756899</v>
      </c>
      <c r="R1517">
        <v>3.73</v>
      </c>
      <c r="S1517">
        <v>16.579999999999998</v>
      </c>
      <c r="T1517">
        <v>26.95</v>
      </c>
      <c r="U1517">
        <v>78.12</v>
      </c>
      <c r="V1517">
        <v>48</v>
      </c>
      <c r="W1517">
        <v>1.78</v>
      </c>
    </row>
    <row r="1518" spans="1:23" x14ac:dyDescent="0.3">
      <c r="A1518">
        <v>1517</v>
      </c>
      <c r="B1518" t="s">
        <v>1561</v>
      </c>
      <c r="C1518" t="s">
        <v>43</v>
      </c>
      <c r="D1518">
        <v>189</v>
      </c>
      <c r="E1518">
        <v>4019</v>
      </c>
      <c r="F1518" s="3">
        <v>248</v>
      </c>
      <c r="G1518">
        <v>16</v>
      </c>
      <c r="H1518">
        <v>6</v>
      </c>
      <c r="I1518" s="5">
        <v>3.1746031746031703E-2</v>
      </c>
      <c r="J1518" s="3">
        <v>281</v>
      </c>
      <c r="K1518" s="1">
        <v>45626</v>
      </c>
      <c r="L1518" t="s">
        <v>25</v>
      </c>
      <c r="M1518" t="s">
        <v>39</v>
      </c>
      <c r="N1518" t="s">
        <v>44</v>
      </c>
      <c r="O1518" t="s">
        <v>28</v>
      </c>
      <c r="P1518" t="s">
        <v>29</v>
      </c>
      <c r="Q1518" s="6">
        <v>1.3126455026455</v>
      </c>
      <c r="R1518">
        <v>4.7</v>
      </c>
      <c r="S1518">
        <v>15.51</v>
      </c>
      <c r="T1518">
        <v>41.35</v>
      </c>
      <c r="U1518">
        <v>13.27</v>
      </c>
      <c r="V1518">
        <v>46.83</v>
      </c>
      <c r="W1518">
        <v>1.1299999999999999</v>
      </c>
    </row>
    <row r="1519" spans="1:23" x14ac:dyDescent="0.3">
      <c r="A1519">
        <v>1518</v>
      </c>
      <c r="B1519" t="s">
        <v>1562</v>
      </c>
      <c r="C1519" t="s">
        <v>38</v>
      </c>
      <c r="D1519">
        <v>138</v>
      </c>
      <c r="E1519">
        <v>5495</v>
      </c>
      <c r="F1519" s="3">
        <v>221</v>
      </c>
      <c r="G1519">
        <v>19</v>
      </c>
      <c r="H1519">
        <v>5</v>
      </c>
      <c r="I1519" s="5">
        <v>3.6231884057971002E-2</v>
      </c>
      <c r="J1519" s="3">
        <v>331</v>
      </c>
      <c r="K1519" s="1">
        <v>45600</v>
      </c>
      <c r="L1519" t="s">
        <v>25</v>
      </c>
      <c r="M1519" t="s">
        <v>39</v>
      </c>
      <c r="N1519" t="s">
        <v>44</v>
      </c>
      <c r="O1519" t="s">
        <v>28</v>
      </c>
      <c r="P1519" t="s">
        <v>59</v>
      </c>
      <c r="Q1519" s="6">
        <v>1.5992028985507201</v>
      </c>
      <c r="R1519">
        <v>2.5099999999999998</v>
      </c>
      <c r="S1519">
        <v>11.62</v>
      </c>
      <c r="T1519">
        <v>44.14</v>
      </c>
      <c r="U1519">
        <v>49.98</v>
      </c>
      <c r="V1519">
        <v>66.2</v>
      </c>
      <c r="W1519">
        <v>1.5</v>
      </c>
    </row>
    <row r="1520" spans="1:23" x14ac:dyDescent="0.3">
      <c r="A1520">
        <v>1519</v>
      </c>
      <c r="B1520" t="s">
        <v>1563</v>
      </c>
      <c r="C1520" t="s">
        <v>38</v>
      </c>
      <c r="D1520">
        <v>178</v>
      </c>
      <c r="E1520">
        <v>5218</v>
      </c>
      <c r="F1520" s="3">
        <v>209</v>
      </c>
      <c r="G1520">
        <v>20</v>
      </c>
      <c r="H1520">
        <v>7</v>
      </c>
      <c r="I1520" s="5">
        <v>3.9325842696629199E-2</v>
      </c>
      <c r="J1520" s="3">
        <v>350</v>
      </c>
      <c r="K1520" s="1">
        <v>45621</v>
      </c>
      <c r="L1520" t="s">
        <v>25</v>
      </c>
      <c r="M1520" t="s">
        <v>31</v>
      </c>
      <c r="N1520" t="s">
        <v>49</v>
      </c>
      <c r="O1520" t="s">
        <v>28</v>
      </c>
      <c r="P1520" t="s">
        <v>59</v>
      </c>
      <c r="Q1520" s="6">
        <v>1.17370786516853</v>
      </c>
      <c r="R1520">
        <v>3.41</v>
      </c>
      <c r="S1520">
        <v>10.45</v>
      </c>
      <c r="T1520">
        <v>29.85</v>
      </c>
      <c r="U1520">
        <v>67.53</v>
      </c>
      <c r="V1520">
        <v>50</v>
      </c>
      <c r="W1520">
        <v>1.68</v>
      </c>
    </row>
    <row r="1521" spans="1:23" x14ac:dyDescent="0.3">
      <c r="A1521">
        <v>1520</v>
      </c>
      <c r="B1521" t="s">
        <v>1564</v>
      </c>
      <c r="C1521" t="s">
        <v>43</v>
      </c>
      <c r="D1521">
        <v>155</v>
      </c>
      <c r="E1521">
        <v>5996</v>
      </c>
      <c r="F1521" s="3">
        <v>248</v>
      </c>
      <c r="G1521">
        <v>15</v>
      </c>
      <c r="H1521">
        <v>5</v>
      </c>
      <c r="I1521" s="5">
        <v>3.2258064516128997E-2</v>
      </c>
      <c r="J1521" s="3">
        <v>384</v>
      </c>
      <c r="K1521" s="1">
        <v>45623</v>
      </c>
      <c r="L1521" t="s">
        <v>25</v>
      </c>
      <c r="M1521" t="s">
        <v>31</v>
      </c>
      <c r="N1521" t="s">
        <v>49</v>
      </c>
      <c r="O1521" t="s">
        <v>28</v>
      </c>
      <c r="P1521" t="s">
        <v>33</v>
      </c>
      <c r="Q1521" s="6">
        <v>1.59703225806451</v>
      </c>
      <c r="R1521">
        <v>2.59</v>
      </c>
      <c r="S1521">
        <v>16.5</v>
      </c>
      <c r="T1521">
        <v>49.51</v>
      </c>
      <c r="U1521">
        <v>55.13</v>
      </c>
      <c r="V1521">
        <v>76.8</v>
      </c>
      <c r="W1521">
        <v>1.55</v>
      </c>
    </row>
    <row r="1522" spans="1:23" x14ac:dyDescent="0.3">
      <c r="A1522">
        <v>1521</v>
      </c>
      <c r="B1522" t="s">
        <v>1565</v>
      </c>
      <c r="C1522" t="s">
        <v>35</v>
      </c>
      <c r="D1522">
        <v>168</v>
      </c>
      <c r="E1522">
        <v>4932</v>
      </c>
      <c r="F1522" s="3">
        <v>199</v>
      </c>
      <c r="G1522">
        <v>16</v>
      </c>
      <c r="H1522">
        <v>7</v>
      </c>
      <c r="I1522" s="5">
        <v>4.1666666666666602E-2</v>
      </c>
      <c r="J1522" s="3">
        <v>266</v>
      </c>
      <c r="K1522" s="1">
        <v>45615</v>
      </c>
      <c r="L1522" t="s">
        <v>25</v>
      </c>
      <c r="M1522" t="s">
        <v>26</v>
      </c>
      <c r="N1522" t="s">
        <v>40</v>
      </c>
      <c r="O1522" t="s">
        <v>28</v>
      </c>
      <c r="P1522" t="s">
        <v>41</v>
      </c>
      <c r="Q1522" s="6">
        <v>1.1842261904761899</v>
      </c>
      <c r="R1522">
        <v>3.41</v>
      </c>
      <c r="S1522">
        <v>12.43</v>
      </c>
      <c r="T1522">
        <v>28.42</v>
      </c>
      <c r="U1522">
        <v>33.700000000000003</v>
      </c>
      <c r="V1522">
        <v>38</v>
      </c>
      <c r="W1522">
        <v>1.34</v>
      </c>
    </row>
    <row r="1523" spans="1:23" x14ac:dyDescent="0.3">
      <c r="A1523">
        <v>1522</v>
      </c>
      <c r="B1523" t="s">
        <v>1566</v>
      </c>
      <c r="C1523" t="s">
        <v>38</v>
      </c>
      <c r="D1523">
        <v>152</v>
      </c>
      <c r="E1523">
        <v>4498</v>
      </c>
      <c r="F1523" s="3">
        <v>234</v>
      </c>
      <c r="G1523">
        <v>30</v>
      </c>
      <c r="H1523">
        <v>6</v>
      </c>
      <c r="I1523" s="5">
        <v>3.94736842105263E-2</v>
      </c>
      <c r="J1523" s="3">
        <v>222</v>
      </c>
      <c r="K1523" s="1">
        <v>45621</v>
      </c>
      <c r="L1523" t="s">
        <v>25</v>
      </c>
      <c r="M1523" t="s">
        <v>26</v>
      </c>
      <c r="N1523" t="s">
        <v>36</v>
      </c>
      <c r="O1523" t="s">
        <v>28</v>
      </c>
      <c r="P1523" t="s">
        <v>59</v>
      </c>
      <c r="Q1523" s="6">
        <v>1.5382236842105199</v>
      </c>
      <c r="R1523">
        <v>3.38</v>
      </c>
      <c r="S1523">
        <v>7.79</v>
      </c>
      <c r="T1523">
        <v>38.97</v>
      </c>
      <c r="U1523">
        <v>-5.05</v>
      </c>
      <c r="V1523">
        <v>37</v>
      </c>
      <c r="W1523">
        <v>0.95</v>
      </c>
    </row>
    <row r="1524" spans="1:23" x14ac:dyDescent="0.3">
      <c r="A1524">
        <v>1523</v>
      </c>
      <c r="B1524" t="s">
        <v>1567</v>
      </c>
      <c r="C1524" t="s">
        <v>35</v>
      </c>
      <c r="D1524">
        <v>111</v>
      </c>
      <c r="E1524">
        <v>4164</v>
      </c>
      <c r="F1524" s="3">
        <v>191</v>
      </c>
      <c r="G1524">
        <v>18</v>
      </c>
      <c r="H1524">
        <v>9</v>
      </c>
      <c r="I1524" s="5">
        <v>8.1081081081081002E-2</v>
      </c>
      <c r="J1524" s="3">
        <v>344</v>
      </c>
      <c r="K1524" s="1">
        <v>45617</v>
      </c>
      <c r="L1524" t="s">
        <v>25</v>
      </c>
      <c r="M1524" t="s">
        <v>39</v>
      </c>
      <c r="N1524" t="s">
        <v>40</v>
      </c>
      <c r="O1524" t="s">
        <v>28</v>
      </c>
      <c r="P1524" t="s">
        <v>54</v>
      </c>
      <c r="Q1524" s="6">
        <v>1.7210810810810799</v>
      </c>
      <c r="R1524">
        <v>2.67</v>
      </c>
      <c r="S1524">
        <v>10.61</v>
      </c>
      <c r="T1524">
        <v>21.23</v>
      </c>
      <c r="U1524">
        <v>80.069999999999993</v>
      </c>
      <c r="V1524">
        <v>38.22</v>
      </c>
      <c r="W1524">
        <v>1.8</v>
      </c>
    </row>
    <row r="1525" spans="1:23" x14ac:dyDescent="0.3">
      <c r="A1525">
        <v>1524</v>
      </c>
      <c r="B1525" t="s">
        <v>1568</v>
      </c>
      <c r="C1525" t="s">
        <v>43</v>
      </c>
      <c r="D1525">
        <v>141</v>
      </c>
      <c r="E1525">
        <v>4329</v>
      </c>
      <c r="F1525" s="3">
        <v>230</v>
      </c>
      <c r="G1525">
        <v>14</v>
      </c>
      <c r="H1525">
        <v>6</v>
      </c>
      <c r="I1525" s="5">
        <v>4.2553191489361701E-2</v>
      </c>
      <c r="J1525" s="3">
        <v>329</v>
      </c>
      <c r="K1525" s="1">
        <v>45603</v>
      </c>
      <c r="L1525" t="s">
        <v>25</v>
      </c>
      <c r="M1525" t="s">
        <v>31</v>
      </c>
      <c r="N1525" t="s">
        <v>27</v>
      </c>
      <c r="O1525" t="s">
        <v>28</v>
      </c>
      <c r="P1525" t="s">
        <v>54</v>
      </c>
      <c r="Q1525" s="6">
        <v>1.6343262411347499</v>
      </c>
      <c r="R1525">
        <v>3.26</v>
      </c>
      <c r="S1525">
        <v>16.46</v>
      </c>
      <c r="T1525">
        <v>38.409999999999997</v>
      </c>
      <c r="U1525">
        <v>42.77</v>
      </c>
      <c r="V1525">
        <v>54.83</v>
      </c>
      <c r="W1525">
        <v>1.43</v>
      </c>
    </row>
    <row r="1526" spans="1:23" x14ac:dyDescent="0.3">
      <c r="A1526">
        <v>1525</v>
      </c>
      <c r="B1526" t="s">
        <v>1569</v>
      </c>
      <c r="C1526" t="s">
        <v>24</v>
      </c>
      <c r="D1526">
        <v>97</v>
      </c>
      <c r="E1526">
        <v>5764</v>
      </c>
      <c r="F1526" s="3">
        <v>246</v>
      </c>
      <c r="G1526">
        <v>30</v>
      </c>
      <c r="H1526">
        <v>7</v>
      </c>
      <c r="I1526" s="5">
        <v>7.2164948453608199E-2</v>
      </c>
      <c r="J1526" s="3">
        <v>274</v>
      </c>
      <c r="K1526" s="1">
        <v>45614</v>
      </c>
      <c r="L1526" t="s">
        <v>25</v>
      </c>
      <c r="M1526" t="s">
        <v>31</v>
      </c>
      <c r="N1526" t="s">
        <v>49</v>
      </c>
      <c r="O1526" t="s">
        <v>28</v>
      </c>
      <c r="P1526" t="s">
        <v>59</v>
      </c>
      <c r="Q1526" s="6">
        <v>2.53762886597938</v>
      </c>
      <c r="R1526">
        <v>1.68</v>
      </c>
      <c r="S1526">
        <v>8.1999999999999993</v>
      </c>
      <c r="T1526">
        <v>35.159999999999997</v>
      </c>
      <c r="U1526">
        <v>11.31</v>
      </c>
      <c r="V1526">
        <v>39.14</v>
      </c>
      <c r="W1526">
        <v>1.1100000000000001</v>
      </c>
    </row>
    <row r="1527" spans="1:23" x14ac:dyDescent="0.3">
      <c r="A1527">
        <v>1526</v>
      </c>
      <c r="B1527" t="s">
        <v>1570</v>
      </c>
      <c r="C1527" t="s">
        <v>38</v>
      </c>
      <c r="D1527">
        <v>82</v>
      </c>
      <c r="E1527">
        <v>5430</v>
      </c>
      <c r="F1527" s="3">
        <v>205</v>
      </c>
      <c r="G1527">
        <v>18</v>
      </c>
      <c r="H1527">
        <v>5</v>
      </c>
      <c r="I1527" s="5">
        <v>6.0975609756097497E-2</v>
      </c>
      <c r="J1527" s="3">
        <v>293</v>
      </c>
      <c r="K1527" s="1">
        <v>45626</v>
      </c>
      <c r="L1527" t="s">
        <v>25</v>
      </c>
      <c r="M1527" t="s">
        <v>31</v>
      </c>
      <c r="N1527" t="s">
        <v>44</v>
      </c>
      <c r="O1527" t="s">
        <v>28</v>
      </c>
      <c r="P1527" t="s">
        <v>29</v>
      </c>
      <c r="Q1527" s="6">
        <v>2.5056097560975599</v>
      </c>
      <c r="R1527">
        <v>1.51</v>
      </c>
      <c r="S1527">
        <v>11.41</v>
      </c>
      <c r="T1527">
        <v>41.09</v>
      </c>
      <c r="U1527">
        <v>42.61</v>
      </c>
      <c r="V1527">
        <v>58.6</v>
      </c>
      <c r="W1527">
        <v>1.43</v>
      </c>
    </row>
    <row r="1528" spans="1:23" x14ac:dyDescent="0.3">
      <c r="A1528">
        <v>1527</v>
      </c>
      <c r="B1528" t="s">
        <v>1571</v>
      </c>
      <c r="C1528" t="s">
        <v>43</v>
      </c>
      <c r="D1528">
        <v>164</v>
      </c>
      <c r="E1528">
        <v>5179</v>
      </c>
      <c r="F1528" s="3">
        <v>207</v>
      </c>
      <c r="G1528">
        <v>18</v>
      </c>
      <c r="H1528">
        <v>9</v>
      </c>
      <c r="I1528" s="5">
        <v>5.4878048780487798E-2</v>
      </c>
      <c r="J1528" s="3">
        <v>248</v>
      </c>
      <c r="K1528" s="1">
        <v>45623</v>
      </c>
      <c r="L1528" t="s">
        <v>25</v>
      </c>
      <c r="M1528" t="s">
        <v>39</v>
      </c>
      <c r="N1528" t="s">
        <v>32</v>
      </c>
      <c r="O1528" t="s">
        <v>28</v>
      </c>
      <c r="P1528" t="s">
        <v>33</v>
      </c>
      <c r="Q1528" s="6">
        <v>1.2604878048780399</v>
      </c>
      <c r="R1528">
        <v>3.17</v>
      </c>
      <c r="S1528">
        <v>11.48</v>
      </c>
      <c r="T1528">
        <v>22.97</v>
      </c>
      <c r="U1528">
        <v>19.97</v>
      </c>
      <c r="V1528">
        <v>27.56</v>
      </c>
      <c r="W1528">
        <v>1.2</v>
      </c>
    </row>
    <row r="1529" spans="1:23" x14ac:dyDescent="0.3">
      <c r="A1529">
        <v>1528</v>
      </c>
      <c r="B1529" t="s">
        <v>1572</v>
      </c>
      <c r="C1529" t="s">
        <v>38</v>
      </c>
      <c r="D1529">
        <v>109</v>
      </c>
      <c r="E1529">
        <v>5707</v>
      </c>
      <c r="F1529" s="3">
        <v>247</v>
      </c>
      <c r="G1529">
        <v>22</v>
      </c>
      <c r="H1529">
        <v>4</v>
      </c>
      <c r="I1529" s="5">
        <v>3.6697247706422E-2</v>
      </c>
      <c r="J1529" s="3">
        <v>404</v>
      </c>
      <c r="K1529" s="1">
        <v>45615</v>
      </c>
      <c r="L1529" t="s">
        <v>25</v>
      </c>
      <c r="M1529" t="s">
        <v>39</v>
      </c>
      <c r="N1529" t="s">
        <v>36</v>
      </c>
      <c r="O1529" t="s">
        <v>28</v>
      </c>
      <c r="P1529" t="s">
        <v>41</v>
      </c>
      <c r="Q1529" s="6">
        <v>2.2647706422018299</v>
      </c>
      <c r="R1529">
        <v>1.91</v>
      </c>
      <c r="S1529">
        <v>11.22</v>
      </c>
      <c r="T1529">
        <v>61.72</v>
      </c>
      <c r="U1529">
        <v>63.66</v>
      </c>
      <c r="V1529">
        <v>101</v>
      </c>
      <c r="W1529">
        <v>1.64</v>
      </c>
    </row>
    <row r="1530" spans="1:23" x14ac:dyDescent="0.3">
      <c r="A1530">
        <v>1529</v>
      </c>
      <c r="B1530" t="s">
        <v>1573</v>
      </c>
      <c r="C1530" t="s">
        <v>43</v>
      </c>
      <c r="D1530">
        <v>126</v>
      </c>
      <c r="E1530">
        <v>3263</v>
      </c>
      <c r="F1530" s="3">
        <v>238</v>
      </c>
      <c r="G1530">
        <v>18</v>
      </c>
      <c r="H1530">
        <v>9</v>
      </c>
      <c r="I1530" s="5">
        <v>7.1428571428571397E-2</v>
      </c>
      <c r="J1530" s="3">
        <v>278</v>
      </c>
      <c r="K1530" s="1">
        <v>45613</v>
      </c>
      <c r="L1530" t="s">
        <v>25</v>
      </c>
      <c r="M1530" t="s">
        <v>31</v>
      </c>
      <c r="N1530" t="s">
        <v>36</v>
      </c>
      <c r="O1530" t="s">
        <v>28</v>
      </c>
      <c r="P1530" t="s">
        <v>50</v>
      </c>
      <c r="Q1530" s="6">
        <v>1.8852380952380901</v>
      </c>
      <c r="R1530">
        <v>3.86</v>
      </c>
      <c r="S1530">
        <v>13.2</v>
      </c>
      <c r="T1530">
        <v>26.39</v>
      </c>
      <c r="U1530">
        <v>17.03</v>
      </c>
      <c r="V1530">
        <v>30.89</v>
      </c>
      <c r="W1530">
        <v>1.17</v>
      </c>
    </row>
    <row r="1531" spans="1:23" x14ac:dyDescent="0.3">
      <c r="A1531">
        <v>1530</v>
      </c>
      <c r="B1531" t="s">
        <v>1574</v>
      </c>
      <c r="C1531" t="s">
        <v>38</v>
      </c>
      <c r="D1531">
        <v>175</v>
      </c>
      <c r="E1531">
        <v>5718</v>
      </c>
      <c r="F1531" s="3">
        <v>225</v>
      </c>
      <c r="G1531">
        <v>19</v>
      </c>
      <c r="H1531">
        <v>6</v>
      </c>
      <c r="I1531" s="5">
        <v>3.4285714285714197E-2</v>
      </c>
      <c r="J1531" s="3">
        <v>204</v>
      </c>
      <c r="K1531" s="1">
        <v>45608</v>
      </c>
      <c r="L1531" t="s">
        <v>25</v>
      </c>
      <c r="M1531" t="s">
        <v>39</v>
      </c>
      <c r="N1531" t="s">
        <v>49</v>
      </c>
      <c r="O1531" t="s">
        <v>28</v>
      </c>
      <c r="P1531" t="s">
        <v>41</v>
      </c>
      <c r="Q1531" s="6">
        <v>1.288</v>
      </c>
      <c r="R1531">
        <v>3.06</v>
      </c>
      <c r="S1531">
        <v>11.86</v>
      </c>
      <c r="T1531">
        <v>37.57</v>
      </c>
      <c r="U1531">
        <v>-9.49</v>
      </c>
      <c r="V1531">
        <v>34</v>
      </c>
      <c r="W1531">
        <v>0.91</v>
      </c>
    </row>
    <row r="1532" spans="1:23" x14ac:dyDescent="0.3">
      <c r="A1532">
        <v>1531</v>
      </c>
      <c r="B1532" t="s">
        <v>1575</v>
      </c>
      <c r="C1532" t="s">
        <v>35</v>
      </c>
      <c r="D1532">
        <v>96</v>
      </c>
      <c r="E1532">
        <v>5075</v>
      </c>
      <c r="F1532" s="3">
        <v>221</v>
      </c>
      <c r="G1532">
        <v>25</v>
      </c>
      <c r="H1532">
        <v>3</v>
      </c>
      <c r="I1532" s="5">
        <v>3.125E-2</v>
      </c>
      <c r="J1532" s="3">
        <v>395</v>
      </c>
      <c r="K1532" s="1">
        <v>45619</v>
      </c>
      <c r="L1532" t="s">
        <v>25</v>
      </c>
      <c r="M1532" t="s">
        <v>26</v>
      </c>
      <c r="N1532" t="s">
        <v>27</v>
      </c>
      <c r="O1532" t="s">
        <v>28</v>
      </c>
      <c r="P1532" t="s">
        <v>29</v>
      </c>
      <c r="Q1532" s="6">
        <v>2.3050000000000002</v>
      </c>
      <c r="R1532">
        <v>1.89</v>
      </c>
      <c r="S1532">
        <v>8.85</v>
      </c>
      <c r="T1532">
        <v>73.760000000000005</v>
      </c>
      <c r="U1532">
        <v>78.510000000000005</v>
      </c>
      <c r="V1532">
        <v>131.66999999999999</v>
      </c>
      <c r="W1532">
        <v>1.79</v>
      </c>
    </row>
    <row r="1533" spans="1:23" x14ac:dyDescent="0.3">
      <c r="A1533">
        <v>1532</v>
      </c>
      <c r="B1533" t="s">
        <v>1576</v>
      </c>
      <c r="C1533" t="s">
        <v>35</v>
      </c>
      <c r="D1533">
        <v>113</v>
      </c>
      <c r="E1533">
        <v>4473</v>
      </c>
      <c r="F1533" s="3">
        <v>202</v>
      </c>
      <c r="G1533">
        <v>17</v>
      </c>
      <c r="H1533">
        <v>5</v>
      </c>
      <c r="I1533" s="5">
        <v>4.4247787610619399E-2</v>
      </c>
      <c r="J1533" s="3">
        <v>214</v>
      </c>
      <c r="K1533" s="1">
        <v>45604</v>
      </c>
      <c r="L1533" t="s">
        <v>25</v>
      </c>
      <c r="M1533" t="s">
        <v>39</v>
      </c>
      <c r="N1533" t="s">
        <v>44</v>
      </c>
      <c r="O1533" t="s">
        <v>28</v>
      </c>
      <c r="P1533" t="s">
        <v>45</v>
      </c>
      <c r="Q1533" s="6">
        <v>1.79026548672566</v>
      </c>
      <c r="R1533">
        <v>2.5299999999999998</v>
      </c>
      <c r="S1533">
        <v>11.9</v>
      </c>
      <c r="T1533">
        <v>40.46</v>
      </c>
      <c r="U1533">
        <v>5.78</v>
      </c>
      <c r="V1533">
        <v>42.8</v>
      </c>
      <c r="W1533">
        <v>1.06</v>
      </c>
    </row>
    <row r="1534" spans="1:23" x14ac:dyDescent="0.3">
      <c r="A1534">
        <v>1533</v>
      </c>
      <c r="B1534" t="s">
        <v>1577</v>
      </c>
      <c r="C1534" t="s">
        <v>24</v>
      </c>
      <c r="D1534">
        <v>96</v>
      </c>
      <c r="E1534">
        <v>3979</v>
      </c>
      <c r="F1534" s="3">
        <v>232</v>
      </c>
      <c r="G1534">
        <v>27</v>
      </c>
      <c r="H1534">
        <v>7</v>
      </c>
      <c r="I1534" s="5">
        <v>7.2916666666666602E-2</v>
      </c>
      <c r="J1534" s="3">
        <v>233</v>
      </c>
      <c r="K1534" s="1">
        <v>45626</v>
      </c>
      <c r="L1534" t="s">
        <v>25</v>
      </c>
      <c r="M1534" t="s">
        <v>31</v>
      </c>
      <c r="N1534" t="s">
        <v>27</v>
      </c>
      <c r="O1534" t="s">
        <v>28</v>
      </c>
      <c r="P1534" t="s">
        <v>29</v>
      </c>
      <c r="Q1534" s="6">
        <v>2.4212500000000001</v>
      </c>
      <c r="R1534">
        <v>2.41</v>
      </c>
      <c r="S1534">
        <v>8.61</v>
      </c>
      <c r="T1534">
        <v>33.21</v>
      </c>
      <c r="U1534">
        <v>0.24</v>
      </c>
      <c r="V1534">
        <v>33.29</v>
      </c>
      <c r="W1534">
        <v>1</v>
      </c>
    </row>
    <row r="1535" spans="1:23" x14ac:dyDescent="0.3">
      <c r="A1535">
        <v>1534</v>
      </c>
      <c r="B1535" t="s">
        <v>1578</v>
      </c>
      <c r="C1535" t="s">
        <v>38</v>
      </c>
      <c r="D1535">
        <v>162</v>
      </c>
      <c r="E1535">
        <v>5688</v>
      </c>
      <c r="F1535" s="3">
        <v>190</v>
      </c>
      <c r="G1535">
        <v>17</v>
      </c>
      <c r="H1535">
        <v>5</v>
      </c>
      <c r="I1535" s="5">
        <v>3.0864197530864099E-2</v>
      </c>
      <c r="J1535" s="3">
        <v>318</v>
      </c>
      <c r="K1535" s="1">
        <v>45621</v>
      </c>
      <c r="L1535" t="s">
        <v>25</v>
      </c>
      <c r="M1535" t="s">
        <v>39</v>
      </c>
      <c r="N1535" t="s">
        <v>32</v>
      </c>
      <c r="O1535" t="s">
        <v>28</v>
      </c>
      <c r="P1535" t="s">
        <v>59</v>
      </c>
      <c r="Q1535" s="6">
        <v>1.17475308641975</v>
      </c>
      <c r="R1535">
        <v>2.85</v>
      </c>
      <c r="S1535">
        <v>11.19</v>
      </c>
      <c r="T1535">
        <v>38.06</v>
      </c>
      <c r="U1535">
        <v>67.099999999999994</v>
      </c>
      <c r="V1535">
        <v>63.6</v>
      </c>
      <c r="W1535">
        <v>1.67</v>
      </c>
    </row>
    <row r="1536" spans="1:23" x14ac:dyDescent="0.3">
      <c r="A1536">
        <v>1535</v>
      </c>
      <c r="B1536" t="s">
        <v>1579</v>
      </c>
      <c r="C1536" t="s">
        <v>35</v>
      </c>
      <c r="D1536">
        <v>125</v>
      </c>
      <c r="E1536">
        <v>3546</v>
      </c>
      <c r="F1536" s="3">
        <v>234</v>
      </c>
      <c r="G1536">
        <v>23</v>
      </c>
      <c r="H1536">
        <v>10</v>
      </c>
      <c r="I1536" s="5">
        <v>0.08</v>
      </c>
      <c r="J1536" s="3">
        <v>219</v>
      </c>
      <c r="K1536" s="1">
        <v>45623</v>
      </c>
      <c r="L1536" t="s">
        <v>25</v>
      </c>
      <c r="M1536" t="s">
        <v>26</v>
      </c>
      <c r="N1536" t="s">
        <v>49</v>
      </c>
      <c r="O1536" t="s">
        <v>28</v>
      </c>
      <c r="P1536" t="s">
        <v>33</v>
      </c>
      <c r="Q1536" s="6">
        <v>1.87216</v>
      </c>
      <c r="R1536">
        <v>3.53</v>
      </c>
      <c r="S1536">
        <v>10.17</v>
      </c>
      <c r="T1536">
        <v>23.4</v>
      </c>
      <c r="U1536">
        <v>-6.42</v>
      </c>
      <c r="V1536">
        <v>21.9</v>
      </c>
      <c r="W1536">
        <v>0.94</v>
      </c>
    </row>
    <row r="1537" spans="1:23" x14ac:dyDescent="0.3">
      <c r="A1537">
        <v>1536</v>
      </c>
      <c r="B1537" t="s">
        <v>1580</v>
      </c>
      <c r="C1537" t="s">
        <v>24</v>
      </c>
      <c r="D1537">
        <v>89</v>
      </c>
      <c r="E1537">
        <v>4188</v>
      </c>
      <c r="F1537" s="3">
        <v>207</v>
      </c>
      <c r="G1537">
        <v>16</v>
      </c>
      <c r="H1537">
        <v>4</v>
      </c>
      <c r="I1537" s="5">
        <v>4.49438202247191E-2</v>
      </c>
      <c r="J1537" s="3">
        <v>282</v>
      </c>
      <c r="K1537" s="1">
        <v>45597</v>
      </c>
      <c r="L1537" t="s">
        <v>25</v>
      </c>
      <c r="M1537" t="s">
        <v>39</v>
      </c>
      <c r="N1537" t="s">
        <v>44</v>
      </c>
      <c r="O1537" t="s">
        <v>28</v>
      </c>
      <c r="P1537" t="s">
        <v>45</v>
      </c>
      <c r="Q1537" s="6">
        <v>2.32258426966292</v>
      </c>
      <c r="R1537">
        <v>2.13</v>
      </c>
      <c r="S1537">
        <v>12.92</v>
      </c>
      <c r="T1537">
        <v>51.68</v>
      </c>
      <c r="U1537">
        <v>36.42</v>
      </c>
      <c r="V1537">
        <v>70.5</v>
      </c>
      <c r="W1537">
        <v>1.36</v>
      </c>
    </row>
    <row r="1538" spans="1:23" x14ac:dyDescent="0.3">
      <c r="A1538">
        <v>1537</v>
      </c>
      <c r="B1538" t="s">
        <v>1581</v>
      </c>
      <c r="C1538" t="s">
        <v>35</v>
      </c>
      <c r="D1538">
        <v>99</v>
      </c>
      <c r="E1538">
        <v>4134</v>
      </c>
      <c r="F1538" s="3">
        <v>234</v>
      </c>
      <c r="G1538">
        <v>18</v>
      </c>
      <c r="H1538">
        <v>3</v>
      </c>
      <c r="I1538" s="5">
        <v>3.03030303030303E-2</v>
      </c>
      <c r="J1538" s="3">
        <v>343</v>
      </c>
      <c r="K1538" s="1">
        <v>45626</v>
      </c>
      <c r="L1538" t="s">
        <v>25</v>
      </c>
      <c r="M1538" t="s">
        <v>26</v>
      </c>
      <c r="N1538" t="s">
        <v>27</v>
      </c>
      <c r="O1538" t="s">
        <v>28</v>
      </c>
      <c r="P1538" t="s">
        <v>29</v>
      </c>
      <c r="Q1538" s="6">
        <v>2.3640404040403999</v>
      </c>
      <c r="R1538">
        <v>2.39</v>
      </c>
      <c r="S1538">
        <v>13</v>
      </c>
      <c r="T1538">
        <v>78.010000000000005</v>
      </c>
      <c r="U1538">
        <v>46.56</v>
      </c>
      <c r="V1538">
        <v>114.33</v>
      </c>
      <c r="W1538">
        <v>1.47</v>
      </c>
    </row>
    <row r="1539" spans="1:23" x14ac:dyDescent="0.3">
      <c r="A1539">
        <v>1538</v>
      </c>
      <c r="B1539" t="s">
        <v>1582</v>
      </c>
      <c r="C1539" t="s">
        <v>38</v>
      </c>
      <c r="D1539">
        <v>91</v>
      </c>
      <c r="E1539">
        <v>4710</v>
      </c>
      <c r="F1539" s="3">
        <v>199</v>
      </c>
      <c r="G1539">
        <v>21</v>
      </c>
      <c r="H1539">
        <v>9</v>
      </c>
      <c r="I1539" s="5">
        <v>9.8901098901098897E-2</v>
      </c>
      <c r="J1539" s="3">
        <v>292</v>
      </c>
      <c r="K1539" s="1">
        <v>45606</v>
      </c>
      <c r="L1539" t="s">
        <v>25</v>
      </c>
      <c r="M1539" t="s">
        <v>39</v>
      </c>
      <c r="N1539" t="s">
        <v>32</v>
      </c>
      <c r="O1539" t="s">
        <v>28</v>
      </c>
      <c r="P1539" t="s">
        <v>50</v>
      </c>
      <c r="Q1539" s="6">
        <v>2.1887912087912</v>
      </c>
      <c r="R1539">
        <v>1.93</v>
      </c>
      <c r="S1539">
        <v>9.48</v>
      </c>
      <c r="T1539">
        <v>22.13</v>
      </c>
      <c r="U1539">
        <v>46.6</v>
      </c>
      <c r="V1539">
        <v>32.44</v>
      </c>
      <c r="W1539">
        <v>1.47</v>
      </c>
    </row>
    <row r="1540" spans="1:23" x14ac:dyDescent="0.3">
      <c r="A1540">
        <v>1539</v>
      </c>
      <c r="B1540" t="s">
        <v>1583</v>
      </c>
      <c r="C1540" t="s">
        <v>35</v>
      </c>
      <c r="D1540">
        <v>141</v>
      </c>
      <c r="E1540">
        <v>4654</v>
      </c>
      <c r="F1540" s="3">
        <v>192</v>
      </c>
      <c r="G1540">
        <v>21</v>
      </c>
      <c r="H1540">
        <v>6</v>
      </c>
      <c r="I1540" s="5">
        <v>4.2553191489361701E-2</v>
      </c>
      <c r="J1540" s="3">
        <v>394</v>
      </c>
      <c r="K1540" s="1">
        <v>45621</v>
      </c>
      <c r="L1540" t="s">
        <v>25</v>
      </c>
      <c r="M1540" t="s">
        <v>31</v>
      </c>
      <c r="N1540" t="s">
        <v>49</v>
      </c>
      <c r="O1540" t="s">
        <v>28</v>
      </c>
      <c r="P1540" t="s">
        <v>59</v>
      </c>
      <c r="Q1540" s="6">
        <v>1.36304964539007</v>
      </c>
      <c r="R1540">
        <v>3.03</v>
      </c>
      <c r="S1540">
        <v>9.15</v>
      </c>
      <c r="T1540">
        <v>32.03</v>
      </c>
      <c r="U1540">
        <v>105.01</v>
      </c>
      <c r="V1540">
        <v>65.67</v>
      </c>
      <c r="W1540">
        <v>2.0499999999999998</v>
      </c>
    </row>
    <row r="1541" spans="1:23" x14ac:dyDescent="0.3">
      <c r="A1541">
        <v>1540</v>
      </c>
      <c r="B1541" t="s">
        <v>1584</v>
      </c>
      <c r="C1541" t="s">
        <v>24</v>
      </c>
      <c r="D1541">
        <v>110</v>
      </c>
      <c r="E1541">
        <v>5509</v>
      </c>
      <c r="F1541" s="3">
        <v>245</v>
      </c>
      <c r="G1541">
        <v>13</v>
      </c>
      <c r="H1541">
        <v>8</v>
      </c>
      <c r="I1541" s="5">
        <v>7.2727272727272696E-2</v>
      </c>
      <c r="J1541" s="3">
        <v>314</v>
      </c>
      <c r="K1541" s="1">
        <v>45606</v>
      </c>
      <c r="L1541" t="s">
        <v>25</v>
      </c>
      <c r="M1541" t="s">
        <v>31</v>
      </c>
      <c r="N1541" t="s">
        <v>27</v>
      </c>
      <c r="O1541" t="s">
        <v>28</v>
      </c>
      <c r="P1541" t="s">
        <v>50</v>
      </c>
      <c r="Q1541" s="6">
        <v>2.23072727272727</v>
      </c>
      <c r="R1541">
        <v>2</v>
      </c>
      <c r="S1541">
        <v>18.88</v>
      </c>
      <c r="T1541">
        <v>30.67</v>
      </c>
      <c r="U1541">
        <v>27.96</v>
      </c>
      <c r="V1541">
        <v>39.25</v>
      </c>
      <c r="W1541">
        <v>1.28</v>
      </c>
    </row>
    <row r="1542" spans="1:23" x14ac:dyDescent="0.3">
      <c r="A1542">
        <v>1541</v>
      </c>
      <c r="B1542" t="s">
        <v>1585</v>
      </c>
      <c r="C1542" t="s">
        <v>38</v>
      </c>
      <c r="D1542">
        <v>96</v>
      </c>
      <c r="E1542">
        <v>3091</v>
      </c>
      <c r="F1542" s="3">
        <v>188</v>
      </c>
      <c r="G1542">
        <v>11</v>
      </c>
      <c r="H1542">
        <v>4</v>
      </c>
      <c r="I1542" s="5">
        <v>4.1666666666666602E-2</v>
      </c>
      <c r="J1542" s="3">
        <v>354</v>
      </c>
      <c r="K1542" s="1">
        <v>45606</v>
      </c>
      <c r="L1542" t="s">
        <v>25</v>
      </c>
      <c r="M1542" t="s">
        <v>39</v>
      </c>
      <c r="N1542" t="s">
        <v>32</v>
      </c>
      <c r="O1542" t="s">
        <v>28</v>
      </c>
      <c r="P1542" t="s">
        <v>50</v>
      </c>
      <c r="Q1542" s="6">
        <v>1.95385416666666</v>
      </c>
      <c r="R1542">
        <v>3.11</v>
      </c>
      <c r="S1542">
        <v>17.05</v>
      </c>
      <c r="T1542">
        <v>46.89</v>
      </c>
      <c r="U1542">
        <v>88.73</v>
      </c>
      <c r="V1542">
        <v>88.5</v>
      </c>
      <c r="W1542">
        <v>1.89</v>
      </c>
    </row>
    <row r="1543" spans="1:23" x14ac:dyDescent="0.3">
      <c r="A1543">
        <v>1542</v>
      </c>
      <c r="B1543" t="s">
        <v>1586</v>
      </c>
      <c r="C1543" t="s">
        <v>38</v>
      </c>
      <c r="D1543">
        <v>85</v>
      </c>
      <c r="E1543">
        <v>4653</v>
      </c>
      <c r="F1543" s="3">
        <v>197</v>
      </c>
      <c r="G1543">
        <v>23</v>
      </c>
      <c r="H1543">
        <v>6</v>
      </c>
      <c r="I1543" s="5">
        <v>7.0588235294117604E-2</v>
      </c>
      <c r="J1543" s="3">
        <v>211</v>
      </c>
      <c r="K1543" s="1">
        <v>45609</v>
      </c>
      <c r="L1543" t="s">
        <v>25</v>
      </c>
      <c r="M1543" t="s">
        <v>31</v>
      </c>
      <c r="N1543" t="s">
        <v>32</v>
      </c>
      <c r="O1543" t="s">
        <v>28</v>
      </c>
      <c r="P1543" t="s">
        <v>33</v>
      </c>
      <c r="Q1543" s="6">
        <v>2.3144705882352898</v>
      </c>
      <c r="R1543">
        <v>1.83</v>
      </c>
      <c r="S1543">
        <v>8.5500000000000007</v>
      </c>
      <c r="T1543">
        <v>32.79</v>
      </c>
      <c r="U1543">
        <v>7.25</v>
      </c>
      <c r="V1543">
        <v>35.17</v>
      </c>
      <c r="W1543">
        <v>1.07</v>
      </c>
    </row>
    <row r="1544" spans="1:23" x14ac:dyDescent="0.3">
      <c r="A1544">
        <v>1543</v>
      </c>
      <c r="B1544" t="s">
        <v>1587</v>
      </c>
      <c r="C1544" t="s">
        <v>43</v>
      </c>
      <c r="D1544">
        <v>151</v>
      </c>
      <c r="E1544">
        <v>5389</v>
      </c>
      <c r="F1544" s="3">
        <v>227</v>
      </c>
      <c r="G1544">
        <v>18</v>
      </c>
      <c r="H1544">
        <v>10</v>
      </c>
      <c r="I1544" s="5">
        <v>6.6225165562913899E-2</v>
      </c>
      <c r="J1544" s="3">
        <v>269</v>
      </c>
      <c r="K1544" s="1">
        <v>45616</v>
      </c>
      <c r="L1544" t="s">
        <v>25</v>
      </c>
      <c r="M1544" t="s">
        <v>26</v>
      </c>
      <c r="N1544" t="s">
        <v>40</v>
      </c>
      <c r="O1544" t="s">
        <v>28</v>
      </c>
      <c r="P1544" t="s">
        <v>33</v>
      </c>
      <c r="Q1544" s="6">
        <v>1.50377483443708</v>
      </c>
      <c r="R1544">
        <v>2.8</v>
      </c>
      <c r="S1544">
        <v>12.62</v>
      </c>
      <c r="T1544">
        <v>22.71</v>
      </c>
      <c r="U1544">
        <v>18.47</v>
      </c>
      <c r="V1544">
        <v>26.9</v>
      </c>
      <c r="W1544">
        <v>1.18</v>
      </c>
    </row>
    <row r="1545" spans="1:23" x14ac:dyDescent="0.3">
      <c r="A1545">
        <v>1544</v>
      </c>
      <c r="B1545" t="s">
        <v>1588</v>
      </c>
      <c r="C1545" t="s">
        <v>43</v>
      </c>
      <c r="D1545">
        <v>139</v>
      </c>
      <c r="E1545">
        <v>5290</v>
      </c>
      <c r="F1545" s="3">
        <v>208</v>
      </c>
      <c r="G1545">
        <v>28</v>
      </c>
      <c r="H1545">
        <v>4</v>
      </c>
      <c r="I1545" s="5">
        <v>2.8776978417266098E-2</v>
      </c>
      <c r="J1545" s="3">
        <v>209</v>
      </c>
      <c r="K1545" s="1">
        <v>45616</v>
      </c>
      <c r="L1545" t="s">
        <v>25</v>
      </c>
      <c r="M1545" t="s">
        <v>39</v>
      </c>
      <c r="N1545" t="s">
        <v>36</v>
      </c>
      <c r="O1545" t="s">
        <v>28</v>
      </c>
      <c r="P1545" t="s">
        <v>33</v>
      </c>
      <c r="Q1545" s="6">
        <v>1.49949640287769</v>
      </c>
      <c r="R1545">
        <v>2.63</v>
      </c>
      <c r="S1545">
        <v>7.44</v>
      </c>
      <c r="T1545">
        <v>52.11</v>
      </c>
      <c r="U1545">
        <v>0.27</v>
      </c>
      <c r="V1545">
        <v>52.25</v>
      </c>
      <c r="W1545">
        <v>1</v>
      </c>
    </row>
    <row r="1546" spans="1:23" x14ac:dyDescent="0.3">
      <c r="A1546">
        <v>1545</v>
      </c>
      <c r="B1546" t="s">
        <v>1589</v>
      </c>
      <c r="C1546" t="s">
        <v>24</v>
      </c>
      <c r="D1546">
        <v>120</v>
      </c>
      <c r="E1546">
        <v>3060</v>
      </c>
      <c r="F1546" s="3">
        <v>198</v>
      </c>
      <c r="G1546">
        <v>17</v>
      </c>
      <c r="H1546">
        <v>8</v>
      </c>
      <c r="I1546" s="5">
        <v>6.6666666666666596E-2</v>
      </c>
      <c r="J1546" s="3">
        <v>343</v>
      </c>
      <c r="K1546" s="1">
        <v>45619</v>
      </c>
      <c r="L1546" t="s">
        <v>25</v>
      </c>
      <c r="M1546" t="s">
        <v>39</v>
      </c>
      <c r="N1546" t="s">
        <v>49</v>
      </c>
      <c r="O1546" t="s">
        <v>28</v>
      </c>
      <c r="P1546" t="s">
        <v>29</v>
      </c>
      <c r="Q1546" s="6">
        <v>1.64966666666666</v>
      </c>
      <c r="R1546">
        <v>3.92</v>
      </c>
      <c r="S1546">
        <v>11.64</v>
      </c>
      <c r="T1546">
        <v>24.74</v>
      </c>
      <c r="U1546">
        <v>73.27</v>
      </c>
      <c r="V1546">
        <v>42.88</v>
      </c>
      <c r="W1546">
        <v>1.73</v>
      </c>
    </row>
    <row r="1547" spans="1:23" x14ac:dyDescent="0.3">
      <c r="A1547">
        <v>1546</v>
      </c>
      <c r="B1547" t="s">
        <v>1590</v>
      </c>
      <c r="C1547" t="s">
        <v>38</v>
      </c>
      <c r="D1547">
        <v>109</v>
      </c>
      <c r="E1547">
        <v>4444</v>
      </c>
      <c r="F1547" s="3">
        <v>219</v>
      </c>
      <c r="G1547">
        <v>12</v>
      </c>
      <c r="H1547">
        <v>9</v>
      </c>
      <c r="I1547" s="5">
        <v>8.2568807339449504E-2</v>
      </c>
      <c r="J1547" s="3">
        <v>237</v>
      </c>
      <c r="K1547" s="1">
        <v>45624</v>
      </c>
      <c r="L1547" t="s">
        <v>25</v>
      </c>
      <c r="M1547" t="s">
        <v>31</v>
      </c>
      <c r="N1547" t="s">
        <v>40</v>
      </c>
      <c r="O1547" t="s">
        <v>28</v>
      </c>
      <c r="P1547" t="s">
        <v>54</v>
      </c>
      <c r="Q1547" s="6">
        <v>2.01339449541284</v>
      </c>
      <c r="R1547">
        <v>2.4500000000000002</v>
      </c>
      <c r="S1547">
        <v>18.29</v>
      </c>
      <c r="T1547">
        <v>24.38</v>
      </c>
      <c r="U1547">
        <v>7.99</v>
      </c>
      <c r="V1547">
        <v>26.33</v>
      </c>
      <c r="W1547">
        <v>1.08</v>
      </c>
    </row>
    <row r="1548" spans="1:23" x14ac:dyDescent="0.3">
      <c r="A1548">
        <v>1547</v>
      </c>
      <c r="B1548" t="s">
        <v>1591</v>
      </c>
      <c r="C1548" t="s">
        <v>43</v>
      </c>
      <c r="D1548">
        <v>145</v>
      </c>
      <c r="E1548">
        <v>3509</v>
      </c>
      <c r="F1548" s="3">
        <v>181</v>
      </c>
      <c r="G1548">
        <v>19</v>
      </c>
      <c r="H1548">
        <v>10</v>
      </c>
      <c r="I1548" s="5">
        <v>6.8965517241379296E-2</v>
      </c>
      <c r="J1548" s="3">
        <v>332</v>
      </c>
      <c r="K1548" s="1">
        <v>45618</v>
      </c>
      <c r="L1548" t="s">
        <v>25</v>
      </c>
      <c r="M1548" t="s">
        <v>31</v>
      </c>
      <c r="N1548" t="s">
        <v>44</v>
      </c>
      <c r="O1548" t="s">
        <v>28</v>
      </c>
      <c r="P1548" t="s">
        <v>45</v>
      </c>
      <c r="Q1548" s="6">
        <v>1.2490344827586199</v>
      </c>
      <c r="R1548">
        <v>4.13</v>
      </c>
      <c r="S1548">
        <v>9.5299999999999994</v>
      </c>
      <c r="T1548">
        <v>18.11</v>
      </c>
      <c r="U1548">
        <v>83.31</v>
      </c>
      <c r="V1548">
        <v>33.200000000000003</v>
      </c>
      <c r="W1548">
        <v>1.83</v>
      </c>
    </row>
    <row r="1549" spans="1:23" x14ac:dyDescent="0.3">
      <c r="A1549">
        <v>1548</v>
      </c>
      <c r="B1549" t="s">
        <v>1592</v>
      </c>
      <c r="C1549" t="s">
        <v>24</v>
      </c>
      <c r="D1549">
        <v>151</v>
      </c>
      <c r="E1549">
        <v>4675</v>
      </c>
      <c r="F1549" s="3">
        <v>183</v>
      </c>
      <c r="G1549">
        <v>14</v>
      </c>
      <c r="H1549">
        <v>7</v>
      </c>
      <c r="I1549" s="5">
        <v>4.6357615894039701E-2</v>
      </c>
      <c r="J1549" s="3">
        <v>204</v>
      </c>
      <c r="K1549" s="1">
        <v>45606</v>
      </c>
      <c r="L1549" t="s">
        <v>25</v>
      </c>
      <c r="M1549" t="s">
        <v>31</v>
      </c>
      <c r="N1549" t="s">
        <v>49</v>
      </c>
      <c r="O1549" t="s">
        <v>28</v>
      </c>
      <c r="P1549" t="s">
        <v>50</v>
      </c>
      <c r="Q1549" s="6">
        <v>1.21205298013245</v>
      </c>
      <c r="R1549">
        <v>3.23</v>
      </c>
      <c r="S1549">
        <v>13.07</v>
      </c>
      <c r="T1549">
        <v>26.15</v>
      </c>
      <c r="U1549">
        <v>11.46</v>
      </c>
      <c r="V1549">
        <v>29.14</v>
      </c>
      <c r="W1549">
        <v>1.1100000000000001</v>
      </c>
    </row>
    <row r="1550" spans="1:23" x14ac:dyDescent="0.3">
      <c r="A1550">
        <v>1549</v>
      </c>
      <c r="B1550" t="s">
        <v>1593</v>
      </c>
      <c r="C1550" t="s">
        <v>24</v>
      </c>
      <c r="D1550">
        <v>108</v>
      </c>
      <c r="E1550">
        <v>5869</v>
      </c>
      <c r="F1550" s="3">
        <v>227</v>
      </c>
      <c r="G1550">
        <v>16</v>
      </c>
      <c r="H1550">
        <v>7</v>
      </c>
      <c r="I1550" s="5">
        <v>6.4814814814814797E-2</v>
      </c>
      <c r="J1550" s="3">
        <v>333</v>
      </c>
      <c r="K1550" s="1">
        <v>45599</v>
      </c>
      <c r="L1550" t="s">
        <v>25</v>
      </c>
      <c r="M1550" t="s">
        <v>26</v>
      </c>
      <c r="N1550" t="s">
        <v>49</v>
      </c>
      <c r="O1550" t="s">
        <v>28</v>
      </c>
      <c r="P1550" t="s">
        <v>50</v>
      </c>
      <c r="Q1550" s="6">
        <v>2.1012037037037001</v>
      </c>
      <c r="R1550">
        <v>1.84</v>
      </c>
      <c r="S1550">
        <v>14.18</v>
      </c>
      <c r="T1550">
        <v>32.42</v>
      </c>
      <c r="U1550">
        <v>46.74</v>
      </c>
      <c r="V1550">
        <v>47.57</v>
      </c>
      <c r="W1550">
        <v>1.47</v>
      </c>
    </row>
    <row r="1551" spans="1:23" x14ac:dyDescent="0.3">
      <c r="A1551">
        <v>1550</v>
      </c>
      <c r="B1551" t="s">
        <v>1594</v>
      </c>
      <c r="C1551" t="s">
        <v>38</v>
      </c>
      <c r="D1551">
        <v>166</v>
      </c>
      <c r="E1551">
        <v>3992</v>
      </c>
      <c r="F1551" s="3">
        <v>206</v>
      </c>
      <c r="G1551">
        <v>15</v>
      </c>
      <c r="H1551">
        <v>8</v>
      </c>
      <c r="I1551" s="5">
        <v>4.8192771084337303E-2</v>
      </c>
      <c r="J1551" s="3">
        <v>388</v>
      </c>
      <c r="K1551" s="1">
        <v>45601</v>
      </c>
      <c r="L1551" t="s">
        <v>25</v>
      </c>
      <c r="M1551" t="s">
        <v>26</v>
      </c>
      <c r="N1551" t="s">
        <v>49</v>
      </c>
      <c r="O1551" t="s">
        <v>28</v>
      </c>
      <c r="P1551" t="s">
        <v>41</v>
      </c>
      <c r="Q1551" s="6">
        <v>1.24036144578313</v>
      </c>
      <c r="R1551">
        <v>4.16</v>
      </c>
      <c r="S1551">
        <v>13.73</v>
      </c>
      <c r="T1551">
        <v>25.74</v>
      </c>
      <c r="U1551">
        <v>88.44</v>
      </c>
      <c r="V1551">
        <v>48.5</v>
      </c>
      <c r="W1551">
        <v>1.88</v>
      </c>
    </row>
    <row r="1552" spans="1:23" x14ac:dyDescent="0.3">
      <c r="A1552">
        <v>1551</v>
      </c>
      <c r="B1552" t="s">
        <v>1595</v>
      </c>
      <c r="C1552" t="s">
        <v>35</v>
      </c>
      <c r="D1552">
        <v>134</v>
      </c>
      <c r="E1552">
        <v>4172</v>
      </c>
      <c r="F1552" s="3">
        <v>192</v>
      </c>
      <c r="G1552">
        <v>26</v>
      </c>
      <c r="H1552">
        <v>5</v>
      </c>
      <c r="I1552" s="5">
        <v>3.7313432835820802E-2</v>
      </c>
      <c r="J1552" s="3">
        <v>239</v>
      </c>
      <c r="K1552" s="1">
        <v>45614</v>
      </c>
      <c r="L1552" t="s">
        <v>25</v>
      </c>
      <c r="M1552" t="s">
        <v>39</v>
      </c>
      <c r="N1552" t="s">
        <v>44</v>
      </c>
      <c r="O1552" t="s">
        <v>28</v>
      </c>
      <c r="P1552" t="s">
        <v>59</v>
      </c>
      <c r="Q1552" s="6">
        <v>1.4313432835820801</v>
      </c>
      <c r="R1552">
        <v>3.21</v>
      </c>
      <c r="S1552">
        <v>7.38</v>
      </c>
      <c r="T1552">
        <v>38.36</v>
      </c>
      <c r="U1552">
        <v>24.61</v>
      </c>
      <c r="V1552">
        <v>47.8</v>
      </c>
      <c r="W1552">
        <v>1.25</v>
      </c>
    </row>
    <row r="1553" spans="1:23" x14ac:dyDescent="0.3">
      <c r="A1553">
        <v>1552</v>
      </c>
      <c r="B1553" t="s">
        <v>1596</v>
      </c>
      <c r="C1553" t="s">
        <v>24</v>
      </c>
      <c r="D1553">
        <v>104</v>
      </c>
      <c r="E1553">
        <v>5926</v>
      </c>
      <c r="F1553" s="3">
        <v>225</v>
      </c>
      <c r="G1553">
        <v>17</v>
      </c>
      <c r="H1553">
        <v>8</v>
      </c>
      <c r="I1553" s="5">
        <v>7.69230769230769E-2</v>
      </c>
      <c r="J1553" s="3">
        <v>253</v>
      </c>
      <c r="K1553" s="1">
        <v>45620</v>
      </c>
      <c r="L1553" t="s">
        <v>25</v>
      </c>
      <c r="M1553" t="s">
        <v>31</v>
      </c>
      <c r="N1553" t="s">
        <v>27</v>
      </c>
      <c r="O1553" t="s">
        <v>28</v>
      </c>
      <c r="P1553" t="s">
        <v>50</v>
      </c>
      <c r="Q1553" s="6">
        <v>2.1599038461538398</v>
      </c>
      <c r="R1553">
        <v>1.75</v>
      </c>
      <c r="S1553">
        <v>13.21</v>
      </c>
      <c r="T1553">
        <v>28.08</v>
      </c>
      <c r="U1553">
        <v>12.63</v>
      </c>
      <c r="V1553">
        <v>31.62</v>
      </c>
      <c r="W1553">
        <v>1.1299999999999999</v>
      </c>
    </row>
    <row r="1554" spans="1:23" x14ac:dyDescent="0.3">
      <c r="A1554">
        <v>1553</v>
      </c>
      <c r="B1554" t="s">
        <v>1597</v>
      </c>
      <c r="C1554" t="s">
        <v>38</v>
      </c>
      <c r="D1554">
        <v>175</v>
      </c>
      <c r="E1554">
        <v>5785</v>
      </c>
      <c r="F1554" s="3">
        <v>195</v>
      </c>
      <c r="G1554">
        <v>15</v>
      </c>
      <c r="H1554">
        <v>10</v>
      </c>
      <c r="I1554" s="5">
        <v>5.7142857142857099E-2</v>
      </c>
      <c r="J1554" s="3">
        <v>264</v>
      </c>
      <c r="K1554" s="1">
        <v>45621</v>
      </c>
      <c r="L1554" t="s">
        <v>25</v>
      </c>
      <c r="M1554" t="s">
        <v>39</v>
      </c>
      <c r="N1554" t="s">
        <v>49</v>
      </c>
      <c r="O1554" t="s">
        <v>28</v>
      </c>
      <c r="P1554" t="s">
        <v>59</v>
      </c>
      <c r="Q1554" s="6">
        <v>1.11651428571428</v>
      </c>
      <c r="R1554">
        <v>3.03</v>
      </c>
      <c r="S1554">
        <v>13.03</v>
      </c>
      <c r="T1554">
        <v>19.54</v>
      </c>
      <c r="U1554">
        <v>35.11</v>
      </c>
      <c r="V1554">
        <v>26.4</v>
      </c>
      <c r="W1554">
        <v>1.35</v>
      </c>
    </row>
    <row r="1555" spans="1:23" x14ac:dyDescent="0.3">
      <c r="A1555">
        <v>1554</v>
      </c>
      <c r="B1555" t="s">
        <v>1598</v>
      </c>
      <c r="C1555" t="s">
        <v>35</v>
      </c>
      <c r="D1555">
        <v>160</v>
      </c>
      <c r="E1555">
        <v>5664</v>
      </c>
      <c r="F1555" s="3">
        <v>211</v>
      </c>
      <c r="G1555">
        <v>16</v>
      </c>
      <c r="H1555">
        <v>9</v>
      </c>
      <c r="I1555" s="5">
        <v>5.6250000000000001E-2</v>
      </c>
      <c r="J1555" s="3">
        <v>375</v>
      </c>
      <c r="K1555" s="1">
        <v>45603</v>
      </c>
      <c r="L1555" t="s">
        <v>25</v>
      </c>
      <c r="M1555" t="s">
        <v>31</v>
      </c>
      <c r="N1555" t="s">
        <v>40</v>
      </c>
      <c r="O1555" t="s">
        <v>28</v>
      </c>
      <c r="P1555" t="s">
        <v>54</v>
      </c>
      <c r="Q1555" s="6">
        <v>1.316125</v>
      </c>
      <c r="R1555">
        <v>2.82</v>
      </c>
      <c r="S1555">
        <v>13.16</v>
      </c>
      <c r="T1555">
        <v>23.4</v>
      </c>
      <c r="U1555">
        <v>78.08</v>
      </c>
      <c r="V1555">
        <v>41.67</v>
      </c>
      <c r="W1555">
        <v>1.78</v>
      </c>
    </row>
    <row r="1556" spans="1:23" x14ac:dyDescent="0.3">
      <c r="A1556">
        <v>1555</v>
      </c>
      <c r="B1556" t="s">
        <v>1599</v>
      </c>
      <c r="C1556" t="s">
        <v>35</v>
      </c>
      <c r="D1556">
        <v>147</v>
      </c>
      <c r="E1556">
        <v>5930</v>
      </c>
      <c r="F1556" s="3">
        <v>248</v>
      </c>
      <c r="G1556">
        <v>22</v>
      </c>
      <c r="H1556">
        <v>10</v>
      </c>
      <c r="I1556" s="5">
        <v>6.8027210884353706E-2</v>
      </c>
      <c r="J1556" s="3">
        <v>356</v>
      </c>
      <c r="K1556" s="1">
        <v>45611</v>
      </c>
      <c r="L1556" t="s">
        <v>25</v>
      </c>
      <c r="M1556" t="s">
        <v>26</v>
      </c>
      <c r="N1556" t="s">
        <v>49</v>
      </c>
      <c r="O1556" t="s">
        <v>28</v>
      </c>
      <c r="P1556" t="s">
        <v>45</v>
      </c>
      <c r="Q1556" s="6">
        <v>1.6882993197278899</v>
      </c>
      <c r="R1556">
        <v>2.48</v>
      </c>
      <c r="S1556">
        <v>11.28</v>
      </c>
      <c r="T1556">
        <v>24.82</v>
      </c>
      <c r="U1556">
        <v>43.44</v>
      </c>
      <c r="V1556">
        <v>35.6</v>
      </c>
      <c r="W1556">
        <v>1.43</v>
      </c>
    </row>
    <row r="1557" spans="1:23" x14ac:dyDescent="0.3">
      <c r="A1557">
        <v>1556</v>
      </c>
      <c r="B1557" t="s">
        <v>1600</v>
      </c>
      <c r="C1557" t="s">
        <v>35</v>
      </c>
      <c r="D1557">
        <v>196</v>
      </c>
      <c r="E1557">
        <v>3656</v>
      </c>
      <c r="F1557" s="3">
        <v>240</v>
      </c>
      <c r="G1557">
        <v>15</v>
      </c>
      <c r="H1557">
        <v>6</v>
      </c>
      <c r="I1557" s="5">
        <v>3.06122448979591E-2</v>
      </c>
      <c r="J1557" s="3">
        <v>387</v>
      </c>
      <c r="K1557" s="1">
        <v>45599</v>
      </c>
      <c r="L1557" t="s">
        <v>25</v>
      </c>
      <c r="M1557" t="s">
        <v>39</v>
      </c>
      <c r="N1557" t="s">
        <v>49</v>
      </c>
      <c r="O1557" t="s">
        <v>28</v>
      </c>
      <c r="P1557" t="s">
        <v>50</v>
      </c>
      <c r="Q1557" s="6">
        <v>1.2267346938775501</v>
      </c>
      <c r="R1557">
        <v>5.36</v>
      </c>
      <c r="S1557">
        <v>16.03</v>
      </c>
      <c r="T1557">
        <v>40.07</v>
      </c>
      <c r="U1557">
        <v>60.95</v>
      </c>
      <c r="V1557">
        <v>64.5</v>
      </c>
      <c r="W1557">
        <v>1.61</v>
      </c>
    </row>
    <row r="1558" spans="1:23" x14ac:dyDescent="0.3">
      <c r="A1558">
        <v>1557</v>
      </c>
      <c r="B1558" t="s">
        <v>1601</v>
      </c>
      <c r="C1558" t="s">
        <v>24</v>
      </c>
      <c r="D1558">
        <v>159</v>
      </c>
      <c r="E1558">
        <v>5078</v>
      </c>
      <c r="F1558" s="3">
        <v>183</v>
      </c>
      <c r="G1558">
        <v>30</v>
      </c>
      <c r="H1558">
        <v>8</v>
      </c>
      <c r="I1558" s="5">
        <v>5.0314465408804999E-2</v>
      </c>
      <c r="J1558" s="3">
        <v>314</v>
      </c>
      <c r="K1558" s="1">
        <v>45605</v>
      </c>
      <c r="L1558" t="s">
        <v>25</v>
      </c>
      <c r="M1558" t="s">
        <v>31</v>
      </c>
      <c r="N1558" t="s">
        <v>32</v>
      </c>
      <c r="O1558" t="s">
        <v>28</v>
      </c>
      <c r="P1558" t="s">
        <v>29</v>
      </c>
      <c r="Q1558" s="6">
        <v>1.14823899371069</v>
      </c>
      <c r="R1558">
        <v>3.13</v>
      </c>
      <c r="S1558">
        <v>6.09</v>
      </c>
      <c r="T1558">
        <v>22.82</v>
      </c>
      <c r="U1558">
        <v>71.989999999999995</v>
      </c>
      <c r="V1558">
        <v>39.25</v>
      </c>
      <c r="W1558">
        <v>1.72</v>
      </c>
    </row>
    <row r="1559" spans="1:23" x14ac:dyDescent="0.3">
      <c r="A1559">
        <v>1558</v>
      </c>
      <c r="B1559" t="s">
        <v>1602</v>
      </c>
      <c r="C1559" t="s">
        <v>38</v>
      </c>
      <c r="D1559">
        <v>104</v>
      </c>
      <c r="E1559">
        <v>5257</v>
      </c>
      <c r="F1559" s="3">
        <v>220</v>
      </c>
      <c r="G1559">
        <v>17</v>
      </c>
      <c r="H1559">
        <v>7</v>
      </c>
      <c r="I1559" s="5">
        <v>6.7307692307692304E-2</v>
      </c>
      <c r="J1559" s="3">
        <v>298</v>
      </c>
      <c r="K1559" s="1">
        <v>45623</v>
      </c>
      <c r="L1559" t="s">
        <v>25</v>
      </c>
      <c r="M1559" t="s">
        <v>31</v>
      </c>
      <c r="N1559" t="s">
        <v>36</v>
      </c>
      <c r="O1559" t="s">
        <v>28</v>
      </c>
      <c r="P1559" t="s">
        <v>33</v>
      </c>
      <c r="Q1559" s="6">
        <v>2.11961538461538</v>
      </c>
      <c r="R1559">
        <v>1.98</v>
      </c>
      <c r="S1559">
        <v>12.97</v>
      </c>
      <c r="T1559">
        <v>31.49</v>
      </c>
      <c r="U1559">
        <v>35.18</v>
      </c>
      <c r="V1559">
        <v>42.57</v>
      </c>
      <c r="W1559">
        <v>1.35</v>
      </c>
    </row>
    <row r="1560" spans="1:23" x14ac:dyDescent="0.3">
      <c r="A1560">
        <v>1559</v>
      </c>
      <c r="B1560" t="s">
        <v>1603</v>
      </c>
      <c r="C1560" t="s">
        <v>35</v>
      </c>
      <c r="D1560">
        <v>135</v>
      </c>
      <c r="E1560">
        <v>5582</v>
      </c>
      <c r="F1560" s="3">
        <v>209</v>
      </c>
      <c r="G1560">
        <v>28</v>
      </c>
      <c r="H1560">
        <v>5</v>
      </c>
      <c r="I1560" s="5">
        <v>3.7037037037037E-2</v>
      </c>
      <c r="J1560" s="3">
        <v>390</v>
      </c>
      <c r="K1560" s="1">
        <v>45621</v>
      </c>
      <c r="L1560" t="s">
        <v>25</v>
      </c>
      <c r="M1560" t="s">
        <v>39</v>
      </c>
      <c r="N1560" t="s">
        <v>44</v>
      </c>
      <c r="O1560" t="s">
        <v>28</v>
      </c>
      <c r="P1560" t="s">
        <v>59</v>
      </c>
      <c r="Q1560" s="6">
        <v>1.5491851851851799</v>
      </c>
      <c r="R1560">
        <v>2.42</v>
      </c>
      <c r="S1560">
        <v>7.47</v>
      </c>
      <c r="T1560">
        <v>41.83</v>
      </c>
      <c r="U1560">
        <v>86.48</v>
      </c>
      <c r="V1560">
        <v>78</v>
      </c>
      <c r="W1560">
        <v>1.86</v>
      </c>
    </row>
    <row r="1561" spans="1:23" x14ac:dyDescent="0.3">
      <c r="A1561">
        <v>1560</v>
      </c>
      <c r="B1561" t="s">
        <v>1604</v>
      </c>
      <c r="C1561" t="s">
        <v>43</v>
      </c>
      <c r="D1561">
        <v>92</v>
      </c>
      <c r="E1561">
        <v>3097</v>
      </c>
      <c r="F1561" s="3">
        <v>232</v>
      </c>
      <c r="G1561">
        <v>21</v>
      </c>
      <c r="H1561">
        <v>4</v>
      </c>
      <c r="I1561" s="5">
        <v>4.3478260869565202E-2</v>
      </c>
      <c r="J1561" s="3">
        <v>389</v>
      </c>
      <c r="K1561" s="1">
        <v>45610</v>
      </c>
      <c r="L1561" t="s">
        <v>25</v>
      </c>
      <c r="M1561" t="s">
        <v>26</v>
      </c>
      <c r="N1561" t="s">
        <v>49</v>
      </c>
      <c r="O1561" t="s">
        <v>28</v>
      </c>
      <c r="P1561" t="s">
        <v>54</v>
      </c>
      <c r="Q1561" s="6">
        <v>2.5246739130434701</v>
      </c>
      <c r="R1561">
        <v>2.97</v>
      </c>
      <c r="S1561">
        <v>11.06</v>
      </c>
      <c r="T1561">
        <v>58.07</v>
      </c>
      <c r="U1561">
        <v>67.48</v>
      </c>
      <c r="V1561">
        <v>97.25</v>
      </c>
      <c r="W1561">
        <v>1.67</v>
      </c>
    </row>
    <row r="1562" spans="1:23" x14ac:dyDescent="0.3">
      <c r="A1562">
        <v>1561</v>
      </c>
      <c r="B1562" t="s">
        <v>1605</v>
      </c>
      <c r="C1562" t="s">
        <v>43</v>
      </c>
      <c r="D1562">
        <v>136</v>
      </c>
      <c r="E1562">
        <v>3657</v>
      </c>
      <c r="F1562" s="3">
        <v>236</v>
      </c>
      <c r="G1562">
        <v>12</v>
      </c>
      <c r="H1562">
        <v>5</v>
      </c>
      <c r="I1562" s="5">
        <v>3.6764705882352901E-2</v>
      </c>
      <c r="J1562" s="3">
        <v>291</v>
      </c>
      <c r="K1562" s="1">
        <v>45602</v>
      </c>
      <c r="L1562" t="s">
        <v>25</v>
      </c>
      <c r="M1562" t="s">
        <v>31</v>
      </c>
      <c r="N1562" t="s">
        <v>44</v>
      </c>
      <c r="O1562" t="s">
        <v>28</v>
      </c>
      <c r="P1562" t="s">
        <v>33</v>
      </c>
      <c r="Q1562" s="6">
        <v>1.7366911764705799</v>
      </c>
      <c r="R1562">
        <v>3.72</v>
      </c>
      <c r="S1562">
        <v>19.68</v>
      </c>
      <c r="T1562">
        <v>47.24</v>
      </c>
      <c r="U1562">
        <v>23.21</v>
      </c>
      <c r="V1562">
        <v>58.2</v>
      </c>
      <c r="W1562">
        <v>1.23</v>
      </c>
    </row>
    <row r="1563" spans="1:23" x14ac:dyDescent="0.3">
      <c r="A1563">
        <v>1562</v>
      </c>
      <c r="B1563" t="s">
        <v>1606</v>
      </c>
      <c r="C1563" t="s">
        <v>35</v>
      </c>
      <c r="D1563">
        <v>135</v>
      </c>
      <c r="E1563">
        <v>3198</v>
      </c>
      <c r="F1563" s="3">
        <v>227</v>
      </c>
      <c r="G1563">
        <v>19</v>
      </c>
      <c r="H1563">
        <v>6</v>
      </c>
      <c r="I1563" s="5">
        <v>4.4444444444444398E-2</v>
      </c>
      <c r="J1563" s="3">
        <v>384</v>
      </c>
      <c r="K1563" s="1">
        <v>45605</v>
      </c>
      <c r="L1563" t="s">
        <v>25</v>
      </c>
      <c r="M1563" t="s">
        <v>26</v>
      </c>
      <c r="N1563" t="s">
        <v>44</v>
      </c>
      <c r="O1563" t="s">
        <v>28</v>
      </c>
      <c r="P1563" t="s">
        <v>29</v>
      </c>
      <c r="Q1563" s="6">
        <v>1.68503703703703</v>
      </c>
      <c r="R1563">
        <v>4.22</v>
      </c>
      <c r="S1563">
        <v>11.97</v>
      </c>
      <c r="T1563">
        <v>37.909999999999997</v>
      </c>
      <c r="U1563">
        <v>68.81</v>
      </c>
      <c r="V1563">
        <v>64</v>
      </c>
      <c r="W1563">
        <v>1.69</v>
      </c>
    </row>
    <row r="1564" spans="1:23" x14ac:dyDescent="0.3">
      <c r="A1564">
        <v>1563</v>
      </c>
      <c r="B1564" t="s">
        <v>1607</v>
      </c>
      <c r="C1564" t="s">
        <v>38</v>
      </c>
      <c r="D1564">
        <v>91</v>
      </c>
      <c r="E1564">
        <v>5017</v>
      </c>
      <c r="F1564" s="3">
        <v>239</v>
      </c>
      <c r="G1564">
        <v>15</v>
      </c>
      <c r="H1564">
        <v>5</v>
      </c>
      <c r="I1564" s="5">
        <v>5.4945054945054903E-2</v>
      </c>
      <c r="J1564" s="3">
        <v>233.57142857142799</v>
      </c>
      <c r="K1564" s="1">
        <v>45598</v>
      </c>
      <c r="L1564" t="s">
        <v>25</v>
      </c>
      <c r="M1564" t="s">
        <v>39</v>
      </c>
      <c r="N1564" t="s">
        <v>49</v>
      </c>
      <c r="O1564" t="s">
        <v>28</v>
      </c>
      <c r="P1564" t="s">
        <v>29</v>
      </c>
      <c r="Q1564" s="6">
        <v>2.6301098901098898</v>
      </c>
      <c r="R1564">
        <v>1.81</v>
      </c>
      <c r="S1564">
        <v>15.96</v>
      </c>
      <c r="T1564">
        <v>47.87</v>
      </c>
      <c r="U1564">
        <v>-2.41</v>
      </c>
      <c r="V1564">
        <v>46.71</v>
      </c>
      <c r="W1564">
        <v>0.98</v>
      </c>
    </row>
    <row r="1565" spans="1:23" x14ac:dyDescent="0.3">
      <c r="A1565">
        <v>1564</v>
      </c>
      <c r="B1565" t="s">
        <v>1608</v>
      </c>
      <c r="C1565" t="s">
        <v>24</v>
      </c>
      <c r="D1565">
        <v>181</v>
      </c>
      <c r="E1565">
        <v>5343</v>
      </c>
      <c r="F1565" s="3">
        <v>244</v>
      </c>
      <c r="G1565">
        <v>30</v>
      </c>
      <c r="H1565">
        <v>9</v>
      </c>
      <c r="I1565" s="5">
        <v>4.9723756906077297E-2</v>
      </c>
      <c r="J1565" s="3">
        <v>334</v>
      </c>
      <c r="K1565" s="1">
        <v>45622</v>
      </c>
      <c r="L1565" t="s">
        <v>25</v>
      </c>
      <c r="M1565" t="s">
        <v>31</v>
      </c>
      <c r="N1565" t="s">
        <v>27</v>
      </c>
      <c r="O1565" t="s">
        <v>28</v>
      </c>
      <c r="P1565" t="s">
        <v>41</v>
      </c>
      <c r="Q1565" s="6">
        <v>1.3481767955801101</v>
      </c>
      <c r="R1565">
        <v>3.39</v>
      </c>
      <c r="S1565">
        <v>8.1300000000000008</v>
      </c>
      <c r="T1565">
        <v>27.11</v>
      </c>
      <c r="U1565">
        <v>36.869999999999997</v>
      </c>
      <c r="V1565">
        <v>37.11</v>
      </c>
      <c r="W1565">
        <v>1.37</v>
      </c>
    </row>
    <row r="1566" spans="1:23" x14ac:dyDescent="0.3">
      <c r="A1566">
        <v>1565</v>
      </c>
      <c r="B1566" t="s">
        <v>1609</v>
      </c>
      <c r="C1566" t="s">
        <v>38</v>
      </c>
      <c r="D1566">
        <v>148</v>
      </c>
      <c r="E1566">
        <v>4896</v>
      </c>
      <c r="F1566" s="3">
        <v>208</v>
      </c>
      <c r="G1566">
        <v>17</v>
      </c>
      <c r="H1566">
        <v>7</v>
      </c>
      <c r="I1566" s="5">
        <v>4.72972972972973E-2</v>
      </c>
      <c r="J1566" s="3">
        <v>325.10223214285702</v>
      </c>
      <c r="K1566" s="1">
        <v>45607</v>
      </c>
      <c r="L1566" t="s">
        <v>25</v>
      </c>
      <c r="M1566" t="s">
        <v>31</v>
      </c>
      <c r="N1566" t="s">
        <v>36</v>
      </c>
      <c r="O1566" t="s">
        <v>28</v>
      </c>
      <c r="P1566" t="s">
        <v>59</v>
      </c>
      <c r="Q1566" s="6">
        <v>1.40209459459459</v>
      </c>
      <c r="R1566">
        <v>3.02</v>
      </c>
      <c r="S1566">
        <v>12.21</v>
      </c>
      <c r="T1566">
        <v>29.64</v>
      </c>
      <c r="U1566">
        <v>56.67</v>
      </c>
      <c r="V1566">
        <v>46.44</v>
      </c>
      <c r="W1566">
        <v>1.57</v>
      </c>
    </row>
    <row r="1567" spans="1:23" x14ac:dyDescent="0.3">
      <c r="A1567">
        <v>1566</v>
      </c>
      <c r="B1567" t="s">
        <v>1610</v>
      </c>
      <c r="C1567" t="s">
        <v>38</v>
      </c>
      <c r="D1567">
        <v>80</v>
      </c>
      <c r="E1567">
        <v>5756</v>
      </c>
      <c r="F1567" s="3">
        <v>205</v>
      </c>
      <c r="G1567">
        <v>16</v>
      </c>
      <c r="H1567">
        <v>4</v>
      </c>
      <c r="I1567" s="5">
        <v>0.05</v>
      </c>
      <c r="J1567" s="3">
        <v>363</v>
      </c>
      <c r="K1567" s="1">
        <v>45616</v>
      </c>
      <c r="L1567" t="s">
        <v>25</v>
      </c>
      <c r="M1567" t="s">
        <v>26</v>
      </c>
      <c r="N1567" t="s">
        <v>44</v>
      </c>
      <c r="O1567" t="s">
        <v>28</v>
      </c>
      <c r="P1567" t="s">
        <v>33</v>
      </c>
      <c r="Q1567" s="6">
        <v>2.56725</v>
      </c>
      <c r="R1567">
        <v>1.39</v>
      </c>
      <c r="S1567">
        <v>12.84</v>
      </c>
      <c r="T1567">
        <v>51.34</v>
      </c>
      <c r="U1567">
        <v>76.75</v>
      </c>
      <c r="V1567">
        <v>90.75</v>
      </c>
      <c r="W1567">
        <v>1.77</v>
      </c>
    </row>
    <row r="1568" spans="1:23" x14ac:dyDescent="0.3">
      <c r="A1568">
        <v>1567</v>
      </c>
      <c r="B1568" t="s">
        <v>1611</v>
      </c>
      <c r="C1568" t="s">
        <v>24</v>
      </c>
      <c r="D1568">
        <v>155</v>
      </c>
      <c r="E1568">
        <v>5696</v>
      </c>
      <c r="F1568" s="3">
        <v>236</v>
      </c>
      <c r="G1568">
        <v>13</v>
      </c>
      <c r="H1568">
        <v>3</v>
      </c>
      <c r="I1568" s="5">
        <v>1.9354838709677399E-2</v>
      </c>
      <c r="J1568" s="3">
        <v>246</v>
      </c>
      <c r="K1568" s="1">
        <v>45619</v>
      </c>
      <c r="L1568" t="s">
        <v>25</v>
      </c>
      <c r="M1568" t="s">
        <v>31</v>
      </c>
      <c r="N1568" t="s">
        <v>36</v>
      </c>
      <c r="O1568" t="s">
        <v>28</v>
      </c>
      <c r="P1568" t="s">
        <v>29</v>
      </c>
      <c r="Q1568" s="6">
        <v>1.5254193548387001</v>
      </c>
      <c r="R1568">
        <v>2.72</v>
      </c>
      <c r="S1568">
        <v>18.190000000000001</v>
      </c>
      <c r="T1568">
        <v>78.81</v>
      </c>
      <c r="U1568">
        <v>4.04</v>
      </c>
      <c r="V1568">
        <v>82</v>
      </c>
      <c r="W1568">
        <v>1.04</v>
      </c>
    </row>
    <row r="1569" spans="1:23" x14ac:dyDescent="0.3">
      <c r="A1569">
        <v>1568</v>
      </c>
      <c r="B1569" t="s">
        <v>1612</v>
      </c>
      <c r="C1569" t="s">
        <v>24</v>
      </c>
      <c r="D1569">
        <v>114</v>
      </c>
      <c r="E1569">
        <v>5683</v>
      </c>
      <c r="F1569" s="3">
        <v>214</v>
      </c>
      <c r="G1569">
        <v>20</v>
      </c>
      <c r="H1569">
        <v>8</v>
      </c>
      <c r="I1569" s="5">
        <v>7.0175438596491196E-2</v>
      </c>
      <c r="J1569" s="3">
        <v>301</v>
      </c>
      <c r="K1569" s="1">
        <v>45604</v>
      </c>
      <c r="L1569" t="s">
        <v>25</v>
      </c>
      <c r="M1569" t="s">
        <v>31</v>
      </c>
      <c r="N1569" t="s">
        <v>27</v>
      </c>
      <c r="O1569" t="s">
        <v>28</v>
      </c>
      <c r="P1569" t="s">
        <v>45</v>
      </c>
      <c r="Q1569" s="6">
        <v>1.8808771929824499</v>
      </c>
      <c r="R1569">
        <v>2.0099999999999998</v>
      </c>
      <c r="S1569">
        <v>10.72</v>
      </c>
      <c r="T1569">
        <v>26.8</v>
      </c>
      <c r="U1569">
        <v>40.380000000000003</v>
      </c>
      <c r="V1569">
        <v>37.619999999999997</v>
      </c>
      <c r="W1569">
        <v>1.4</v>
      </c>
    </row>
    <row r="1570" spans="1:23" x14ac:dyDescent="0.3">
      <c r="A1570">
        <v>1569</v>
      </c>
      <c r="B1570" t="s">
        <v>1613</v>
      </c>
      <c r="C1570" t="s">
        <v>35</v>
      </c>
      <c r="D1570">
        <v>98</v>
      </c>
      <c r="E1570">
        <v>4669</v>
      </c>
      <c r="F1570" s="3">
        <v>206</v>
      </c>
      <c r="G1570">
        <v>16</v>
      </c>
      <c r="H1570">
        <v>6</v>
      </c>
      <c r="I1570" s="5">
        <v>6.1224489795918297E-2</v>
      </c>
      <c r="J1570" s="3">
        <v>361</v>
      </c>
      <c r="K1570" s="1">
        <v>45626</v>
      </c>
      <c r="L1570" t="s">
        <v>25</v>
      </c>
      <c r="M1570" t="s">
        <v>26</v>
      </c>
      <c r="N1570" t="s">
        <v>49</v>
      </c>
      <c r="O1570" t="s">
        <v>28</v>
      </c>
      <c r="P1570" t="s">
        <v>29</v>
      </c>
      <c r="Q1570" s="6">
        <v>2.0991836734693798</v>
      </c>
      <c r="R1570">
        <v>2.1</v>
      </c>
      <c r="S1570">
        <v>12.86</v>
      </c>
      <c r="T1570">
        <v>34.29</v>
      </c>
      <c r="U1570">
        <v>75.48</v>
      </c>
      <c r="V1570">
        <v>60.17</v>
      </c>
      <c r="W1570">
        <v>1.75</v>
      </c>
    </row>
    <row r="1571" spans="1:23" x14ac:dyDescent="0.3">
      <c r="A1571">
        <v>1570</v>
      </c>
      <c r="B1571" t="s">
        <v>1614</v>
      </c>
      <c r="C1571" t="s">
        <v>43</v>
      </c>
      <c r="D1571">
        <v>125</v>
      </c>
      <c r="E1571">
        <v>3807</v>
      </c>
      <c r="F1571" s="3">
        <v>235</v>
      </c>
      <c r="G1571">
        <v>11</v>
      </c>
      <c r="H1571">
        <v>6</v>
      </c>
      <c r="I1571" s="5">
        <v>4.8000000000000001E-2</v>
      </c>
      <c r="J1571" s="3">
        <v>280.28571428571399</v>
      </c>
      <c r="K1571" s="1">
        <v>45625</v>
      </c>
      <c r="L1571" t="s">
        <v>25</v>
      </c>
      <c r="M1571" t="s">
        <v>31</v>
      </c>
      <c r="N1571" t="s">
        <v>44</v>
      </c>
      <c r="O1571" t="s">
        <v>28</v>
      </c>
      <c r="P1571" t="s">
        <v>45</v>
      </c>
      <c r="Q1571" s="6">
        <v>1.8793599999999999</v>
      </c>
      <c r="R1571">
        <v>3.28</v>
      </c>
      <c r="S1571">
        <v>21.36</v>
      </c>
      <c r="T1571">
        <v>39.15</v>
      </c>
      <c r="U1571">
        <v>19.309999999999999</v>
      </c>
      <c r="V1571">
        <v>46.71</v>
      </c>
      <c r="W1571">
        <v>1.19</v>
      </c>
    </row>
    <row r="1572" spans="1:23" x14ac:dyDescent="0.3">
      <c r="A1572">
        <v>1571</v>
      </c>
      <c r="B1572" t="s">
        <v>1615</v>
      </c>
      <c r="C1572" t="s">
        <v>24</v>
      </c>
      <c r="D1572">
        <v>160</v>
      </c>
      <c r="E1572">
        <v>3163</v>
      </c>
      <c r="F1572" s="3">
        <v>239</v>
      </c>
      <c r="G1572">
        <v>20</v>
      </c>
      <c r="H1572">
        <v>8</v>
      </c>
      <c r="I1572" s="5">
        <v>0.05</v>
      </c>
      <c r="J1572" s="3">
        <v>320</v>
      </c>
      <c r="K1572" s="1">
        <v>45622</v>
      </c>
      <c r="L1572" t="s">
        <v>25</v>
      </c>
      <c r="M1572" t="s">
        <v>26</v>
      </c>
      <c r="N1572" t="s">
        <v>44</v>
      </c>
      <c r="O1572" t="s">
        <v>28</v>
      </c>
      <c r="P1572" t="s">
        <v>41</v>
      </c>
      <c r="Q1572" s="6">
        <v>1.4934375</v>
      </c>
      <c r="R1572">
        <v>5.0599999999999996</v>
      </c>
      <c r="S1572">
        <v>11.95</v>
      </c>
      <c r="T1572">
        <v>29.87</v>
      </c>
      <c r="U1572">
        <v>33.92</v>
      </c>
      <c r="V1572">
        <v>40</v>
      </c>
      <c r="W1572">
        <v>1.34</v>
      </c>
    </row>
    <row r="1573" spans="1:23" x14ac:dyDescent="0.3">
      <c r="A1573">
        <v>1572</v>
      </c>
      <c r="B1573" t="s">
        <v>1616</v>
      </c>
      <c r="C1573" t="s">
        <v>43</v>
      </c>
      <c r="D1573">
        <v>175</v>
      </c>
      <c r="E1573">
        <v>3732</v>
      </c>
      <c r="F1573" s="3">
        <v>231</v>
      </c>
      <c r="G1573">
        <v>16</v>
      </c>
      <c r="H1573">
        <v>10</v>
      </c>
      <c r="I1573" s="5">
        <v>5.7142857142857099E-2</v>
      </c>
      <c r="J1573" s="3">
        <v>207</v>
      </c>
      <c r="K1573" s="1">
        <v>45611</v>
      </c>
      <c r="L1573" t="s">
        <v>25</v>
      </c>
      <c r="M1573" t="s">
        <v>31</v>
      </c>
      <c r="N1573" t="s">
        <v>27</v>
      </c>
      <c r="O1573" t="s">
        <v>28</v>
      </c>
      <c r="P1573" t="s">
        <v>45</v>
      </c>
      <c r="Q1573" s="6">
        <v>1.3214285714285701</v>
      </c>
      <c r="R1573">
        <v>4.6900000000000004</v>
      </c>
      <c r="S1573">
        <v>14.45</v>
      </c>
      <c r="T1573">
        <v>23.12</v>
      </c>
      <c r="U1573">
        <v>-10.49</v>
      </c>
      <c r="V1573">
        <v>20.7</v>
      </c>
      <c r="W1573">
        <v>0.9</v>
      </c>
    </row>
    <row r="1574" spans="1:23" x14ac:dyDescent="0.3">
      <c r="A1574">
        <v>1573</v>
      </c>
      <c r="B1574" t="s">
        <v>1617</v>
      </c>
      <c r="C1574" t="s">
        <v>38</v>
      </c>
      <c r="D1574">
        <v>123</v>
      </c>
      <c r="E1574">
        <v>3860</v>
      </c>
      <c r="F1574" s="3">
        <v>225</v>
      </c>
      <c r="G1574">
        <v>24</v>
      </c>
      <c r="H1574">
        <v>8</v>
      </c>
      <c r="I1574" s="5">
        <v>6.5040650406504003E-2</v>
      </c>
      <c r="J1574" s="3">
        <v>367</v>
      </c>
      <c r="K1574" s="1">
        <v>45611</v>
      </c>
      <c r="L1574" t="s">
        <v>25</v>
      </c>
      <c r="M1574" t="s">
        <v>26</v>
      </c>
      <c r="N1574" t="s">
        <v>49</v>
      </c>
      <c r="O1574" t="s">
        <v>28</v>
      </c>
      <c r="P1574" t="s">
        <v>45</v>
      </c>
      <c r="Q1574" s="6">
        <v>1.8262601626016199</v>
      </c>
      <c r="R1574">
        <v>3.19</v>
      </c>
      <c r="S1574">
        <v>9.36</v>
      </c>
      <c r="T1574">
        <v>28.08</v>
      </c>
      <c r="U1574">
        <v>63.38</v>
      </c>
      <c r="V1574">
        <v>45.88</v>
      </c>
      <c r="W1574">
        <v>1.63</v>
      </c>
    </row>
    <row r="1575" spans="1:23" x14ac:dyDescent="0.3">
      <c r="A1575">
        <v>1574</v>
      </c>
      <c r="B1575" t="s">
        <v>1618</v>
      </c>
      <c r="C1575" t="s">
        <v>35</v>
      </c>
      <c r="D1575">
        <v>106</v>
      </c>
      <c r="E1575">
        <v>3196</v>
      </c>
      <c r="F1575" s="3">
        <v>212</v>
      </c>
      <c r="G1575">
        <v>15</v>
      </c>
      <c r="H1575">
        <v>6</v>
      </c>
      <c r="I1575" s="5">
        <v>5.6603773584905599E-2</v>
      </c>
      <c r="J1575" s="3">
        <v>268</v>
      </c>
      <c r="K1575" s="1">
        <v>45619</v>
      </c>
      <c r="L1575" t="s">
        <v>25</v>
      </c>
      <c r="M1575" t="s">
        <v>39</v>
      </c>
      <c r="N1575" t="s">
        <v>49</v>
      </c>
      <c r="O1575" t="s">
        <v>28</v>
      </c>
      <c r="P1575" t="s">
        <v>29</v>
      </c>
      <c r="Q1575" s="6">
        <v>2.0011320754716899</v>
      </c>
      <c r="R1575">
        <v>3.32</v>
      </c>
      <c r="S1575">
        <v>14.14</v>
      </c>
      <c r="T1575">
        <v>35.35</v>
      </c>
      <c r="U1575">
        <v>26.34</v>
      </c>
      <c r="V1575">
        <v>44.67</v>
      </c>
      <c r="W1575">
        <v>1.26</v>
      </c>
    </row>
    <row r="1576" spans="1:23" x14ac:dyDescent="0.3">
      <c r="A1576">
        <v>1575</v>
      </c>
      <c r="B1576" t="s">
        <v>1619</v>
      </c>
      <c r="C1576" t="s">
        <v>24</v>
      </c>
      <c r="D1576">
        <v>101</v>
      </c>
      <c r="E1576">
        <v>3322</v>
      </c>
      <c r="F1576" s="3">
        <v>206</v>
      </c>
      <c r="G1576">
        <v>24</v>
      </c>
      <c r="H1576">
        <v>4</v>
      </c>
      <c r="I1576" s="5">
        <v>3.9603960396039598E-2</v>
      </c>
      <c r="J1576" s="3">
        <v>210</v>
      </c>
      <c r="K1576" s="1">
        <v>45605</v>
      </c>
      <c r="L1576" t="s">
        <v>25</v>
      </c>
      <c r="M1576" t="s">
        <v>39</v>
      </c>
      <c r="N1576" t="s">
        <v>40</v>
      </c>
      <c r="O1576" t="s">
        <v>28</v>
      </c>
      <c r="P1576" t="s">
        <v>29</v>
      </c>
      <c r="Q1576" s="6">
        <v>2.0381188118811799</v>
      </c>
      <c r="R1576">
        <v>3.04</v>
      </c>
      <c r="S1576">
        <v>8.58</v>
      </c>
      <c r="T1576">
        <v>51.46</v>
      </c>
      <c r="U1576">
        <v>2.02</v>
      </c>
      <c r="V1576">
        <v>52.5</v>
      </c>
      <c r="W1576">
        <v>1.02</v>
      </c>
    </row>
    <row r="1577" spans="1:23" x14ac:dyDescent="0.3">
      <c r="A1577">
        <v>1576</v>
      </c>
      <c r="B1577" t="s">
        <v>1620</v>
      </c>
      <c r="C1577" t="s">
        <v>24</v>
      </c>
      <c r="D1577">
        <v>185</v>
      </c>
      <c r="E1577">
        <v>5121</v>
      </c>
      <c r="F1577" s="3">
        <v>215</v>
      </c>
      <c r="G1577">
        <v>12</v>
      </c>
      <c r="H1577">
        <v>9</v>
      </c>
      <c r="I1577" s="5">
        <v>4.8648648648648603E-2</v>
      </c>
      <c r="J1577" s="3">
        <v>352</v>
      </c>
      <c r="K1577" s="1">
        <v>45598</v>
      </c>
      <c r="L1577" t="s">
        <v>25</v>
      </c>
      <c r="M1577" t="s">
        <v>31</v>
      </c>
      <c r="N1577" t="s">
        <v>32</v>
      </c>
      <c r="O1577" t="s">
        <v>28</v>
      </c>
      <c r="P1577" t="s">
        <v>29</v>
      </c>
      <c r="Q1577" s="6">
        <v>1.16464864864864</v>
      </c>
      <c r="R1577">
        <v>3.61</v>
      </c>
      <c r="S1577">
        <v>17.96</v>
      </c>
      <c r="T1577">
        <v>23.94</v>
      </c>
      <c r="U1577">
        <v>63.37</v>
      </c>
      <c r="V1577">
        <v>39.11</v>
      </c>
      <c r="W1577">
        <v>1.63</v>
      </c>
    </row>
    <row r="1578" spans="1:23" x14ac:dyDescent="0.3">
      <c r="A1578">
        <v>1577</v>
      </c>
      <c r="B1578" t="s">
        <v>1621</v>
      </c>
      <c r="C1578" t="s">
        <v>43</v>
      </c>
      <c r="D1578">
        <v>139</v>
      </c>
      <c r="E1578">
        <v>5610</v>
      </c>
      <c r="F1578" s="3">
        <v>239</v>
      </c>
      <c r="G1578">
        <v>17</v>
      </c>
      <c r="H1578">
        <v>6</v>
      </c>
      <c r="I1578" s="5">
        <v>4.31654676258992E-2</v>
      </c>
      <c r="J1578" s="3">
        <v>316</v>
      </c>
      <c r="K1578" s="1">
        <v>45610</v>
      </c>
      <c r="L1578" t="s">
        <v>25</v>
      </c>
      <c r="M1578" t="s">
        <v>39</v>
      </c>
      <c r="N1578" t="s">
        <v>44</v>
      </c>
      <c r="O1578" t="s">
        <v>28</v>
      </c>
      <c r="P1578" t="s">
        <v>54</v>
      </c>
      <c r="Q1578" s="6">
        <v>1.7225899280575501</v>
      </c>
      <c r="R1578">
        <v>2.48</v>
      </c>
      <c r="S1578">
        <v>14.08</v>
      </c>
      <c r="T1578">
        <v>39.909999999999997</v>
      </c>
      <c r="U1578">
        <v>31.97</v>
      </c>
      <c r="V1578">
        <v>52.67</v>
      </c>
      <c r="W1578">
        <v>1.32</v>
      </c>
    </row>
    <row r="1579" spans="1:23" x14ac:dyDescent="0.3">
      <c r="A1579">
        <v>1578</v>
      </c>
      <c r="B1579" t="s">
        <v>1622</v>
      </c>
      <c r="C1579" t="s">
        <v>43</v>
      </c>
      <c r="D1579">
        <v>174</v>
      </c>
      <c r="E1579">
        <v>3890</v>
      </c>
      <c r="F1579" s="3">
        <v>186</v>
      </c>
      <c r="G1579">
        <v>28</v>
      </c>
      <c r="H1579">
        <v>7</v>
      </c>
      <c r="I1579" s="5">
        <v>4.0229885057471201E-2</v>
      </c>
      <c r="J1579" s="3">
        <v>366</v>
      </c>
      <c r="K1579" s="1">
        <v>45617</v>
      </c>
      <c r="L1579" t="s">
        <v>25</v>
      </c>
      <c r="M1579" t="s">
        <v>39</v>
      </c>
      <c r="N1579" t="s">
        <v>44</v>
      </c>
      <c r="O1579" t="s">
        <v>28</v>
      </c>
      <c r="P1579" t="s">
        <v>54</v>
      </c>
      <c r="Q1579" s="6">
        <v>1.0691954022988499</v>
      </c>
      <c r="R1579">
        <v>4.47</v>
      </c>
      <c r="S1579">
        <v>6.64</v>
      </c>
      <c r="T1579">
        <v>26.58</v>
      </c>
      <c r="U1579">
        <v>96.73</v>
      </c>
      <c r="V1579">
        <v>52.29</v>
      </c>
      <c r="W1579">
        <v>1.97</v>
      </c>
    </row>
    <row r="1580" spans="1:23" x14ac:dyDescent="0.3">
      <c r="A1580">
        <v>1579</v>
      </c>
      <c r="B1580" t="s">
        <v>1623</v>
      </c>
      <c r="C1580" t="s">
        <v>35</v>
      </c>
      <c r="D1580">
        <v>157</v>
      </c>
      <c r="E1580">
        <v>4671</v>
      </c>
      <c r="F1580" s="3">
        <v>248</v>
      </c>
      <c r="G1580">
        <v>14</v>
      </c>
      <c r="H1580">
        <v>7</v>
      </c>
      <c r="I1580" s="5">
        <v>4.4585987261146397E-2</v>
      </c>
      <c r="J1580" s="3">
        <v>254</v>
      </c>
      <c r="K1580" s="1">
        <v>45599</v>
      </c>
      <c r="L1580" t="s">
        <v>25</v>
      </c>
      <c r="M1580" t="s">
        <v>31</v>
      </c>
      <c r="N1580" t="s">
        <v>40</v>
      </c>
      <c r="O1580" t="s">
        <v>28</v>
      </c>
      <c r="P1580" t="s">
        <v>50</v>
      </c>
      <c r="Q1580" s="6">
        <v>1.5807006369426699</v>
      </c>
      <c r="R1580">
        <v>3.36</v>
      </c>
      <c r="S1580">
        <v>17.73</v>
      </c>
      <c r="T1580">
        <v>35.450000000000003</v>
      </c>
      <c r="U1580">
        <v>2.35</v>
      </c>
      <c r="V1580">
        <v>36.29</v>
      </c>
      <c r="W1580">
        <v>1.02</v>
      </c>
    </row>
    <row r="1581" spans="1:23" x14ac:dyDescent="0.3">
      <c r="A1581">
        <v>1580</v>
      </c>
      <c r="B1581" t="s">
        <v>1624</v>
      </c>
      <c r="C1581" t="s">
        <v>43</v>
      </c>
      <c r="D1581">
        <v>160</v>
      </c>
      <c r="E1581">
        <v>5438</v>
      </c>
      <c r="F1581" s="3">
        <v>198</v>
      </c>
      <c r="G1581">
        <v>16</v>
      </c>
      <c r="H1581">
        <v>6</v>
      </c>
      <c r="I1581" s="5">
        <v>3.7499999999999999E-2</v>
      </c>
      <c r="J1581" s="3">
        <v>358</v>
      </c>
      <c r="K1581" s="1">
        <v>45599</v>
      </c>
      <c r="L1581" t="s">
        <v>25</v>
      </c>
      <c r="M1581" t="s">
        <v>39</v>
      </c>
      <c r="N1581" t="s">
        <v>32</v>
      </c>
      <c r="O1581" t="s">
        <v>28</v>
      </c>
      <c r="P1581" t="s">
        <v>50</v>
      </c>
      <c r="Q1581" s="6">
        <v>1.234375</v>
      </c>
      <c r="R1581">
        <v>2.94</v>
      </c>
      <c r="S1581">
        <v>12.34</v>
      </c>
      <c r="T1581">
        <v>32.92</v>
      </c>
      <c r="U1581">
        <v>81.27</v>
      </c>
      <c r="V1581">
        <v>59.67</v>
      </c>
      <c r="W1581">
        <v>1.81</v>
      </c>
    </row>
    <row r="1582" spans="1:23" x14ac:dyDescent="0.3">
      <c r="A1582">
        <v>1581</v>
      </c>
      <c r="B1582" t="s">
        <v>1625</v>
      </c>
      <c r="C1582" t="s">
        <v>43</v>
      </c>
      <c r="D1582">
        <v>198</v>
      </c>
      <c r="E1582">
        <v>4726</v>
      </c>
      <c r="F1582" s="3">
        <v>185</v>
      </c>
      <c r="G1582">
        <v>14</v>
      </c>
      <c r="H1582">
        <v>9</v>
      </c>
      <c r="I1582" s="5">
        <v>4.54545454545454E-2</v>
      </c>
      <c r="J1582" s="3">
        <v>322</v>
      </c>
      <c r="K1582" s="1">
        <v>45613</v>
      </c>
      <c r="L1582" t="s">
        <v>25</v>
      </c>
      <c r="M1582" t="s">
        <v>39</v>
      </c>
      <c r="N1582" t="s">
        <v>27</v>
      </c>
      <c r="O1582" t="s">
        <v>28</v>
      </c>
      <c r="P1582" t="s">
        <v>50</v>
      </c>
      <c r="Q1582" s="6">
        <v>0.93499999999999905</v>
      </c>
      <c r="R1582">
        <v>4.1900000000000004</v>
      </c>
      <c r="S1582">
        <v>13.22</v>
      </c>
      <c r="T1582">
        <v>20.57</v>
      </c>
      <c r="U1582">
        <v>73.930000000000007</v>
      </c>
      <c r="V1582">
        <v>35.78</v>
      </c>
      <c r="W1582">
        <v>1.74</v>
      </c>
    </row>
    <row r="1583" spans="1:23" x14ac:dyDescent="0.3">
      <c r="A1583">
        <v>1582</v>
      </c>
      <c r="B1583" t="s">
        <v>1626</v>
      </c>
      <c r="C1583" t="s">
        <v>43</v>
      </c>
      <c r="D1583">
        <v>144</v>
      </c>
      <c r="E1583">
        <v>5301</v>
      </c>
      <c r="F1583" s="3">
        <v>196</v>
      </c>
      <c r="G1583">
        <v>12</v>
      </c>
      <c r="H1583">
        <v>3</v>
      </c>
      <c r="I1583" s="5">
        <v>2.0833333333333301E-2</v>
      </c>
      <c r="J1583" s="3">
        <v>338</v>
      </c>
      <c r="K1583" s="1">
        <v>45623</v>
      </c>
      <c r="L1583" t="s">
        <v>25</v>
      </c>
      <c r="M1583" t="s">
        <v>39</v>
      </c>
      <c r="N1583" t="s">
        <v>36</v>
      </c>
      <c r="O1583" t="s">
        <v>28</v>
      </c>
      <c r="P1583" t="s">
        <v>33</v>
      </c>
      <c r="Q1583" s="6">
        <v>1.3599305555555501</v>
      </c>
      <c r="R1583">
        <v>2.72</v>
      </c>
      <c r="S1583">
        <v>16.32</v>
      </c>
      <c r="T1583">
        <v>65.28</v>
      </c>
      <c r="U1583">
        <v>72.599999999999994</v>
      </c>
      <c r="V1583">
        <v>112.67</v>
      </c>
      <c r="W1583">
        <v>1.73</v>
      </c>
    </row>
    <row r="1584" spans="1:23" x14ac:dyDescent="0.3">
      <c r="A1584">
        <v>1583</v>
      </c>
      <c r="B1584" t="s">
        <v>1627</v>
      </c>
      <c r="C1584" t="s">
        <v>43</v>
      </c>
      <c r="D1584">
        <v>187</v>
      </c>
      <c r="E1584">
        <v>3722</v>
      </c>
      <c r="F1584" s="3">
        <v>182</v>
      </c>
      <c r="G1584">
        <v>27</v>
      </c>
      <c r="H1584">
        <v>7</v>
      </c>
      <c r="I1584" s="5">
        <v>3.7433155080213901E-2</v>
      </c>
      <c r="J1584" s="3">
        <v>329</v>
      </c>
      <c r="K1584" s="1">
        <v>45616</v>
      </c>
      <c r="L1584" t="s">
        <v>25</v>
      </c>
      <c r="M1584" t="s">
        <v>31</v>
      </c>
      <c r="N1584" t="s">
        <v>40</v>
      </c>
      <c r="O1584" t="s">
        <v>28</v>
      </c>
      <c r="P1584" t="s">
        <v>33</v>
      </c>
      <c r="Q1584" s="6">
        <v>0.97556149732620301</v>
      </c>
      <c r="R1584">
        <v>5.0199999999999996</v>
      </c>
      <c r="S1584">
        <v>6.76</v>
      </c>
      <c r="T1584">
        <v>26.06</v>
      </c>
      <c r="U1584">
        <v>80.34</v>
      </c>
      <c r="V1584">
        <v>47</v>
      </c>
      <c r="W1584">
        <v>1.8</v>
      </c>
    </row>
    <row r="1585" spans="1:23" x14ac:dyDescent="0.3">
      <c r="A1585">
        <v>1584</v>
      </c>
      <c r="B1585" t="s">
        <v>1628</v>
      </c>
      <c r="C1585" t="s">
        <v>35</v>
      </c>
      <c r="D1585">
        <v>139</v>
      </c>
      <c r="E1585">
        <v>3944</v>
      </c>
      <c r="F1585" s="3">
        <v>215</v>
      </c>
      <c r="G1585">
        <v>29</v>
      </c>
      <c r="H1585">
        <v>3</v>
      </c>
      <c r="I1585" s="5">
        <v>2.15827338129496E-2</v>
      </c>
      <c r="J1585" s="3">
        <v>380</v>
      </c>
      <c r="K1585" s="1">
        <v>45600</v>
      </c>
      <c r="L1585" t="s">
        <v>25</v>
      </c>
      <c r="M1585" t="s">
        <v>39</v>
      </c>
      <c r="N1585" t="s">
        <v>49</v>
      </c>
      <c r="O1585" t="s">
        <v>28</v>
      </c>
      <c r="P1585" t="s">
        <v>59</v>
      </c>
      <c r="Q1585" s="6">
        <v>1.5454545454545401</v>
      </c>
      <c r="R1585">
        <v>3.52</v>
      </c>
      <c r="S1585">
        <v>7.41</v>
      </c>
      <c r="T1585">
        <v>71.61</v>
      </c>
      <c r="U1585">
        <v>76.89</v>
      </c>
      <c r="V1585">
        <v>126.67</v>
      </c>
      <c r="W1585">
        <v>1.77</v>
      </c>
    </row>
    <row r="1586" spans="1:23" x14ac:dyDescent="0.3">
      <c r="A1586">
        <v>1585</v>
      </c>
      <c r="B1586" t="s">
        <v>1629</v>
      </c>
      <c r="C1586" t="s">
        <v>24</v>
      </c>
      <c r="D1586">
        <v>194</v>
      </c>
      <c r="E1586">
        <v>5123</v>
      </c>
      <c r="F1586" s="3">
        <v>180</v>
      </c>
      <c r="G1586">
        <v>27</v>
      </c>
      <c r="H1586">
        <v>5</v>
      </c>
      <c r="I1586" s="5">
        <v>2.5773195876288599E-2</v>
      </c>
      <c r="J1586" s="3">
        <v>404</v>
      </c>
      <c r="K1586" s="1">
        <v>45601</v>
      </c>
      <c r="L1586" t="s">
        <v>25</v>
      </c>
      <c r="M1586" t="s">
        <v>31</v>
      </c>
      <c r="N1586" t="s">
        <v>27</v>
      </c>
      <c r="O1586" t="s">
        <v>28</v>
      </c>
      <c r="P1586" t="s">
        <v>41</v>
      </c>
      <c r="Q1586" s="6">
        <v>0.92788659793814399</v>
      </c>
      <c r="R1586">
        <v>3.79</v>
      </c>
      <c r="S1586">
        <v>6.67</v>
      </c>
      <c r="T1586">
        <v>36</v>
      </c>
      <c r="U1586">
        <v>124.43</v>
      </c>
      <c r="V1586">
        <v>80.8</v>
      </c>
      <c r="W1586">
        <v>2.2400000000000002</v>
      </c>
    </row>
    <row r="1587" spans="1:23" x14ac:dyDescent="0.3">
      <c r="A1587">
        <v>1586</v>
      </c>
      <c r="B1587" t="s">
        <v>1630</v>
      </c>
      <c r="C1587" t="s">
        <v>24</v>
      </c>
      <c r="D1587">
        <v>157</v>
      </c>
      <c r="E1587">
        <v>4127</v>
      </c>
      <c r="F1587" s="3">
        <v>200</v>
      </c>
      <c r="G1587">
        <v>30</v>
      </c>
      <c r="H1587">
        <v>8</v>
      </c>
      <c r="I1587" s="5">
        <v>5.0955414012738801E-2</v>
      </c>
      <c r="J1587" s="3">
        <v>213</v>
      </c>
      <c r="K1587" s="1">
        <v>45611</v>
      </c>
      <c r="L1587" t="s">
        <v>25</v>
      </c>
      <c r="M1587" t="s">
        <v>26</v>
      </c>
      <c r="N1587" t="s">
        <v>40</v>
      </c>
      <c r="O1587" t="s">
        <v>28</v>
      </c>
      <c r="P1587" t="s">
        <v>45</v>
      </c>
      <c r="Q1587" s="6">
        <v>1.27668789808917</v>
      </c>
      <c r="R1587">
        <v>3.8</v>
      </c>
      <c r="S1587">
        <v>6.68</v>
      </c>
      <c r="T1587">
        <v>25.06</v>
      </c>
      <c r="U1587">
        <v>6.27</v>
      </c>
      <c r="V1587">
        <v>26.62</v>
      </c>
      <c r="W1587">
        <v>1.06</v>
      </c>
    </row>
    <row r="1588" spans="1:23" x14ac:dyDescent="0.3">
      <c r="A1588">
        <v>1587</v>
      </c>
      <c r="B1588" t="s">
        <v>1631</v>
      </c>
      <c r="C1588" t="s">
        <v>38</v>
      </c>
      <c r="D1588">
        <v>112</v>
      </c>
      <c r="E1588">
        <v>4944</v>
      </c>
      <c r="F1588" s="3">
        <v>234</v>
      </c>
      <c r="G1588">
        <v>19</v>
      </c>
      <c r="H1588">
        <v>4</v>
      </c>
      <c r="I1588" s="5">
        <v>3.5714285714285698E-2</v>
      </c>
      <c r="J1588" s="3">
        <v>264</v>
      </c>
      <c r="K1588" s="1">
        <v>45623</v>
      </c>
      <c r="L1588" t="s">
        <v>25</v>
      </c>
      <c r="M1588" t="s">
        <v>39</v>
      </c>
      <c r="N1588" t="s">
        <v>40</v>
      </c>
      <c r="O1588" t="s">
        <v>28</v>
      </c>
      <c r="P1588" t="s">
        <v>33</v>
      </c>
      <c r="Q1588" s="6">
        <v>2.08776785714285</v>
      </c>
      <c r="R1588">
        <v>2.27</v>
      </c>
      <c r="S1588">
        <v>12.31</v>
      </c>
      <c r="T1588">
        <v>58.46</v>
      </c>
      <c r="U1588">
        <v>12.9</v>
      </c>
      <c r="V1588">
        <v>66</v>
      </c>
      <c r="W1588">
        <v>1.1299999999999999</v>
      </c>
    </row>
    <row r="1589" spans="1:23" x14ac:dyDescent="0.3">
      <c r="A1589">
        <v>1588</v>
      </c>
      <c r="B1589" t="s">
        <v>1632</v>
      </c>
      <c r="C1589" t="s">
        <v>35</v>
      </c>
      <c r="D1589">
        <v>82</v>
      </c>
      <c r="E1589">
        <v>4534</v>
      </c>
      <c r="F1589" s="3">
        <v>204</v>
      </c>
      <c r="G1589">
        <v>10</v>
      </c>
      <c r="H1589">
        <v>6</v>
      </c>
      <c r="I1589" s="5">
        <v>7.3170731707316999E-2</v>
      </c>
      <c r="J1589" s="3">
        <v>324</v>
      </c>
      <c r="K1589" s="1">
        <v>45622</v>
      </c>
      <c r="L1589" t="s">
        <v>25</v>
      </c>
      <c r="M1589" t="s">
        <v>39</v>
      </c>
      <c r="N1589" t="s">
        <v>44</v>
      </c>
      <c r="O1589" t="s">
        <v>28</v>
      </c>
      <c r="P1589" t="s">
        <v>41</v>
      </c>
      <c r="Q1589" s="6">
        <v>2.48646341463414</v>
      </c>
      <c r="R1589">
        <v>1.81</v>
      </c>
      <c r="S1589">
        <v>20.39</v>
      </c>
      <c r="T1589">
        <v>33.979999999999997</v>
      </c>
      <c r="U1589">
        <v>58.91</v>
      </c>
      <c r="V1589">
        <v>54</v>
      </c>
      <c r="W1589">
        <v>1.59</v>
      </c>
    </row>
    <row r="1590" spans="1:23" x14ac:dyDescent="0.3">
      <c r="A1590">
        <v>1589</v>
      </c>
      <c r="B1590" t="s">
        <v>1633</v>
      </c>
      <c r="C1590" t="s">
        <v>24</v>
      </c>
      <c r="D1590">
        <v>152</v>
      </c>
      <c r="E1590">
        <v>5894</v>
      </c>
      <c r="F1590" s="3">
        <v>219</v>
      </c>
      <c r="G1590">
        <v>14</v>
      </c>
      <c r="H1590">
        <v>5</v>
      </c>
      <c r="I1590" s="5">
        <v>3.2894736842105199E-2</v>
      </c>
      <c r="J1590" s="3">
        <v>335</v>
      </c>
      <c r="K1590" s="1">
        <v>45609</v>
      </c>
      <c r="L1590" t="s">
        <v>25</v>
      </c>
      <c r="M1590" t="s">
        <v>31</v>
      </c>
      <c r="N1590" t="s">
        <v>40</v>
      </c>
      <c r="O1590" t="s">
        <v>28</v>
      </c>
      <c r="P1590" t="s">
        <v>33</v>
      </c>
      <c r="Q1590" s="6">
        <v>1.44230263157894</v>
      </c>
      <c r="R1590">
        <v>2.58</v>
      </c>
      <c r="S1590">
        <v>15.66</v>
      </c>
      <c r="T1590">
        <v>43.85</v>
      </c>
      <c r="U1590">
        <v>52.81</v>
      </c>
      <c r="V1590">
        <v>67</v>
      </c>
      <c r="W1590">
        <v>1.53</v>
      </c>
    </row>
    <row r="1591" spans="1:23" x14ac:dyDescent="0.3">
      <c r="A1591">
        <v>1590</v>
      </c>
      <c r="B1591" t="s">
        <v>1634</v>
      </c>
      <c r="C1591" t="s">
        <v>24</v>
      </c>
      <c r="D1591">
        <v>81</v>
      </c>
      <c r="E1591">
        <v>5545</v>
      </c>
      <c r="F1591" s="3">
        <v>213</v>
      </c>
      <c r="G1591">
        <v>11</v>
      </c>
      <c r="H1591">
        <v>5</v>
      </c>
      <c r="I1591" s="5">
        <v>6.1728395061728301E-2</v>
      </c>
      <c r="J1591" s="3">
        <v>371</v>
      </c>
      <c r="K1591" s="1">
        <v>45611</v>
      </c>
      <c r="L1591" t="s">
        <v>25</v>
      </c>
      <c r="M1591" t="s">
        <v>31</v>
      </c>
      <c r="N1591" t="s">
        <v>36</v>
      </c>
      <c r="O1591" t="s">
        <v>28</v>
      </c>
      <c r="P1591" t="s">
        <v>45</v>
      </c>
      <c r="Q1591" s="6">
        <v>2.6282716049382699</v>
      </c>
      <c r="R1591">
        <v>1.46</v>
      </c>
      <c r="S1591">
        <v>19.350000000000001</v>
      </c>
      <c r="T1591">
        <v>42.58</v>
      </c>
      <c r="U1591">
        <v>74.27</v>
      </c>
      <c r="V1591">
        <v>74.2</v>
      </c>
      <c r="W1591">
        <v>1.74</v>
      </c>
    </row>
    <row r="1592" spans="1:23" x14ac:dyDescent="0.3">
      <c r="A1592">
        <v>1591</v>
      </c>
      <c r="B1592" t="s">
        <v>1635</v>
      </c>
      <c r="C1592" t="s">
        <v>24</v>
      </c>
      <c r="D1592">
        <v>84</v>
      </c>
      <c r="E1592">
        <v>5573</v>
      </c>
      <c r="F1592" s="3">
        <v>132</v>
      </c>
      <c r="G1592">
        <v>23</v>
      </c>
      <c r="H1592">
        <v>6</v>
      </c>
      <c r="I1592" s="5">
        <v>7.1428571428571397E-2</v>
      </c>
      <c r="J1592" s="3">
        <v>338</v>
      </c>
      <c r="K1592" s="1">
        <v>45608</v>
      </c>
      <c r="L1592" t="s">
        <v>25</v>
      </c>
      <c r="M1592" t="s">
        <v>26</v>
      </c>
      <c r="N1592" t="s">
        <v>44</v>
      </c>
      <c r="O1592" t="s">
        <v>28</v>
      </c>
      <c r="P1592" t="s">
        <v>41</v>
      </c>
      <c r="Q1592" s="6">
        <v>1.56753061615001</v>
      </c>
      <c r="R1592">
        <v>1.51</v>
      </c>
      <c r="S1592">
        <v>5.72</v>
      </c>
      <c r="T1592">
        <v>21.95</v>
      </c>
      <c r="U1592">
        <v>156.69999999999999</v>
      </c>
      <c r="V1592">
        <v>56.33</v>
      </c>
      <c r="W1592">
        <v>2.57</v>
      </c>
    </row>
    <row r="1593" spans="1:23" x14ac:dyDescent="0.3">
      <c r="A1593">
        <v>1592</v>
      </c>
      <c r="B1593" t="s">
        <v>1636</v>
      </c>
      <c r="C1593" t="s">
        <v>24</v>
      </c>
      <c r="D1593">
        <v>117</v>
      </c>
      <c r="E1593">
        <v>3039</v>
      </c>
      <c r="F1593" s="3">
        <v>224</v>
      </c>
      <c r="G1593">
        <v>27</v>
      </c>
      <c r="H1593">
        <v>8</v>
      </c>
      <c r="I1593" s="5">
        <v>6.83760683760683E-2</v>
      </c>
      <c r="J1593" s="3">
        <v>273</v>
      </c>
      <c r="K1593" s="1">
        <v>45610</v>
      </c>
      <c r="L1593" t="s">
        <v>25</v>
      </c>
      <c r="M1593" t="s">
        <v>31</v>
      </c>
      <c r="N1593" t="s">
        <v>40</v>
      </c>
      <c r="O1593" t="s">
        <v>28</v>
      </c>
      <c r="P1593" t="s">
        <v>54</v>
      </c>
      <c r="Q1593" s="6">
        <v>1.9121367521367501</v>
      </c>
      <c r="R1593">
        <v>3.85</v>
      </c>
      <c r="S1593">
        <v>8.2899999999999991</v>
      </c>
      <c r="T1593">
        <v>27.96</v>
      </c>
      <c r="U1593">
        <v>22.03</v>
      </c>
      <c r="V1593">
        <v>34.119999999999997</v>
      </c>
      <c r="W1593">
        <v>1.22</v>
      </c>
    </row>
    <row r="1594" spans="1:23" x14ac:dyDescent="0.3">
      <c r="A1594">
        <v>1593</v>
      </c>
      <c r="B1594" t="s">
        <v>1637</v>
      </c>
      <c r="C1594" t="s">
        <v>35</v>
      </c>
      <c r="D1594">
        <v>82</v>
      </c>
      <c r="E1594">
        <v>3556</v>
      </c>
      <c r="F1594" s="3">
        <v>125</v>
      </c>
      <c r="G1594">
        <v>16</v>
      </c>
      <c r="H1594">
        <v>5</v>
      </c>
      <c r="I1594" s="5">
        <v>6.0975609756097497E-2</v>
      </c>
      <c r="J1594" s="3">
        <v>272</v>
      </c>
      <c r="K1594" s="1">
        <v>45613</v>
      </c>
      <c r="L1594" t="s">
        <v>25</v>
      </c>
      <c r="M1594" t="s">
        <v>31</v>
      </c>
      <c r="N1594" t="s">
        <v>36</v>
      </c>
      <c r="O1594" t="s">
        <v>28</v>
      </c>
      <c r="P1594" t="s">
        <v>50</v>
      </c>
      <c r="Q1594" s="6">
        <v>1.5243795620437901</v>
      </c>
      <c r="R1594">
        <v>2.31</v>
      </c>
      <c r="S1594">
        <v>7.81</v>
      </c>
      <c r="T1594">
        <v>25</v>
      </c>
      <c r="U1594">
        <v>117.6</v>
      </c>
      <c r="V1594">
        <v>54.4</v>
      </c>
      <c r="W1594">
        <v>2.1800000000000002</v>
      </c>
    </row>
    <row r="1595" spans="1:23" x14ac:dyDescent="0.3">
      <c r="A1595">
        <v>1594</v>
      </c>
      <c r="B1595" t="s">
        <v>1638</v>
      </c>
      <c r="C1595" t="s">
        <v>38</v>
      </c>
      <c r="D1595">
        <v>192</v>
      </c>
      <c r="E1595">
        <v>4920</v>
      </c>
      <c r="F1595" s="3">
        <v>192</v>
      </c>
      <c r="G1595">
        <v>18</v>
      </c>
      <c r="H1595">
        <v>10</v>
      </c>
      <c r="I1595" s="5">
        <v>5.2083333333333301E-2</v>
      </c>
      <c r="J1595" s="3">
        <v>340</v>
      </c>
      <c r="K1595" s="1">
        <v>45605</v>
      </c>
      <c r="L1595" t="s">
        <v>25</v>
      </c>
      <c r="M1595" t="s">
        <v>31</v>
      </c>
      <c r="N1595" t="s">
        <v>36</v>
      </c>
      <c r="O1595" t="s">
        <v>28</v>
      </c>
      <c r="P1595" t="s">
        <v>29</v>
      </c>
      <c r="Q1595" s="6">
        <v>1.00078125</v>
      </c>
      <c r="R1595">
        <v>3.9</v>
      </c>
      <c r="S1595">
        <v>10.68</v>
      </c>
      <c r="T1595">
        <v>19.22</v>
      </c>
      <c r="U1595">
        <v>76.95</v>
      </c>
      <c r="V1595">
        <v>34</v>
      </c>
      <c r="W1595">
        <v>1.77</v>
      </c>
    </row>
    <row r="1596" spans="1:23" x14ac:dyDescent="0.3">
      <c r="A1596">
        <v>1595</v>
      </c>
      <c r="B1596" t="s">
        <v>1639</v>
      </c>
      <c r="C1596" t="s">
        <v>24</v>
      </c>
      <c r="D1596">
        <v>131</v>
      </c>
      <c r="E1596">
        <v>3187</v>
      </c>
      <c r="F1596" s="3">
        <v>235</v>
      </c>
      <c r="G1596">
        <v>24</v>
      </c>
      <c r="H1596">
        <v>10</v>
      </c>
      <c r="I1596" s="5">
        <v>7.6335877862595394E-2</v>
      </c>
      <c r="J1596" s="3">
        <v>338</v>
      </c>
      <c r="K1596" s="1">
        <v>45603</v>
      </c>
      <c r="L1596" t="s">
        <v>25</v>
      </c>
      <c r="M1596" t="s">
        <v>31</v>
      </c>
      <c r="N1596" t="s">
        <v>32</v>
      </c>
      <c r="O1596" t="s">
        <v>28</v>
      </c>
      <c r="P1596" t="s">
        <v>54</v>
      </c>
      <c r="Q1596" s="6">
        <v>1.79030534351145</v>
      </c>
      <c r="R1596">
        <v>4.1100000000000003</v>
      </c>
      <c r="S1596">
        <v>9.77</v>
      </c>
      <c r="T1596">
        <v>23.45</v>
      </c>
      <c r="U1596">
        <v>44.12</v>
      </c>
      <c r="V1596">
        <v>33.799999999999997</v>
      </c>
      <c r="W1596">
        <v>1.44</v>
      </c>
    </row>
    <row r="1597" spans="1:23" x14ac:dyDescent="0.3">
      <c r="A1597">
        <v>1596</v>
      </c>
      <c r="B1597" t="s">
        <v>1640</v>
      </c>
      <c r="C1597" t="s">
        <v>24</v>
      </c>
      <c r="D1597">
        <v>177</v>
      </c>
      <c r="E1597">
        <v>3238</v>
      </c>
      <c r="F1597" s="3">
        <v>190</v>
      </c>
      <c r="G1597">
        <v>29</v>
      </c>
      <c r="H1597">
        <v>7</v>
      </c>
      <c r="I1597" s="5">
        <v>3.9548022598869997E-2</v>
      </c>
      <c r="J1597" s="3">
        <v>393</v>
      </c>
      <c r="K1597" s="1">
        <v>45623</v>
      </c>
      <c r="L1597" t="s">
        <v>25</v>
      </c>
      <c r="M1597" t="s">
        <v>39</v>
      </c>
      <c r="N1597" t="s">
        <v>36</v>
      </c>
      <c r="O1597" t="s">
        <v>28</v>
      </c>
      <c r="P1597" t="s">
        <v>33</v>
      </c>
      <c r="Q1597" s="6">
        <v>1.0712429378531001</v>
      </c>
      <c r="R1597">
        <v>5.47</v>
      </c>
      <c r="S1597">
        <v>6.54</v>
      </c>
      <c r="T1597">
        <v>27.09</v>
      </c>
      <c r="U1597">
        <v>107.27</v>
      </c>
      <c r="V1597">
        <v>56.14</v>
      </c>
      <c r="W1597">
        <v>2.0699999999999998</v>
      </c>
    </row>
    <row r="1598" spans="1:23" x14ac:dyDescent="0.3">
      <c r="A1598">
        <v>1598</v>
      </c>
      <c r="B1598" t="s">
        <v>1641</v>
      </c>
      <c r="C1598" t="s">
        <v>24</v>
      </c>
      <c r="D1598">
        <v>147</v>
      </c>
      <c r="E1598">
        <v>4507</v>
      </c>
      <c r="F1598" s="3">
        <v>190</v>
      </c>
      <c r="G1598">
        <v>27</v>
      </c>
      <c r="H1598">
        <v>8</v>
      </c>
      <c r="I1598" s="5">
        <v>5.4421768707482901E-2</v>
      </c>
      <c r="J1598" s="3">
        <v>219</v>
      </c>
      <c r="K1598" s="1">
        <v>45601</v>
      </c>
      <c r="L1598" t="s">
        <v>25</v>
      </c>
      <c r="M1598" t="s">
        <v>26</v>
      </c>
      <c r="N1598" t="s">
        <v>27</v>
      </c>
      <c r="O1598" t="s">
        <v>28</v>
      </c>
      <c r="P1598" t="s">
        <v>41</v>
      </c>
      <c r="Q1598" s="6">
        <v>1.2953741496598601</v>
      </c>
      <c r="R1598">
        <v>3.26</v>
      </c>
      <c r="S1598">
        <v>7.05</v>
      </c>
      <c r="T1598">
        <v>23.8</v>
      </c>
      <c r="U1598">
        <v>15.01</v>
      </c>
      <c r="V1598">
        <v>27.38</v>
      </c>
      <c r="W1598">
        <v>1.1499999999999999</v>
      </c>
    </row>
    <row r="1599" spans="1:23" x14ac:dyDescent="0.3">
      <c r="A1599">
        <v>1599</v>
      </c>
      <c r="B1599" t="s">
        <v>1642</v>
      </c>
      <c r="C1599" t="s">
        <v>24</v>
      </c>
      <c r="D1599">
        <v>143</v>
      </c>
      <c r="E1599">
        <v>3606</v>
      </c>
      <c r="F1599" s="3">
        <v>200</v>
      </c>
      <c r="G1599">
        <v>21</v>
      </c>
      <c r="H1599">
        <v>3</v>
      </c>
      <c r="I1599" s="5">
        <v>2.09790209790209E-2</v>
      </c>
      <c r="J1599" s="3">
        <v>316</v>
      </c>
      <c r="K1599" s="1">
        <v>45616</v>
      </c>
      <c r="L1599" t="s">
        <v>25</v>
      </c>
      <c r="M1599" t="s">
        <v>31</v>
      </c>
      <c r="N1599" t="s">
        <v>27</v>
      </c>
      <c r="O1599" t="s">
        <v>28</v>
      </c>
      <c r="P1599" t="s">
        <v>33</v>
      </c>
      <c r="Q1599" s="6">
        <v>1.40062937062937</v>
      </c>
      <c r="R1599">
        <v>3.97</v>
      </c>
      <c r="S1599">
        <v>9.5399999999999991</v>
      </c>
      <c r="T1599">
        <v>66.760000000000005</v>
      </c>
      <c r="U1599">
        <v>57.77</v>
      </c>
      <c r="V1599">
        <v>105.33</v>
      </c>
      <c r="W1599">
        <v>1.58</v>
      </c>
    </row>
    <row r="1600" spans="1:23" x14ac:dyDescent="0.3">
      <c r="A1600">
        <v>1600</v>
      </c>
      <c r="B1600" t="s">
        <v>1643</v>
      </c>
      <c r="C1600" t="s">
        <v>38</v>
      </c>
      <c r="D1600">
        <v>102</v>
      </c>
      <c r="E1600">
        <v>3355</v>
      </c>
      <c r="F1600" s="3">
        <v>187</v>
      </c>
      <c r="G1600">
        <v>20</v>
      </c>
      <c r="H1600">
        <v>4</v>
      </c>
      <c r="I1600" s="5">
        <v>3.9215686274509803E-2</v>
      </c>
      <c r="J1600" s="3">
        <v>311</v>
      </c>
      <c r="K1600" s="1">
        <v>45606</v>
      </c>
      <c r="L1600" t="s">
        <v>25</v>
      </c>
      <c r="M1600" t="s">
        <v>31</v>
      </c>
      <c r="N1600" t="s">
        <v>44</v>
      </c>
      <c r="O1600" t="s">
        <v>28</v>
      </c>
      <c r="P1600" t="s">
        <v>50</v>
      </c>
      <c r="Q1600" s="6">
        <v>1.8323529411764701</v>
      </c>
      <c r="R1600">
        <v>3.04</v>
      </c>
      <c r="S1600">
        <v>9.35</v>
      </c>
      <c r="T1600">
        <v>46.72</v>
      </c>
      <c r="U1600">
        <v>66.400000000000006</v>
      </c>
      <c r="V1600">
        <v>77.75</v>
      </c>
      <c r="W1600">
        <v>1.66</v>
      </c>
    </row>
    <row r="1601" spans="1:23" x14ac:dyDescent="0.3">
      <c r="A1601">
        <v>1601</v>
      </c>
      <c r="B1601" t="s">
        <v>1644</v>
      </c>
      <c r="C1601" t="s">
        <v>24</v>
      </c>
      <c r="D1601">
        <v>160</v>
      </c>
      <c r="E1601">
        <v>3711</v>
      </c>
      <c r="F1601" s="3">
        <v>214</v>
      </c>
      <c r="G1601">
        <v>10</v>
      </c>
      <c r="H1601">
        <v>6</v>
      </c>
      <c r="I1601" s="5">
        <v>3.7499999999999999E-2</v>
      </c>
      <c r="J1601" s="3">
        <v>316</v>
      </c>
      <c r="K1601" s="1">
        <v>45603</v>
      </c>
      <c r="L1601" t="s">
        <v>25</v>
      </c>
      <c r="M1601" t="s">
        <v>31</v>
      </c>
      <c r="N1601" t="s">
        <v>49</v>
      </c>
      <c r="O1601" t="s">
        <v>28</v>
      </c>
      <c r="P1601" t="s">
        <v>54</v>
      </c>
      <c r="Q1601" s="6">
        <v>1.3400624999999999</v>
      </c>
      <c r="R1601">
        <v>4.3099999999999996</v>
      </c>
      <c r="S1601">
        <v>21.44</v>
      </c>
      <c r="T1601">
        <v>35.74</v>
      </c>
      <c r="U1601">
        <v>47.38</v>
      </c>
      <c r="V1601">
        <v>52.67</v>
      </c>
      <c r="W1601">
        <v>1.47</v>
      </c>
    </row>
    <row r="1602" spans="1:23" x14ac:dyDescent="0.3">
      <c r="A1602">
        <v>1602</v>
      </c>
      <c r="B1602" t="s">
        <v>1645</v>
      </c>
      <c r="C1602" t="s">
        <v>38</v>
      </c>
      <c r="D1602">
        <v>172</v>
      </c>
      <c r="E1602">
        <v>4841</v>
      </c>
      <c r="F1602" s="3">
        <v>235</v>
      </c>
      <c r="G1602">
        <v>28</v>
      </c>
      <c r="H1602">
        <v>8</v>
      </c>
      <c r="I1602" s="5">
        <v>4.6511627906976702E-2</v>
      </c>
      <c r="J1602" s="3">
        <v>257</v>
      </c>
      <c r="K1602" s="1">
        <v>45608</v>
      </c>
      <c r="L1602" t="s">
        <v>25</v>
      </c>
      <c r="M1602" t="s">
        <v>26</v>
      </c>
      <c r="N1602" t="s">
        <v>49</v>
      </c>
      <c r="O1602" t="s">
        <v>28</v>
      </c>
      <c r="P1602" t="s">
        <v>41</v>
      </c>
      <c r="Q1602" s="6">
        <v>1.36593023255813</v>
      </c>
      <c r="R1602">
        <v>3.55</v>
      </c>
      <c r="S1602">
        <v>8.39</v>
      </c>
      <c r="T1602">
        <v>29.37</v>
      </c>
      <c r="U1602">
        <v>9.39</v>
      </c>
      <c r="V1602">
        <v>32.119999999999997</v>
      </c>
      <c r="W1602">
        <v>1.0900000000000001</v>
      </c>
    </row>
    <row r="1603" spans="1:23" x14ac:dyDescent="0.3">
      <c r="A1603">
        <v>1603</v>
      </c>
      <c r="B1603" t="s">
        <v>1646</v>
      </c>
      <c r="C1603" t="s">
        <v>35</v>
      </c>
      <c r="D1603">
        <v>95</v>
      </c>
      <c r="E1603">
        <v>5411</v>
      </c>
      <c r="F1603" s="3">
        <v>183</v>
      </c>
      <c r="G1603">
        <v>13</v>
      </c>
      <c r="H1603">
        <v>4</v>
      </c>
      <c r="I1603" s="5">
        <v>4.2105263157894701E-2</v>
      </c>
      <c r="J1603" s="3">
        <v>227</v>
      </c>
      <c r="K1603" s="1">
        <v>45626</v>
      </c>
      <c r="L1603" t="s">
        <v>25</v>
      </c>
      <c r="M1603" t="s">
        <v>39</v>
      </c>
      <c r="N1603" t="s">
        <v>40</v>
      </c>
      <c r="O1603" t="s">
        <v>28</v>
      </c>
      <c r="P1603" t="s">
        <v>29</v>
      </c>
      <c r="Q1603" s="6">
        <v>1.9218947368421</v>
      </c>
      <c r="R1603">
        <v>1.76</v>
      </c>
      <c r="S1603">
        <v>14.04</v>
      </c>
      <c r="T1603">
        <v>45.64</v>
      </c>
      <c r="U1603">
        <v>24.33</v>
      </c>
      <c r="V1603">
        <v>56.75</v>
      </c>
      <c r="W1603">
        <v>1.24</v>
      </c>
    </row>
    <row r="1604" spans="1:23" x14ac:dyDescent="0.3">
      <c r="A1604">
        <v>1604</v>
      </c>
      <c r="B1604" t="s">
        <v>1647</v>
      </c>
      <c r="C1604" t="s">
        <v>38</v>
      </c>
      <c r="D1604">
        <v>111</v>
      </c>
      <c r="E1604">
        <v>3520</v>
      </c>
      <c r="F1604" s="3">
        <v>237</v>
      </c>
      <c r="G1604">
        <v>13</v>
      </c>
      <c r="H1604">
        <v>3</v>
      </c>
      <c r="I1604" s="5">
        <v>2.7027027027027001E-2</v>
      </c>
      <c r="J1604" s="3">
        <v>285</v>
      </c>
      <c r="K1604" s="1">
        <v>45615</v>
      </c>
      <c r="L1604" t="s">
        <v>25</v>
      </c>
      <c r="M1604" t="s">
        <v>31</v>
      </c>
      <c r="N1604" t="s">
        <v>44</v>
      </c>
      <c r="O1604" t="s">
        <v>28</v>
      </c>
      <c r="P1604" t="s">
        <v>41</v>
      </c>
      <c r="Q1604" s="6">
        <v>2.1387387387387302</v>
      </c>
      <c r="R1604">
        <v>3.15</v>
      </c>
      <c r="S1604">
        <v>18.260000000000002</v>
      </c>
      <c r="T1604">
        <v>79.13</v>
      </c>
      <c r="U1604">
        <v>20.05</v>
      </c>
      <c r="V1604">
        <v>95</v>
      </c>
      <c r="W1604">
        <v>1.2</v>
      </c>
    </row>
    <row r="1605" spans="1:23" x14ac:dyDescent="0.3">
      <c r="A1605">
        <v>1605</v>
      </c>
      <c r="B1605" t="s">
        <v>1648</v>
      </c>
      <c r="C1605" t="s">
        <v>24</v>
      </c>
      <c r="D1605">
        <v>171</v>
      </c>
      <c r="E1605">
        <v>3460</v>
      </c>
      <c r="F1605" s="3">
        <v>184</v>
      </c>
      <c r="G1605">
        <v>27</v>
      </c>
      <c r="H1605">
        <v>9</v>
      </c>
      <c r="I1605" s="5">
        <v>5.2631578947368397E-2</v>
      </c>
      <c r="J1605" s="3">
        <v>319</v>
      </c>
      <c r="K1605" s="1">
        <v>45612</v>
      </c>
      <c r="L1605" t="s">
        <v>25</v>
      </c>
      <c r="M1605" t="s">
        <v>39</v>
      </c>
      <c r="N1605" t="s">
        <v>36</v>
      </c>
      <c r="O1605" t="s">
        <v>28</v>
      </c>
      <c r="P1605" t="s">
        <v>29</v>
      </c>
      <c r="Q1605" s="6">
        <v>1.0768421052631501</v>
      </c>
      <c r="R1605">
        <v>4.9400000000000004</v>
      </c>
      <c r="S1605">
        <v>6.82</v>
      </c>
      <c r="T1605">
        <v>20.46</v>
      </c>
      <c r="U1605">
        <v>73.239999999999995</v>
      </c>
      <c r="V1605">
        <v>35.44</v>
      </c>
      <c r="W1605">
        <v>1.73</v>
      </c>
    </row>
    <row r="1606" spans="1:23" x14ac:dyDescent="0.3">
      <c r="A1606">
        <v>1606</v>
      </c>
      <c r="B1606" t="s">
        <v>1649</v>
      </c>
      <c r="C1606" t="s">
        <v>35</v>
      </c>
      <c r="D1606">
        <v>145</v>
      </c>
      <c r="E1606">
        <v>5875</v>
      </c>
      <c r="F1606" s="3">
        <v>221</v>
      </c>
      <c r="G1606">
        <v>14</v>
      </c>
      <c r="H1606">
        <v>7</v>
      </c>
      <c r="I1606" s="5">
        <v>4.8275862068965503E-2</v>
      </c>
      <c r="J1606" s="3">
        <v>251</v>
      </c>
      <c r="K1606" s="1">
        <v>45620</v>
      </c>
      <c r="L1606" t="s">
        <v>25</v>
      </c>
      <c r="M1606" t="s">
        <v>26</v>
      </c>
      <c r="N1606" t="s">
        <v>27</v>
      </c>
      <c r="O1606" t="s">
        <v>28</v>
      </c>
      <c r="P1606" t="s">
        <v>50</v>
      </c>
      <c r="Q1606" s="6">
        <v>1.52413793103448</v>
      </c>
      <c r="R1606">
        <v>2.4700000000000002</v>
      </c>
      <c r="S1606">
        <v>15.79</v>
      </c>
      <c r="T1606">
        <v>31.57</v>
      </c>
      <c r="U1606">
        <v>13.57</v>
      </c>
      <c r="V1606">
        <v>35.86</v>
      </c>
      <c r="W1606">
        <v>1.1399999999999999</v>
      </c>
    </row>
    <row r="1607" spans="1:23" x14ac:dyDescent="0.3">
      <c r="A1607">
        <v>1607</v>
      </c>
      <c r="B1607" t="s">
        <v>1650</v>
      </c>
      <c r="C1607" t="s">
        <v>43</v>
      </c>
      <c r="D1607">
        <v>118</v>
      </c>
      <c r="E1607">
        <v>3404</v>
      </c>
      <c r="F1607" s="3">
        <v>183</v>
      </c>
      <c r="G1607">
        <v>27</v>
      </c>
      <c r="H1607">
        <v>7</v>
      </c>
      <c r="I1607" s="5">
        <v>5.9322033898305003E-2</v>
      </c>
      <c r="J1607" s="3">
        <v>304</v>
      </c>
      <c r="K1607" s="1">
        <v>45617</v>
      </c>
      <c r="L1607" t="s">
        <v>25</v>
      </c>
      <c r="M1607" t="s">
        <v>39</v>
      </c>
      <c r="N1607" t="s">
        <v>27</v>
      </c>
      <c r="O1607" t="s">
        <v>28</v>
      </c>
      <c r="P1607" t="s">
        <v>54</v>
      </c>
      <c r="Q1607" s="6">
        <v>1.5521186440677901</v>
      </c>
      <c r="R1607">
        <v>3.47</v>
      </c>
      <c r="S1607">
        <v>6.78</v>
      </c>
      <c r="T1607">
        <v>26.16</v>
      </c>
      <c r="U1607">
        <v>65.98</v>
      </c>
      <c r="V1607">
        <v>43.43</v>
      </c>
      <c r="W1607">
        <v>1.66</v>
      </c>
    </row>
    <row r="1608" spans="1:23" x14ac:dyDescent="0.3">
      <c r="A1608">
        <v>1608</v>
      </c>
      <c r="B1608" t="s">
        <v>1651</v>
      </c>
      <c r="C1608" t="s">
        <v>35</v>
      </c>
      <c r="D1608">
        <v>171</v>
      </c>
      <c r="E1608">
        <v>3567</v>
      </c>
      <c r="F1608" s="3">
        <v>233</v>
      </c>
      <c r="G1608">
        <v>27</v>
      </c>
      <c r="H1608">
        <v>4</v>
      </c>
      <c r="I1608" s="5">
        <v>2.3391812865496998E-2</v>
      </c>
      <c r="J1608" s="3">
        <v>259</v>
      </c>
      <c r="K1608" s="1">
        <v>45601</v>
      </c>
      <c r="L1608" t="s">
        <v>25</v>
      </c>
      <c r="M1608" t="s">
        <v>26</v>
      </c>
      <c r="N1608" t="s">
        <v>49</v>
      </c>
      <c r="O1608" t="s">
        <v>28</v>
      </c>
      <c r="P1608" t="s">
        <v>41</v>
      </c>
      <c r="Q1608" s="6">
        <v>1.3644444444444399</v>
      </c>
      <c r="R1608">
        <v>4.79</v>
      </c>
      <c r="S1608">
        <v>8.64</v>
      </c>
      <c r="T1608">
        <v>58.33</v>
      </c>
      <c r="U1608">
        <v>11.01</v>
      </c>
      <c r="V1608">
        <v>64.75</v>
      </c>
      <c r="W1608">
        <v>1.1100000000000001</v>
      </c>
    </row>
    <row r="1609" spans="1:23" x14ac:dyDescent="0.3">
      <c r="A1609">
        <v>1609</v>
      </c>
      <c r="B1609" t="s">
        <v>1652</v>
      </c>
      <c r="C1609" t="s">
        <v>38</v>
      </c>
      <c r="D1609">
        <v>108</v>
      </c>
      <c r="E1609">
        <v>3628</v>
      </c>
      <c r="F1609" s="3">
        <v>186</v>
      </c>
      <c r="G1609">
        <v>24</v>
      </c>
      <c r="H1609">
        <v>8</v>
      </c>
      <c r="I1609" s="5">
        <v>7.4074074074074001E-2</v>
      </c>
      <c r="J1609" s="3">
        <v>343</v>
      </c>
      <c r="K1609" s="1">
        <v>45615</v>
      </c>
      <c r="L1609" t="s">
        <v>25</v>
      </c>
      <c r="M1609" t="s">
        <v>39</v>
      </c>
      <c r="N1609" t="s">
        <v>27</v>
      </c>
      <c r="O1609" t="s">
        <v>28</v>
      </c>
      <c r="P1609" t="s">
        <v>41</v>
      </c>
      <c r="Q1609" s="6">
        <v>1.7192592592592499</v>
      </c>
      <c r="R1609">
        <v>2.98</v>
      </c>
      <c r="S1609">
        <v>7.74</v>
      </c>
      <c r="T1609">
        <v>23.21</v>
      </c>
      <c r="U1609">
        <v>84.73</v>
      </c>
      <c r="V1609">
        <v>42.88</v>
      </c>
      <c r="W1609">
        <v>1.85</v>
      </c>
    </row>
    <row r="1610" spans="1:23" x14ac:dyDescent="0.3">
      <c r="A1610">
        <v>1610</v>
      </c>
      <c r="B1610" t="s">
        <v>1653</v>
      </c>
      <c r="C1610" t="s">
        <v>38</v>
      </c>
      <c r="D1610">
        <v>100</v>
      </c>
      <c r="E1610">
        <v>4994</v>
      </c>
      <c r="F1610" s="3">
        <v>206</v>
      </c>
      <c r="G1610">
        <v>21</v>
      </c>
      <c r="H1610">
        <v>7</v>
      </c>
      <c r="I1610" s="5">
        <v>7.0000000000000007E-2</v>
      </c>
      <c r="J1610" s="3">
        <v>341</v>
      </c>
      <c r="K1610" s="1">
        <v>45616</v>
      </c>
      <c r="L1610" t="s">
        <v>25</v>
      </c>
      <c r="M1610" t="s">
        <v>39</v>
      </c>
      <c r="N1610" t="s">
        <v>27</v>
      </c>
      <c r="O1610" t="s">
        <v>28</v>
      </c>
      <c r="P1610" t="s">
        <v>33</v>
      </c>
      <c r="Q1610" s="6">
        <v>2.0632000000000001</v>
      </c>
      <c r="R1610">
        <v>2</v>
      </c>
      <c r="S1610">
        <v>9.82</v>
      </c>
      <c r="T1610">
        <v>29.47</v>
      </c>
      <c r="U1610">
        <v>65.28</v>
      </c>
      <c r="V1610">
        <v>48.71</v>
      </c>
      <c r="W1610">
        <v>1.65</v>
      </c>
    </row>
    <row r="1611" spans="1:23" x14ac:dyDescent="0.3">
      <c r="A1611">
        <v>1611</v>
      </c>
      <c r="B1611" t="s">
        <v>1654</v>
      </c>
      <c r="C1611" t="s">
        <v>24</v>
      </c>
      <c r="D1611">
        <v>138</v>
      </c>
      <c r="E1611">
        <v>5758</v>
      </c>
      <c r="F1611" s="3">
        <v>194</v>
      </c>
      <c r="G1611">
        <v>14</v>
      </c>
      <c r="H1611">
        <v>4</v>
      </c>
      <c r="I1611" s="5">
        <v>2.8985507246376802E-2</v>
      </c>
      <c r="J1611" s="3">
        <v>388</v>
      </c>
      <c r="K1611" s="1">
        <v>45611</v>
      </c>
      <c r="L1611" t="s">
        <v>25</v>
      </c>
      <c r="M1611" t="s">
        <v>39</v>
      </c>
      <c r="N1611" t="s">
        <v>49</v>
      </c>
      <c r="O1611" t="s">
        <v>28</v>
      </c>
      <c r="P1611" t="s">
        <v>45</v>
      </c>
      <c r="Q1611" s="6">
        <v>1.40239130434782</v>
      </c>
      <c r="R1611">
        <v>2.4</v>
      </c>
      <c r="S1611">
        <v>13.82</v>
      </c>
      <c r="T1611">
        <v>48.38</v>
      </c>
      <c r="U1611">
        <v>100.49</v>
      </c>
      <c r="V1611">
        <v>97</v>
      </c>
      <c r="W1611">
        <v>2</v>
      </c>
    </row>
    <row r="1612" spans="1:23" x14ac:dyDescent="0.3">
      <c r="A1612">
        <v>1612</v>
      </c>
      <c r="B1612" t="s">
        <v>1655</v>
      </c>
      <c r="C1612" t="s">
        <v>24</v>
      </c>
      <c r="D1612">
        <v>88</v>
      </c>
      <c r="E1612">
        <v>3382</v>
      </c>
      <c r="F1612" s="3">
        <v>199</v>
      </c>
      <c r="G1612">
        <v>25</v>
      </c>
      <c r="H1612">
        <v>9</v>
      </c>
      <c r="I1612" s="5">
        <v>0.102272727272727</v>
      </c>
      <c r="J1612" s="3">
        <v>326</v>
      </c>
      <c r="K1612" s="1">
        <v>45606</v>
      </c>
      <c r="L1612" t="s">
        <v>25</v>
      </c>
      <c r="M1612" t="s">
        <v>26</v>
      </c>
      <c r="N1612" t="s">
        <v>40</v>
      </c>
      <c r="O1612" t="s">
        <v>28</v>
      </c>
      <c r="P1612" t="s">
        <v>50</v>
      </c>
      <c r="Q1612" s="6">
        <v>2.2570454545454499</v>
      </c>
      <c r="R1612">
        <v>2.6</v>
      </c>
      <c r="S1612">
        <v>7.94</v>
      </c>
      <c r="T1612">
        <v>22.07</v>
      </c>
      <c r="U1612">
        <v>64.13</v>
      </c>
      <c r="V1612">
        <v>36.22</v>
      </c>
      <c r="W1612">
        <v>1.64</v>
      </c>
    </row>
    <row r="1613" spans="1:23" x14ac:dyDescent="0.3">
      <c r="A1613">
        <v>1613</v>
      </c>
      <c r="B1613" t="s">
        <v>1656</v>
      </c>
      <c r="C1613" t="s">
        <v>43</v>
      </c>
      <c r="D1613">
        <v>125</v>
      </c>
      <c r="E1613">
        <v>3652</v>
      </c>
      <c r="F1613" s="3">
        <v>187</v>
      </c>
      <c r="G1613">
        <v>29</v>
      </c>
      <c r="H1613">
        <v>10</v>
      </c>
      <c r="I1613" s="5">
        <v>0.08</v>
      </c>
      <c r="J1613" s="3">
        <v>208</v>
      </c>
      <c r="K1613" s="1">
        <v>45625</v>
      </c>
      <c r="L1613" t="s">
        <v>25</v>
      </c>
      <c r="M1613" t="s">
        <v>31</v>
      </c>
      <c r="N1613" t="s">
        <v>27</v>
      </c>
      <c r="O1613" t="s">
        <v>28</v>
      </c>
      <c r="P1613" t="s">
        <v>45</v>
      </c>
      <c r="Q1613" s="6">
        <v>1.49288</v>
      </c>
      <c r="R1613">
        <v>3.42</v>
      </c>
      <c r="S1613">
        <v>6.43</v>
      </c>
      <c r="T1613">
        <v>18.66</v>
      </c>
      <c r="U1613">
        <v>11.46</v>
      </c>
      <c r="V1613">
        <v>20.8</v>
      </c>
      <c r="W1613">
        <v>1.1100000000000001</v>
      </c>
    </row>
    <row r="1614" spans="1:23" x14ac:dyDescent="0.3">
      <c r="A1614">
        <v>1614</v>
      </c>
      <c r="B1614" t="s">
        <v>1657</v>
      </c>
      <c r="C1614" t="s">
        <v>24</v>
      </c>
      <c r="D1614">
        <v>169</v>
      </c>
      <c r="E1614">
        <v>4120</v>
      </c>
      <c r="F1614" s="3">
        <v>216</v>
      </c>
      <c r="G1614">
        <v>27</v>
      </c>
      <c r="H1614">
        <v>5</v>
      </c>
      <c r="I1614" s="5">
        <v>2.9585798816568001E-2</v>
      </c>
      <c r="J1614" s="3">
        <v>278</v>
      </c>
      <c r="K1614" s="1">
        <v>45615</v>
      </c>
      <c r="L1614" t="s">
        <v>25</v>
      </c>
      <c r="M1614" t="s">
        <v>31</v>
      </c>
      <c r="N1614" t="s">
        <v>49</v>
      </c>
      <c r="O1614" t="s">
        <v>28</v>
      </c>
      <c r="P1614" t="s">
        <v>41</v>
      </c>
      <c r="Q1614" s="6">
        <v>1.2766272189349099</v>
      </c>
      <c r="R1614">
        <v>4.0999999999999996</v>
      </c>
      <c r="S1614">
        <v>7.99</v>
      </c>
      <c r="T1614">
        <v>43.15</v>
      </c>
      <c r="U1614">
        <v>28.85</v>
      </c>
      <c r="V1614">
        <v>55.6</v>
      </c>
      <c r="W1614">
        <v>1.29</v>
      </c>
    </row>
    <row r="1615" spans="1:23" x14ac:dyDescent="0.3">
      <c r="A1615">
        <v>1615</v>
      </c>
      <c r="B1615" t="s">
        <v>1658</v>
      </c>
      <c r="C1615" t="s">
        <v>35</v>
      </c>
      <c r="D1615">
        <v>169</v>
      </c>
      <c r="E1615">
        <v>3142</v>
      </c>
      <c r="F1615" s="3">
        <v>237</v>
      </c>
      <c r="G1615">
        <v>18</v>
      </c>
      <c r="H1615">
        <v>7</v>
      </c>
      <c r="I1615" s="5">
        <v>4.14201183431952E-2</v>
      </c>
      <c r="J1615" s="3">
        <v>327</v>
      </c>
      <c r="K1615" s="1">
        <v>45602</v>
      </c>
      <c r="L1615" t="s">
        <v>25</v>
      </c>
      <c r="M1615" t="s">
        <v>31</v>
      </c>
      <c r="N1615" t="s">
        <v>36</v>
      </c>
      <c r="O1615" t="s">
        <v>28</v>
      </c>
      <c r="P1615" t="s">
        <v>33</v>
      </c>
      <c r="Q1615" s="6">
        <v>1.40112426035502</v>
      </c>
      <c r="R1615">
        <v>5.38</v>
      </c>
      <c r="S1615">
        <v>13.16</v>
      </c>
      <c r="T1615">
        <v>33.83</v>
      </c>
      <c r="U1615">
        <v>38.1</v>
      </c>
      <c r="V1615">
        <v>46.71</v>
      </c>
      <c r="W1615">
        <v>1.38</v>
      </c>
    </row>
    <row r="1616" spans="1:23" x14ac:dyDescent="0.3">
      <c r="A1616">
        <v>1616</v>
      </c>
      <c r="B1616" t="s">
        <v>1659</v>
      </c>
      <c r="C1616" t="s">
        <v>24</v>
      </c>
      <c r="D1616">
        <v>149</v>
      </c>
      <c r="E1616">
        <v>5726</v>
      </c>
      <c r="F1616" s="3">
        <v>236</v>
      </c>
      <c r="G1616">
        <v>17</v>
      </c>
      <c r="H1616">
        <v>7</v>
      </c>
      <c r="I1616" s="5">
        <v>4.6979865771811999E-2</v>
      </c>
      <c r="J1616" s="3">
        <v>388</v>
      </c>
      <c r="K1616" s="1">
        <v>45607</v>
      </c>
      <c r="L1616" t="s">
        <v>25</v>
      </c>
      <c r="M1616" t="s">
        <v>31</v>
      </c>
      <c r="N1616" t="s">
        <v>36</v>
      </c>
      <c r="O1616" t="s">
        <v>28</v>
      </c>
      <c r="P1616" t="s">
        <v>59</v>
      </c>
      <c r="Q1616" s="6">
        <v>1.5820134228187901</v>
      </c>
      <c r="R1616">
        <v>2.6</v>
      </c>
      <c r="S1616">
        <v>13.87</v>
      </c>
      <c r="T1616">
        <v>33.67</v>
      </c>
      <c r="U1616">
        <v>64.599999999999994</v>
      </c>
      <c r="V1616">
        <v>55.43</v>
      </c>
      <c r="W1616">
        <v>1.65</v>
      </c>
    </row>
    <row r="1617" spans="1:23" x14ac:dyDescent="0.3">
      <c r="A1617">
        <v>1617</v>
      </c>
      <c r="B1617" t="s">
        <v>1660</v>
      </c>
      <c r="C1617" t="s">
        <v>43</v>
      </c>
      <c r="D1617">
        <v>99</v>
      </c>
      <c r="E1617">
        <v>5938</v>
      </c>
      <c r="F1617" s="3">
        <v>183</v>
      </c>
      <c r="G1617">
        <v>30</v>
      </c>
      <c r="H1617">
        <v>3</v>
      </c>
      <c r="I1617" s="5">
        <v>3.03030303030303E-2</v>
      </c>
      <c r="J1617" s="3">
        <v>303</v>
      </c>
      <c r="K1617" s="1">
        <v>45614</v>
      </c>
      <c r="L1617" t="s">
        <v>25</v>
      </c>
      <c r="M1617" t="s">
        <v>31</v>
      </c>
      <c r="N1617" t="s">
        <v>36</v>
      </c>
      <c r="O1617" t="s">
        <v>28</v>
      </c>
      <c r="P1617" t="s">
        <v>59</v>
      </c>
      <c r="Q1617" s="6">
        <v>1.8534343434343401</v>
      </c>
      <c r="R1617">
        <v>1.67</v>
      </c>
      <c r="S1617">
        <v>6.12</v>
      </c>
      <c r="T1617">
        <v>61.16</v>
      </c>
      <c r="U1617">
        <v>65.13</v>
      </c>
      <c r="V1617">
        <v>101</v>
      </c>
      <c r="W1617">
        <v>1.65</v>
      </c>
    </row>
    <row r="1618" spans="1:23" x14ac:dyDescent="0.3">
      <c r="A1618">
        <v>1618</v>
      </c>
      <c r="B1618" t="s">
        <v>1661</v>
      </c>
      <c r="C1618" t="s">
        <v>35</v>
      </c>
      <c r="D1618">
        <v>177</v>
      </c>
      <c r="E1618">
        <v>3567</v>
      </c>
      <c r="F1618" s="3">
        <v>215</v>
      </c>
      <c r="G1618">
        <v>28</v>
      </c>
      <c r="H1618">
        <v>5</v>
      </c>
      <c r="I1618" s="5">
        <v>2.8248587570621399E-2</v>
      </c>
      <c r="J1618" s="3">
        <v>204</v>
      </c>
      <c r="K1618" s="1">
        <v>45607</v>
      </c>
      <c r="L1618" t="s">
        <v>25</v>
      </c>
      <c r="M1618" t="s">
        <v>39</v>
      </c>
      <c r="N1618" t="s">
        <v>49</v>
      </c>
      <c r="O1618" t="s">
        <v>28</v>
      </c>
      <c r="P1618" t="s">
        <v>59</v>
      </c>
      <c r="Q1618" s="6">
        <v>1.21305084745762</v>
      </c>
      <c r="R1618">
        <v>4.96</v>
      </c>
      <c r="S1618">
        <v>7.67</v>
      </c>
      <c r="T1618">
        <v>42.94</v>
      </c>
      <c r="U1618">
        <v>-4.99</v>
      </c>
      <c r="V1618">
        <v>40.799999999999997</v>
      </c>
      <c r="W1618">
        <v>0.95</v>
      </c>
    </row>
    <row r="1619" spans="1:23" x14ac:dyDescent="0.3">
      <c r="A1619">
        <v>1619</v>
      </c>
      <c r="B1619" t="s">
        <v>1662</v>
      </c>
      <c r="C1619" t="s">
        <v>38</v>
      </c>
      <c r="D1619">
        <v>189</v>
      </c>
      <c r="E1619">
        <v>3215</v>
      </c>
      <c r="F1619" s="3">
        <v>225</v>
      </c>
      <c r="G1619">
        <v>23</v>
      </c>
      <c r="H1619">
        <v>9</v>
      </c>
      <c r="I1619" s="5">
        <v>4.7619047619047603E-2</v>
      </c>
      <c r="J1619" s="3">
        <v>267</v>
      </c>
      <c r="K1619" s="1">
        <v>45611</v>
      </c>
      <c r="L1619" t="s">
        <v>25</v>
      </c>
      <c r="M1619" t="s">
        <v>26</v>
      </c>
      <c r="N1619" t="s">
        <v>44</v>
      </c>
      <c r="O1619" t="s">
        <v>28</v>
      </c>
      <c r="P1619" t="s">
        <v>45</v>
      </c>
      <c r="Q1619" s="6">
        <v>1.1879894179894099</v>
      </c>
      <c r="R1619">
        <v>5.88</v>
      </c>
      <c r="S1619">
        <v>9.76</v>
      </c>
      <c r="T1619">
        <v>24.95</v>
      </c>
      <c r="U1619">
        <v>18.920000000000002</v>
      </c>
      <c r="V1619">
        <v>29.67</v>
      </c>
      <c r="W1619">
        <v>1.19</v>
      </c>
    </row>
    <row r="1620" spans="1:23" x14ac:dyDescent="0.3">
      <c r="A1620">
        <v>1620</v>
      </c>
      <c r="B1620" t="s">
        <v>1663</v>
      </c>
      <c r="C1620" t="s">
        <v>38</v>
      </c>
      <c r="D1620">
        <v>94</v>
      </c>
      <c r="E1620">
        <v>5094</v>
      </c>
      <c r="F1620" s="3">
        <v>147</v>
      </c>
      <c r="G1620">
        <v>24</v>
      </c>
      <c r="H1620">
        <v>3</v>
      </c>
      <c r="I1620" s="5">
        <v>3.1914893617021198E-2</v>
      </c>
      <c r="J1620" s="3">
        <v>403</v>
      </c>
      <c r="K1620" s="1">
        <v>45605</v>
      </c>
      <c r="L1620" t="s">
        <v>25</v>
      </c>
      <c r="M1620" t="s">
        <v>26</v>
      </c>
      <c r="N1620" t="s">
        <v>44</v>
      </c>
      <c r="O1620" t="s">
        <v>28</v>
      </c>
      <c r="P1620" t="s">
        <v>29</v>
      </c>
      <c r="Q1620" s="6">
        <v>1.56753061615001</v>
      </c>
      <c r="R1620">
        <v>1.85</v>
      </c>
      <c r="S1620">
        <v>6.14</v>
      </c>
      <c r="T1620">
        <v>49.12</v>
      </c>
      <c r="U1620">
        <v>173.5</v>
      </c>
      <c r="V1620">
        <v>134.33000000000001</v>
      </c>
      <c r="W1620">
        <v>2.74</v>
      </c>
    </row>
    <row r="1621" spans="1:23" x14ac:dyDescent="0.3">
      <c r="A1621">
        <v>1621</v>
      </c>
      <c r="B1621" t="s">
        <v>1664</v>
      </c>
      <c r="C1621" t="s">
        <v>43</v>
      </c>
      <c r="D1621">
        <v>191</v>
      </c>
      <c r="E1621">
        <v>3337</v>
      </c>
      <c r="F1621" s="3">
        <v>231</v>
      </c>
      <c r="G1621">
        <v>29</v>
      </c>
      <c r="H1621">
        <v>6</v>
      </c>
      <c r="I1621" s="5">
        <v>3.1413612565444997E-2</v>
      </c>
      <c r="J1621" s="3">
        <v>291</v>
      </c>
      <c r="K1621" s="1">
        <v>45614</v>
      </c>
      <c r="L1621" t="s">
        <v>25</v>
      </c>
      <c r="M1621" t="s">
        <v>39</v>
      </c>
      <c r="N1621" t="s">
        <v>32</v>
      </c>
      <c r="O1621" t="s">
        <v>28</v>
      </c>
      <c r="P1621" t="s">
        <v>59</v>
      </c>
      <c r="Q1621" s="6">
        <v>1.20942408376963</v>
      </c>
      <c r="R1621">
        <v>5.72</v>
      </c>
      <c r="S1621">
        <v>7.97</v>
      </c>
      <c r="T1621">
        <v>38.5</v>
      </c>
      <c r="U1621">
        <v>25.97</v>
      </c>
      <c r="V1621">
        <v>48.5</v>
      </c>
      <c r="W1621">
        <v>1.26</v>
      </c>
    </row>
    <row r="1622" spans="1:23" x14ac:dyDescent="0.3">
      <c r="A1622">
        <v>1622</v>
      </c>
      <c r="B1622" t="s">
        <v>1665</v>
      </c>
      <c r="C1622" t="s">
        <v>24</v>
      </c>
      <c r="D1622">
        <v>83</v>
      </c>
      <c r="E1622">
        <v>4359</v>
      </c>
      <c r="F1622" s="3">
        <v>227</v>
      </c>
      <c r="G1622">
        <v>12</v>
      </c>
      <c r="H1622">
        <v>10</v>
      </c>
      <c r="I1622" s="5">
        <v>0.120481927710843</v>
      </c>
      <c r="J1622" s="3">
        <v>467.142857142857</v>
      </c>
      <c r="K1622" s="1">
        <v>45598</v>
      </c>
      <c r="L1622" t="s">
        <v>25</v>
      </c>
      <c r="M1622" t="s">
        <v>26</v>
      </c>
      <c r="N1622" t="s">
        <v>36</v>
      </c>
      <c r="O1622" t="s">
        <v>28</v>
      </c>
      <c r="P1622" t="s">
        <v>29</v>
      </c>
      <c r="Q1622" s="6">
        <v>2.73662650602409</v>
      </c>
      <c r="R1622">
        <v>1.9</v>
      </c>
      <c r="S1622">
        <v>18.93</v>
      </c>
      <c r="T1622">
        <v>22.71</v>
      </c>
      <c r="U1622">
        <v>105.66</v>
      </c>
      <c r="V1622">
        <v>46.71</v>
      </c>
      <c r="W1622">
        <v>2.06</v>
      </c>
    </row>
    <row r="1623" spans="1:23" x14ac:dyDescent="0.3">
      <c r="A1623">
        <v>1623</v>
      </c>
      <c r="B1623" t="s">
        <v>1666</v>
      </c>
      <c r="C1623" t="s">
        <v>43</v>
      </c>
      <c r="D1623">
        <v>148</v>
      </c>
      <c r="E1623">
        <v>4813</v>
      </c>
      <c r="F1623" s="3">
        <v>213</v>
      </c>
      <c r="G1623">
        <v>12</v>
      </c>
      <c r="H1623">
        <v>7</v>
      </c>
      <c r="I1623" s="5">
        <v>4.72972972972973E-2</v>
      </c>
      <c r="J1623" s="3">
        <v>374</v>
      </c>
      <c r="K1623" s="1">
        <v>45619</v>
      </c>
      <c r="L1623" t="s">
        <v>25</v>
      </c>
      <c r="M1623" t="s">
        <v>31</v>
      </c>
      <c r="N1623" t="s">
        <v>44</v>
      </c>
      <c r="O1623" t="s">
        <v>28</v>
      </c>
      <c r="P1623" t="s">
        <v>29</v>
      </c>
      <c r="Q1623" s="6">
        <v>1.4377027027027001</v>
      </c>
      <c r="R1623">
        <v>3.08</v>
      </c>
      <c r="S1623">
        <v>17.73</v>
      </c>
      <c r="T1623">
        <v>30.4</v>
      </c>
      <c r="U1623">
        <v>75.77</v>
      </c>
      <c r="V1623">
        <v>53.43</v>
      </c>
      <c r="W1623">
        <v>1.76</v>
      </c>
    </row>
    <row r="1624" spans="1:23" x14ac:dyDescent="0.3">
      <c r="A1624">
        <v>1624</v>
      </c>
      <c r="B1624" t="s">
        <v>1667</v>
      </c>
      <c r="C1624" t="s">
        <v>35</v>
      </c>
      <c r="D1624">
        <v>125</v>
      </c>
      <c r="E1624">
        <v>4300</v>
      </c>
      <c r="F1624" s="3">
        <v>221</v>
      </c>
      <c r="G1624">
        <v>16</v>
      </c>
      <c r="H1624">
        <v>10</v>
      </c>
      <c r="I1624" s="5">
        <v>0.08</v>
      </c>
      <c r="J1624" s="3">
        <v>218</v>
      </c>
      <c r="K1624" s="1">
        <v>45623</v>
      </c>
      <c r="L1624" t="s">
        <v>25</v>
      </c>
      <c r="M1624" t="s">
        <v>39</v>
      </c>
      <c r="N1624" t="s">
        <v>32</v>
      </c>
      <c r="O1624" t="s">
        <v>28</v>
      </c>
      <c r="P1624" t="s">
        <v>33</v>
      </c>
      <c r="Q1624" s="6">
        <v>1.7709600000000001</v>
      </c>
      <c r="R1624">
        <v>2.91</v>
      </c>
      <c r="S1624">
        <v>13.84</v>
      </c>
      <c r="T1624">
        <v>22.14</v>
      </c>
      <c r="U1624">
        <v>-1.52</v>
      </c>
      <c r="V1624">
        <v>21.8</v>
      </c>
      <c r="W1624">
        <v>0.98</v>
      </c>
    </row>
    <row r="1625" spans="1:23" x14ac:dyDescent="0.3">
      <c r="A1625">
        <v>1625</v>
      </c>
      <c r="B1625" t="s">
        <v>1668</v>
      </c>
      <c r="C1625" t="s">
        <v>24</v>
      </c>
      <c r="D1625">
        <v>105</v>
      </c>
      <c r="E1625">
        <v>4094</v>
      </c>
      <c r="F1625" s="3">
        <v>183</v>
      </c>
      <c r="G1625">
        <v>11</v>
      </c>
      <c r="H1625">
        <v>6</v>
      </c>
      <c r="I1625" s="5">
        <v>5.7142857142857099E-2</v>
      </c>
      <c r="J1625" s="3">
        <v>371</v>
      </c>
      <c r="K1625" s="1">
        <v>45621</v>
      </c>
      <c r="L1625" t="s">
        <v>25</v>
      </c>
      <c r="M1625" t="s">
        <v>31</v>
      </c>
      <c r="N1625" t="s">
        <v>44</v>
      </c>
      <c r="O1625" t="s">
        <v>28</v>
      </c>
      <c r="P1625" t="s">
        <v>59</v>
      </c>
      <c r="Q1625" s="6">
        <v>1.7473333333333301</v>
      </c>
      <c r="R1625">
        <v>2.56</v>
      </c>
      <c r="S1625">
        <v>16.68</v>
      </c>
      <c r="T1625">
        <v>30.58</v>
      </c>
      <c r="U1625">
        <v>102.21</v>
      </c>
      <c r="V1625">
        <v>61.83</v>
      </c>
      <c r="W1625">
        <v>2.02</v>
      </c>
    </row>
    <row r="1626" spans="1:23" x14ac:dyDescent="0.3">
      <c r="A1626">
        <v>1626</v>
      </c>
      <c r="B1626" t="s">
        <v>1669</v>
      </c>
      <c r="C1626" t="s">
        <v>43</v>
      </c>
      <c r="D1626">
        <v>84</v>
      </c>
      <c r="E1626">
        <v>4263</v>
      </c>
      <c r="F1626" s="3">
        <v>235</v>
      </c>
      <c r="G1626">
        <v>29</v>
      </c>
      <c r="H1626">
        <v>9</v>
      </c>
      <c r="I1626" s="5">
        <v>0.107142857142857</v>
      </c>
      <c r="J1626" s="3">
        <v>326</v>
      </c>
      <c r="K1626" s="1">
        <v>45614</v>
      </c>
      <c r="L1626" t="s">
        <v>25</v>
      </c>
      <c r="M1626" t="s">
        <v>31</v>
      </c>
      <c r="N1626" t="s">
        <v>27</v>
      </c>
      <c r="O1626" t="s">
        <v>28</v>
      </c>
      <c r="P1626" t="s">
        <v>59</v>
      </c>
      <c r="Q1626" s="6">
        <v>2.7930952380952299</v>
      </c>
      <c r="R1626">
        <v>1.97</v>
      </c>
      <c r="S1626">
        <v>8.09</v>
      </c>
      <c r="T1626">
        <v>26.07</v>
      </c>
      <c r="U1626">
        <v>38.950000000000003</v>
      </c>
      <c r="V1626">
        <v>36.22</v>
      </c>
      <c r="W1626">
        <v>1.39</v>
      </c>
    </row>
    <row r="1627" spans="1:23" x14ac:dyDescent="0.3">
      <c r="A1627">
        <v>1627</v>
      </c>
      <c r="B1627" t="s">
        <v>1670</v>
      </c>
      <c r="C1627" t="s">
        <v>38</v>
      </c>
      <c r="D1627">
        <v>114</v>
      </c>
      <c r="E1627">
        <v>3472</v>
      </c>
      <c r="F1627" s="3">
        <v>243</v>
      </c>
      <c r="G1627">
        <v>16</v>
      </c>
      <c r="H1627">
        <v>10</v>
      </c>
      <c r="I1627" s="5">
        <v>8.7719298245614002E-2</v>
      </c>
      <c r="J1627" s="3">
        <v>335</v>
      </c>
      <c r="K1627" s="1">
        <v>45624</v>
      </c>
      <c r="L1627" t="s">
        <v>25</v>
      </c>
      <c r="M1627" t="s">
        <v>39</v>
      </c>
      <c r="N1627" t="s">
        <v>49</v>
      </c>
      <c r="O1627" t="s">
        <v>28</v>
      </c>
      <c r="P1627" t="s">
        <v>54</v>
      </c>
      <c r="Q1627" s="6">
        <v>2.1306140350877101</v>
      </c>
      <c r="R1627">
        <v>3.28</v>
      </c>
      <c r="S1627">
        <v>15.18</v>
      </c>
      <c r="T1627">
        <v>24.29</v>
      </c>
      <c r="U1627">
        <v>37.92</v>
      </c>
      <c r="V1627">
        <v>33.5</v>
      </c>
      <c r="W1627">
        <v>1.38</v>
      </c>
    </row>
    <row r="1628" spans="1:23" x14ac:dyDescent="0.3">
      <c r="A1628">
        <v>1628</v>
      </c>
      <c r="B1628" t="s">
        <v>1671</v>
      </c>
      <c r="C1628" t="s">
        <v>38</v>
      </c>
      <c r="D1628">
        <v>129</v>
      </c>
      <c r="E1628">
        <v>4411</v>
      </c>
      <c r="F1628" s="3">
        <v>180</v>
      </c>
      <c r="G1628">
        <v>28</v>
      </c>
      <c r="H1628">
        <v>5</v>
      </c>
      <c r="I1628" s="5">
        <v>3.8759689922480599E-2</v>
      </c>
      <c r="J1628" s="3">
        <v>239</v>
      </c>
      <c r="K1628" s="1">
        <v>45606</v>
      </c>
      <c r="L1628" t="s">
        <v>25</v>
      </c>
      <c r="M1628" t="s">
        <v>26</v>
      </c>
      <c r="N1628" t="s">
        <v>36</v>
      </c>
      <c r="O1628" t="s">
        <v>28</v>
      </c>
      <c r="P1628" t="s">
        <v>50</v>
      </c>
      <c r="Q1628" s="6">
        <v>1.3966666666666601</v>
      </c>
      <c r="R1628">
        <v>2.92</v>
      </c>
      <c r="S1628">
        <v>6.43</v>
      </c>
      <c r="T1628">
        <v>36.03</v>
      </c>
      <c r="U1628">
        <v>32.65</v>
      </c>
      <c r="V1628">
        <v>47.8</v>
      </c>
      <c r="W1628">
        <v>1.33</v>
      </c>
    </row>
    <row r="1629" spans="1:23" x14ac:dyDescent="0.3">
      <c r="A1629">
        <v>1629</v>
      </c>
      <c r="B1629" t="s">
        <v>1672</v>
      </c>
      <c r="C1629" t="s">
        <v>35</v>
      </c>
      <c r="D1629">
        <v>128</v>
      </c>
      <c r="E1629">
        <v>4787</v>
      </c>
      <c r="F1629" s="3">
        <v>204</v>
      </c>
      <c r="G1629">
        <v>18</v>
      </c>
      <c r="H1629">
        <v>6</v>
      </c>
      <c r="I1629" s="5">
        <v>4.6875E-2</v>
      </c>
      <c r="J1629" s="3">
        <v>384</v>
      </c>
      <c r="K1629" s="1">
        <v>45625</v>
      </c>
      <c r="L1629" t="s">
        <v>25</v>
      </c>
      <c r="M1629" t="s">
        <v>26</v>
      </c>
      <c r="N1629" t="s">
        <v>40</v>
      </c>
      <c r="O1629" t="s">
        <v>28</v>
      </c>
      <c r="P1629" t="s">
        <v>45</v>
      </c>
      <c r="Q1629" s="6">
        <v>1.5960156249999999</v>
      </c>
      <c r="R1629">
        <v>2.67</v>
      </c>
      <c r="S1629">
        <v>11.35</v>
      </c>
      <c r="T1629">
        <v>34.049999999999997</v>
      </c>
      <c r="U1629">
        <v>87.97</v>
      </c>
      <c r="V1629">
        <v>64</v>
      </c>
      <c r="W1629">
        <v>1.88</v>
      </c>
    </row>
    <row r="1630" spans="1:23" x14ac:dyDescent="0.3">
      <c r="A1630">
        <v>1630</v>
      </c>
      <c r="B1630" t="s">
        <v>1673</v>
      </c>
      <c r="C1630" t="s">
        <v>35</v>
      </c>
      <c r="D1630">
        <v>120</v>
      </c>
      <c r="E1630">
        <v>5915</v>
      </c>
      <c r="F1630" s="3">
        <v>242</v>
      </c>
      <c r="G1630">
        <v>26</v>
      </c>
      <c r="H1630">
        <v>3</v>
      </c>
      <c r="I1630" s="5">
        <v>2.5000000000000001E-2</v>
      </c>
      <c r="J1630" s="3">
        <v>256</v>
      </c>
      <c r="K1630" s="1">
        <v>45621</v>
      </c>
      <c r="L1630" t="s">
        <v>25</v>
      </c>
      <c r="M1630" t="s">
        <v>26</v>
      </c>
      <c r="N1630" t="s">
        <v>49</v>
      </c>
      <c r="O1630" t="s">
        <v>28</v>
      </c>
      <c r="P1630" t="s">
        <v>59</v>
      </c>
      <c r="Q1630" s="6">
        <v>2.0162499999999999</v>
      </c>
      <c r="R1630">
        <v>2.0299999999999998</v>
      </c>
      <c r="S1630">
        <v>9.31</v>
      </c>
      <c r="T1630">
        <v>80.650000000000006</v>
      </c>
      <c r="U1630">
        <v>5.81</v>
      </c>
      <c r="V1630">
        <v>85.33</v>
      </c>
      <c r="W1630">
        <v>1.06</v>
      </c>
    </row>
    <row r="1631" spans="1:23" x14ac:dyDescent="0.3">
      <c r="A1631">
        <v>1631</v>
      </c>
      <c r="B1631" t="s">
        <v>1674</v>
      </c>
      <c r="C1631" t="s">
        <v>38</v>
      </c>
      <c r="D1631">
        <v>99</v>
      </c>
      <c r="E1631">
        <v>4111</v>
      </c>
      <c r="F1631" s="3">
        <v>192</v>
      </c>
      <c r="G1631">
        <v>14</v>
      </c>
      <c r="H1631">
        <v>5</v>
      </c>
      <c r="I1631" s="5">
        <v>5.0505050505050497E-2</v>
      </c>
      <c r="J1631" s="3">
        <v>306</v>
      </c>
      <c r="K1631" s="1">
        <v>45615</v>
      </c>
      <c r="L1631" t="s">
        <v>25</v>
      </c>
      <c r="M1631" t="s">
        <v>31</v>
      </c>
      <c r="N1631" t="s">
        <v>49</v>
      </c>
      <c r="O1631" t="s">
        <v>28</v>
      </c>
      <c r="P1631" t="s">
        <v>41</v>
      </c>
      <c r="Q1631" s="6">
        <v>1.94030303030303</v>
      </c>
      <c r="R1631">
        <v>2.41</v>
      </c>
      <c r="S1631">
        <v>13.72</v>
      </c>
      <c r="T1631">
        <v>38.42</v>
      </c>
      <c r="U1631">
        <v>59.3</v>
      </c>
      <c r="V1631">
        <v>61.2</v>
      </c>
      <c r="W1631">
        <v>1.59</v>
      </c>
    </row>
    <row r="1632" spans="1:23" x14ac:dyDescent="0.3">
      <c r="A1632">
        <v>1632</v>
      </c>
      <c r="B1632" t="s">
        <v>1675</v>
      </c>
      <c r="C1632" t="s">
        <v>35</v>
      </c>
      <c r="D1632">
        <v>180</v>
      </c>
      <c r="E1632">
        <v>3305</v>
      </c>
      <c r="F1632" s="3">
        <v>188</v>
      </c>
      <c r="G1632">
        <v>14</v>
      </c>
      <c r="H1632">
        <v>10</v>
      </c>
      <c r="I1632" s="5">
        <v>5.5555555555555497E-2</v>
      </c>
      <c r="J1632" s="3">
        <v>467.142857142857</v>
      </c>
      <c r="K1632" s="1">
        <v>45615</v>
      </c>
      <c r="L1632" t="s">
        <v>25</v>
      </c>
      <c r="M1632" t="s">
        <v>26</v>
      </c>
      <c r="N1632" t="s">
        <v>36</v>
      </c>
      <c r="O1632" t="s">
        <v>28</v>
      </c>
      <c r="P1632" t="s">
        <v>41</v>
      </c>
      <c r="Q1632" s="6">
        <v>1.04216666666666</v>
      </c>
      <c r="R1632">
        <v>5.45</v>
      </c>
      <c r="S1632">
        <v>13.4</v>
      </c>
      <c r="T1632">
        <v>18.760000000000002</v>
      </c>
      <c r="U1632">
        <v>149.02000000000001</v>
      </c>
      <c r="V1632">
        <v>46.71</v>
      </c>
      <c r="W1632">
        <v>2.4900000000000002</v>
      </c>
    </row>
    <row r="1633" spans="1:23" x14ac:dyDescent="0.3">
      <c r="A1633">
        <v>1633</v>
      </c>
      <c r="B1633" t="s">
        <v>1676</v>
      </c>
      <c r="C1633" t="s">
        <v>38</v>
      </c>
      <c r="D1633">
        <v>154</v>
      </c>
      <c r="E1633">
        <v>3510</v>
      </c>
      <c r="F1633" s="3">
        <v>211</v>
      </c>
      <c r="G1633">
        <v>26</v>
      </c>
      <c r="H1633">
        <v>10</v>
      </c>
      <c r="I1633" s="5">
        <v>6.4935064935064901E-2</v>
      </c>
      <c r="J1633" s="3">
        <v>238</v>
      </c>
      <c r="K1633" s="1">
        <v>45610</v>
      </c>
      <c r="L1633" t="s">
        <v>25</v>
      </c>
      <c r="M1633" t="s">
        <v>39</v>
      </c>
      <c r="N1633" t="s">
        <v>44</v>
      </c>
      <c r="O1633" t="s">
        <v>28</v>
      </c>
      <c r="P1633" t="s">
        <v>54</v>
      </c>
      <c r="Q1633" s="6">
        <v>1.3711688311688299</v>
      </c>
      <c r="R1633">
        <v>4.3899999999999997</v>
      </c>
      <c r="S1633">
        <v>8.1199999999999992</v>
      </c>
      <c r="T1633">
        <v>21.12</v>
      </c>
      <c r="U1633">
        <v>12.71</v>
      </c>
      <c r="V1633">
        <v>23.8</v>
      </c>
      <c r="W1633">
        <v>1.1299999999999999</v>
      </c>
    </row>
    <row r="1634" spans="1:23" x14ac:dyDescent="0.3">
      <c r="A1634">
        <v>1634</v>
      </c>
      <c r="B1634" t="s">
        <v>1677</v>
      </c>
      <c r="C1634" t="s">
        <v>35</v>
      </c>
      <c r="D1634">
        <v>89</v>
      </c>
      <c r="E1634">
        <v>3265</v>
      </c>
      <c r="F1634" s="3">
        <v>235</v>
      </c>
      <c r="G1634">
        <v>29</v>
      </c>
      <c r="H1634">
        <v>8</v>
      </c>
      <c r="I1634" s="5">
        <v>8.98876404494382E-2</v>
      </c>
      <c r="J1634" s="3">
        <v>373.71428571428498</v>
      </c>
      <c r="K1634" s="1">
        <v>45624</v>
      </c>
      <c r="L1634" t="s">
        <v>25</v>
      </c>
      <c r="M1634" t="s">
        <v>39</v>
      </c>
      <c r="N1634" t="s">
        <v>32</v>
      </c>
      <c r="O1634" t="s">
        <v>28</v>
      </c>
      <c r="P1634" t="s">
        <v>54</v>
      </c>
      <c r="Q1634" s="6">
        <v>2.6349438202247102</v>
      </c>
      <c r="R1634">
        <v>2.73</v>
      </c>
      <c r="S1634">
        <v>8.09</v>
      </c>
      <c r="T1634">
        <v>29.31</v>
      </c>
      <c r="U1634">
        <v>59.36</v>
      </c>
      <c r="V1634">
        <v>46.71</v>
      </c>
      <c r="W1634">
        <v>1.59</v>
      </c>
    </row>
    <row r="1635" spans="1:23" x14ac:dyDescent="0.3">
      <c r="A1635">
        <v>1635</v>
      </c>
      <c r="B1635" t="s">
        <v>1678</v>
      </c>
      <c r="C1635" t="s">
        <v>43</v>
      </c>
      <c r="D1635">
        <v>136</v>
      </c>
      <c r="E1635">
        <v>5977</v>
      </c>
      <c r="F1635" s="3">
        <v>250</v>
      </c>
      <c r="G1635">
        <v>15</v>
      </c>
      <c r="H1635">
        <v>9</v>
      </c>
      <c r="I1635" s="5">
        <v>6.6176470588235295E-2</v>
      </c>
      <c r="J1635" s="3">
        <v>301</v>
      </c>
      <c r="K1635" s="1">
        <v>45624</v>
      </c>
      <c r="L1635" t="s">
        <v>25</v>
      </c>
      <c r="M1635" t="s">
        <v>39</v>
      </c>
      <c r="N1635" t="s">
        <v>49</v>
      </c>
      <c r="O1635" t="s">
        <v>28</v>
      </c>
      <c r="P1635" t="s">
        <v>54</v>
      </c>
      <c r="Q1635" s="6">
        <v>1.8374264705882299</v>
      </c>
      <c r="R1635">
        <v>2.2799999999999998</v>
      </c>
      <c r="S1635">
        <v>16.66</v>
      </c>
      <c r="T1635">
        <v>27.77</v>
      </c>
      <c r="U1635">
        <v>20.45</v>
      </c>
      <c r="V1635">
        <v>33.44</v>
      </c>
      <c r="W1635">
        <v>1.2</v>
      </c>
    </row>
    <row r="1636" spans="1:23" x14ac:dyDescent="0.3">
      <c r="A1636">
        <v>1636</v>
      </c>
      <c r="B1636" t="s">
        <v>1679</v>
      </c>
      <c r="C1636" t="s">
        <v>24</v>
      </c>
      <c r="D1636">
        <v>177</v>
      </c>
      <c r="E1636">
        <v>5409</v>
      </c>
      <c r="F1636" s="3">
        <v>182</v>
      </c>
      <c r="G1636">
        <v>19</v>
      </c>
      <c r="H1636">
        <v>4</v>
      </c>
      <c r="I1636" s="5">
        <v>2.2598870056497099E-2</v>
      </c>
      <c r="J1636" s="3">
        <v>366</v>
      </c>
      <c r="K1636" s="1">
        <v>45599</v>
      </c>
      <c r="L1636" t="s">
        <v>25</v>
      </c>
      <c r="M1636" t="s">
        <v>39</v>
      </c>
      <c r="N1636" t="s">
        <v>32</v>
      </c>
      <c r="O1636" t="s">
        <v>28</v>
      </c>
      <c r="P1636" t="s">
        <v>50</v>
      </c>
      <c r="Q1636" s="6">
        <v>1.02683615819209</v>
      </c>
      <c r="R1636">
        <v>3.27</v>
      </c>
      <c r="S1636">
        <v>9.57</v>
      </c>
      <c r="T1636">
        <v>45.44</v>
      </c>
      <c r="U1636">
        <v>101.38</v>
      </c>
      <c r="V1636">
        <v>91.5</v>
      </c>
      <c r="W1636">
        <v>2.0099999999999998</v>
      </c>
    </row>
    <row r="1637" spans="1:23" x14ac:dyDescent="0.3">
      <c r="A1637">
        <v>1637</v>
      </c>
      <c r="B1637" t="s">
        <v>1680</v>
      </c>
      <c r="C1637" t="s">
        <v>38</v>
      </c>
      <c r="D1637">
        <v>145</v>
      </c>
      <c r="E1637">
        <v>5523</v>
      </c>
      <c r="F1637" s="3">
        <v>221</v>
      </c>
      <c r="G1637">
        <v>10</v>
      </c>
      <c r="H1637">
        <v>7</v>
      </c>
      <c r="I1637" s="5">
        <v>4.8275862068965503E-2</v>
      </c>
      <c r="J1637" s="3">
        <v>340</v>
      </c>
      <c r="K1637" s="1">
        <v>45615</v>
      </c>
      <c r="L1637" t="s">
        <v>25</v>
      </c>
      <c r="M1637" t="s">
        <v>31</v>
      </c>
      <c r="N1637" t="s">
        <v>40</v>
      </c>
      <c r="O1637" t="s">
        <v>28</v>
      </c>
      <c r="P1637" t="s">
        <v>41</v>
      </c>
      <c r="Q1637" s="6">
        <v>1.5243795620437901</v>
      </c>
      <c r="R1637">
        <v>2.63</v>
      </c>
      <c r="S1637">
        <v>22.1</v>
      </c>
      <c r="T1637">
        <v>31.58</v>
      </c>
      <c r="U1637">
        <v>53.82</v>
      </c>
      <c r="V1637">
        <v>48.57</v>
      </c>
      <c r="W1637">
        <v>1.54</v>
      </c>
    </row>
    <row r="1638" spans="1:23" x14ac:dyDescent="0.3">
      <c r="A1638">
        <v>1638</v>
      </c>
      <c r="B1638" t="s">
        <v>1681</v>
      </c>
      <c r="C1638" t="s">
        <v>35</v>
      </c>
      <c r="D1638">
        <v>152</v>
      </c>
      <c r="E1638">
        <v>5421</v>
      </c>
      <c r="F1638" s="3">
        <v>248</v>
      </c>
      <c r="G1638">
        <v>16</v>
      </c>
      <c r="H1638">
        <v>6</v>
      </c>
      <c r="I1638" s="5">
        <v>3.94736842105263E-2</v>
      </c>
      <c r="J1638" s="3">
        <v>358</v>
      </c>
      <c r="K1638" s="1">
        <v>45623</v>
      </c>
      <c r="L1638" t="s">
        <v>25</v>
      </c>
      <c r="M1638" t="s">
        <v>31</v>
      </c>
      <c r="N1638" t="s">
        <v>49</v>
      </c>
      <c r="O1638" t="s">
        <v>28</v>
      </c>
      <c r="P1638" t="s">
        <v>33</v>
      </c>
      <c r="Q1638" s="6">
        <v>1.6321052631578901</v>
      </c>
      <c r="R1638">
        <v>2.8</v>
      </c>
      <c r="S1638">
        <v>15.5</v>
      </c>
      <c r="T1638">
        <v>41.35</v>
      </c>
      <c r="U1638">
        <v>44.31</v>
      </c>
      <c r="V1638">
        <v>59.67</v>
      </c>
      <c r="W1638">
        <v>1.44</v>
      </c>
    </row>
    <row r="1639" spans="1:23" x14ac:dyDescent="0.3">
      <c r="A1639">
        <v>1639</v>
      </c>
      <c r="B1639" t="s">
        <v>1682</v>
      </c>
      <c r="C1639" t="s">
        <v>24</v>
      </c>
      <c r="D1639">
        <v>187</v>
      </c>
      <c r="E1639">
        <v>5181</v>
      </c>
      <c r="F1639" s="3">
        <v>227</v>
      </c>
      <c r="G1639">
        <v>18</v>
      </c>
      <c r="H1639">
        <v>10</v>
      </c>
      <c r="I1639" s="5">
        <v>5.3475935828876997E-2</v>
      </c>
      <c r="J1639" s="3">
        <v>309</v>
      </c>
      <c r="K1639" s="1">
        <v>45621</v>
      </c>
      <c r="L1639" t="s">
        <v>25</v>
      </c>
      <c r="M1639" t="s">
        <v>39</v>
      </c>
      <c r="N1639" t="s">
        <v>40</v>
      </c>
      <c r="O1639" t="s">
        <v>28</v>
      </c>
      <c r="P1639" t="s">
        <v>59</v>
      </c>
      <c r="Q1639" s="6">
        <v>1.21470588235294</v>
      </c>
      <c r="R1639">
        <v>3.61</v>
      </c>
      <c r="S1639">
        <v>12.62</v>
      </c>
      <c r="T1639">
        <v>22.72</v>
      </c>
      <c r="U1639">
        <v>36.03</v>
      </c>
      <c r="V1639">
        <v>30.9</v>
      </c>
      <c r="W1639">
        <v>1.36</v>
      </c>
    </row>
    <row r="1640" spans="1:23" x14ac:dyDescent="0.3">
      <c r="A1640">
        <v>1640</v>
      </c>
      <c r="B1640" t="s">
        <v>1683</v>
      </c>
      <c r="C1640" t="s">
        <v>24</v>
      </c>
      <c r="D1640">
        <v>91</v>
      </c>
      <c r="E1640">
        <v>5484</v>
      </c>
      <c r="F1640" s="3">
        <v>198</v>
      </c>
      <c r="G1640">
        <v>16</v>
      </c>
      <c r="H1640">
        <v>6</v>
      </c>
      <c r="I1640" s="5">
        <v>6.5934065934065894E-2</v>
      </c>
      <c r="J1640" s="3">
        <v>404</v>
      </c>
      <c r="K1640" s="1">
        <v>45616</v>
      </c>
      <c r="L1640" t="s">
        <v>25</v>
      </c>
      <c r="M1640" t="s">
        <v>31</v>
      </c>
      <c r="N1640" t="s">
        <v>40</v>
      </c>
      <c r="O1640" t="s">
        <v>28</v>
      </c>
      <c r="P1640" t="s">
        <v>33</v>
      </c>
      <c r="Q1640" s="6">
        <v>2.1785714285714199</v>
      </c>
      <c r="R1640">
        <v>1.66</v>
      </c>
      <c r="S1640">
        <v>12.39</v>
      </c>
      <c r="T1640">
        <v>33.04</v>
      </c>
      <c r="U1640">
        <v>103.78</v>
      </c>
      <c r="V1640">
        <v>67.33</v>
      </c>
      <c r="W1640">
        <v>2.04</v>
      </c>
    </row>
    <row r="1641" spans="1:23" x14ac:dyDescent="0.3">
      <c r="A1641">
        <v>1641</v>
      </c>
      <c r="B1641" t="s">
        <v>1684</v>
      </c>
      <c r="C1641" t="s">
        <v>43</v>
      </c>
      <c r="D1641">
        <v>180</v>
      </c>
      <c r="E1641">
        <v>5545</v>
      </c>
      <c r="F1641" s="3">
        <v>239</v>
      </c>
      <c r="G1641">
        <v>30</v>
      </c>
      <c r="H1641">
        <v>10</v>
      </c>
      <c r="I1641" s="5">
        <v>5.5555555555555497E-2</v>
      </c>
      <c r="J1641" s="3">
        <v>402</v>
      </c>
      <c r="K1641" s="1">
        <v>45620</v>
      </c>
      <c r="L1641" t="s">
        <v>25</v>
      </c>
      <c r="M1641" t="s">
        <v>26</v>
      </c>
      <c r="N1641" t="s">
        <v>32</v>
      </c>
      <c r="O1641" t="s">
        <v>28</v>
      </c>
      <c r="P1641" t="s">
        <v>50</v>
      </c>
      <c r="Q1641" s="6">
        <v>1.32694444444444</v>
      </c>
      <c r="R1641">
        <v>3.25</v>
      </c>
      <c r="S1641">
        <v>7.96</v>
      </c>
      <c r="T1641">
        <v>23.88</v>
      </c>
      <c r="U1641">
        <v>68.31</v>
      </c>
      <c r="V1641">
        <v>40.200000000000003</v>
      </c>
      <c r="W1641">
        <v>1.68</v>
      </c>
    </row>
    <row r="1642" spans="1:23" x14ac:dyDescent="0.3">
      <c r="A1642">
        <v>1642</v>
      </c>
      <c r="B1642" t="s">
        <v>1685</v>
      </c>
      <c r="C1642" t="s">
        <v>43</v>
      </c>
      <c r="D1642">
        <v>122</v>
      </c>
      <c r="E1642">
        <v>4295</v>
      </c>
      <c r="F1642" s="3">
        <v>191</v>
      </c>
      <c r="G1642">
        <v>24</v>
      </c>
      <c r="H1642">
        <v>6</v>
      </c>
      <c r="I1642" s="5">
        <v>4.9180327868852403E-2</v>
      </c>
      <c r="J1642" s="3">
        <v>275</v>
      </c>
      <c r="K1642" s="1">
        <v>45606</v>
      </c>
      <c r="L1642" t="s">
        <v>25</v>
      </c>
      <c r="M1642" t="s">
        <v>26</v>
      </c>
      <c r="N1642" t="s">
        <v>32</v>
      </c>
      <c r="O1642" t="s">
        <v>28</v>
      </c>
      <c r="P1642" t="s">
        <v>50</v>
      </c>
      <c r="Q1642" s="6">
        <v>1.56753061615001</v>
      </c>
      <c r="R1642">
        <v>2.84</v>
      </c>
      <c r="S1642">
        <v>7.97</v>
      </c>
      <c r="T1642">
        <v>31.87</v>
      </c>
      <c r="U1642">
        <v>43.8</v>
      </c>
      <c r="V1642">
        <v>45.83</v>
      </c>
      <c r="W1642">
        <v>1.44</v>
      </c>
    </row>
    <row r="1643" spans="1:23" x14ac:dyDescent="0.3">
      <c r="A1643">
        <v>1643</v>
      </c>
      <c r="B1643" t="s">
        <v>1686</v>
      </c>
      <c r="C1643" t="s">
        <v>24</v>
      </c>
      <c r="D1643">
        <v>131</v>
      </c>
      <c r="E1643">
        <v>4314</v>
      </c>
      <c r="F1643" s="3">
        <v>195</v>
      </c>
      <c r="G1643">
        <v>21</v>
      </c>
      <c r="H1643">
        <v>9</v>
      </c>
      <c r="I1643" s="5">
        <v>6.8702290076335798E-2</v>
      </c>
      <c r="J1643" s="3">
        <v>247</v>
      </c>
      <c r="K1643" s="1">
        <v>45605</v>
      </c>
      <c r="L1643" t="s">
        <v>25</v>
      </c>
      <c r="M1643" t="s">
        <v>39</v>
      </c>
      <c r="N1643" t="s">
        <v>40</v>
      </c>
      <c r="O1643" t="s">
        <v>28</v>
      </c>
      <c r="P1643" t="s">
        <v>29</v>
      </c>
      <c r="Q1643" s="6">
        <v>1.48519083969465</v>
      </c>
      <c r="R1643">
        <v>3.04</v>
      </c>
      <c r="S1643">
        <v>9.26</v>
      </c>
      <c r="T1643">
        <v>21.62</v>
      </c>
      <c r="U1643">
        <v>26.95</v>
      </c>
      <c r="V1643">
        <v>27.44</v>
      </c>
      <c r="W1643">
        <v>1.27</v>
      </c>
    </row>
    <row r="1644" spans="1:23" x14ac:dyDescent="0.3">
      <c r="A1644">
        <v>1644</v>
      </c>
      <c r="B1644" t="s">
        <v>1687</v>
      </c>
      <c r="C1644" t="s">
        <v>38</v>
      </c>
      <c r="D1644">
        <v>157</v>
      </c>
      <c r="E1644">
        <v>4111</v>
      </c>
      <c r="F1644" s="3">
        <v>208</v>
      </c>
      <c r="G1644">
        <v>27</v>
      </c>
      <c r="H1644">
        <v>8</v>
      </c>
      <c r="I1644" s="5">
        <v>5.0955414012738801E-2</v>
      </c>
      <c r="J1644" s="3">
        <v>242</v>
      </c>
      <c r="K1644" s="1">
        <v>45601</v>
      </c>
      <c r="L1644" t="s">
        <v>25</v>
      </c>
      <c r="M1644" t="s">
        <v>39</v>
      </c>
      <c r="N1644" t="s">
        <v>40</v>
      </c>
      <c r="O1644" t="s">
        <v>28</v>
      </c>
      <c r="P1644" t="s">
        <v>41</v>
      </c>
      <c r="Q1644" s="6">
        <v>1.3277707006369399</v>
      </c>
      <c r="R1644">
        <v>3.82</v>
      </c>
      <c r="S1644">
        <v>7.72</v>
      </c>
      <c r="T1644">
        <v>26.06</v>
      </c>
      <c r="U1644">
        <v>16.09</v>
      </c>
      <c r="V1644">
        <v>30.25</v>
      </c>
      <c r="W1644">
        <v>1.1599999999999999</v>
      </c>
    </row>
    <row r="1645" spans="1:23" x14ac:dyDescent="0.3">
      <c r="A1645">
        <v>1645</v>
      </c>
      <c r="B1645" t="s">
        <v>1688</v>
      </c>
      <c r="C1645" t="s">
        <v>24</v>
      </c>
      <c r="D1645">
        <v>178</v>
      </c>
      <c r="E1645">
        <v>5640</v>
      </c>
      <c r="F1645" s="3">
        <v>196</v>
      </c>
      <c r="G1645">
        <v>25</v>
      </c>
      <c r="H1645">
        <v>4</v>
      </c>
      <c r="I1645" s="5">
        <v>2.2471910112359501E-2</v>
      </c>
      <c r="J1645" s="3">
        <v>369</v>
      </c>
      <c r="K1645" s="1">
        <v>45618</v>
      </c>
      <c r="L1645" t="s">
        <v>25</v>
      </c>
      <c r="M1645" t="s">
        <v>31</v>
      </c>
      <c r="N1645" t="s">
        <v>36</v>
      </c>
      <c r="O1645" t="s">
        <v>28</v>
      </c>
      <c r="P1645" t="s">
        <v>45</v>
      </c>
      <c r="Q1645" s="6">
        <v>1.1000000000000001</v>
      </c>
      <c r="R1645">
        <v>3.16</v>
      </c>
      <c r="S1645">
        <v>7.83</v>
      </c>
      <c r="T1645">
        <v>48.95</v>
      </c>
      <c r="U1645">
        <v>88.46</v>
      </c>
      <c r="V1645">
        <v>92.25</v>
      </c>
      <c r="W1645">
        <v>1.88</v>
      </c>
    </row>
    <row r="1646" spans="1:23" x14ac:dyDescent="0.3">
      <c r="A1646">
        <v>1646</v>
      </c>
      <c r="B1646" t="s">
        <v>1689</v>
      </c>
      <c r="C1646" t="s">
        <v>24</v>
      </c>
      <c r="D1646">
        <v>94</v>
      </c>
      <c r="E1646">
        <v>3805</v>
      </c>
      <c r="F1646" s="3">
        <v>198</v>
      </c>
      <c r="G1646">
        <v>12</v>
      </c>
      <c r="H1646">
        <v>8</v>
      </c>
      <c r="I1646" s="5">
        <v>8.5106382978723402E-2</v>
      </c>
      <c r="J1646" s="3">
        <v>311</v>
      </c>
      <c r="K1646" s="1">
        <v>45606</v>
      </c>
      <c r="L1646" t="s">
        <v>25</v>
      </c>
      <c r="M1646" t="s">
        <v>39</v>
      </c>
      <c r="N1646" t="s">
        <v>32</v>
      </c>
      <c r="O1646" t="s">
        <v>28</v>
      </c>
      <c r="P1646" t="s">
        <v>50</v>
      </c>
      <c r="Q1646" s="6">
        <v>2.1084042553191402</v>
      </c>
      <c r="R1646">
        <v>2.4700000000000002</v>
      </c>
      <c r="S1646">
        <v>16.52</v>
      </c>
      <c r="T1646">
        <v>24.77</v>
      </c>
      <c r="U1646">
        <v>56.92</v>
      </c>
      <c r="V1646">
        <v>38.880000000000003</v>
      </c>
      <c r="W1646">
        <v>1.57</v>
      </c>
    </row>
    <row r="1647" spans="1:23" x14ac:dyDescent="0.3">
      <c r="A1647">
        <v>1647</v>
      </c>
      <c r="B1647" t="s">
        <v>1690</v>
      </c>
      <c r="C1647" t="s">
        <v>43</v>
      </c>
      <c r="D1647">
        <v>130</v>
      </c>
      <c r="E1647">
        <v>4561</v>
      </c>
      <c r="F1647" s="3">
        <v>196</v>
      </c>
      <c r="G1647">
        <v>25</v>
      </c>
      <c r="H1647">
        <v>9</v>
      </c>
      <c r="I1647" s="5">
        <v>6.9230769230769207E-2</v>
      </c>
      <c r="J1647" s="3">
        <v>283</v>
      </c>
      <c r="K1647" s="1">
        <v>45614</v>
      </c>
      <c r="L1647" t="s">
        <v>25</v>
      </c>
      <c r="M1647" t="s">
        <v>26</v>
      </c>
      <c r="N1647" t="s">
        <v>49</v>
      </c>
      <c r="O1647" t="s">
        <v>28</v>
      </c>
      <c r="P1647" t="s">
        <v>59</v>
      </c>
      <c r="Q1647" s="6">
        <v>1.508</v>
      </c>
      <c r="R1647">
        <v>2.85</v>
      </c>
      <c r="S1647">
        <v>7.84</v>
      </c>
      <c r="T1647">
        <v>21.78</v>
      </c>
      <c r="U1647">
        <v>44.36</v>
      </c>
      <c r="V1647">
        <v>31.44</v>
      </c>
      <c r="W1647">
        <v>1.44</v>
      </c>
    </row>
    <row r="1648" spans="1:23" x14ac:dyDescent="0.3">
      <c r="A1648">
        <v>1648</v>
      </c>
      <c r="B1648" t="s">
        <v>1691</v>
      </c>
      <c r="C1648" t="s">
        <v>24</v>
      </c>
      <c r="D1648">
        <v>169</v>
      </c>
      <c r="E1648">
        <v>5865</v>
      </c>
      <c r="F1648" s="3">
        <v>200</v>
      </c>
      <c r="G1648">
        <v>19</v>
      </c>
      <c r="H1648">
        <v>5</v>
      </c>
      <c r="I1648" s="5">
        <v>2.9585798816568001E-2</v>
      </c>
      <c r="J1648" s="3">
        <v>302</v>
      </c>
      <c r="K1648" s="1">
        <v>45626</v>
      </c>
      <c r="L1648" t="s">
        <v>25</v>
      </c>
      <c r="M1648" t="s">
        <v>31</v>
      </c>
      <c r="N1648" t="s">
        <v>44</v>
      </c>
      <c r="O1648" t="s">
        <v>28</v>
      </c>
      <c r="P1648" t="s">
        <v>29</v>
      </c>
      <c r="Q1648" s="6">
        <v>1.1855621301775101</v>
      </c>
      <c r="R1648">
        <v>2.88</v>
      </c>
      <c r="S1648">
        <v>10.55</v>
      </c>
      <c r="T1648">
        <v>40.07</v>
      </c>
      <c r="U1648">
        <v>50.73</v>
      </c>
      <c r="V1648">
        <v>60.4</v>
      </c>
      <c r="W1648">
        <v>1.51</v>
      </c>
    </row>
    <row r="1649" spans="1:23" x14ac:dyDescent="0.3">
      <c r="A1649">
        <v>1649</v>
      </c>
      <c r="B1649" t="s">
        <v>1692</v>
      </c>
      <c r="C1649" t="s">
        <v>35</v>
      </c>
      <c r="D1649">
        <v>176</v>
      </c>
      <c r="E1649">
        <v>5275</v>
      </c>
      <c r="F1649" s="3">
        <v>241</v>
      </c>
      <c r="G1649">
        <v>14</v>
      </c>
      <c r="H1649">
        <v>8</v>
      </c>
      <c r="I1649" s="5">
        <v>4.54545454545454E-2</v>
      </c>
      <c r="J1649" s="3">
        <v>407</v>
      </c>
      <c r="K1649" s="1">
        <v>45611</v>
      </c>
      <c r="L1649" t="s">
        <v>25</v>
      </c>
      <c r="M1649" t="s">
        <v>31</v>
      </c>
      <c r="N1649" t="s">
        <v>36</v>
      </c>
      <c r="O1649" t="s">
        <v>28</v>
      </c>
      <c r="P1649" t="s">
        <v>45</v>
      </c>
      <c r="Q1649" s="6">
        <v>1.37</v>
      </c>
      <c r="R1649">
        <v>3.34</v>
      </c>
      <c r="S1649">
        <v>17.22</v>
      </c>
      <c r="T1649">
        <v>30.14</v>
      </c>
      <c r="U1649">
        <v>68.8</v>
      </c>
      <c r="V1649">
        <v>50.88</v>
      </c>
      <c r="W1649">
        <v>1.69</v>
      </c>
    </row>
    <row r="1650" spans="1:23" x14ac:dyDescent="0.3">
      <c r="A1650">
        <v>1650</v>
      </c>
      <c r="B1650" t="s">
        <v>1693</v>
      </c>
      <c r="C1650" t="s">
        <v>38</v>
      </c>
      <c r="D1650">
        <v>143</v>
      </c>
      <c r="E1650">
        <v>4964</v>
      </c>
      <c r="F1650" s="3">
        <v>208</v>
      </c>
      <c r="G1650">
        <v>21</v>
      </c>
      <c r="H1650">
        <v>10</v>
      </c>
      <c r="I1650" s="5">
        <v>6.9930069930069894E-2</v>
      </c>
      <c r="J1650" s="3">
        <v>330</v>
      </c>
      <c r="K1650" s="1">
        <v>45609</v>
      </c>
      <c r="L1650" t="s">
        <v>25</v>
      </c>
      <c r="M1650" t="s">
        <v>39</v>
      </c>
      <c r="N1650" t="s">
        <v>49</v>
      </c>
      <c r="O1650" t="s">
        <v>28</v>
      </c>
      <c r="P1650" t="s">
        <v>33</v>
      </c>
      <c r="Q1650" s="6">
        <v>1.45216783216783</v>
      </c>
      <c r="R1650">
        <v>2.88</v>
      </c>
      <c r="S1650">
        <v>9.89</v>
      </c>
      <c r="T1650">
        <v>20.77</v>
      </c>
      <c r="U1650">
        <v>58.91</v>
      </c>
      <c r="V1650">
        <v>33</v>
      </c>
      <c r="W1650">
        <v>1.59</v>
      </c>
    </row>
    <row r="1651" spans="1:23" x14ac:dyDescent="0.3">
      <c r="A1651">
        <v>1651</v>
      </c>
      <c r="B1651" t="s">
        <v>1694</v>
      </c>
      <c r="C1651" t="s">
        <v>35</v>
      </c>
      <c r="D1651">
        <v>153</v>
      </c>
      <c r="E1651">
        <v>5292</v>
      </c>
      <c r="F1651" s="3">
        <v>226</v>
      </c>
      <c r="G1651">
        <v>21</v>
      </c>
      <c r="H1651">
        <v>9</v>
      </c>
      <c r="I1651" s="5">
        <v>5.8823529411764698E-2</v>
      </c>
      <c r="J1651" s="3">
        <v>250</v>
      </c>
      <c r="K1651" s="1">
        <v>45606</v>
      </c>
      <c r="L1651" t="s">
        <v>25</v>
      </c>
      <c r="M1651" t="s">
        <v>31</v>
      </c>
      <c r="N1651" t="s">
        <v>32</v>
      </c>
      <c r="O1651" t="s">
        <v>28</v>
      </c>
      <c r="P1651" t="s">
        <v>50</v>
      </c>
      <c r="Q1651" s="6">
        <v>1.4769934640522799</v>
      </c>
      <c r="R1651">
        <v>2.89</v>
      </c>
      <c r="S1651">
        <v>10.76</v>
      </c>
      <c r="T1651">
        <v>25.11</v>
      </c>
      <c r="U1651">
        <v>10.63</v>
      </c>
      <c r="V1651">
        <v>27.78</v>
      </c>
      <c r="W1651">
        <v>1.1100000000000001</v>
      </c>
    </row>
    <row r="1652" spans="1:23" x14ac:dyDescent="0.3">
      <c r="A1652">
        <v>1652</v>
      </c>
      <c r="B1652" t="s">
        <v>1695</v>
      </c>
      <c r="C1652" t="s">
        <v>43</v>
      </c>
      <c r="D1652">
        <v>96</v>
      </c>
      <c r="E1652">
        <v>5568</v>
      </c>
      <c r="F1652" s="3">
        <v>211</v>
      </c>
      <c r="G1652">
        <v>19</v>
      </c>
      <c r="H1652">
        <v>10</v>
      </c>
      <c r="I1652" s="5">
        <v>0.10416666666666601</v>
      </c>
      <c r="J1652" s="3">
        <v>269</v>
      </c>
      <c r="K1652" s="1">
        <v>45617</v>
      </c>
      <c r="L1652" t="s">
        <v>25</v>
      </c>
      <c r="M1652" t="s">
        <v>26</v>
      </c>
      <c r="N1652" t="s">
        <v>27</v>
      </c>
      <c r="O1652" t="s">
        <v>28</v>
      </c>
      <c r="P1652" t="s">
        <v>54</v>
      </c>
      <c r="Q1652" s="6">
        <v>2.1978124999999999</v>
      </c>
      <c r="R1652">
        <v>1.72</v>
      </c>
      <c r="S1652">
        <v>11.1</v>
      </c>
      <c r="T1652">
        <v>21.1</v>
      </c>
      <c r="U1652">
        <v>27.49</v>
      </c>
      <c r="V1652">
        <v>26.9</v>
      </c>
      <c r="W1652">
        <v>1.27</v>
      </c>
    </row>
    <row r="1653" spans="1:23" x14ac:dyDescent="0.3">
      <c r="A1653">
        <v>1653</v>
      </c>
      <c r="B1653" t="s">
        <v>1696</v>
      </c>
      <c r="C1653" t="s">
        <v>43</v>
      </c>
      <c r="D1653">
        <v>96</v>
      </c>
      <c r="E1653">
        <v>4849</v>
      </c>
      <c r="F1653" s="3">
        <v>198</v>
      </c>
      <c r="G1653">
        <v>13</v>
      </c>
      <c r="H1653">
        <v>5</v>
      </c>
      <c r="I1653" s="5">
        <v>5.2083333333333301E-2</v>
      </c>
      <c r="J1653" s="3">
        <v>244</v>
      </c>
      <c r="K1653" s="1">
        <v>45623</v>
      </c>
      <c r="L1653" t="s">
        <v>25</v>
      </c>
      <c r="M1653" t="s">
        <v>31</v>
      </c>
      <c r="N1653" t="s">
        <v>44</v>
      </c>
      <c r="O1653" t="s">
        <v>28</v>
      </c>
      <c r="P1653" t="s">
        <v>33</v>
      </c>
      <c r="Q1653" s="6">
        <v>2.0667708333333299</v>
      </c>
      <c r="R1653">
        <v>1.98</v>
      </c>
      <c r="S1653">
        <v>15.26</v>
      </c>
      <c r="T1653">
        <v>39.68</v>
      </c>
      <c r="U1653">
        <v>22.98</v>
      </c>
      <c r="V1653">
        <v>48.8</v>
      </c>
      <c r="W1653">
        <v>1.23</v>
      </c>
    </row>
    <row r="1654" spans="1:23" x14ac:dyDescent="0.3">
      <c r="A1654">
        <v>1654</v>
      </c>
      <c r="B1654" t="s">
        <v>1697</v>
      </c>
      <c r="C1654" t="s">
        <v>43</v>
      </c>
      <c r="D1654">
        <v>172</v>
      </c>
      <c r="E1654">
        <v>4128</v>
      </c>
      <c r="F1654" s="3">
        <v>266</v>
      </c>
      <c r="G1654">
        <v>12</v>
      </c>
      <c r="H1654">
        <v>7</v>
      </c>
      <c r="I1654" s="5">
        <v>4.0697674418604599E-2</v>
      </c>
      <c r="J1654" s="3">
        <v>218</v>
      </c>
      <c r="K1654" s="1">
        <v>45613</v>
      </c>
      <c r="L1654" t="s">
        <v>25</v>
      </c>
      <c r="M1654" t="s">
        <v>39</v>
      </c>
      <c r="N1654" t="s">
        <v>27</v>
      </c>
      <c r="O1654" t="s">
        <v>28</v>
      </c>
      <c r="P1654" t="s">
        <v>50</v>
      </c>
      <c r="Q1654" s="6">
        <v>1.5454545454545401</v>
      </c>
      <c r="R1654">
        <v>4.17</v>
      </c>
      <c r="S1654">
        <v>22.15</v>
      </c>
      <c r="T1654">
        <v>37.97</v>
      </c>
      <c r="U1654">
        <v>-17.989999999999998</v>
      </c>
      <c r="V1654">
        <v>31.14</v>
      </c>
      <c r="W1654">
        <v>0.82</v>
      </c>
    </row>
    <row r="1655" spans="1:23" x14ac:dyDescent="0.3">
      <c r="A1655">
        <v>1655</v>
      </c>
      <c r="B1655" t="s">
        <v>1698</v>
      </c>
      <c r="C1655" t="s">
        <v>35</v>
      </c>
      <c r="D1655">
        <v>197</v>
      </c>
      <c r="E1655">
        <v>4645</v>
      </c>
      <c r="F1655" s="3">
        <v>219</v>
      </c>
      <c r="G1655">
        <v>24</v>
      </c>
      <c r="H1655">
        <v>5</v>
      </c>
      <c r="I1655" s="5">
        <v>2.5380710659898401E-2</v>
      </c>
      <c r="J1655" s="3">
        <v>390</v>
      </c>
      <c r="K1655" s="1">
        <v>45626</v>
      </c>
      <c r="L1655" t="s">
        <v>25</v>
      </c>
      <c r="M1655" t="s">
        <v>31</v>
      </c>
      <c r="N1655" t="s">
        <v>44</v>
      </c>
      <c r="O1655" t="s">
        <v>28</v>
      </c>
      <c r="P1655" t="s">
        <v>29</v>
      </c>
      <c r="Q1655" s="6">
        <v>1.11243654822335</v>
      </c>
      <c r="R1655">
        <v>4.24</v>
      </c>
      <c r="S1655">
        <v>9.1300000000000008</v>
      </c>
      <c r="T1655">
        <v>43.83</v>
      </c>
      <c r="U1655">
        <v>77.959999999999994</v>
      </c>
      <c r="V1655">
        <v>78</v>
      </c>
      <c r="W1655">
        <v>1.78</v>
      </c>
    </row>
    <row r="1656" spans="1:23" x14ac:dyDescent="0.3">
      <c r="A1656">
        <v>1656</v>
      </c>
      <c r="B1656" t="s">
        <v>1699</v>
      </c>
      <c r="C1656" t="s">
        <v>24</v>
      </c>
      <c r="D1656">
        <v>191</v>
      </c>
      <c r="E1656">
        <v>5706</v>
      </c>
      <c r="F1656" s="3">
        <v>250</v>
      </c>
      <c r="G1656">
        <v>25</v>
      </c>
      <c r="H1656">
        <v>6</v>
      </c>
      <c r="I1656" s="5">
        <v>3.1413612565444997E-2</v>
      </c>
      <c r="J1656" s="3">
        <v>372</v>
      </c>
      <c r="K1656" s="1">
        <v>45612</v>
      </c>
      <c r="L1656" t="s">
        <v>25</v>
      </c>
      <c r="M1656" t="s">
        <v>26</v>
      </c>
      <c r="N1656" t="s">
        <v>36</v>
      </c>
      <c r="O1656" t="s">
        <v>28</v>
      </c>
      <c r="P1656" t="s">
        <v>29</v>
      </c>
      <c r="Q1656" s="6">
        <v>1.30727748691099</v>
      </c>
      <c r="R1656">
        <v>3.35</v>
      </c>
      <c r="S1656">
        <v>9.99</v>
      </c>
      <c r="T1656">
        <v>41.62</v>
      </c>
      <c r="U1656">
        <v>48.98</v>
      </c>
      <c r="V1656">
        <v>62</v>
      </c>
      <c r="W1656">
        <v>1.49</v>
      </c>
    </row>
    <row r="1657" spans="1:23" x14ac:dyDescent="0.3">
      <c r="A1657">
        <v>1657</v>
      </c>
      <c r="B1657" t="s">
        <v>1700</v>
      </c>
      <c r="C1657" t="s">
        <v>24</v>
      </c>
      <c r="D1657">
        <v>167</v>
      </c>
      <c r="E1657">
        <v>3438</v>
      </c>
      <c r="F1657" s="3">
        <v>235</v>
      </c>
      <c r="G1657">
        <v>10</v>
      </c>
      <c r="H1657">
        <v>7</v>
      </c>
      <c r="I1657" s="5">
        <v>4.1916167664670601E-2</v>
      </c>
      <c r="J1657" s="3">
        <v>251</v>
      </c>
      <c r="K1657" s="1">
        <v>45613</v>
      </c>
      <c r="L1657" t="s">
        <v>25</v>
      </c>
      <c r="M1657" t="s">
        <v>26</v>
      </c>
      <c r="N1657" t="s">
        <v>36</v>
      </c>
      <c r="O1657" t="s">
        <v>28</v>
      </c>
      <c r="P1657" t="s">
        <v>50</v>
      </c>
      <c r="Q1657" s="6">
        <v>1.40838323353293</v>
      </c>
      <c r="R1657">
        <v>4.8600000000000003</v>
      </c>
      <c r="S1657">
        <v>23.52</v>
      </c>
      <c r="T1657">
        <v>33.6</v>
      </c>
      <c r="U1657">
        <v>6.72</v>
      </c>
      <c r="V1657">
        <v>35.86</v>
      </c>
      <c r="W1657">
        <v>1.07</v>
      </c>
    </row>
    <row r="1658" spans="1:23" x14ac:dyDescent="0.3">
      <c r="A1658">
        <v>1658</v>
      </c>
      <c r="B1658" t="s">
        <v>1701</v>
      </c>
      <c r="C1658" t="s">
        <v>35</v>
      </c>
      <c r="D1658">
        <v>191</v>
      </c>
      <c r="E1658">
        <v>3610</v>
      </c>
      <c r="F1658" s="3">
        <v>217</v>
      </c>
      <c r="G1658">
        <v>27</v>
      </c>
      <c r="H1658">
        <v>6</v>
      </c>
      <c r="I1658" s="5">
        <v>3.1413612565444997E-2</v>
      </c>
      <c r="J1658" s="3">
        <v>386</v>
      </c>
      <c r="K1658" s="1">
        <v>45619</v>
      </c>
      <c r="L1658" t="s">
        <v>25</v>
      </c>
      <c r="M1658" t="s">
        <v>39</v>
      </c>
      <c r="N1658" t="s">
        <v>49</v>
      </c>
      <c r="O1658" t="s">
        <v>28</v>
      </c>
      <c r="P1658" t="s">
        <v>29</v>
      </c>
      <c r="Q1658" s="6">
        <v>1.1384293193717201</v>
      </c>
      <c r="R1658">
        <v>5.29</v>
      </c>
      <c r="S1658">
        <v>8.0500000000000007</v>
      </c>
      <c r="T1658">
        <v>36.24</v>
      </c>
      <c r="U1658">
        <v>77.52</v>
      </c>
      <c r="V1658">
        <v>64.33</v>
      </c>
      <c r="W1658">
        <v>1.78</v>
      </c>
    </row>
    <row r="1659" spans="1:23" x14ac:dyDescent="0.3">
      <c r="A1659">
        <v>1659</v>
      </c>
      <c r="B1659" t="s">
        <v>1702</v>
      </c>
      <c r="C1659" t="s">
        <v>35</v>
      </c>
      <c r="D1659">
        <v>90</v>
      </c>
      <c r="E1659">
        <v>3828</v>
      </c>
      <c r="F1659" s="3">
        <v>238</v>
      </c>
      <c r="G1659">
        <v>21</v>
      </c>
      <c r="H1659">
        <v>6</v>
      </c>
      <c r="I1659" s="5">
        <v>6.6666666666666596E-2</v>
      </c>
      <c r="J1659" s="3">
        <v>307</v>
      </c>
      <c r="K1659" s="1">
        <v>45617</v>
      </c>
      <c r="L1659" t="s">
        <v>25</v>
      </c>
      <c r="M1659" t="s">
        <v>26</v>
      </c>
      <c r="N1659" t="s">
        <v>36</v>
      </c>
      <c r="O1659" t="s">
        <v>28</v>
      </c>
      <c r="P1659" t="s">
        <v>54</v>
      </c>
      <c r="Q1659" s="6">
        <v>2.64577777777777</v>
      </c>
      <c r="R1659">
        <v>2.35</v>
      </c>
      <c r="S1659">
        <v>11.34</v>
      </c>
      <c r="T1659">
        <v>39.69</v>
      </c>
      <c r="U1659">
        <v>28.93</v>
      </c>
      <c r="V1659">
        <v>51.17</v>
      </c>
      <c r="W1659">
        <v>1.29</v>
      </c>
    </row>
    <row r="1660" spans="1:23" x14ac:dyDescent="0.3">
      <c r="A1660">
        <v>1660</v>
      </c>
      <c r="B1660" t="s">
        <v>1703</v>
      </c>
      <c r="C1660" t="s">
        <v>38</v>
      </c>
      <c r="D1660">
        <v>115</v>
      </c>
      <c r="E1660">
        <v>5431</v>
      </c>
      <c r="F1660" s="3">
        <v>180</v>
      </c>
      <c r="G1660">
        <v>17</v>
      </c>
      <c r="H1660">
        <v>7</v>
      </c>
      <c r="I1660" s="5">
        <v>6.08695652173913E-2</v>
      </c>
      <c r="J1660" s="3">
        <v>407</v>
      </c>
      <c r="K1660" s="1">
        <v>45611</v>
      </c>
      <c r="L1660" t="s">
        <v>25</v>
      </c>
      <c r="M1660" t="s">
        <v>26</v>
      </c>
      <c r="N1660" t="s">
        <v>32</v>
      </c>
      <c r="O1660" t="s">
        <v>28</v>
      </c>
      <c r="P1660" t="s">
        <v>45</v>
      </c>
      <c r="Q1660" s="6">
        <v>1.5695652173912999</v>
      </c>
      <c r="R1660">
        <v>2.12</v>
      </c>
      <c r="S1660">
        <v>10.62</v>
      </c>
      <c r="T1660">
        <v>25.79</v>
      </c>
      <c r="U1660">
        <v>125.48</v>
      </c>
      <c r="V1660">
        <v>58.14</v>
      </c>
      <c r="W1660">
        <v>2.25</v>
      </c>
    </row>
    <row r="1661" spans="1:23" x14ac:dyDescent="0.3">
      <c r="A1661">
        <v>1661</v>
      </c>
      <c r="B1661" t="s">
        <v>1704</v>
      </c>
      <c r="C1661" t="s">
        <v>24</v>
      </c>
      <c r="D1661">
        <v>188</v>
      </c>
      <c r="E1661">
        <v>4300</v>
      </c>
      <c r="F1661" s="3">
        <v>226</v>
      </c>
      <c r="G1661">
        <v>28</v>
      </c>
      <c r="H1661">
        <v>7</v>
      </c>
      <c r="I1661" s="5">
        <v>3.7234042553191397E-2</v>
      </c>
      <c r="J1661" s="3">
        <v>242</v>
      </c>
      <c r="K1661" s="1">
        <v>45610</v>
      </c>
      <c r="L1661" t="s">
        <v>25</v>
      </c>
      <c r="M1661" t="s">
        <v>31</v>
      </c>
      <c r="N1661" t="s">
        <v>44</v>
      </c>
      <c r="O1661" t="s">
        <v>28</v>
      </c>
      <c r="P1661" t="s">
        <v>54</v>
      </c>
      <c r="Q1661" s="6">
        <v>1.2028191489361699</v>
      </c>
      <c r="R1661">
        <v>4.37</v>
      </c>
      <c r="S1661">
        <v>8.08</v>
      </c>
      <c r="T1661">
        <v>32.299999999999997</v>
      </c>
      <c r="U1661">
        <v>7.02</v>
      </c>
      <c r="V1661">
        <v>34.57</v>
      </c>
      <c r="W1661">
        <v>1.07</v>
      </c>
    </row>
    <row r="1662" spans="1:23" x14ac:dyDescent="0.3">
      <c r="A1662">
        <v>1662</v>
      </c>
      <c r="B1662" t="s">
        <v>1705</v>
      </c>
      <c r="C1662" t="s">
        <v>38</v>
      </c>
      <c r="D1662">
        <v>173</v>
      </c>
      <c r="E1662">
        <v>3829</v>
      </c>
      <c r="F1662" s="3">
        <v>221</v>
      </c>
      <c r="G1662">
        <v>29</v>
      </c>
      <c r="H1662">
        <v>4</v>
      </c>
      <c r="I1662" s="5">
        <v>2.3121387283236899E-2</v>
      </c>
      <c r="J1662" s="3">
        <v>289</v>
      </c>
      <c r="K1662" s="1">
        <v>45621</v>
      </c>
      <c r="L1662" t="s">
        <v>25</v>
      </c>
      <c r="M1662" t="s">
        <v>26</v>
      </c>
      <c r="N1662" t="s">
        <v>27</v>
      </c>
      <c r="O1662" t="s">
        <v>28</v>
      </c>
      <c r="P1662" t="s">
        <v>59</v>
      </c>
      <c r="Q1662" s="6">
        <v>1.2790751445086701</v>
      </c>
      <c r="R1662">
        <v>4.5199999999999996</v>
      </c>
      <c r="S1662">
        <v>7.63</v>
      </c>
      <c r="T1662">
        <v>55.32</v>
      </c>
      <c r="U1662">
        <v>30.6</v>
      </c>
      <c r="V1662">
        <v>72.25</v>
      </c>
      <c r="W1662">
        <v>1.31</v>
      </c>
    </row>
    <row r="1663" spans="1:23" x14ac:dyDescent="0.3">
      <c r="A1663">
        <v>1663</v>
      </c>
      <c r="B1663" t="s">
        <v>1706</v>
      </c>
      <c r="C1663" t="s">
        <v>43</v>
      </c>
      <c r="D1663">
        <v>107</v>
      </c>
      <c r="E1663">
        <v>4165</v>
      </c>
      <c r="F1663" s="3">
        <v>192</v>
      </c>
      <c r="G1663">
        <v>21</v>
      </c>
      <c r="H1663">
        <v>10</v>
      </c>
      <c r="I1663" s="5">
        <v>9.34579439252336E-2</v>
      </c>
      <c r="J1663" s="3">
        <v>358</v>
      </c>
      <c r="K1663" s="1">
        <v>45625</v>
      </c>
      <c r="L1663" t="s">
        <v>25</v>
      </c>
      <c r="M1663" t="s">
        <v>31</v>
      </c>
      <c r="N1663" t="s">
        <v>27</v>
      </c>
      <c r="O1663" t="s">
        <v>28</v>
      </c>
      <c r="P1663" t="s">
        <v>45</v>
      </c>
      <c r="Q1663" s="6">
        <v>1.79607476635514</v>
      </c>
      <c r="R1663">
        <v>2.57</v>
      </c>
      <c r="S1663">
        <v>9.15</v>
      </c>
      <c r="T1663">
        <v>19.22</v>
      </c>
      <c r="U1663">
        <v>86.28</v>
      </c>
      <c r="V1663">
        <v>35.799999999999997</v>
      </c>
      <c r="W1663">
        <v>1.86</v>
      </c>
    </row>
    <row r="1664" spans="1:23" x14ac:dyDescent="0.3">
      <c r="A1664">
        <v>1664</v>
      </c>
      <c r="B1664" t="s">
        <v>1707</v>
      </c>
      <c r="C1664" t="s">
        <v>43</v>
      </c>
      <c r="D1664">
        <v>171</v>
      </c>
      <c r="E1664">
        <v>5953</v>
      </c>
      <c r="F1664" s="3">
        <v>230</v>
      </c>
      <c r="G1664">
        <v>14</v>
      </c>
      <c r="H1664">
        <v>7</v>
      </c>
      <c r="I1664" s="5">
        <v>4.0935672514619798E-2</v>
      </c>
      <c r="J1664" s="3">
        <v>293</v>
      </c>
      <c r="K1664" s="1">
        <v>45613</v>
      </c>
      <c r="L1664" t="s">
        <v>25</v>
      </c>
      <c r="M1664" t="s">
        <v>39</v>
      </c>
      <c r="N1664" t="s">
        <v>49</v>
      </c>
      <c r="O1664" t="s">
        <v>28</v>
      </c>
      <c r="P1664" t="s">
        <v>50</v>
      </c>
      <c r="Q1664" s="6">
        <v>1.3471929824561399</v>
      </c>
      <c r="R1664">
        <v>2.87</v>
      </c>
      <c r="S1664">
        <v>16.46</v>
      </c>
      <c r="T1664">
        <v>32.909999999999997</v>
      </c>
      <c r="U1664">
        <v>27.19</v>
      </c>
      <c r="V1664">
        <v>41.86</v>
      </c>
      <c r="W1664">
        <v>1.27</v>
      </c>
    </row>
    <row r="1665" spans="1:23" x14ac:dyDescent="0.3">
      <c r="A1665">
        <v>1665</v>
      </c>
      <c r="B1665" t="s">
        <v>1708</v>
      </c>
      <c r="C1665" t="s">
        <v>38</v>
      </c>
      <c r="D1665">
        <v>87</v>
      </c>
      <c r="E1665">
        <v>4836</v>
      </c>
      <c r="F1665" s="3">
        <v>242</v>
      </c>
      <c r="G1665">
        <v>12</v>
      </c>
      <c r="H1665">
        <v>7</v>
      </c>
      <c r="I1665" s="5">
        <v>8.04597701149425E-2</v>
      </c>
      <c r="J1665" s="3">
        <v>340</v>
      </c>
      <c r="K1665" s="1">
        <v>45611</v>
      </c>
      <c r="L1665" t="s">
        <v>25</v>
      </c>
      <c r="M1665" t="s">
        <v>26</v>
      </c>
      <c r="N1665" t="s">
        <v>27</v>
      </c>
      <c r="O1665" t="s">
        <v>28</v>
      </c>
      <c r="P1665" t="s">
        <v>45</v>
      </c>
      <c r="Q1665" s="6">
        <v>2.7816091954022899</v>
      </c>
      <c r="R1665">
        <v>1.8</v>
      </c>
      <c r="S1665">
        <v>20.170000000000002</v>
      </c>
      <c r="T1665">
        <v>34.57</v>
      </c>
      <c r="U1665">
        <v>40.5</v>
      </c>
      <c r="V1665">
        <v>48.57</v>
      </c>
      <c r="W1665">
        <v>1.4</v>
      </c>
    </row>
    <row r="1666" spans="1:23" x14ac:dyDescent="0.3">
      <c r="A1666">
        <v>1666</v>
      </c>
      <c r="B1666" t="s">
        <v>1709</v>
      </c>
      <c r="C1666" t="s">
        <v>38</v>
      </c>
      <c r="D1666">
        <v>199</v>
      </c>
      <c r="E1666">
        <v>3717</v>
      </c>
      <c r="F1666" s="3">
        <v>227</v>
      </c>
      <c r="G1666">
        <v>27</v>
      </c>
      <c r="H1666">
        <v>3</v>
      </c>
      <c r="I1666" s="5">
        <v>1.5075376884422099E-2</v>
      </c>
      <c r="J1666" s="3">
        <v>296</v>
      </c>
      <c r="K1666" s="1">
        <v>45621</v>
      </c>
      <c r="L1666" t="s">
        <v>25</v>
      </c>
      <c r="M1666" t="s">
        <v>31</v>
      </c>
      <c r="N1666" t="s">
        <v>40</v>
      </c>
      <c r="O1666" t="s">
        <v>28</v>
      </c>
      <c r="P1666" t="s">
        <v>59</v>
      </c>
      <c r="Q1666" s="6">
        <v>1.1398994974874299</v>
      </c>
      <c r="R1666">
        <v>5.35</v>
      </c>
      <c r="S1666">
        <v>8.4</v>
      </c>
      <c r="T1666">
        <v>75.61</v>
      </c>
      <c r="U1666">
        <v>30.49</v>
      </c>
      <c r="V1666">
        <v>98.67</v>
      </c>
      <c r="W1666">
        <v>1.3</v>
      </c>
    </row>
    <row r="1667" spans="1:23" x14ac:dyDescent="0.3">
      <c r="A1667">
        <v>1667</v>
      </c>
      <c r="B1667" t="s">
        <v>1710</v>
      </c>
      <c r="C1667" t="s">
        <v>24</v>
      </c>
      <c r="D1667">
        <v>195</v>
      </c>
      <c r="E1667">
        <v>5190</v>
      </c>
      <c r="F1667" s="3">
        <v>232</v>
      </c>
      <c r="G1667">
        <v>28</v>
      </c>
      <c r="H1667">
        <v>3</v>
      </c>
      <c r="I1667" s="5">
        <v>1.53846153846153E-2</v>
      </c>
      <c r="J1667" s="3">
        <v>292</v>
      </c>
      <c r="K1667" s="1">
        <v>45608</v>
      </c>
      <c r="L1667" t="s">
        <v>25</v>
      </c>
      <c r="M1667" t="s">
        <v>39</v>
      </c>
      <c r="N1667" t="s">
        <v>32</v>
      </c>
      <c r="O1667" t="s">
        <v>28</v>
      </c>
      <c r="P1667" t="s">
        <v>41</v>
      </c>
      <c r="Q1667" s="6">
        <v>1.1877948717948701</v>
      </c>
      <c r="R1667">
        <v>3.76</v>
      </c>
      <c r="S1667">
        <v>8.27</v>
      </c>
      <c r="T1667">
        <v>77.209999999999994</v>
      </c>
      <c r="U1667">
        <v>26.07</v>
      </c>
      <c r="V1667">
        <v>97.33</v>
      </c>
      <c r="W1667">
        <v>1.26</v>
      </c>
    </row>
    <row r="1668" spans="1:23" x14ac:dyDescent="0.3">
      <c r="A1668">
        <v>1668</v>
      </c>
      <c r="B1668" t="s">
        <v>1711</v>
      </c>
      <c r="C1668" t="s">
        <v>24</v>
      </c>
      <c r="D1668">
        <v>97</v>
      </c>
      <c r="E1668">
        <v>3921</v>
      </c>
      <c r="F1668" s="3">
        <v>233</v>
      </c>
      <c r="G1668">
        <v>11</v>
      </c>
      <c r="H1668">
        <v>9</v>
      </c>
      <c r="I1668" s="5">
        <v>9.2783505154639095E-2</v>
      </c>
      <c r="J1668" s="3">
        <v>385</v>
      </c>
      <c r="K1668" s="1">
        <v>45612</v>
      </c>
      <c r="L1668" t="s">
        <v>25</v>
      </c>
      <c r="M1668" t="s">
        <v>39</v>
      </c>
      <c r="N1668" t="s">
        <v>49</v>
      </c>
      <c r="O1668" t="s">
        <v>28</v>
      </c>
      <c r="P1668" t="s">
        <v>29</v>
      </c>
      <c r="Q1668" s="6">
        <v>2.4003092783505098</v>
      </c>
      <c r="R1668">
        <v>2.4700000000000002</v>
      </c>
      <c r="S1668">
        <v>21.17</v>
      </c>
      <c r="T1668">
        <v>25.87</v>
      </c>
      <c r="U1668">
        <v>65.36</v>
      </c>
      <c r="V1668">
        <v>42.78</v>
      </c>
      <c r="W1668">
        <v>1.65</v>
      </c>
    </row>
    <row r="1669" spans="1:23" x14ac:dyDescent="0.3">
      <c r="A1669">
        <v>1669</v>
      </c>
      <c r="B1669" t="s">
        <v>1712</v>
      </c>
      <c r="C1669" t="s">
        <v>38</v>
      </c>
      <c r="D1669">
        <v>184</v>
      </c>
      <c r="E1669">
        <v>3824</v>
      </c>
      <c r="F1669" s="3">
        <v>201</v>
      </c>
      <c r="G1669">
        <v>26</v>
      </c>
      <c r="H1669">
        <v>6</v>
      </c>
      <c r="I1669" s="5">
        <v>3.2608695652173898E-2</v>
      </c>
      <c r="J1669" s="3">
        <v>209</v>
      </c>
      <c r="K1669" s="1">
        <v>45622</v>
      </c>
      <c r="L1669" t="s">
        <v>25</v>
      </c>
      <c r="M1669" t="s">
        <v>31</v>
      </c>
      <c r="N1669" t="s">
        <v>36</v>
      </c>
      <c r="O1669" t="s">
        <v>28</v>
      </c>
      <c r="P1669" t="s">
        <v>41</v>
      </c>
      <c r="Q1669" s="6">
        <v>1.09233695652173</v>
      </c>
      <c r="R1669">
        <v>4.8099999999999996</v>
      </c>
      <c r="S1669">
        <v>7.73</v>
      </c>
      <c r="T1669">
        <v>33.5</v>
      </c>
      <c r="U1669">
        <v>3.99</v>
      </c>
      <c r="V1669">
        <v>34.83</v>
      </c>
      <c r="W1669">
        <v>1.04</v>
      </c>
    </row>
    <row r="1670" spans="1:23" x14ac:dyDescent="0.3">
      <c r="A1670">
        <v>1670</v>
      </c>
      <c r="B1670" t="s">
        <v>1713</v>
      </c>
      <c r="C1670" t="s">
        <v>35</v>
      </c>
      <c r="D1670">
        <v>168</v>
      </c>
      <c r="E1670">
        <v>5414</v>
      </c>
      <c r="F1670" s="3">
        <v>222</v>
      </c>
      <c r="G1670">
        <v>19</v>
      </c>
      <c r="H1670">
        <v>8</v>
      </c>
      <c r="I1670" s="5">
        <v>4.7619047619047603E-2</v>
      </c>
      <c r="J1670" s="3">
        <v>350</v>
      </c>
      <c r="K1670" s="1">
        <v>45625</v>
      </c>
      <c r="L1670" t="s">
        <v>25</v>
      </c>
      <c r="M1670" t="s">
        <v>31</v>
      </c>
      <c r="N1670" t="s">
        <v>40</v>
      </c>
      <c r="O1670" t="s">
        <v>28</v>
      </c>
      <c r="P1670" t="s">
        <v>45</v>
      </c>
      <c r="Q1670" s="6">
        <v>1.3201190476190401</v>
      </c>
      <c r="R1670">
        <v>3.1</v>
      </c>
      <c r="S1670">
        <v>11.67</v>
      </c>
      <c r="T1670">
        <v>27.72</v>
      </c>
      <c r="U1670">
        <v>57.81</v>
      </c>
      <c r="V1670">
        <v>43.75</v>
      </c>
      <c r="W1670">
        <v>1.58</v>
      </c>
    </row>
    <row r="1671" spans="1:23" x14ac:dyDescent="0.3">
      <c r="A1671">
        <v>1671</v>
      </c>
      <c r="B1671" t="s">
        <v>1714</v>
      </c>
      <c r="C1671" t="s">
        <v>38</v>
      </c>
      <c r="D1671">
        <v>128</v>
      </c>
      <c r="E1671">
        <v>3984</v>
      </c>
      <c r="F1671" s="3">
        <v>223</v>
      </c>
      <c r="G1671">
        <v>26</v>
      </c>
      <c r="H1671">
        <v>4</v>
      </c>
      <c r="I1671" s="5">
        <v>3.125E-2</v>
      </c>
      <c r="J1671" s="3">
        <v>364</v>
      </c>
      <c r="K1671" s="1">
        <v>45610</v>
      </c>
      <c r="L1671" t="s">
        <v>25</v>
      </c>
      <c r="M1671" t="s">
        <v>26</v>
      </c>
      <c r="N1671" t="s">
        <v>36</v>
      </c>
      <c r="O1671" t="s">
        <v>28</v>
      </c>
      <c r="P1671" t="s">
        <v>54</v>
      </c>
      <c r="Q1671" s="6">
        <v>1.74046875</v>
      </c>
      <c r="R1671">
        <v>3.21</v>
      </c>
      <c r="S1671">
        <v>8.57</v>
      </c>
      <c r="T1671">
        <v>55.7</v>
      </c>
      <c r="U1671">
        <v>63.39</v>
      </c>
      <c r="V1671">
        <v>91</v>
      </c>
      <c r="W1671">
        <v>1.63</v>
      </c>
    </row>
    <row r="1672" spans="1:23" x14ac:dyDescent="0.3">
      <c r="A1672">
        <v>1672</v>
      </c>
      <c r="B1672" t="s">
        <v>1715</v>
      </c>
      <c r="C1672" t="s">
        <v>24</v>
      </c>
      <c r="D1672">
        <v>117</v>
      </c>
      <c r="E1672">
        <v>4716</v>
      </c>
      <c r="F1672" s="3">
        <v>214</v>
      </c>
      <c r="G1672">
        <v>26</v>
      </c>
      <c r="H1672">
        <v>4</v>
      </c>
      <c r="I1672" s="5">
        <v>3.4188034188034101E-2</v>
      </c>
      <c r="J1672" s="3">
        <v>186.85714285714201</v>
      </c>
      <c r="K1672" s="1">
        <v>45623</v>
      </c>
      <c r="L1672" t="s">
        <v>25</v>
      </c>
      <c r="M1672" t="s">
        <v>31</v>
      </c>
      <c r="N1672" t="s">
        <v>44</v>
      </c>
      <c r="O1672" t="s">
        <v>28</v>
      </c>
      <c r="P1672" t="s">
        <v>33</v>
      </c>
      <c r="Q1672" s="6">
        <v>1.8278632478632399</v>
      </c>
      <c r="R1672">
        <v>2.48</v>
      </c>
      <c r="S1672">
        <v>8.23</v>
      </c>
      <c r="T1672">
        <v>53.46</v>
      </c>
      <c r="U1672">
        <v>-12.63</v>
      </c>
      <c r="V1672">
        <v>46.71</v>
      </c>
      <c r="W1672">
        <v>0.87</v>
      </c>
    </row>
    <row r="1673" spans="1:23" x14ac:dyDescent="0.3">
      <c r="A1673">
        <v>1673</v>
      </c>
      <c r="B1673" t="s">
        <v>1716</v>
      </c>
      <c r="C1673" t="s">
        <v>35</v>
      </c>
      <c r="D1673">
        <v>142</v>
      </c>
      <c r="E1673">
        <v>5265</v>
      </c>
      <c r="F1673" s="3">
        <v>183</v>
      </c>
      <c r="G1673">
        <v>19</v>
      </c>
      <c r="H1673">
        <v>9</v>
      </c>
      <c r="I1673" s="5">
        <v>6.3380281690140802E-2</v>
      </c>
      <c r="J1673" s="3">
        <v>239</v>
      </c>
      <c r="K1673" s="1">
        <v>45603</v>
      </c>
      <c r="L1673" t="s">
        <v>25</v>
      </c>
      <c r="M1673" t="s">
        <v>26</v>
      </c>
      <c r="N1673" t="s">
        <v>44</v>
      </c>
      <c r="O1673" t="s">
        <v>28</v>
      </c>
      <c r="P1673" t="s">
        <v>54</v>
      </c>
      <c r="Q1673" s="6">
        <v>1.28978873239436</v>
      </c>
      <c r="R1673">
        <v>2.7</v>
      </c>
      <c r="S1673">
        <v>9.64</v>
      </c>
      <c r="T1673">
        <v>20.350000000000001</v>
      </c>
      <c r="U1673">
        <v>30.49</v>
      </c>
      <c r="V1673">
        <v>26.56</v>
      </c>
      <c r="W1673">
        <v>1.3</v>
      </c>
    </row>
    <row r="1674" spans="1:23" x14ac:dyDescent="0.3">
      <c r="A1674">
        <v>1674</v>
      </c>
      <c r="B1674" t="s">
        <v>1717</v>
      </c>
      <c r="C1674" t="s">
        <v>35</v>
      </c>
      <c r="D1674">
        <v>194</v>
      </c>
      <c r="E1674">
        <v>5273</v>
      </c>
      <c r="F1674" s="3">
        <v>202</v>
      </c>
      <c r="G1674">
        <v>15</v>
      </c>
      <c r="H1674">
        <v>10</v>
      </c>
      <c r="I1674" s="5">
        <v>5.1546391752577303E-2</v>
      </c>
      <c r="J1674" s="3">
        <v>208</v>
      </c>
      <c r="K1674" s="1">
        <v>45602</v>
      </c>
      <c r="L1674" t="s">
        <v>25</v>
      </c>
      <c r="M1674" t="s">
        <v>31</v>
      </c>
      <c r="N1674" t="s">
        <v>36</v>
      </c>
      <c r="O1674" t="s">
        <v>28</v>
      </c>
      <c r="P1674" t="s">
        <v>33</v>
      </c>
      <c r="Q1674" s="6">
        <v>1.0391237113402001</v>
      </c>
      <c r="R1674">
        <v>3.68</v>
      </c>
      <c r="S1674">
        <v>13.44</v>
      </c>
      <c r="T1674">
        <v>20.16</v>
      </c>
      <c r="U1674">
        <v>3.18</v>
      </c>
      <c r="V1674">
        <v>20.8</v>
      </c>
      <c r="W1674">
        <v>1.03</v>
      </c>
    </row>
    <row r="1675" spans="1:23" x14ac:dyDescent="0.3">
      <c r="A1675">
        <v>1675</v>
      </c>
      <c r="B1675" t="s">
        <v>1718</v>
      </c>
      <c r="C1675" t="s">
        <v>24</v>
      </c>
      <c r="D1675">
        <v>141</v>
      </c>
      <c r="E1675">
        <v>5656</v>
      </c>
      <c r="F1675" s="3">
        <v>194</v>
      </c>
      <c r="G1675">
        <v>20</v>
      </c>
      <c r="H1675">
        <v>6</v>
      </c>
      <c r="I1675" s="5">
        <v>4.2553191489361701E-2</v>
      </c>
      <c r="J1675" s="3">
        <v>399</v>
      </c>
      <c r="K1675" s="1">
        <v>45622</v>
      </c>
      <c r="L1675" t="s">
        <v>25</v>
      </c>
      <c r="M1675" t="s">
        <v>26</v>
      </c>
      <c r="N1675" t="s">
        <v>32</v>
      </c>
      <c r="O1675" t="s">
        <v>28</v>
      </c>
      <c r="P1675" t="s">
        <v>41</v>
      </c>
      <c r="Q1675" s="6">
        <v>1.3729078014184299</v>
      </c>
      <c r="R1675">
        <v>2.4900000000000002</v>
      </c>
      <c r="S1675">
        <v>9.68</v>
      </c>
      <c r="T1675">
        <v>32.26</v>
      </c>
      <c r="U1675">
        <v>106.12</v>
      </c>
      <c r="V1675">
        <v>66.5</v>
      </c>
      <c r="W1675">
        <v>2.06</v>
      </c>
    </row>
    <row r="1676" spans="1:23" x14ac:dyDescent="0.3">
      <c r="A1676">
        <v>1676</v>
      </c>
      <c r="B1676" t="s">
        <v>1719</v>
      </c>
      <c r="C1676" t="s">
        <v>24</v>
      </c>
      <c r="D1676">
        <v>137</v>
      </c>
      <c r="E1676">
        <v>3149</v>
      </c>
      <c r="F1676" s="3">
        <v>195</v>
      </c>
      <c r="G1676">
        <v>17</v>
      </c>
      <c r="H1676">
        <v>6</v>
      </c>
      <c r="I1676" s="5">
        <v>4.3795620437956199E-2</v>
      </c>
      <c r="J1676" s="3">
        <v>351</v>
      </c>
      <c r="K1676" s="1">
        <v>45604</v>
      </c>
      <c r="L1676" t="s">
        <v>25</v>
      </c>
      <c r="M1676" t="s">
        <v>39</v>
      </c>
      <c r="N1676" t="s">
        <v>49</v>
      </c>
      <c r="O1676" t="s">
        <v>28</v>
      </c>
      <c r="P1676" t="s">
        <v>45</v>
      </c>
      <c r="Q1676" s="6">
        <v>1.42379562043795</v>
      </c>
      <c r="R1676">
        <v>4.3499999999999996</v>
      </c>
      <c r="S1676">
        <v>11.47</v>
      </c>
      <c r="T1676">
        <v>32.51</v>
      </c>
      <c r="U1676">
        <v>79.94</v>
      </c>
      <c r="V1676">
        <v>58.5</v>
      </c>
      <c r="W1676">
        <v>1.8</v>
      </c>
    </row>
    <row r="1677" spans="1:23" x14ac:dyDescent="0.3">
      <c r="A1677">
        <v>1677</v>
      </c>
      <c r="B1677" t="s">
        <v>1720</v>
      </c>
      <c r="C1677" t="s">
        <v>35</v>
      </c>
      <c r="D1677">
        <v>162</v>
      </c>
      <c r="E1677">
        <v>5799</v>
      </c>
      <c r="F1677" s="3">
        <v>196</v>
      </c>
      <c r="G1677">
        <v>27</v>
      </c>
      <c r="H1677">
        <v>8</v>
      </c>
      <c r="I1677" s="5">
        <v>4.9382716049382699E-2</v>
      </c>
      <c r="J1677" s="3">
        <v>373.71428571428498</v>
      </c>
      <c r="K1677" s="1">
        <v>45609</v>
      </c>
      <c r="L1677" t="s">
        <v>25</v>
      </c>
      <c r="M1677" t="s">
        <v>39</v>
      </c>
      <c r="N1677" t="s">
        <v>36</v>
      </c>
      <c r="O1677" t="s">
        <v>28</v>
      </c>
      <c r="P1677" t="s">
        <v>33</v>
      </c>
      <c r="Q1677" s="6">
        <v>1.21228395061728</v>
      </c>
      <c r="R1677">
        <v>2.79</v>
      </c>
      <c r="S1677">
        <v>7.27</v>
      </c>
      <c r="T1677">
        <v>24.55</v>
      </c>
      <c r="U1677">
        <v>90.29</v>
      </c>
      <c r="V1677">
        <v>46.71</v>
      </c>
      <c r="W1677">
        <v>1.9</v>
      </c>
    </row>
    <row r="1678" spans="1:23" x14ac:dyDescent="0.3">
      <c r="A1678">
        <v>1678</v>
      </c>
      <c r="B1678" t="s">
        <v>1721</v>
      </c>
      <c r="C1678" t="s">
        <v>24</v>
      </c>
      <c r="D1678">
        <v>151</v>
      </c>
      <c r="E1678">
        <v>3487</v>
      </c>
      <c r="F1678" s="3">
        <v>187</v>
      </c>
      <c r="G1678">
        <v>30</v>
      </c>
      <c r="H1678">
        <v>6</v>
      </c>
      <c r="I1678" s="5">
        <v>3.9735099337748297E-2</v>
      </c>
      <c r="J1678" s="3">
        <v>312</v>
      </c>
      <c r="K1678" s="1">
        <v>45609</v>
      </c>
      <c r="L1678" t="s">
        <v>25</v>
      </c>
      <c r="M1678" t="s">
        <v>31</v>
      </c>
      <c r="N1678" t="s">
        <v>44</v>
      </c>
      <c r="O1678" t="s">
        <v>28</v>
      </c>
      <c r="P1678" t="s">
        <v>33</v>
      </c>
      <c r="Q1678" s="6">
        <v>1.23841059602649</v>
      </c>
      <c r="R1678">
        <v>4.33</v>
      </c>
      <c r="S1678">
        <v>6.23</v>
      </c>
      <c r="T1678">
        <v>31.17</v>
      </c>
      <c r="U1678">
        <v>66.84</v>
      </c>
      <c r="V1678">
        <v>52</v>
      </c>
      <c r="W1678">
        <v>1.67</v>
      </c>
    </row>
    <row r="1679" spans="1:23" x14ac:dyDescent="0.3">
      <c r="A1679">
        <v>1679</v>
      </c>
      <c r="B1679" t="s">
        <v>1722</v>
      </c>
      <c r="C1679" t="s">
        <v>35</v>
      </c>
      <c r="D1679">
        <v>87</v>
      </c>
      <c r="E1679">
        <v>4140</v>
      </c>
      <c r="F1679" s="3">
        <v>210</v>
      </c>
      <c r="G1679">
        <v>17</v>
      </c>
      <c r="H1679">
        <v>7</v>
      </c>
      <c r="I1679" s="5">
        <v>8.04597701149425E-2</v>
      </c>
      <c r="J1679" s="3">
        <v>235</v>
      </c>
      <c r="K1679" s="1">
        <v>45619</v>
      </c>
      <c r="L1679" t="s">
        <v>25</v>
      </c>
      <c r="M1679" t="s">
        <v>39</v>
      </c>
      <c r="N1679" t="s">
        <v>44</v>
      </c>
      <c r="O1679" t="s">
        <v>28</v>
      </c>
      <c r="P1679" t="s">
        <v>29</v>
      </c>
      <c r="Q1679" s="6">
        <v>2.4117241379310301</v>
      </c>
      <c r="R1679">
        <v>2.1</v>
      </c>
      <c r="S1679">
        <v>12.34</v>
      </c>
      <c r="T1679">
        <v>29.97</v>
      </c>
      <c r="U1679">
        <v>12</v>
      </c>
      <c r="V1679">
        <v>33.57</v>
      </c>
      <c r="W1679">
        <v>1.1200000000000001</v>
      </c>
    </row>
    <row r="1680" spans="1:23" x14ac:dyDescent="0.3">
      <c r="A1680">
        <v>1680</v>
      </c>
      <c r="B1680" t="s">
        <v>1723</v>
      </c>
      <c r="C1680" t="s">
        <v>43</v>
      </c>
      <c r="D1680">
        <v>183</v>
      </c>
      <c r="E1680">
        <v>5659</v>
      </c>
      <c r="F1680" s="3">
        <v>192</v>
      </c>
      <c r="G1680">
        <v>12</v>
      </c>
      <c r="H1680">
        <v>7</v>
      </c>
      <c r="I1680" s="5">
        <v>3.8251366120218497E-2</v>
      </c>
      <c r="J1680" s="3">
        <v>373</v>
      </c>
      <c r="K1680" s="1">
        <v>45606</v>
      </c>
      <c r="L1680" t="s">
        <v>25</v>
      </c>
      <c r="M1680" t="s">
        <v>31</v>
      </c>
      <c r="N1680" t="s">
        <v>49</v>
      </c>
      <c r="O1680" t="s">
        <v>28</v>
      </c>
      <c r="P1680" t="s">
        <v>50</v>
      </c>
      <c r="Q1680" s="6">
        <v>1.04852459016393</v>
      </c>
      <c r="R1680">
        <v>3.23</v>
      </c>
      <c r="S1680">
        <v>15.99</v>
      </c>
      <c r="T1680">
        <v>27.41</v>
      </c>
      <c r="U1680">
        <v>94.39</v>
      </c>
      <c r="V1680">
        <v>53.29</v>
      </c>
      <c r="W1680">
        <v>1.94</v>
      </c>
    </row>
    <row r="1681" spans="1:23" x14ac:dyDescent="0.3">
      <c r="A1681">
        <v>1681</v>
      </c>
      <c r="B1681" t="s">
        <v>1724</v>
      </c>
      <c r="C1681" t="s">
        <v>24</v>
      </c>
      <c r="D1681">
        <v>120</v>
      </c>
      <c r="E1681">
        <v>3629</v>
      </c>
      <c r="F1681" s="3">
        <v>197</v>
      </c>
      <c r="G1681">
        <v>12</v>
      </c>
      <c r="H1681">
        <v>6</v>
      </c>
      <c r="I1681" s="5">
        <v>0.05</v>
      </c>
      <c r="J1681" s="3">
        <v>311</v>
      </c>
      <c r="K1681" s="1">
        <v>45619</v>
      </c>
      <c r="L1681" t="s">
        <v>25</v>
      </c>
      <c r="M1681" t="s">
        <v>26</v>
      </c>
      <c r="N1681" t="s">
        <v>40</v>
      </c>
      <c r="O1681" t="s">
        <v>28</v>
      </c>
      <c r="P1681" t="s">
        <v>29</v>
      </c>
      <c r="Q1681" s="6">
        <v>1.6452500000000001</v>
      </c>
      <c r="R1681">
        <v>3.31</v>
      </c>
      <c r="S1681">
        <v>16.45</v>
      </c>
      <c r="T1681">
        <v>32.9</v>
      </c>
      <c r="U1681">
        <v>57.52</v>
      </c>
      <c r="V1681">
        <v>51.83</v>
      </c>
      <c r="W1681">
        <v>1.58</v>
      </c>
    </row>
    <row r="1682" spans="1:23" x14ac:dyDescent="0.3">
      <c r="A1682">
        <v>1682</v>
      </c>
      <c r="B1682" t="s">
        <v>1725</v>
      </c>
      <c r="C1682" t="s">
        <v>38</v>
      </c>
      <c r="D1682">
        <v>187</v>
      </c>
      <c r="E1682">
        <v>5531</v>
      </c>
      <c r="F1682" s="3">
        <v>220</v>
      </c>
      <c r="G1682">
        <v>10</v>
      </c>
      <c r="H1682">
        <v>5</v>
      </c>
      <c r="I1682" s="5">
        <v>2.6737967914438499E-2</v>
      </c>
      <c r="J1682" s="3">
        <v>369</v>
      </c>
      <c r="K1682" s="1">
        <v>45609</v>
      </c>
      <c r="L1682" t="s">
        <v>25</v>
      </c>
      <c r="M1682" t="s">
        <v>39</v>
      </c>
      <c r="N1682" t="s">
        <v>49</v>
      </c>
      <c r="O1682" t="s">
        <v>28</v>
      </c>
      <c r="P1682" t="s">
        <v>33</v>
      </c>
      <c r="Q1682" s="6">
        <v>1.17582887700534</v>
      </c>
      <c r="R1682">
        <v>3.38</v>
      </c>
      <c r="S1682">
        <v>21.99</v>
      </c>
      <c r="T1682">
        <v>43.98</v>
      </c>
      <c r="U1682">
        <v>67.819999999999993</v>
      </c>
      <c r="V1682">
        <v>73.8</v>
      </c>
      <c r="W1682">
        <v>1.68</v>
      </c>
    </row>
    <row r="1683" spans="1:23" x14ac:dyDescent="0.3">
      <c r="A1683">
        <v>1683</v>
      </c>
      <c r="B1683" t="s">
        <v>1726</v>
      </c>
      <c r="C1683" t="s">
        <v>43</v>
      </c>
      <c r="D1683">
        <v>121</v>
      </c>
      <c r="E1683">
        <v>5275</v>
      </c>
      <c r="F1683" s="3">
        <v>235</v>
      </c>
      <c r="G1683">
        <v>23</v>
      </c>
      <c r="H1683">
        <v>4</v>
      </c>
      <c r="I1683" s="5">
        <v>3.3057851239669402E-2</v>
      </c>
      <c r="J1683" s="3">
        <v>360</v>
      </c>
      <c r="K1683" s="1">
        <v>45601</v>
      </c>
      <c r="L1683" t="s">
        <v>25</v>
      </c>
      <c r="M1683" t="s">
        <v>26</v>
      </c>
      <c r="N1683" t="s">
        <v>36</v>
      </c>
      <c r="O1683" t="s">
        <v>28</v>
      </c>
      <c r="P1683" t="s">
        <v>41</v>
      </c>
      <c r="Q1683" s="6">
        <v>1.94115702479338</v>
      </c>
      <c r="R1683">
        <v>2.29</v>
      </c>
      <c r="S1683">
        <v>10.210000000000001</v>
      </c>
      <c r="T1683">
        <v>58.72</v>
      </c>
      <c r="U1683">
        <v>53.27</v>
      </c>
      <c r="V1683">
        <v>90</v>
      </c>
      <c r="W1683">
        <v>1.53</v>
      </c>
    </row>
    <row r="1684" spans="1:23" x14ac:dyDescent="0.3">
      <c r="A1684">
        <v>1684</v>
      </c>
      <c r="B1684" t="s">
        <v>1727</v>
      </c>
      <c r="C1684" t="s">
        <v>43</v>
      </c>
      <c r="D1684">
        <v>173</v>
      </c>
      <c r="E1684">
        <v>3190</v>
      </c>
      <c r="F1684" s="3">
        <v>226</v>
      </c>
      <c r="G1684">
        <v>13</v>
      </c>
      <c r="H1684">
        <v>8</v>
      </c>
      <c r="I1684" s="5">
        <v>4.6242774566473903E-2</v>
      </c>
      <c r="J1684" s="3">
        <v>384</v>
      </c>
      <c r="K1684" s="1">
        <v>45623</v>
      </c>
      <c r="L1684" t="s">
        <v>25</v>
      </c>
      <c r="M1684" t="s">
        <v>31</v>
      </c>
      <c r="N1684" t="s">
        <v>44</v>
      </c>
      <c r="O1684" t="s">
        <v>28</v>
      </c>
      <c r="P1684" t="s">
        <v>33</v>
      </c>
      <c r="Q1684" s="6">
        <v>1.3082080924855399</v>
      </c>
      <c r="R1684">
        <v>5.42</v>
      </c>
      <c r="S1684">
        <v>17.41</v>
      </c>
      <c r="T1684">
        <v>28.29</v>
      </c>
      <c r="U1684">
        <v>69.67</v>
      </c>
      <c r="V1684">
        <v>48</v>
      </c>
      <c r="W1684">
        <v>1.7</v>
      </c>
    </row>
    <row r="1685" spans="1:23" x14ac:dyDescent="0.3">
      <c r="A1685">
        <v>1685</v>
      </c>
      <c r="B1685" t="s">
        <v>1728</v>
      </c>
      <c r="C1685" t="s">
        <v>24</v>
      </c>
      <c r="D1685">
        <v>165</v>
      </c>
      <c r="E1685">
        <v>5406</v>
      </c>
      <c r="F1685" s="3">
        <v>237</v>
      </c>
      <c r="G1685">
        <v>23</v>
      </c>
      <c r="H1685">
        <v>10</v>
      </c>
      <c r="I1685" s="5">
        <v>6.0606060606060601E-2</v>
      </c>
      <c r="J1685" s="3">
        <v>204</v>
      </c>
      <c r="K1685" s="1">
        <v>45621</v>
      </c>
      <c r="L1685" t="s">
        <v>25</v>
      </c>
      <c r="M1685" t="s">
        <v>39</v>
      </c>
      <c r="N1685" t="s">
        <v>32</v>
      </c>
      <c r="O1685" t="s">
        <v>28</v>
      </c>
      <c r="P1685" t="s">
        <v>59</v>
      </c>
      <c r="Q1685" s="6">
        <v>1.43830303030303</v>
      </c>
      <c r="R1685">
        <v>3.05</v>
      </c>
      <c r="S1685">
        <v>10.32</v>
      </c>
      <c r="T1685">
        <v>23.73</v>
      </c>
      <c r="U1685">
        <v>-14.04</v>
      </c>
      <c r="V1685">
        <v>20.399999999999999</v>
      </c>
      <c r="W1685">
        <v>0.86</v>
      </c>
    </row>
    <row r="1686" spans="1:23" x14ac:dyDescent="0.3">
      <c r="A1686">
        <v>1686</v>
      </c>
      <c r="B1686" t="s">
        <v>1729</v>
      </c>
      <c r="C1686" t="s">
        <v>38</v>
      </c>
      <c r="D1686">
        <v>192</v>
      </c>
      <c r="E1686">
        <v>3755</v>
      </c>
      <c r="F1686" s="3">
        <v>218</v>
      </c>
      <c r="G1686">
        <v>28</v>
      </c>
      <c r="H1686">
        <v>3</v>
      </c>
      <c r="I1686" s="5">
        <v>1.5625E-2</v>
      </c>
      <c r="J1686" s="3">
        <v>229</v>
      </c>
      <c r="K1686" s="1">
        <v>45626</v>
      </c>
      <c r="L1686" t="s">
        <v>25</v>
      </c>
      <c r="M1686" t="s">
        <v>31</v>
      </c>
      <c r="N1686" t="s">
        <v>44</v>
      </c>
      <c r="O1686" t="s">
        <v>28</v>
      </c>
      <c r="P1686" t="s">
        <v>29</v>
      </c>
      <c r="Q1686" s="6">
        <v>1.1361458333333301</v>
      </c>
      <c r="R1686">
        <v>5.1100000000000003</v>
      </c>
      <c r="S1686">
        <v>7.79</v>
      </c>
      <c r="T1686">
        <v>72.709999999999994</v>
      </c>
      <c r="U1686">
        <v>4.9800000000000004</v>
      </c>
      <c r="V1686">
        <v>76.33</v>
      </c>
      <c r="W1686">
        <v>1.05</v>
      </c>
    </row>
    <row r="1687" spans="1:23" x14ac:dyDescent="0.3">
      <c r="A1687">
        <v>1687</v>
      </c>
      <c r="B1687" t="s">
        <v>1730</v>
      </c>
      <c r="C1687" t="s">
        <v>43</v>
      </c>
      <c r="D1687">
        <v>193</v>
      </c>
      <c r="E1687">
        <v>4497</v>
      </c>
      <c r="F1687" s="3">
        <v>248</v>
      </c>
      <c r="G1687">
        <v>24</v>
      </c>
      <c r="H1687">
        <v>9</v>
      </c>
      <c r="I1687" s="5">
        <v>4.6632124352331598E-2</v>
      </c>
      <c r="J1687" s="3">
        <v>209</v>
      </c>
      <c r="K1687" s="1">
        <v>45602</v>
      </c>
      <c r="L1687" t="s">
        <v>25</v>
      </c>
      <c r="M1687" t="s">
        <v>26</v>
      </c>
      <c r="N1687" t="s">
        <v>27</v>
      </c>
      <c r="O1687" t="s">
        <v>28</v>
      </c>
      <c r="P1687" t="s">
        <v>33</v>
      </c>
      <c r="Q1687" s="6">
        <v>1.2870984455958501</v>
      </c>
      <c r="R1687">
        <v>4.29</v>
      </c>
      <c r="S1687">
        <v>10.35</v>
      </c>
      <c r="T1687">
        <v>27.6</v>
      </c>
      <c r="U1687">
        <v>-15.86</v>
      </c>
      <c r="V1687">
        <v>23.22</v>
      </c>
      <c r="W1687">
        <v>0.84</v>
      </c>
    </row>
    <row r="1688" spans="1:23" x14ac:dyDescent="0.3">
      <c r="A1688">
        <v>1688</v>
      </c>
      <c r="B1688" t="s">
        <v>1731</v>
      </c>
      <c r="C1688" t="s">
        <v>35</v>
      </c>
      <c r="D1688">
        <v>138</v>
      </c>
      <c r="E1688">
        <v>5904</v>
      </c>
      <c r="F1688" s="3">
        <v>197</v>
      </c>
      <c r="G1688">
        <v>26</v>
      </c>
      <c r="H1688">
        <v>8</v>
      </c>
      <c r="I1688" s="5">
        <v>5.7971014492753603E-2</v>
      </c>
      <c r="J1688" s="3">
        <v>347</v>
      </c>
      <c r="K1688" s="1">
        <v>45615</v>
      </c>
      <c r="L1688" t="s">
        <v>25</v>
      </c>
      <c r="M1688" t="s">
        <v>26</v>
      </c>
      <c r="N1688" t="s">
        <v>27</v>
      </c>
      <c r="O1688" t="s">
        <v>28</v>
      </c>
      <c r="P1688" t="s">
        <v>41</v>
      </c>
      <c r="Q1688" s="6">
        <v>1.42811594202898</v>
      </c>
      <c r="R1688">
        <v>2.34</v>
      </c>
      <c r="S1688">
        <v>7.58</v>
      </c>
      <c r="T1688">
        <v>24.64</v>
      </c>
      <c r="U1688">
        <v>76.069999999999993</v>
      </c>
      <c r="V1688">
        <v>43.38</v>
      </c>
      <c r="W1688">
        <v>1.76</v>
      </c>
    </row>
    <row r="1689" spans="1:23" x14ac:dyDescent="0.3">
      <c r="A1689">
        <v>1689</v>
      </c>
      <c r="B1689" t="s">
        <v>1732</v>
      </c>
      <c r="C1689" t="s">
        <v>35</v>
      </c>
      <c r="D1689">
        <v>104</v>
      </c>
      <c r="E1689">
        <v>4212</v>
      </c>
      <c r="F1689" s="3">
        <v>163</v>
      </c>
      <c r="G1689">
        <v>15</v>
      </c>
      <c r="H1689">
        <v>6</v>
      </c>
      <c r="I1689" s="5">
        <v>5.7692307692307598E-2</v>
      </c>
      <c r="J1689" s="3">
        <v>226</v>
      </c>
      <c r="K1689" s="1">
        <v>45626</v>
      </c>
      <c r="L1689" t="s">
        <v>25</v>
      </c>
      <c r="M1689" t="s">
        <v>26</v>
      </c>
      <c r="N1689" t="s">
        <v>40</v>
      </c>
      <c r="O1689" t="s">
        <v>28</v>
      </c>
      <c r="P1689" t="s">
        <v>29</v>
      </c>
      <c r="Q1689" s="6">
        <v>1.56753061615001</v>
      </c>
      <c r="R1689">
        <v>2.4700000000000002</v>
      </c>
      <c r="S1689">
        <v>10.87</v>
      </c>
      <c r="T1689">
        <v>27.17</v>
      </c>
      <c r="U1689">
        <v>38.630000000000003</v>
      </c>
      <c r="V1689">
        <v>37.67</v>
      </c>
      <c r="W1689">
        <v>1.39</v>
      </c>
    </row>
    <row r="1690" spans="1:23" x14ac:dyDescent="0.3">
      <c r="A1690">
        <v>1690</v>
      </c>
      <c r="B1690" t="s">
        <v>1733</v>
      </c>
      <c r="C1690" t="s">
        <v>35</v>
      </c>
      <c r="D1690">
        <v>162</v>
      </c>
      <c r="E1690">
        <v>5979</v>
      </c>
      <c r="F1690" s="3">
        <v>191</v>
      </c>
      <c r="G1690">
        <v>30</v>
      </c>
      <c r="H1690">
        <v>6</v>
      </c>
      <c r="I1690" s="5">
        <v>3.7037037037037E-2</v>
      </c>
      <c r="J1690" s="3">
        <v>403</v>
      </c>
      <c r="K1690" s="1">
        <v>45619</v>
      </c>
      <c r="L1690" t="s">
        <v>25</v>
      </c>
      <c r="M1690" t="s">
        <v>39</v>
      </c>
      <c r="N1690" t="s">
        <v>27</v>
      </c>
      <c r="O1690" t="s">
        <v>28</v>
      </c>
      <c r="P1690" t="s">
        <v>29</v>
      </c>
      <c r="Q1690" s="6">
        <v>1.1770987654320899</v>
      </c>
      <c r="R1690">
        <v>2.71</v>
      </c>
      <c r="S1690">
        <v>6.36</v>
      </c>
      <c r="T1690">
        <v>31.78</v>
      </c>
      <c r="U1690">
        <v>111.34</v>
      </c>
      <c r="V1690">
        <v>67.17</v>
      </c>
      <c r="W1690">
        <v>2.11</v>
      </c>
    </row>
    <row r="1691" spans="1:23" x14ac:dyDescent="0.3">
      <c r="A1691">
        <v>1691</v>
      </c>
      <c r="B1691" t="s">
        <v>1734</v>
      </c>
      <c r="C1691" t="s">
        <v>24</v>
      </c>
      <c r="D1691">
        <v>115</v>
      </c>
      <c r="E1691">
        <v>4950</v>
      </c>
      <c r="F1691" s="3">
        <v>242</v>
      </c>
      <c r="G1691">
        <v>19</v>
      </c>
      <c r="H1691">
        <v>9</v>
      </c>
      <c r="I1691" s="5">
        <v>7.8260869565217397E-2</v>
      </c>
      <c r="J1691" s="3">
        <v>274</v>
      </c>
      <c r="K1691" s="1">
        <v>45612</v>
      </c>
      <c r="L1691" t="s">
        <v>25</v>
      </c>
      <c r="M1691" t="s">
        <v>39</v>
      </c>
      <c r="N1691" t="s">
        <v>44</v>
      </c>
      <c r="O1691" t="s">
        <v>28</v>
      </c>
      <c r="P1691" t="s">
        <v>29</v>
      </c>
      <c r="Q1691" s="6">
        <v>2.1030434782608598</v>
      </c>
      <c r="R1691">
        <v>2.3199999999999998</v>
      </c>
      <c r="S1691">
        <v>12.73</v>
      </c>
      <c r="T1691">
        <v>26.87</v>
      </c>
      <c r="U1691">
        <v>13.29</v>
      </c>
      <c r="V1691">
        <v>30.44</v>
      </c>
      <c r="W1691">
        <v>1.1299999999999999</v>
      </c>
    </row>
    <row r="1692" spans="1:23" x14ac:dyDescent="0.3">
      <c r="A1692">
        <v>1692</v>
      </c>
      <c r="B1692" t="s">
        <v>1735</v>
      </c>
      <c r="C1692" t="s">
        <v>43</v>
      </c>
      <c r="D1692">
        <v>104</v>
      </c>
      <c r="E1692">
        <v>3405</v>
      </c>
      <c r="F1692" s="3">
        <v>227</v>
      </c>
      <c r="G1692">
        <v>28</v>
      </c>
      <c r="H1692">
        <v>8</v>
      </c>
      <c r="I1692" s="5">
        <v>7.69230769230769E-2</v>
      </c>
      <c r="J1692" s="3">
        <v>402</v>
      </c>
      <c r="K1692" s="1">
        <v>45623</v>
      </c>
      <c r="L1692" t="s">
        <v>25</v>
      </c>
      <c r="M1692" t="s">
        <v>31</v>
      </c>
      <c r="N1692" t="s">
        <v>32</v>
      </c>
      <c r="O1692" t="s">
        <v>28</v>
      </c>
      <c r="P1692" t="s">
        <v>33</v>
      </c>
      <c r="Q1692" s="6">
        <v>2.1861538461538399</v>
      </c>
      <c r="R1692">
        <v>3.05</v>
      </c>
      <c r="S1692">
        <v>8.1199999999999992</v>
      </c>
      <c r="T1692">
        <v>28.42</v>
      </c>
      <c r="U1692">
        <v>76.81</v>
      </c>
      <c r="V1692">
        <v>50.25</v>
      </c>
      <c r="W1692">
        <v>1.77</v>
      </c>
    </row>
    <row r="1693" spans="1:23" x14ac:dyDescent="0.3">
      <c r="A1693">
        <v>1693</v>
      </c>
      <c r="B1693" t="s">
        <v>1736</v>
      </c>
      <c r="C1693" t="s">
        <v>24</v>
      </c>
      <c r="D1693">
        <v>168</v>
      </c>
      <c r="E1693">
        <v>5540</v>
      </c>
      <c r="F1693" s="3">
        <v>197</v>
      </c>
      <c r="G1693">
        <v>22</v>
      </c>
      <c r="H1693">
        <v>8</v>
      </c>
      <c r="I1693" s="5">
        <v>4.7619047619047603E-2</v>
      </c>
      <c r="J1693" s="3">
        <v>340</v>
      </c>
      <c r="K1693" s="1">
        <v>45619</v>
      </c>
      <c r="L1693" t="s">
        <v>25</v>
      </c>
      <c r="M1693" t="s">
        <v>39</v>
      </c>
      <c r="N1693" t="s">
        <v>27</v>
      </c>
      <c r="O1693" t="s">
        <v>28</v>
      </c>
      <c r="P1693" t="s">
        <v>29</v>
      </c>
      <c r="Q1693" s="6">
        <v>1.1713690476190399</v>
      </c>
      <c r="R1693">
        <v>3.03</v>
      </c>
      <c r="S1693">
        <v>8.94</v>
      </c>
      <c r="T1693">
        <v>24.6</v>
      </c>
      <c r="U1693">
        <v>72.77</v>
      </c>
      <c r="V1693">
        <v>42.5</v>
      </c>
      <c r="W1693">
        <v>1.73</v>
      </c>
    </row>
    <row r="1694" spans="1:23" x14ac:dyDescent="0.3">
      <c r="A1694">
        <v>1694</v>
      </c>
      <c r="B1694" t="s">
        <v>1737</v>
      </c>
      <c r="C1694" t="s">
        <v>24</v>
      </c>
      <c r="D1694">
        <v>146</v>
      </c>
      <c r="E1694">
        <v>4624</v>
      </c>
      <c r="F1694" s="3">
        <v>213</v>
      </c>
      <c r="G1694">
        <v>19</v>
      </c>
      <c r="H1694">
        <v>9</v>
      </c>
      <c r="I1694" s="5">
        <v>6.1643835616438297E-2</v>
      </c>
      <c r="J1694" s="3">
        <v>309</v>
      </c>
      <c r="K1694" s="1">
        <v>45605</v>
      </c>
      <c r="L1694" t="s">
        <v>25</v>
      </c>
      <c r="M1694" t="s">
        <v>31</v>
      </c>
      <c r="N1694" t="s">
        <v>32</v>
      </c>
      <c r="O1694" t="s">
        <v>28</v>
      </c>
      <c r="P1694" t="s">
        <v>29</v>
      </c>
      <c r="Q1694" s="6">
        <v>1.45664383561643</v>
      </c>
      <c r="R1694">
        <v>3.16</v>
      </c>
      <c r="S1694">
        <v>11.19</v>
      </c>
      <c r="T1694">
        <v>23.63</v>
      </c>
      <c r="U1694">
        <v>45.3</v>
      </c>
      <c r="V1694">
        <v>34.33</v>
      </c>
      <c r="W1694">
        <v>1.45</v>
      </c>
    </row>
    <row r="1695" spans="1:23" x14ac:dyDescent="0.3">
      <c r="A1695">
        <v>1695</v>
      </c>
      <c r="B1695" t="s">
        <v>1738</v>
      </c>
      <c r="C1695" t="s">
        <v>43</v>
      </c>
      <c r="D1695">
        <v>82</v>
      </c>
      <c r="E1695">
        <v>5241</v>
      </c>
      <c r="F1695" s="3">
        <v>191</v>
      </c>
      <c r="G1695">
        <v>28</v>
      </c>
      <c r="H1695">
        <v>9</v>
      </c>
      <c r="I1695" s="5">
        <v>0.109756097560975</v>
      </c>
      <c r="J1695" s="3">
        <v>279</v>
      </c>
      <c r="K1695" s="1">
        <v>45599</v>
      </c>
      <c r="L1695" t="s">
        <v>25</v>
      </c>
      <c r="M1695" t="s">
        <v>26</v>
      </c>
      <c r="N1695" t="s">
        <v>32</v>
      </c>
      <c r="O1695" t="s">
        <v>28</v>
      </c>
      <c r="P1695" t="s">
        <v>50</v>
      </c>
      <c r="Q1695" s="6">
        <v>2.3320731707317002</v>
      </c>
      <c r="R1695">
        <v>1.56</v>
      </c>
      <c r="S1695">
        <v>6.83</v>
      </c>
      <c r="T1695">
        <v>21.25</v>
      </c>
      <c r="U1695">
        <v>45.9</v>
      </c>
      <c r="V1695">
        <v>31</v>
      </c>
      <c r="W1695">
        <v>1.46</v>
      </c>
    </row>
    <row r="1696" spans="1:23" x14ac:dyDescent="0.3">
      <c r="A1696">
        <v>1696</v>
      </c>
      <c r="B1696" t="s">
        <v>1739</v>
      </c>
      <c r="C1696" t="s">
        <v>35</v>
      </c>
      <c r="D1696">
        <v>180</v>
      </c>
      <c r="E1696">
        <v>5947</v>
      </c>
      <c r="F1696" s="3">
        <v>206</v>
      </c>
      <c r="G1696">
        <v>14</v>
      </c>
      <c r="H1696">
        <v>9</v>
      </c>
      <c r="I1696" s="5">
        <v>0.05</v>
      </c>
      <c r="J1696" s="3">
        <v>242</v>
      </c>
      <c r="K1696" s="1">
        <v>45620</v>
      </c>
      <c r="L1696" t="s">
        <v>25</v>
      </c>
      <c r="M1696" t="s">
        <v>39</v>
      </c>
      <c r="N1696" t="s">
        <v>49</v>
      </c>
      <c r="O1696" t="s">
        <v>28</v>
      </c>
      <c r="P1696" t="s">
        <v>50</v>
      </c>
      <c r="Q1696" s="6">
        <v>1.14627777777777</v>
      </c>
      <c r="R1696">
        <v>3.03</v>
      </c>
      <c r="S1696">
        <v>14.74</v>
      </c>
      <c r="T1696">
        <v>22.93</v>
      </c>
      <c r="U1696">
        <v>17.29</v>
      </c>
      <c r="V1696">
        <v>26.89</v>
      </c>
      <c r="W1696">
        <v>1.17</v>
      </c>
    </row>
    <row r="1697" spans="1:23" x14ac:dyDescent="0.3">
      <c r="A1697">
        <v>1697</v>
      </c>
      <c r="B1697" t="s">
        <v>1740</v>
      </c>
      <c r="C1697" t="s">
        <v>24</v>
      </c>
      <c r="D1697">
        <v>142</v>
      </c>
      <c r="E1697">
        <v>3246</v>
      </c>
      <c r="F1697" s="3">
        <v>249</v>
      </c>
      <c r="G1697">
        <v>11</v>
      </c>
      <c r="H1697">
        <v>8</v>
      </c>
      <c r="I1697" s="5">
        <v>5.6338028169014003E-2</v>
      </c>
      <c r="J1697" s="3">
        <v>340</v>
      </c>
      <c r="K1697" s="1">
        <v>45601</v>
      </c>
      <c r="L1697" t="s">
        <v>25</v>
      </c>
      <c r="M1697" t="s">
        <v>31</v>
      </c>
      <c r="N1697" t="s">
        <v>36</v>
      </c>
      <c r="O1697" t="s">
        <v>28</v>
      </c>
      <c r="P1697" t="s">
        <v>41</v>
      </c>
      <c r="Q1697" s="6">
        <v>1.75542253521126</v>
      </c>
      <c r="R1697">
        <v>4.37</v>
      </c>
      <c r="S1697">
        <v>22.66</v>
      </c>
      <c r="T1697">
        <v>31.16</v>
      </c>
      <c r="U1697">
        <v>36.4</v>
      </c>
      <c r="V1697">
        <v>42.5</v>
      </c>
      <c r="W1697">
        <v>1.36</v>
      </c>
    </row>
    <row r="1698" spans="1:23" x14ac:dyDescent="0.3">
      <c r="A1698">
        <v>1698</v>
      </c>
      <c r="B1698" t="s">
        <v>1741</v>
      </c>
      <c r="C1698" t="s">
        <v>43</v>
      </c>
      <c r="D1698">
        <v>198</v>
      </c>
      <c r="E1698">
        <v>5858</v>
      </c>
      <c r="F1698" s="3">
        <v>233</v>
      </c>
      <c r="G1698">
        <v>17</v>
      </c>
      <c r="H1698">
        <v>8</v>
      </c>
      <c r="I1698" s="5">
        <v>4.0404040404040401E-2</v>
      </c>
      <c r="J1698" s="3">
        <v>388</v>
      </c>
      <c r="K1698" s="1">
        <v>45618</v>
      </c>
      <c r="L1698" t="s">
        <v>25</v>
      </c>
      <c r="M1698" t="s">
        <v>26</v>
      </c>
      <c r="N1698" t="s">
        <v>49</v>
      </c>
      <c r="O1698" t="s">
        <v>28</v>
      </c>
      <c r="P1698" t="s">
        <v>45</v>
      </c>
      <c r="Q1698" s="6">
        <v>1.17646464646464</v>
      </c>
      <c r="R1698">
        <v>3.38</v>
      </c>
      <c r="S1698">
        <v>13.7</v>
      </c>
      <c r="T1698">
        <v>29.12</v>
      </c>
      <c r="U1698">
        <v>66.569999999999993</v>
      </c>
      <c r="V1698">
        <v>48.5</v>
      </c>
      <c r="W1698">
        <v>1.67</v>
      </c>
    </row>
    <row r="1699" spans="1:23" x14ac:dyDescent="0.3">
      <c r="A1699">
        <v>1699</v>
      </c>
      <c r="B1699" t="s">
        <v>1742</v>
      </c>
      <c r="C1699" t="s">
        <v>38</v>
      </c>
      <c r="D1699">
        <v>119</v>
      </c>
      <c r="E1699">
        <v>5159</v>
      </c>
      <c r="F1699" s="3">
        <v>227</v>
      </c>
      <c r="G1699">
        <v>22</v>
      </c>
      <c r="H1699">
        <v>10</v>
      </c>
      <c r="I1699" s="5">
        <v>8.4033613445378103E-2</v>
      </c>
      <c r="J1699" s="3">
        <v>296</v>
      </c>
      <c r="K1699" s="1">
        <v>45612</v>
      </c>
      <c r="L1699" t="s">
        <v>25</v>
      </c>
      <c r="M1699" t="s">
        <v>31</v>
      </c>
      <c r="N1699" t="s">
        <v>40</v>
      </c>
      <c r="O1699" t="s">
        <v>28</v>
      </c>
      <c r="P1699" t="s">
        <v>29</v>
      </c>
      <c r="Q1699" s="6">
        <v>1.9105882352941099</v>
      </c>
      <c r="R1699">
        <v>2.31</v>
      </c>
      <c r="S1699">
        <v>10.33</v>
      </c>
      <c r="T1699">
        <v>22.74</v>
      </c>
      <c r="U1699">
        <v>30.19</v>
      </c>
      <c r="V1699">
        <v>29.6</v>
      </c>
      <c r="W1699">
        <v>1.3</v>
      </c>
    </row>
    <row r="1700" spans="1:23" x14ac:dyDescent="0.3">
      <c r="A1700">
        <v>1700</v>
      </c>
      <c r="B1700" t="s">
        <v>1743</v>
      </c>
      <c r="C1700" t="s">
        <v>24</v>
      </c>
      <c r="D1700">
        <v>109</v>
      </c>
      <c r="E1700">
        <v>4002</v>
      </c>
      <c r="F1700" s="3">
        <v>204</v>
      </c>
      <c r="G1700">
        <v>14</v>
      </c>
      <c r="H1700">
        <v>3</v>
      </c>
      <c r="I1700" s="5">
        <v>2.7522935779816501E-2</v>
      </c>
      <c r="J1700" s="3">
        <v>292</v>
      </c>
      <c r="K1700" s="1">
        <v>45598</v>
      </c>
      <c r="L1700" t="s">
        <v>25</v>
      </c>
      <c r="M1700" t="s">
        <v>31</v>
      </c>
      <c r="N1700" t="s">
        <v>32</v>
      </c>
      <c r="O1700" t="s">
        <v>28</v>
      </c>
      <c r="P1700" t="s">
        <v>29</v>
      </c>
      <c r="Q1700" s="6">
        <v>1.8711926605504501</v>
      </c>
      <c r="R1700">
        <v>2.72</v>
      </c>
      <c r="S1700">
        <v>14.57</v>
      </c>
      <c r="T1700">
        <v>67.989999999999995</v>
      </c>
      <c r="U1700">
        <v>43.17</v>
      </c>
      <c r="V1700">
        <v>97.33</v>
      </c>
      <c r="W1700">
        <v>1.43</v>
      </c>
    </row>
    <row r="1701" spans="1:23" x14ac:dyDescent="0.3">
      <c r="A1701">
        <v>1701</v>
      </c>
      <c r="B1701" t="s">
        <v>1744</v>
      </c>
      <c r="C1701" t="s">
        <v>35</v>
      </c>
      <c r="D1701">
        <v>87</v>
      </c>
      <c r="E1701">
        <v>3068</v>
      </c>
      <c r="F1701" s="3">
        <v>243</v>
      </c>
      <c r="G1701">
        <v>11</v>
      </c>
      <c r="H1701">
        <v>6</v>
      </c>
      <c r="I1701" s="5">
        <v>6.8965517241379296E-2</v>
      </c>
      <c r="J1701" s="3">
        <v>277</v>
      </c>
      <c r="K1701" s="1">
        <v>45619</v>
      </c>
      <c r="L1701" t="s">
        <v>25</v>
      </c>
      <c r="M1701" t="s">
        <v>39</v>
      </c>
      <c r="N1701" t="s">
        <v>44</v>
      </c>
      <c r="O1701" t="s">
        <v>28</v>
      </c>
      <c r="P1701" t="s">
        <v>29</v>
      </c>
      <c r="Q1701" s="6">
        <v>2.7948275862068899</v>
      </c>
      <c r="R1701">
        <v>2.84</v>
      </c>
      <c r="S1701">
        <v>22.1</v>
      </c>
      <c r="T1701">
        <v>40.520000000000003</v>
      </c>
      <c r="U1701">
        <v>13.92</v>
      </c>
      <c r="V1701">
        <v>46.17</v>
      </c>
      <c r="W1701">
        <v>1.1399999999999999</v>
      </c>
    </row>
    <row r="1702" spans="1:23" x14ac:dyDescent="0.3">
      <c r="A1702">
        <v>1702</v>
      </c>
      <c r="B1702" t="s">
        <v>1745</v>
      </c>
      <c r="C1702" t="s">
        <v>38</v>
      </c>
      <c r="D1702">
        <v>110</v>
      </c>
      <c r="E1702">
        <v>4907</v>
      </c>
      <c r="F1702" s="3">
        <v>247</v>
      </c>
      <c r="G1702">
        <v>12</v>
      </c>
      <c r="H1702">
        <v>10</v>
      </c>
      <c r="I1702" s="5">
        <v>9.0909090909090898E-2</v>
      </c>
      <c r="J1702" s="3">
        <v>246</v>
      </c>
      <c r="K1702" s="1">
        <v>45622</v>
      </c>
      <c r="L1702" t="s">
        <v>25</v>
      </c>
      <c r="M1702" t="s">
        <v>26</v>
      </c>
      <c r="N1702" t="s">
        <v>40</v>
      </c>
      <c r="O1702" t="s">
        <v>28</v>
      </c>
      <c r="P1702" t="s">
        <v>41</v>
      </c>
      <c r="Q1702" s="6">
        <v>2.2498181818181799</v>
      </c>
      <c r="R1702">
        <v>2.2400000000000002</v>
      </c>
      <c r="S1702">
        <v>20.62</v>
      </c>
      <c r="T1702">
        <v>24.75</v>
      </c>
      <c r="U1702">
        <v>-0.6</v>
      </c>
      <c r="V1702">
        <v>24.6</v>
      </c>
      <c r="W1702">
        <v>0.99</v>
      </c>
    </row>
    <row r="1703" spans="1:23" x14ac:dyDescent="0.3">
      <c r="A1703">
        <v>1703</v>
      </c>
      <c r="B1703" t="s">
        <v>1746</v>
      </c>
      <c r="C1703" t="s">
        <v>38</v>
      </c>
      <c r="D1703">
        <v>92</v>
      </c>
      <c r="E1703">
        <v>5680</v>
      </c>
      <c r="F1703" s="3">
        <v>225</v>
      </c>
      <c r="G1703">
        <v>15</v>
      </c>
      <c r="H1703">
        <v>7</v>
      </c>
      <c r="I1703" s="5">
        <v>7.6086956521739094E-2</v>
      </c>
      <c r="J1703" s="3">
        <v>327</v>
      </c>
      <c r="K1703" s="1">
        <v>45622</v>
      </c>
      <c r="L1703" t="s">
        <v>25</v>
      </c>
      <c r="M1703" t="s">
        <v>26</v>
      </c>
      <c r="N1703" t="s">
        <v>44</v>
      </c>
      <c r="O1703" t="s">
        <v>28</v>
      </c>
      <c r="P1703" t="s">
        <v>41</v>
      </c>
      <c r="Q1703" s="6">
        <v>2.4413043478260801</v>
      </c>
      <c r="R1703">
        <v>1.62</v>
      </c>
      <c r="S1703">
        <v>14.97</v>
      </c>
      <c r="T1703">
        <v>32.090000000000003</v>
      </c>
      <c r="U1703">
        <v>45.59</v>
      </c>
      <c r="V1703">
        <v>46.71</v>
      </c>
      <c r="W1703">
        <v>1.46</v>
      </c>
    </row>
    <row r="1704" spans="1:23" x14ac:dyDescent="0.3">
      <c r="A1704">
        <v>1704</v>
      </c>
      <c r="B1704" t="s">
        <v>1747</v>
      </c>
      <c r="C1704" t="s">
        <v>38</v>
      </c>
      <c r="D1704">
        <v>85</v>
      </c>
      <c r="E1704">
        <v>3909</v>
      </c>
      <c r="F1704" s="3">
        <v>190</v>
      </c>
      <c r="G1704">
        <v>12</v>
      </c>
      <c r="H1704">
        <v>3</v>
      </c>
      <c r="I1704" s="5">
        <v>3.5294117647058802E-2</v>
      </c>
      <c r="J1704" s="3">
        <v>248</v>
      </c>
      <c r="K1704" s="1">
        <v>45610</v>
      </c>
      <c r="L1704" t="s">
        <v>25</v>
      </c>
      <c r="M1704" t="s">
        <v>39</v>
      </c>
      <c r="N1704" t="s">
        <v>44</v>
      </c>
      <c r="O1704" t="s">
        <v>28</v>
      </c>
      <c r="P1704" t="s">
        <v>54</v>
      </c>
      <c r="Q1704" s="6">
        <v>2.2341176470588202</v>
      </c>
      <c r="R1704">
        <v>2.17</v>
      </c>
      <c r="S1704">
        <v>15.82</v>
      </c>
      <c r="T1704">
        <v>63.3</v>
      </c>
      <c r="U1704">
        <v>30.6</v>
      </c>
      <c r="V1704">
        <v>82.67</v>
      </c>
      <c r="W1704">
        <v>1.31</v>
      </c>
    </row>
    <row r="1705" spans="1:23" x14ac:dyDescent="0.3">
      <c r="A1705">
        <v>1705</v>
      </c>
      <c r="B1705" t="s">
        <v>1748</v>
      </c>
      <c r="C1705" t="s">
        <v>24</v>
      </c>
      <c r="D1705">
        <v>199</v>
      </c>
      <c r="E1705">
        <v>3060</v>
      </c>
      <c r="F1705" s="3">
        <v>237</v>
      </c>
      <c r="G1705">
        <v>19</v>
      </c>
      <c r="H1705">
        <v>9</v>
      </c>
      <c r="I1705" s="5">
        <v>4.5226130653266298E-2</v>
      </c>
      <c r="J1705" s="3">
        <v>312</v>
      </c>
      <c r="K1705" s="1">
        <v>45600</v>
      </c>
      <c r="L1705" t="s">
        <v>25</v>
      </c>
      <c r="M1705" t="s">
        <v>31</v>
      </c>
      <c r="N1705" t="s">
        <v>36</v>
      </c>
      <c r="O1705" t="s">
        <v>28</v>
      </c>
      <c r="P1705" t="s">
        <v>59</v>
      </c>
      <c r="Q1705" s="6">
        <v>1.1924623115577799</v>
      </c>
      <c r="R1705">
        <v>6.5</v>
      </c>
      <c r="S1705">
        <v>12.49</v>
      </c>
      <c r="T1705">
        <v>26.37</v>
      </c>
      <c r="U1705">
        <v>31.48</v>
      </c>
      <c r="V1705">
        <v>34.67</v>
      </c>
      <c r="W1705">
        <v>1.31</v>
      </c>
    </row>
    <row r="1706" spans="1:23" x14ac:dyDescent="0.3">
      <c r="A1706">
        <v>1706</v>
      </c>
      <c r="B1706" t="s">
        <v>1749</v>
      </c>
      <c r="C1706" t="s">
        <v>24</v>
      </c>
      <c r="D1706">
        <v>148</v>
      </c>
      <c r="E1706">
        <v>4558</v>
      </c>
      <c r="F1706" s="3">
        <v>250</v>
      </c>
      <c r="G1706">
        <v>18</v>
      </c>
      <c r="H1706">
        <v>8</v>
      </c>
      <c r="I1706" s="5">
        <v>5.4054054054054002E-2</v>
      </c>
      <c r="J1706" s="3">
        <v>317</v>
      </c>
      <c r="K1706" s="1">
        <v>45597</v>
      </c>
      <c r="L1706" t="s">
        <v>25</v>
      </c>
      <c r="M1706" t="s">
        <v>26</v>
      </c>
      <c r="N1706" t="s">
        <v>32</v>
      </c>
      <c r="O1706" t="s">
        <v>28</v>
      </c>
      <c r="P1706" t="s">
        <v>45</v>
      </c>
      <c r="Q1706" s="6">
        <v>1.6874324324324299</v>
      </c>
      <c r="R1706">
        <v>3.25</v>
      </c>
      <c r="S1706">
        <v>13.87</v>
      </c>
      <c r="T1706">
        <v>31.22</v>
      </c>
      <c r="U1706">
        <v>26.93</v>
      </c>
      <c r="V1706">
        <v>39.619999999999997</v>
      </c>
      <c r="W1706">
        <v>1.27</v>
      </c>
    </row>
    <row r="1707" spans="1:23" x14ac:dyDescent="0.3">
      <c r="A1707">
        <v>1707</v>
      </c>
      <c r="B1707" t="s">
        <v>1750</v>
      </c>
      <c r="C1707" t="s">
        <v>38</v>
      </c>
      <c r="D1707">
        <v>173</v>
      </c>
      <c r="E1707">
        <v>5992</v>
      </c>
      <c r="F1707" s="3">
        <v>230</v>
      </c>
      <c r="G1707">
        <v>11</v>
      </c>
      <c r="H1707">
        <v>5</v>
      </c>
      <c r="I1707" s="5">
        <v>2.8901734104046201E-2</v>
      </c>
      <c r="J1707" s="3">
        <v>343</v>
      </c>
      <c r="K1707" s="1">
        <v>45604</v>
      </c>
      <c r="L1707" t="s">
        <v>25</v>
      </c>
      <c r="M1707" t="s">
        <v>31</v>
      </c>
      <c r="N1707" t="s">
        <v>40</v>
      </c>
      <c r="O1707" t="s">
        <v>28</v>
      </c>
      <c r="P1707" t="s">
        <v>45</v>
      </c>
      <c r="Q1707" s="6">
        <v>1.3309826589595299</v>
      </c>
      <c r="R1707">
        <v>2.89</v>
      </c>
      <c r="S1707">
        <v>20.93</v>
      </c>
      <c r="T1707">
        <v>46.05</v>
      </c>
      <c r="U1707">
        <v>48.96</v>
      </c>
      <c r="V1707">
        <v>68.599999999999994</v>
      </c>
      <c r="W1707">
        <v>1.49</v>
      </c>
    </row>
    <row r="1708" spans="1:23" x14ac:dyDescent="0.3">
      <c r="A1708">
        <v>1708</v>
      </c>
      <c r="B1708" t="s">
        <v>1751</v>
      </c>
      <c r="C1708" t="s">
        <v>43</v>
      </c>
      <c r="D1708">
        <v>84</v>
      </c>
      <c r="E1708">
        <v>5069</v>
      </c>
      <c r="F1708" s="3">
        <v>192</v>
      </c>
      <c r="G1708">
        <v>25</v>
      </c>
      <c r="H1708">
        <v>3</v>
      </c>
      <c r="I1708" s="5">
        <v>3.5714285714285698E-2</v>
      </c>
      <c r="J1708" s="3">
        <v>355</v>
      </c>
      <c r="K1708" s="1">
        <v>45607</v>
      </c>
      <c r="L1708" t="s">
        <v>25</v>
      </c>
      <c r="M1708" t="s">
        <v>26</v>
      </c>
      <c r="N1708" t="s">
        <v>44</v>
      </c>
      <c r="O1708" t="s">
        <v>28</v>
      </c>
      <c r="P1708" t="s">
        <v>59</v>
      </c>
      <c r="Q1708" s="6">
        <v>2.28666666666666</v>
      </c>
      <c r="R1708">
        <v>1.66</v>
      </c>
      <c r="S1708">
        <v>7.68</v>
      </c>
      <c r="T1708">
        <v>64.03</v>
      </c>
      <c r="U1708">
        <v>84.82</v>
      </c>
      <c r="V1708">
        <v>118.33</v>
      </c>
      <c r="W1708">
        <v>1.85</v>
      </c>
    </row>
    <row r="1709" spans="1:23" x14ac:dyDescent="0.3">
      <c r="A1709">
        <v>1709</v>
      </c>
      <c r="B1709" t="s">
        <v>1752</v>
      </c>
      <c r="C1709" t="s">
        <v>43</v>
      </c>
      <c r="D1709">
        <v>82</v>
      </c>
      <c r="E1709">
        <v>4340</v>
      </c>
      <c r="F1709" s="3">
        <v>187</v>
      </c>
      <c r="G1709">
        <v>17</v>
      </c>
      <c r="H1709">
        <v>3</v>
      </c>
      <c r="I1709" s="5">
        <v>3.65853658536585E-2</v>
      </c>
      <c r="J1709" s="3">
        <v>223</v>
      </c>
      <c r="K1709" s="1">
        <v>45603</v>
      </c>
      <c r="L1709" t="s">
        <v>25</v>
      </c>
      <c r="M1709" t="s">
        <v>26</v>
      </c>
      <c r="N1709" t="s">
        <v>40</v>
      </c>
      <c r="O1709" t="s">
        <v>28</v>
      </c>
      <c r="P1709" t="s">
        <v>54</v>
      </c>
      <c r="Q1709" s="6">
        <v>2.2757317073170702</v>
      </c>
      <c r="R1709">
        <v>1.89</v>
      </c>
      <c r="S1709">
        <v>10.98</v>
      </c>
      <c r="T1709">
        <v>62.2</v>
      </c>
      <c r="U1709">
        <v>19.5</v>
      </c>
      <c r="V1709">
        <v>74.33</v>
      </c>
      <c r="W1709">
        <v>1.2</v>
      </c>
    </row>
    <row r="1710" spans="1:23" x14ac:dyDescent="0.3">
      <c r="A1710">
        <v>1710</v>
      </c>
      <c r="B1710" t="s">
        <v>1753</v>
      </c>
      <c r="C1710" t="s">
        <v>35</v>
      </c>
      <c r="D1710">
        <v>147</v>
      </c>
      <c r="E1710">
        <v>5139</v>
      </c>
      <c r="F1710" s="3">
        <v>246</v>
      </c>
      <c r="G1710">
        <v>29</v>
      </c>
      <c r="H1710">
        <v>8</v>
      </c>
      <c r="I1710" s="5">
        <v>5.4421768707482901E-2</v>
      </c>
      <c r="J1710" s="3">
        <v>378</v>
      </c>
      <c r="K1710" s="1">
        <v>45606</v>
      </c>
      <c r="L1710" t="s">
        <v>25</v>
      </c>
      <c r="M1710" t="s">
        <v>31</v>
      </c>
      <c r="N1710" t="s">
        <v>32</v>
      </c>
      <c r="O1710" t="s">
        <v>28</v>
      </c>
      <c r="P1710" t="s">
        <v>50</v>
      </c>
      <c r="Q1710" s="6">
        <v>1.67299319727891</v>
      </c>
      <c r="R1710">
        <v>2.86</v>
      </c>
      <c r="S1710">
        <v>8.48</v>
      </c>
      <c r="T1710">
        <v>30.74</v>
      </c>
      <c r="U1710">
        <v>53.7</v>
      </c>
      <c r="V1710">
        <v>47.25</v>
      </c>
      <c r="W1710">
        <v>1.54</v>
      </c>
    </row>
    <row r="1711" spans="1:23" x14ac:dyDescent="0.3">
      <c r="A1711">
        <v>1711</v>
      </c>
      <c r="B1711" t="s">
        <v>1754</v>
      </c>
      <c r="C1711" t="s">
        <v>38</v>
      </c>
      <c r="D1711">
        <v>186</v>
      </c>
      <c r="E1711">
        <v>4679</v>
      </c>
      <c r="F1711" s="3">
        <v>242</v>
      </c>
      <c r="G1711">
        <v>19</v>
      </c>
      <c r="H1711">
        <v>9</v>
      </c>
      <c r="I1711" s="5">
        <v>4.8387096774193498E-2</v>
      </c>
      <c r="J1711" s="3">
        <v>272</v>
      </c>
      <c r="K1711" s="1">
        <v>45603</v>
      </c>
      <c r="L1711" t="s">
        <v>25</v>
      </c>
      <c r="M1711" t="s">
        <v>39</v>
      </c>
      <c r="N1711" t="s">
        <v>44</v>
      </c>
      <c r="O1711" t="s">
        <v>28</v>
      </c>
      <c r="P1711" t="s">
        <v>54</v>
      </c>
      <c r="Q1711" s="6">
        <v>1.2994623655913899</v>
      </c>
      <c r="R1711">
        <v>3.98</v>
      </c>
      <c r="S1711">
        <v>12.72</v>
      </c>
      <c r="T1711">
        <v>26.86</v>
      </c>
      <c r="U1711">
        <v>12.54</v>
      </c>
      <c r="V1711">
        <v>30.22</v>
      </c>
      <c r="W1711">
        <v>1.1299999999999999</v>
      </c>
    </row>
    <row r="1712" spans="1:23" x14ac:dyDescent="0.3">
      <c r="A1712">
        <v>1712</v>
      </c>
      <c r="B1712" t="s">
        <v>1755</v>
      </c>
      <c r="C1712" t="s">
        <v>24</v>
      </c>
      <c r="D1712">
        <v>143</v>
      </c>
      <c r="E1712">
        <v>4232</v>
      </c>
      <c r="F1712" s="3">
        <v>208</v>
      </c>
      <c r="G1712">
        <v>30</v>
      </c>
      <c r="H1712">
        <v>8</v>
      </c>
      <c r="I1712" s="5">
        <v>5.5944055944055902E-2</v>
      </c>
      <c r="J1712" s="3">
        <v>336</v>
      </c>
      <c r="K1712" s="1">
        <v>45614</v>
      </c>
      <c r="L1712" t="s">
        <v>25</v>
      </c>
      <c r="M1712" t="s">
        <v>39</v>
      </c>
      <c r="N1712" t="s">
        <v>36</v>
      </c>
      <c r="O1712" t="s">
        <v>28</v>
      </c>
      <c r="P1712" t="s">
        <v>59</v>
      </c>
      <c r="Q1712" s="6">
        <v>1.4528671328671301</v>
      </c>
      <c r="R1712">
        <v>3.38</v>
      </c>
      <c r="S1712">
        <v>6.93</v>
      </c>
      <c r="T1712">
        <v>25.97</v>
      </c>
      <c r="U1712">
        <v>61.73</v>
      </c>
      <c r="V1712">
        <v>42</v>
      </c>
      <c r="W1712">
        <v>1.62</v>
      </c>
    </row>
    <row r="1713" spans="1:23" x14ac:dyDescent="0.3">
      <c r="A1713">
        <v>1713</v>
      </c>
      <c r="B1713" t="s">
        <v>1756</v>
      </c>
      <c r="C1713" t="s">
        <v>38</v>
      </c>
      <c r="D1713">
        <v>133</v>
      </c>
      <c r="E1713">
        <v>5580</v>
      </c>
      <c r="F1713" s="3">
        <v>248</v>
      </c>
      <c r="G1713">
        <v>17</v>
      </c>
      <c r="H1713">
        <v>5</v>
      </c>
      <c r="I1713" s="5">
        <v>3.7593984962405999E-2</v>
      </c>
      <c r="J1713" s="3">
        <v>227</v>
      </c>
      <c r="K1713" s="1">
        <v>45622</v>
      </c>
      <c r="L1713" t="s">
        <v>25</v>
      </c>
      <c r="M1713" t="s">
        <v>39</v>
      </c>
      <c r="N1713" t="s">
        <v>32</v>
      </c>
      <c r="O1713" t="s">
        <v>28</v>
      </c>
      <c r="P1713" t="s">
        <v>41</v>
      </c>
      <c r="Q1713" s="6">
        <v>1.86548872180451</v>
      </c>
      <c r="R1713">
        <v>2.38</v>
      </c>
      <c r="S1713">
        <v>14.59</v>
      </c>
      <c r="T1713">
        <v>49.62</v>
      </c>
      <c r="U1713">
        <v>-8.51</v>
      </c>
      <c r="V1713">
        <v>45.4</v>
      </c>
      <c r="W1713">
        <v>0.91</v>
      </c>
    </row>
    <row r="1714" spans="1:23" x14ac:dyDescent="0.3">
      <c r="A1714">
        <v>1714</v>
      </c>
      <c r="B1714" t="s">
        <v>1757</v>
      </c>
      <c r="C1714" t="s">
        <v>35</v>
      </c>
      <c r="D1714">
        <v>187</v>
      </c>
      <c r="E1714">
        <v>3972</v>
      </c>
      <c r="F1714" s="3">
        <v>227</v>
      </c>
      <c r="G1714">
        <v>24</v>
      </c>
      <c r="H1714">
        <v>7</v>
      </c>
      <c r="I1714" s="5">
        <v>3.7433155080213901E-2</v>
      </c>
      <c r="J1714" s="3">
        <v>206</v>
      </c>
      <c r="K1714" s="1">
        <v>45600</v>
      </c>
      <c r="L1714" t="s">
        <v>25</v>
      </c>
      <c r="M1714" t="s">
        <v>26</v>
      </c>
      <c r="N1714" t="s">
        <v>40</v>
      </c>
      <c r="O1714" t="s">
        <v>28</v>
      </c>
      <c r="P1714" t="s">
        <v>59</v>
      </c>
      <c r="Q1714" s="6">
        <v>1.2118716577540101</v>
      </c>
      <c r="R1714">
        <v>4.71</v>
      </c>
      <c r="S1714">
        <v>9.44</v>
      </c>
      <c r="T1714">
        <v>32.369999999999997</v>
      </c>
      <c r="U1714">
        <v>-9.1</v>
      </c>
      <c r="V1714">
        <v>29.43</v>
      </c>
      <c r="W1714">
        <v>0.91</v>
      </c>
    </row>
    <row r="1715" spans="1:23" x14ac:dyDescent="0.3">
      <c r="A1715">
        <v>1715</v>
      </c>
      <c r="B1715" t="s">
        <v>1758</v>
      </c>
      <c r="C1715" t="s">
        <v>43</v>
      </c>
      <c r="D1715">
        <v>121</v>
      </c>
      <c r="E1715">
        <v>5205</v>
      </c>
      <c r="F1715" s="3">
        <v>182</v>
      </c>
      <c r="G1715">
        <v>24</v>
      </c>
      <c r="H1715">
        <v>5</v>
      </c>
      <c r="I1715" s="5">
        <v>4.1322314049586702E-2</v>
      </c>
      <c r="J1715" s="3">
        <v>317</v>
      </c>
      <c r="K1715" s="1">
        <v>45604</v>
      </c>
      <c r="L1715" t="s">
        <v>25</v>
      </c>
      <c r="M1715" t="s">
        <v>39</v>
      </c>
      <c r="N1715" t="s">
        <v>36</v>
      </c>
      <c r="O1715" t="s">
        <v>28</v>
      </c>
      <c r="P1715" t="s">
        <v>45</v>
      </c>
      <c r="Q1715" s="6">
        <v>1.50256198347107</v>
      </c>
      <c r="R1715">
        <v>2.3199999999999998</v>
      </c>
      <c r="S1715">
        <v>7.58</v>
      </c>
      <c r="T1715">
        <v>36.36</v>
      </c>
      <c r="U1715">
        <v>74.36</v>
      </c>
      <c r="V1715">
        <v>63.4</v>
      </c>
      <c r="W1715">
        <v>1.74</v>
      </c>
    </row>
    <row r="1716" spans="1:23" x14ac:dyDescent="0.3">
      <c r="A1716">
        <v>1716</v>
      </c>
      <c r="B1716" t="s">
        <v>1759</v>
      </c>
      <c r="C1716" t="s">
        <v>43</v>
      </c>
      <c r="D1716">
        <v>188</v>
      </c>
      <c r="E1716">
        <v>4521</v>
      </c>
      <c r="F1716" s="3">
        <v>215</v>
      </c>
      <c r="G1716">
        <v>24</v>
      </c>
      <c r="H1716">
        <v>3</v>
      </c>
      <c r="I1716" s="5">
        <v>1.5957446808510599E-2</v>
      </c>
      <c r="J1716" s="3">
        <v>379</v>
      </c>
      <c r="K1716" s="1">
        <v>45615</v>
      </c>
      <c r="L1716" t="s">
        <v>25</v>
      </c>
      <c r="M1716" t="s">
        <v>39</v>
      </c>
      <c r="N1716" t="s">
        <v>32</v>
      </c>
      <c r="O1716" t="s">
        <v>28</v>
      </c>
      <c r="P1716" t="s">
        <v>41</v>
      </c>
      <c r="Q1716" s="6">
        <v>1.1413829787234</v>
      </c>
      <c r="R1716">
        <v>4.16</v>
      </c>
      <c r="S1716">
        <v>8.94</v>
      </c>
      <c r="T1716">
        <v>71.53</v>
      </c>
      <c r="U1716">
        <v>76.62</v>
      </c>
      <c r="V1716">
        <v>126.33</v>
      </c>
      <c r="W1716">
        <v>1.77</v>
      </c>
    </row>
    <row r="1717" spans="1:23" x14ac:dyDescent="0.3">
      <c r="A1717">
        <v>1717</v>
      </c>
      <c r="B1717" t="s">
        <v>1760</v>
      </c>
      <c r="C1717" t="s">
        <v>35</v>
      </c>
      <c r="D1717">
        <v>115</v>
      </c>
      <c r="E1717">
        <v>3924</v>
      </c>
      <c r="F1717" s="3">
        <v>215</v>
      </c>
      <c r="G1717">
        <v>16</v>
      </c>
      <c r="H1717">
        <v>7</v>
      </c>
      <c r="I1717" s="5">
        <v>6.08695652173913E-2</v>
      </c>
      <c r="J1717" s="3">
        <v>268</v>
      </c>
      <c r="K1717" s="1">
        <v>45600</v>
      </c>
      <c r="L1717" t="s">
        <v>25</v>
      </c>
      <c r="M1717" t="s">
        <v>26</v>
      </c>
      <c r="N1717" t="s">
        <v>44</v>
      </c>
      <c r="O1717" t="s">
        <v>28</v>
      </c>
      <c r="P1717" t="s">
        <v>59</v>
      </c>
      <c r="Q1717" s="6">
        <v>1.8653913043478201</v>
      </c>
      <c r="R1717">
        <v>2.93</v>
      </c>
      <c r="S1717">
        <v>13.41</v>
      </c>
      <c r="T1717">
        <v>30.65</v>
      </c>
      <c r="U1717">
        <v>24.93</v>
      </c>
      <c r="V1717">
        <v>38.29</v>
      </c>
      <c r="W1717">
        <v>1.25</v>
      </c>
    </row>
    <row r="1718" spans="1:23" x14ac:dyDescent="0.3">
      <c r="A1718">
        <v>1718</v>
      </c>
      <c r="B1718" t="s">
        <v>1761</v>
      </c>
      <c r="C1718" t="s">
        <v>35</v>
      </c>
      <c r="D1718">
        <v>101</v>
      </c>
      <c r="E1718">
        <v>3319</v>
      </c>
      <c r="F1718" s="3">
        <v>230</v>
      </c>
      <c r="G1718">
        <v>28</v>
      </c>
      <c r="H1718">
        <v>4</v>
      </c>
      <c r="I1718" s="5">
        <v>3.9603960396039598E-2</v>
      </c>
      <c r="J1718" s="3">
        <v>313</v>
      </c>
      <c r="K1718" s="1">
        <v>45615</v>
      </c>
      <c r="L1718" t="s">
        <v>25</v>
      </c>
      <c r="M1718" t="s">
        <v>39</v>
      </c>
      <c r="N1718" t="s">
        <v>49</v>
      </c>
      <c r="O1718" t="s">
        <v>28</v>
      </c>
      <c r="P1718" t="s">
        <v>41</v>
      </c>
      <c r="Q1718" s="6">
        <v>2.2810891089108898</v>
      </c>
      <c r="R1718">
        <v>3.04</v>
      </c>
      <c r="S1718">
        <v>8.23</v>
      </c>
      <c r="T1718">
        <v>57.6</v>
      </c>
      <c r="U1718">
        <v>35.86</v>
      </c>
      <c r="V1718">
        <v>78.25</v>
      </c>
      <c r="W1718">
        <v>1.36</v>
      </c>
    </row>
    <row r="1719" spans="1:23" x14ac:dyDescent="0.3">
      <c r="A1719">
        <v>1719</v>
      </c>
      <c r="B1719" t="s">
        <v>1762</v>
      </c>
      <c r="C1719" t="s">
        <v>35</v>
      </c>
      <c r="D1719">
        <v>190</v>
      </c>
      <c r="E1719">
        <v>5141</v>
      </c>
      <c r="F1719" s="3">
        <v>225</v>
      </c>
      <c r="G1719">
        <v>15</v>
      </c>
      <c r="H1719">
        <v>10</v>
      </c>
      <c r="I1719" s="5">
        <v>5.2631578947368397E-2</v>
      </c>
      <c r="J1719" s="3">
        <v>359</v>
      </c>
      <c r="K1719" s="1">
        <v>45617</v>
      </c>
      <c r="L1719" t="s">
        <v>25</v>
      </c>
      <c r="M1719" t="s">
        <v>26</v>
      </c>
      <c r="N1719" t="s">
        <v>27</v>
      </c>
      <c r="O1719" t="s">
        <v>28</v>
      </c>
      <c r="P1719" t="s">
        <v>54</v>
      </c>
      <c r="Q1719" s="6">
        <v>1.1849473684210501</v>
      </c>
      <c r="R1719">
        <v>3.7</v>
      </c>
      <c r="S1719">
        <v>15.01</v>
      </c>
      <c r="T1719">
        <v>22.51</v>
      </c>
      <c r="U1719">
        <v>59.46</v>
      </c>
      <c r="V1719">
        <v>35.9</v>
      </c>
      <c r="W1719">
        <v>1.59</v>
      </c>
    </row>
    <row r="1720" spans="1:23" x14ac:dyDescent="0.3">
      <c r="A1720">
        <v>1720</v>
      </c>
      <c r="B1720" t="s">
        <v>1763</v>
      </c>
      <c r="C1720" t="s">
        <v>43</v>
      </c>
      <c r="D1720">
        <v>92</v>
      </c>
      <c r="E1720">
        <v>5952</v>
      </c>
      <c r="F1720" s="3">
        <v>192</v>
      </c>
      <c r="G1720">
        <v>30</v>
      </c>
      <c r="H1720">
        <v>4</v>
      </c>
      <c r="I1720" s="5">
        <v>4.3478260869565202E-2</v>
      </c>
      <c r="J1720" s="3">
        <v>272</v>
      </c>
      <c r="K1720" s="1">
        <v>45604</v>
      </c>
      <c r="L1720" t="s">
        <v>25</v>
      </c>
      <c r="M1720" t="s">
        <v>31</v>
      </c>
      <c r="N1720" t="s">
        <v>36</v>
      </c>
      <c r="O1720" t="s">
        <v>28</v>
      </c>
      <c r="P1720" t="s">
        <v>45</v>
      </c>
      <c r="Q1720" s="6">
        <v>2.09076086956521</v>
      </c>
      <c r="R1720">
        <v>1.55</v>
      </c>
      <c r="S1720">
        <v>6.41</v>
      </c>
      <c r="T1720">
        <v>48.09</v>
      </c>
      <c r="U1720">
        <v>41.41</v>
      </c>
      <c r="V1720">
        <v>68</v>
      </c>
      <c r="W1720">
        <v>1.41</v>
      </c>
    </row>
    <row r="1721" spans="1:23" x14ac:dyDescent="0.3">
      <c r="A1721">
        <v>1721</v>
      </c>
      <c r="B1721" t="s">
        <v>1764</v>
      </c>
      <c r="C1721" t="s">
        <v>35</v>
      </c>
      <c r="D1721">
        <v>107</v>
      </c>
      <c r="E1721">
        <v>3529</v>
      </c>
      <c r="F1721" s="3">
        <v>228</v>
      </c>
      <c r="G1721">
        <v>23</v>
      </c>
      <c r="H1721">
        <v>8</v>
      </c>
      <c r="I1721" s="5">
        <v>7.4766355140186896E-2</v>
      </c>
      <c r="J1721" s="3">
        <v>376</v>
      </c>
      <c r="K1721" s="1">
        <v>45604</v>
      </c>
      <c r="L1721" t="s">
        <v>25</v>
      </c>
      <c r="M1721" t="s">
        <v>26</v>
      </c>
      <c r="N1721" t="s">
        <v>44</v>
      </c>
      <c r="O1721" t="s">
        <v>28</v>
      </c>
      <c r="P1721" t="s">
        <v>45</v>
      </c>
      <c r="Q1721" s="6">
        <v>2.1297196261682201</v>
      </c>
      <c r="R1721">
        <v>3.03</v>
      </c>
      <c r="S1721">
        <v>9.91</v>
      </c>
      <c r="T1721">
        <v>28.48</v>
      </c>
      <c r="U1721">
        <v>65</v>
      </c>
      <c r="V1721">
        <v>47</v>
      </c>
      <c r="W1721">
        <v>1.65</v>
      </c>
    </row>
    <row r="1722" spans="1:23" x14ac:dyDescent="0.3">
      <c r="A1722">
        <v>1722</v>
      </c>
      <c r="B1722" t="s">
        <v>1765</v>
      </c>
      <c r="C1722" t="s">
        <v>35</v>
      </c>
      <c r="D1722">
        <v>115</v>
      </c>
      <c r="E1722">
        <v>3794</v>
      </c>
      <c r="F1722" s="3">
        <v>225</v>
      </c>
      <c r="G1722">
        <v>13</v>
      </c>
      <c r="H1722">
        <v>7</v>
      </c>
      <c r="I1722" s="5">
        <v>6.08695652173913E-2</v>
      </c>
      <c r="J1722" s="3">
        <v>286</v>
      </c>
      <c r="K1722" s="1">
        <v>45619</v>
      </c>
      <c r="L1722" t="s">
        <v>25</v>
      </c>
      <c r="M1722" t="s">
        <v>31</v>
      </c>
      <c r="N1722" t="s">
        <v>36</v>
      </c>
      <c r="O1722" t="s">
        <v>28</v>
      </c>
      <c r="P1722" t="s">
        <v>29</v>
      </c>
      <c r="Q1722" s="6">
        <v>1.9598260869565201</v>
      </c>
      <c r="R1722">
        <v>3.03</v>
      </c>
      <c r="S1722">
        <v>17.34</v>
      </c>
      <c r="T1722">
        <v>32.200000000000003</v>
      </c>
      <c r="U1722">
        <v>26.9</v>
      </c>
      <c r="V1722">
        <v>40.86</v>
      </c>
      <c r="W1722">
        <v>1.27</v>
      </c>
    </row>
    <row r="1723" spans="1:23" x14ac:dyDescent="0.3">
      <c r="A1723">
        <v>1723</v>
      </c>
      <c r="B1723" t="s">
        <v>1766</v>
      </c>
      <c r="C1723" t="s">
        <v>24</v>
      </c>
      <c r="D1723">
        <v>186</v>
      </c>
      <c r="E1723">
        <v>6134</v>
      </c>
      <c r="F1723" s="3">
        <v>186</v>
      </c>
      <c r="G1723">
        <v>11</v>
      </c>
      <c r="H1723">
        <v>5</v>
      </c>
      <c r="I1723" s="5">
        <v>2.68817204301075E-2</v>
      </c>
      <c r="J1723" s="3">
        <v>388</v>
      </c>
      <c r="K1723" s="1">
        <v>45612</v>
      </c>
      <c r="L1723" t="s">
        <v>25</v>
      </c>
      <c r="M1723" t="s">
        <v>39</v>
      </c>
      <c r="N1723" t="s">
        <v>32</v>
      </c>
      <c r="O1723" t="s">
        <v>28</v>
      </c>
      <c r="P1723" t="s">
        <v>29</v>
      </c>
      <c r="Q1723" s="6">
        <v>0.99758064516128997</v>
      </c>
      <c r="R1723">
        <v>3.03</v>
      </c>
      <c r="S1723">
        <v>16.87</v>
      </c>
      <c r="T1723">
        <v>37.11</v>
      </c>
      <c r="U1723">
        <v>109.11</v>
      </c>
      <c r="V1723">
        <v>77.599999999999994</v>
      </c>
      <c r="W1723">
        <v>2.09</v>
      </c>
    </row>
    <row r="1724" spans="1:23" x14ac:dyDescent="0.3">
      <c r="A1724">
        <v>1724</v>
      </c>
      <c r="B1724" t="s">
        <v>1767</v>
      </c>
      <c r="C1724" t="s">
        <v>35</v>
      </c>
      <c r="D1724">
        <v>129</v>
      </c>
      <c r="E1724">
        <v>3454</v>
      </c>
      <c r="F1724" s="3">
        <v>223</v>
      </c>
      <c r="G1724">
        <v>17</v>
      </c>
      <c r="H1724">
        <v>8</v>
      </c>
      <c r="I1724" s="5">
        <v>6.2015503875968901E-2</v>
      </c>
      <c r="J1724" s="3">
        <v>284</v>
      </c>
      <c r="K1724" s="1">
        <v>45597</v>
      </c>
      <c r="L1724" t="s">
        <v>25</v>
      </c>
      <c r="M1724" t="s">
        <v>39</v>
      </c>
      <c r="N1724" t="s">
        <v>49</v>
      </c>
      <c r="O1724" t="s">
        <v>28</v>
      </c>
      <c r="P1724" t="s">
        <v>45</v>
      </c>
      <c r="Q1724" s="6">
        <v>1.7297674418604601</v>
      </c>
      <c r="R1724">
        <v>3.73</v>
      </c>
      <c r="S1724">
        <v>13.13</v>
      </c>
      <c r="T1724">
        <v>27.89</v>
      </c>
      <c r="U1724">
        <v>27.27</v>
      </c>
      <c r="V1724">
        <v>35.5</v>
      </c>
      <c r="W1724">
        <v>1.27</v>
      </c>
    </row>
    <row r="1725" spans="1:23" x14ac:dyDescent="0.3">
      <c r="A1725">
        <v>1725</v>
      </c>
      <c r="B1725" t="s">
        <v>1768</v>
      </c>
      <c r="C1725" t="s">
        <v>38</v>
      </c>
      <c r="D1725">
        <v>162</v>
      </c>
      <c r="E1725">
        <v>3071</v>
      </c>
      <c r="F1725" s="3">
        <v>232</v>
      </c>
      <c r="G1725">
        <v>29</v>
      </c>
      <c r="H1725">
        <v>9</v>
      </c>
      <c r="I1725" s="5">
        <v>5.5555555555555497E-2</v>
      </c>
      <c r="J1725" s="3">
        <v>327</v>
      </c>
      <c r="K1725" s="1">
        <v>45614</v>
      </c>
      <c r="L1725" t="s">
        <v>25</v>
      </c>
      <c r="M1725" t="s">
        <v>39</v>
      </c>
      <c r="N1725" t="s">
        <v>44</v>
      </c>
      <c r="O1725" t="s">
        <v>28</v>
      </c>
      <c r="P1725" t="s">
        <v>59</v>
      </c>
      <c r="Q1725" s="6">
        <v>1.4320370370370299</v>
      </c>
      <c r="R1725">
        <v>5.28</v>
      </c>
      <c r="S1725">
        <v>8</v>
      </c>
      <c r="T1725">
        <v>25.78</v>
      </c>
      <c r="U1725">
        <v>40.950000000000003</v>
      </c>
      <c r="V1725">
        <v>36.33</v>
      </c>
      <c r="W1725">
        <v>1.41</v>
      </c>
    </row>
    <row r="1726" spans="1:23" x14ac:dyDescent="0.3">
      <c r="A1726">
        <v>1726</v>
      </c>
      <c r="B1726" t="s">
        <v>1769</v>
      </c>
      <c r="C1726" t="s">
        <v>38</v>
      </c>
      <c r="D1726">
        <v>177</v>
      </c>
      <c r="E1726">
        <v>5954</v>
      </c>
      <c r="F1726" s="3">
        <v>207</v>
      </c>
      <c r="G1726">
        <v>13</v>
      </c>
      <c r="H1726">
        <v>4</v>
      </c>
      <c r="I1726" s="5">
        <v>2.2598870056497099E-2</v>
      </c>
      <c r="J1726" s="3">
        <v>225</v>
      </c>
      <c r="K1726" s="1">
        <v>45610</v>
      </c>
      <c r="L1726" t="s">
        <v>25</v>
      </c>
      <c r="M1726" t="s">
        <v>39</v>
      </c>
      <c r="N1726" t="s">
        <v>27</v>
      </c>
      <c r="O1726" t="s">
        <v>28</v>
      </c>
      <c r="P1726" t="s">
        <v>54</v>
      </c>
      <c r="Q1726" s="6">
        <v>1.1681355932203299</v>
      </c>
      <c r="R1726">
        <v>2.97</v>
      </c>
      <c r="S1726">
        <v>15.9</v>
      </c>
      <c r="T1726">
        <v>51.69</v>
      </c>
      <c r="U1726">
        <v>8.82</v>
      </c>
      <c r="V1726">
        <v>56.25</v>
      </c>
      <c r="W1726">
        <v>1.0900000000000001</v>
      </c>
    </row>
    <row r="1727" spans="1:23" x14ac:dyDescent="0.3">
      <c r="A1727">
        <v>1727</v>
      </c>
      <c r="B1727" t="s">
        <v>1770</v>
      </c>
      <c r="C1727" t="s">
        <v>38</v>
      </c>
      <c r="D1727">
        <v>93</v>
      </c>
      <c r="E1727">
        <v>3473</v>
      </c>
      <c r="F1727" s="3">
        <v>208</v>
      </c>
      <c r="G1727">
        <v>30</v>
      </c>
      <c r="H1727">
        <v>9</v>
      </c>
      <c r="I1727" s="5">
        <v>9.6774193548387094E-2</v>
      </c>
      <c r="J1727" s="3">
        <v>363</v>
      </c>
      <c r="K1727" s="1">
        <v>45604</v>
      </c>
      <c r="L1727" t="s">
        <v>25</v>
      </c>
      <c r="M1727" t="s">
        <v>26</v>
      </c>
      <c r="N1727" t="s">
        <v>32</v>
      </c>
      <c r="O1727" t="s">
        <v>28</v>
      </c>
      <c r="P1727" t="s">
        <v>45</v>
      </c>
      <c r="Q1727" s="6">
        <v>2.2356989247311798</v>
      </c>
      <c r="R1727">
        <v>2.68</v>
      </c>
      <c r="S1727">
        <v>6.93</v>
      </c>
      <c r="T1727">
        <v>23.1</v>
      </c>
      <c r="U1727">
        <v>74.59</v>
      </c>
      <c r="V1727">
        <v>40.33</v>
      </c>
      <c r="W1727">
        <v>1.75</v>
      </c>
    </row>
    <row r="1728" spans="1:23" x14ac:dyDescent="0.3">
      <c r="A1728">
        <v>1728</v>
      </c>
      <c r="B1728" t="s">
        <v>1771</v>
      </c>
      <c r="C1728" t="s">
        <v>35</v>
      </c>
      <c r="D1728">
        <v>117</v>
      </c>
      <c r="E1728">
        <v>4341</v>
      </c>
      <c r="F1728" s="3">
        <v>212</v>
      </c>
      <c r="G1728">
        <v>19</v>
      </c>
      <c r="H1728">
        <v>8</v>
      </c>
      <c r="I1728" s="5">
        <v>6.83760683760683E-2</v>
      </c>
      <c r="J1728" s="3">
        <v>286</v>
      </c>
      <c r="K1728" s="1">
        <v>45617</v>
      </c>
      <c r="L1728" t="s">
        <v>25</v>
      </c>
      <c r="M1728" t="s">
        <v>26</v>
      </c>
      <c r="N1728" t="s">
        <v>27</v>
      </c>
      <c r="O1728" t="s">
        <v>28</v>
      </c>
      <c r="P1728" t="s">
        <v>54</v>
      </c>
      <c r="Q1728" s="6">
        <v>1.8144444444444401</v>
      </c>
      <c r="R1728">
        <v>2.7</v>
      </c>
      <c r="S1728">
        <v>11.17</v>
      </c>
      <c r="T1728">
        <v>26.54</v>
      </c>
      <c r="U1728">
        <v>34.72</v>
      </c>
      <c r="V1728">
        <v>35.75</v>
      </c>
      <c r="W1728">
        <v>1.35</v>
      </c>
    </row>
    <row r="1729" spans="1:23" x14ac:dyDescent="0.3">
      <c r="A1729">
        <v>1729</v>
      </c>
      <c r="B1729" t="s">
        <v>1772</v>
      </c>
      <c r="C1729" t="s">
        <v>38</v>
      </c>
      <c r="D1729">
        <v>120</v>
      </c>
      <c r="E1729">
        <v>3310</v>
      </c>
      <c r="F1729" s="3">
        <v>248</v>
      </c>
      <c r="G1729">
        <v>15</v>
      </c>
      <c r="H1729">
        <v>3</v>
      </c>
      <c r="I1729" s="5">
        <v>2.5000000000000001E-2</v>
      </c>
      <c r="J1729" s="3">
        <v>323</v>
      </c>
      <c r="K1729" s="1">
        <v>45617</v>
      </c>
      <c r="L1729" t="s">
        <v>25</v>
      </c>
      <c r="M1729" t="s">
        <v>31</v>
      </c>
      <c r="N1729" t="s">
        <v>44</v>
      </c>
      <c r="O1729" t="s">
        <v>28</v>
      </c>
      <c r="P1729" t="s">
        <v>54</v>
      </c>
      <c r="Q1729" s="6">
        <v>2.0637500000000002</v>
      </c>
      <c r="R1729">
        <v>3.63</v>
      </c>
      <c r="S1729">
        <v>16.510000000000002</v>
      </c>
      <c r="T1729">
        <v>82.55</v>
      </c>
      <c r="U1729">
        <v>30.43</v>
      </c>
      <c r="V1729">
        <v>107.67</v>
      </c>
      <c r="W1729">
        <v>1.3</v>
      </c>
    </row>
    <row r="1730" spans="1:23" x14ac:dyDescent="0.3">
      <c r="A1730">
        <v>1730</v>
      </c>
      <c r="B1730" t="s">
        <v>1773</v>
      </c>
      <c r="C1730" t="s">
        <v>38</v>
      </c>
      <c r="D1730">
        <v>81</v>
      </c>
      <c r="E1730">
        <v>3694</v>
      </c>
      <c r="F1730" s="3">
        <v>184</v>
      </c>
      <c r="G1730">
        <v>17</v>
      </c>
      <c r="H1730">
        <v>3</v>
      </c>
      <c r="I1730" s="5">
        <v>3.7037037037037E-2</v>
      </c>
      <c r="J1730" s="3">
        <v>236</v>
      </c>
      <c r="K1730" s="1">
        <v>45618</v>
      </c>
      <c r="L1730" t="s">
        <v>25</v>
      </c>
      <c r="M1730" t="s">
        <v>31</v>
      </c>
      <c r="N1730" t="s">
        <v>44</v>
      </c>
      <c r="O1730" t="s">
        <v>28</v>
      </c>
      <c r="P1730" t="s">
        <v>45</v>
      </c>
      <c r="Q1730" s="6">
        <v>2.2656790123456698</v>
      </c>
      <c r="R1730">
        <v>2.19</v>
      </c>
      <c r="S1730">
        <v>10.8</v>
      </c>
      <c r="T1730">
        <v>61.17</v>
      </c>
      <c r="U1730">
        <v>28.6</v>
      </c>
      <c r="V1730">
        <v>78.67</v>
      </c>
      <c r="W1730">
        <v>1.29</v>
      </c>
    </row>
    <row r="1731" spans="1:23" x14ac:dyDescent="0.3">
      <c r="A1731">
        <v>1731</v>
      </c>
      <c r="B1731" t="s">
        <v>1774</v>
      </c>
      <c r="C1731" t="s">
        <v>38</v>
      </c>
      <c r="D1731">
        <v>91</v>
      </c>
      <c r="E1731">
        <v>3576</v>
      </c>
      <c r="F1731" s="3">
        <v>243</v>
      </c>
      <c r="G1731">
        <v>28</v>
      </c>
      <c r="H1731">
        <v>8</v>
      </c>
      <c r="I1731" s="5">
        <v>8.7912087912087905E-2</v>
      </c>
      <c r="J1731" s="3">
        <v>320</v>
      </c>
      <c r="K1731" s="1">
        <v>45621</v>
      </c>
      <c r="L1731" t="s">
        <v>25</v>
      </c>
      <c r="M1731" t="s">
        <v>31</v>
      </c>
      <c r="N1731" t="s">
        <v>40</v>
      </c>
      <c r="O1731" t="s">
        <v>28</v>
      </c>
      <c r="P1731" t="s">
        <v>59</v>
      </c>
      <c r="Q1731" s="6">
        <v>2.67054945054945</v>
      </c>
      <c r="R1731">
        <v>2.54</v>
      </c>
      <c r="S1731">
        <v>8.68</v>
      </c>
      <c r="T1731">
        <v>30.38</v>
      </c>
      <c r="U1731">
        <v>31.68</v>
      </c>
      <c r="V1731">
        <v>40</v>
      </c>
      <c r="W1731">
        <v>1.32</v>
      </c>
    </row>
    <row r="1732" spans="1:23" x14ac:dyDescent="0.3">
      <c r="A1732">
        <v>1732</v>
      </c>
      <c r="B1732" t="s">
        <v>1775</v>
      </c>
      <c r="C1732" t="s">
        <v>24</v>
      </c>
      <c r="D1732">
        <v>167</v>
      </c>
      <c r="E1732">
        <v>4856</v>
      </c>
      <c r="F1732" s="3">
        <v>232</v>
      </c>
      <c r="G1732">
        <v>18</v>
      </c>
      <c r="H1732">
        <v>7</v>
      </c>
      <c r="I1732" s="5">
        <v>4.1916167664670601E-2</v>
      </c>
      <c r="J1732" s="3">
        <v>301</v>
      </c>
      <c r="K1732" s="1">
        <v>45603</v>
      </c>
      <c r="L1732" t="s">
        <v>25</v>
      </c>
      <c r="M1732" t="s">
        <v>26</v>
      </c>
      <c r="N1732" t="s">
        <v>49</v>
      </c>
      <c r="O1732" t="s">
        <v>28</v>
      </c>
      <c r="P1732" t="s">
        <v>54</v>
      </c>
      <c r="Q1732" s="6">
        <v>1.38982035928143</v>
      </c>
      <c r="R1732">
        <v>3.44</v>
      </c>
      <c r="S1732">
        <v>12.89</v>
      </c>
      <c r="T1732">
        <v>33.159999999999997</v>
      </c>
      <c r="U1732">
        <v>29.69</v>
      </c>
      <c r="V1732">
        <v>43</v>
      </c>
      <c r="W1732">
        <v>1.3</v>
      </c>
    </row>
    <row r="1733" spans="1:23" x14ac:dyDescent="0.3">
      <c r="A1733">
        <v>1733</v>
      </c>
      <c r="B1733" t="s">
        <v>1776</v>
      </c>
      <c r="C1733" t="s">
        <v>35</v>
      </c>
      <c r="D1733">
        <v>175</v>
      </c>
      <c r="E1733">
        <v>5484</v>
      </c>
      <c r="F1733" s="3">
        <v>187</v>
      </c>
      <c r="G1733">
        <v>14</v>
      </c>
      <c r="H1733">
        <v>3</v>
      </c>
      <c r="I1733" s="5">
        <v>1.7142857142857099E-2</v>
      </c>
      <c r="J1733" s="3">
        <v>353</v>
      </c>
      <c r="K1733" s="1">
        <v>45614</v>
      </c>
      <c r="L1733" t="s">
        <v>25</v>
      </c>
      <c r="M1733" t="s">
        <v>26</v>
      </c>
      <c r="N1733" t="s">
        <v>49</v>
      </c>
      <c r="O1733" t="s">
        <v>28</v>
      </c>
      <c r="P1733" t="s">
        <v>59</v>
      </c>
      <c r="Q1733" s="6">
        <v>1.0680571428571399</v>
      </c>
      <c r="R1733">
        <v>3.19</v>
      </c>
      <c r="S1733">
        <v>13.35</v>
      </c>
      <c r="T1733">
        <v>62.3</v>
      </c>
      <c r="U1733">
        <v>88.86</v>
      </c>
      <c r="V1733">
        <v>117.67</v>
      </c>
      <c r="W1733">
        <v>1.89</v>
      </c>
    </row>
    <row r="1734" spans="1:23" x14ac:dyDescent="0.3">
      <c r="A1734">
        <v>1734</v>
      </c>
      <c r="B1734" t="s">
        <v>1777</v>
      </c>
      <c r="C1734" t="s">
        <v>38</v>
      </c>
      <c r="D1734">
        <v>121</v>
      </c>
      <c r="E1734">
        <v>3633</v>
      </c>
      <c r="F1734" s="3">
        <v>191</v>
      </c>
      <c r="G1734">
        <v>16</v>
      </c>
      <c r="H1734">
        <v>5</v>
      </c>
      <c r="I1734" s="5">
        <v>4.1322314049586702E-2</v>
      </c>
      <c r="J1734" s="3">
        <v>236</v>
      </c>
      <c r="K1734" s="1">
        <v>45612</v>
      </c>
      <c r="L1734" t="s">
        <v>25</v>
      </c>
      <c r="M1734" t="s">
        <v>39</v>
      </c>
      <c r="N1734" t="s">
        <v>36</v>
      </c>
      <c r="O1734" t="s">
        <v>28</v>
      </c>
      <c r="P1734" t="s">
        <v>29</v>
      </c>
      <c r="Q1734" s="6">
        <v>1.5770247933884201</v>
      </c>
      <c r="R1734">
        <v>3.33</v>
      </c>
      <c r="S1734">
        <v>11.93</v>
      </c>
      <c r="T1734">
        <v>38.159999999999997</v>
      </c>
      <c r="U1734">
        <v>23.68</v>
      </c>
      <c r="V1734">
        <v>47.2</v>
      </c>
      <c r="W1734">
        <v>1.24</v>
      </c>
    </row>
    <row r="1735" spans="1:23" x14ac:dyDescent="0.3">
      <c r="A1735">
        <v>1735</v>
      </c>
      <c r="B1735" t="s">
        <v>1778</v>
      </c>
      <c r="C1735" t="s">
        <v>24</v>
      </c>
      <c r="D1735">
        <v>85</v>
      </c>
      <c r="E1735">
        <v>2803</v>
      </c>
      <c r="F1735" s="3">
        <v>190</v>
      </c>
      <c r="G1735">
        <v>13</v>
      </c>
      <c r="H1735">
        <v>9</v>
      </c>
      <c r="I1735" s="5">
        <v>0.105882352941176</v>
      </c>
      <c r="J1735" s="3">
        <v>266</v>
      </c>
      <c r="K1735" s="1">
        <v>45603</v>
      </c>
      <c r="L1735" t="s">
        <v>25</v>
      </c>
      <c r="M1735" t="s">
        <v>26</v>
      </c>
      <c r="N1735" t="s">
        <v>36</v>
      </c>
      <c r="O1735" t="s">
        <v>28</v>
      </c>
      <c r="P1735" t="s">
        <v>54</v>
      </c>
      <c r="Q1735" s="6">
        <v>2.23905882352941</v>
      </c>
      <c r="R1735">
        <v>3.03</v>
      </c>
      <c r="S1735">
        <v>14.64</v>
      </c>
      <c r="T1735">
        <v>21.15</v>
      </c>
      <c r="U1735">
        <v>39.76</v>
      </c>
      <c r="V1735">
        <v>29.56</v>
      </c>
      <c r="W1735">
        <v>1.4</v>
      </c>
    </row>
    <row r="1736" spans="1:23" x14ac:dyDescent="0.3">
      <c r="A1736">
        <v>1736</v>
      </c>
      <c r="B1736" t="s">
        <v>1779</v>
      </c>
      <c r="C1736" t="s">
        <v>38</v>
      </c>
      <c r="D1736">
        <v>176</v>
      </c>
      <c r="E1736">
        <v>4474</v>
      </c>
      <c r="F1736" s="3">
        <v>216</v>
      </c>
      <c r="G1736">
        <v>28</v>
      </c>
      <c r="H1736">
        <v>9</v>
      </c>
      <c r="I1736" s="5">
        <v>5.1136363636363598E-2</v>
      </c>
      <c r="J1736" s="3">
        <v>248</v>
      </c>
      <c r="K1736" s="1">
        <v>45626</v>
      </c>
      <c r="L1736" t="s">
        <v>25</v>
      </c>
      <c r="M1736" t="s">
        <v>31</v>
      </c>
      <c r="N1736" t="s">
        <v>36</v>
      </c>
      <c r="O1736" t="s">
        <v>28</v>
      </c>
      <c r="P1736" t="s">
        <v>29</v>
      </c>
      <c r="Q1736" s="6">
        <v>1.2268749999999999</v>
      </c>
      <c r="R1736">
        <v>3.93</v>
      </c>
      <c r="S1736">
        <v>7.71</v>
      </c>
      <c r="T1736">
        <v>23.99</v>
      </c>
      <c r="U1736">
        <v>14.85</v>
      </c>
      <c r="V1736">
        <v>27.56</v>
      </c>
      <c r="W1736">
        <v>1.1499999999999999</v>
      </c>
    </row>
    <row r="1737" spans="1:23" x14ac:dyDescent="0.3">
      <c r="A1737">
        <v>1737</v>
      </c>
      <c r="B1737" t="s">
        <v>1780</v>
      </c>
      <c r="C1737" t="s">
        <v>43</v>
      </c>
      <c r="D1737">
        <v>174</v>
      </c>
      <c r="E1737">
        <v>5282</v>
      </c>
      <c r="F1737" s="3">
        <v>241</v>
      </c>
      <c r="G1737">
        <v>10</v>
      </c>
      <c r="H1737">
        <v>4</v>
      </c>
      <c r="I1737" s="5">
        <v>2.2988505747126398E-2</v>
      </c>
      <c r="J1737" s="3">
        <v>302</v>
      </c>
      <c r="K1737" s="1">
        <v>45622</v>
      </c>
      <c r="L1737" t="s">
        <v>25</v>
      </c>
      <c r="M1737" t="s">
        <v>39</v>
      </c>
      <c r="N1737" t="s">
        <v>32</v>
      </c>
      <c r="O1737" t="s">
        <v>28</v>
      </c>
      <c r="P1737" t="s">
        <v>41</v>
      </c>
      <c r="Q1737" s="6">
        <v>1.3841954022988501</v>
      </c>
      <c r="R1737">
        <v>3.29</v>
      </c>
      <c r="S1737">
        <v>24.08</v>
      </c>
      <c r="T1737">
        <v>60.21</v>
      </c>
      <c r="U1737">
        <v>25.39</v>
      </c>
      <c r="V1737">
        <v>75.5</v>
      </c>
      <c r="W1737">
        <v>1.25</v>
      </c>
    </row>
    <row r="1738" spans="1:23" x14ac:dyDescent="0.3">
      <c r="A1738">
        <v>1738</v>
      </c>
      <c r="B1738" t="s">
        <v>1781</v>
      </c>
      <c r="C1738" t="s">
        <v>38</v>
      </c>
      <c r="D1738">
        <v>180</v>
      </c>
      <c r="E1738">
        <v>3778</v>
      </c>
      <c r="F1738" s="3">
        <v>215</v>
      </c>
      <c r="G1738">
        <v>28</v>
      </c>
      <c r="H1738">
        <v>4</v>
      </c>
      <c r="I1738" s="5">
        <v>2.2222222222222199E-2</v>
      </c>
      <c r="J1738" s="3">
        <v>354</v>
      </c>
      <c r="K1738" s="1">
        <v>45610</v>
      </c>
      <c r="L1738" t="s">
        <v>25</v>
      </c>
      <c r="M1738" t="s">
        <v>26</v>
      </c>
      <c r="N1738" t="s">
        <v>32</v>
      </c>
      <c r="O1738" t="s">
        <v>28</v>
      </c>
      <c r="P1738" t="s">
        <v>54</v>
      </c>
      <c r="Q1738" s="6">
        <v>1.19255555555555</v>
      </c>
      <c r="R1738">
        <v>4.76</v>
      </c>
      <c r="S1738">
        <v>7.67</v>
      </c>
      <c r="T1738">
        <v>53.66</v>
      </c>
      <c r="U1738">
        <v>64.91</v>
      </c>
      <c r="V1738">
        <v>88.5</v>
      </c>
      <c r="W1738">
        <v>1.65</v>
      </c>
    </row>
    <row r="1739" spans="1:23" x14ac:dyDescent="0.3">
      <c r="A1739">
        <v>1739</v>
      </c>
      <c r="B1739" t="s">
        <v>1782</v>
      </c>
      <c r="C1739" t="s">
        <v>38</v>
      </c>
      <c r="D1739">
        <v>156</v>
      </c>
      <c r="E1739">
        <v>3361</v>
      </c>
      <c r="F1739" s="3">
        <v>183</v>
      </c>
      <c r="G1739">
        <v>29</v>
      </c>
      <c r="H1739">
        <v>9</v>
      </c>
      <c r="I1739" s="5">
        <v>5.7692307692307598E-2</v>
      </c>
      <c r="J1739" s="3">
        <v>253</v>
      </c>
      <c r="K1739" s="1">
        <v>45606</v>
      </c>
      <c r="L1739" t="s">
        <v>25</v>
      </c>
      <c r="M1739" t="s">
        <v>26</v>
      </c>
      <c r="N1739" t="s">
        <v>36</v>
      </c>
      <c r="O1739" t="s">
        <v>28</v>
      </c>
      <c r="P1739" t="s">
        <v>50</v>
      </c>
      <c r="Q1739" s="6">
        <v>1.17384615384615</v>
      </c>
      <c r="R1739">
        <v>4.6399999999999997</v>
      </c>
      <c r="S1739">
        <v>6.31</v>
      </c>
      <c r="T1739">
        <v>20.350000000000001</v>
      </c>
      <c r="U1739">
        <v>38.159999999999997</v>
      </c>
      <c r="V1739">
        <v>28.11</v>
      </c>
      <c r="W1739">
        <v>1.38</v>
      </c>
    </row>
    <row r="1740" spans="1:23" x14ac:dyDescent="0.3">
      <c r="A1740">
        <v>1740</v>
      </c>
      <c r="B1740" t="s">
        <v>1783</v>
      </c>
      <c r="C1740" t="s">
        <v>35</v>
      </c>
      <c r="D1740">
        <v>178</v>
      </c>
      <c r="E1740">
        <v>5877</v>
      </c>
      <c r="F1740" s="3">
        <v>224</v>
      </c>
      <c r="G1740">
        <v>21</v>
      </c>
      <c r="H1740">
        <v>9</v>
      </c>
      <c r="I1740" s="5">
        <v>5.0561797752808897E-2</v>
      </c>
      <c r="J1740" s="3">
        <v>381</v>
      </c>
      <c r="K1740" s="1">
        <v>45624</v>
      </c>
      <c r="L1740" t="s">
        <v>25</v>
      </c>
      <c r="M1740" t="s">
        <v>31</v>
      </c>
      <c r="N1740" t="s">
        <v>49</v>
      </c>
      <c r="O1740" t="s">
        <v>28</v>
      </c>
      <c r="P1740" t="s">
        <v>54</v>
      </c>
      <c r="Q1740" s="6">
        <v>1.2576966292134799</v>
      </c>
      <c r="R1740">
        <v>3.03</v>
      </c>
      <c r="S1740">
        <v>10.66</v>
      </c>
      <c r="T1740">
        <v>24.87</v>
      </c>
      <c r="U1740">
        <v>70.19</v>
      </c>
      <c r="V1740">
        <v>42.33</v>
      </c>
      <c r="W1740">
        <v>1.7</v>
      </c>
    </row>
    <row r="1741" spans="1:23" x14ac:dyDescent="0.3">
      <c r="A1741">
        <v>1741</v>
      </c>
      <c r="B1741" t="s">
        <v>1784</v>
      </c>
      <c r="C1741" t="s">
        <v>43</v>
      </c>
      <c r="D1741">
        <v>161</v>
      </c>
      <c r="E1741">
        <v>5656</v>
      </c>
      <c r="F1741" s="3">
        <v>238</v>
      </c>
      <c r="G1741">
        <v>12</v>
      </c>
      <c r="H1741">
        <v>4</v>
      </c>
      <c r="I1741" s="5">
        <v>2.4844720496894401E-2</v>
      </c>
      <c r="J1741" s="3">
        <v>258</v>
      </c>
      <c r="K1741" s="1">
        <v>45625</v>
      </c>
      <c r="L1741" t="s">
        <v>25</v>
      </c>
      <c r="M1741" t="s">
        <v>31</v>
      </c>
      <c r="N1741" t="s">
        <v>44</v>
      </c>
      <c r="O1741" t="s">
        <v>28</v>
      </c>
      <c r="P1741" t="s">
        <v>45</v>
      </c>
      <c r="Q1741" s="6">
        <v>1.4763354037267</v>
      </c>
      <c r="R1741">
        <v>2.85</v>
      </c>
      <c r="S1741">
        <v>19.809999999999999</v>
      </c>
      <c r="T1741">
        <v>59.42</v>
      </c>
      <c r="U1741">
        <v>8.5399999999999991</v>
      </c>
      <c r="V1741">
        <v>64.5</v>
      </c>
      <c r="W1741">
        <v>1.0900000000000001</v>
      </c>
    </row>
    <row r="1742" spans="1:23" x14ac:dyDescent="0.3">
      <c r="A1742">
        <v>1742</v>
      </c>
      <c r="B1742" t="s">
        <v>1785</v>
      </c>
      <c r="C1742" t="s">
        <v>24</v>
      </c>
      <c r="D1742">
        <v>87</v>
      </c>
      <c r="E1742">
        <v>3061</v>
      </c>
      <c r="F1742" s="3">
        <v>192</v>
      </c>
      <c r="G1742">
        <v>15</v>
      </c>
      <c r="H1742">
        <v>6</v>
      </c>
      <c r="I1742" s="5">
        <v>6.8965517241379296E-2</v>
      </c>
      <c r="J1742" s="3">
        <v>307</v>
      </c>
      <c r="K1742" s="1">
        <v>45616</v>
      </c>
      <c r="L1742" t="s">
        <v>25</v>
      </c>
      <c r="M1742" t="s">
        <v>39</v>
      </c>
      <c r="N1742" t="s">
        <v>36</v>
      </c>
      <c r="O1742" t="s">
        <v>28</v>
      </c>
      <c r="P1742" t="s">
        <v>33</v>
      </c>
      <c r="Q1742" s="6">
        <v>2.21022988505747</v>
      </c>
      <c r="R1742">
        <v>2.84</v>
      </c>
      <c r="S1742">
        <v>12.82</v>
      </c>
      <c r="T1742">
        <v>32.049999999999997</v>
      </c>
      <c r="U1742">
        <v>59.65</v>
      </c>
      <c r="V1742">
        <v>51.17</v>
      </c>
      <c r="W1742">
        <v>1.6</v>
      </c>
    </row>
    <row r="1743" spans="1:23" x14ac:dyDescent="0.3">
      <c r="A1743">
        <v>1743</v>
      </c>
      <c r="B1743" t="s">
        <v>1786</v>
      </c>
      <c r="C1743" t="s">
        <v>35</v>
      </c>
      <c r="D1743">
        <v>126</v>
      </c>
      <c r="E1743">
        <v>4569</v>
      </c>
      <c r="F1743" s="3">
        <v>204</v>
      </c>
      <c r="G1743">
        <v>10</v>
      </c>
      <c r="H1743">
        <v>4</v>
      </c>
      <c r="I1743" s="5">
        <v>3.1746031746031703E-2</v>
      </c>
      <c r="J1743" s="3">
        <v>212</v>
      </c>
      <c r="K1743" s="1">
        <v>45599</v>
      </c>
      <c r="L1743" t="s">
        <v>25</v>
      </c>
      <c r="M1743" t="s">
        <v>39</v>
      </c>
      <c r="N1743" t="s">
        <v>27</v>
      </c>
      <c r="O1743" t="s">
        <v>28</v>
      </c>
      <c r="P1743" t="s">
        <v>50</v>
      </c>
      <c r="Q1743" s="6">
        <v>1.6200793650793599</v>
      </c>
      <c r="R1743">
        <v>2.76</v>
      </c>
      <c r="S1743">
        <v>20.41</v>
      </c>
      <c r="T1743">
        <v>51.03</v>
      </c>
      <c r="U1743">
        <v>3.86</v>
      </c>
      <c r="V1743">
        <v>53</v>
      </c>
      <c r="W1743">
        <v>1.04</v>
      </c>
    </row>
    <row r="1744" spans="1:23" x14ac:dyDescent="0.3">
      <c r="A1744">
        <v>1744</v>
      </c>
      <c r="B1744" t="s">
        <v>1787</v>
      </c>
      <c r="C1744" t="s">
        <v>35</v>
      </c>
      <c r="D1744">
        <v>151</v>
      </c>
      <c r="E1744">
        <v>5067</v>
      </c>
      <c r="F1744" s="3">
        <v>199</v>
      </c>
      <c r="G1744">
        <v>13</v>
      </c>
      <c r="H1744">
        <v>5</v>
      </c>
      <c r="I1744" s="5">
        <v>3.3112582781456901E-2</v>
      </c>
      <c r="J1744" s="3">
        <v>341</v>
      </c>
      <c r="K1744" s="1">
        <v>45623</v>
      </c>
      <c r="L1744" t="s">
        <v>25</v>
      </c>
      <c r="M1744" t="s">
        <v>31</v>
      </c>
      <c r="N1744" t="s">
        <v>40</v>
      </c>
      <c r="O1744" t="s">
        <v>28</v>
      </c>
      <c r="P1744" t="s">
        <v>33</v>
      </c>
      <c r="Q1744" s="6">
        <v>1.31867549668874</v>
      </c>
      <c r="R1744">
        <v>2.98</v>
      </c>
      <c r="S1744">
        <v>15.32</v>
      </c>
      <c r="T1744">
        <v>39.82</v>
      </c>
      <c r="U1744">
        <v>71.25</v>
      </c>
      <c r="V1744">
        <v>68.2</v>
      </c>
      <c r="W1744">
        <v>1.71</v>
      </c>
    </row>
    <row r="1745" spans="1:23" x14ac:dyDescent="0.3">
      <c r="A1745">
        <v>1745</v>
      </c>
      <c r="B1745" t="s">
        <v>1788</v>
      </c>
      <c r="C1745" t="s">
        <v>35</v>
      </c>
      <c r="D1745">
        <v>85</v>
      </c>
      <c r="E1745">
        <v>5612</v>
      </c>
      <c r="F1745" s="3">
        <v>246</v>
      </c>
      <c r="G1745">
        <v>12</v>
      </c>
      <c r="H1745">
        <v>7</v>
      </c>
      <c r="I1745" s="5">
        <v>8.2352941176470504E-2</v>
      </c>
      <c r="J1745" s="3">
        <v>229</v>
      </c>
      <c r="K1745" s="1">
        <v>45612</v>
      </c>
      <c r="L1745" t="s">
        <v>25</v>
      </c>
      <c r="M1745" t="s">
        <v>31</v>
      </c>
      <c r="N1745" t="s">
        <v>27</v>
      </c>
      <c r="O1745" t="s">
        <v>28</v>
      </c>
      <c r="P1745" t="s">
        <v>29</v>
      </c>
      <c r="Q1745" s="6">
        <v>2.8925882352941099</v>
      </c>
      <c r="R1745">
        <v>1.51</v>
      </c>
      <c r="S1745">
        <v>20.49</v>
      </c>
      <c r="T1745">
        <v>35.119999999999997</v>
      </c>
      <c r="U1745">
        <v>-6.86</v>
      </c>
      <c r="V1745">
        <v>32.71</v>
      </c>
      <c r="W1745">
        <v>0.93</v>
      </c>
    </row>
    <row r="1746" spans="1:23" x14ac:dyDescent="0.3">
      <c r="A1746">
        <v>1746</v>
      </c>
      <c r="B1746" t="s">
        <v>1789</v>
      </c>
      <c r="C1746" t="s">
        <v>24</v>
      </c>
      <c r="D1746">
        <v>104</v>
      </c>
      <c r="E1746">
        <v>4627</v>
      </c>
      <c r="F1746" s="3">
        <v>201</v>
      </c>
      <c r="G1746">
        <v>28</v>
      </c>
      <c r="H1746">
        <v>6</v>
      </c>
      <c r="I1746" s="5">
        <v>5.7692307692307598E-2</v>
      </c>
      <c r="J1746" s="3">
        <v>370</v>
      </c>
      <c r="K1746" s="1">
        <v>45612</v>
      </c>
      <c r="L1746" t="s">
        <v>25</v>
      </c>
      <c r="M1746" t="s">
        <v>39</v>
      </c>
      <c r="N1746" t="s">
        <v>40</v>
      </c>
      <c r="O1746" t="s">
        <v>28</v>
      </c>
      <c r="P1746" t="s">
        <v>29</v>
      </c>
      <c r="Q1746" s="6">
        <v>1.9324999999999899</v>
      </c>
      <c r="R1746">
        <v>2.25</v>
      </c>
      <c r="S1746">
        <v>7.18</v>
      </c>
      <c r="T1746">
        <v>33.5</v>
      </c>
      <c r="U1746">
        <v>84.1</v>
      </c>
      <c r="V1746">
        <v>61.67</v>
      </c>
      <c r="W1746">
        <v>1.84</v>
      </c>
    </row>
    <row r="1747" spans="1:23" x14ac:dyDescent="0.3">
      <c r="A1747">
        <v>1747</v>
      </c>
      <c r="B1747" t="s">
        <v>1790</v>
      </c>
      <c r="C1747" t="s">
        <v>24</v>
      </c>
      <c r="D1747">
        <v>103</v>
      </c>
      <c r="E1747">
        <v>4264</v>
      </c>
      <c r="F1747" s="3">
        <v>215</v>
      </c>
      <c r="G1747">
        <v>27</v>
      </c>
      <c r="H1747">
        <v>4</v>
      </c>
      <c r="I1747" s="5">
        <v>3.88349514563106E-2</v>
      </c>
      <c r="J1747" s="3">
        <v>368</v>
      </c>
      <c r="K1747" s="1">
        <v>45607</v>
      </c>
      <c r="L1747" t="s">
        <v>25</v>
      </c>
      <c r="M1747" t="s">
        <v>26</v>
      </c>
      <c r="N1747" t="s">
        <v>27</v>
      </c>
      <c r="O1747" t="s">
        <v>28</v>
      </c>
      <c r="P1747" t="s">
        <v>59</v>
      </c>
      <c r="Q1747" s="6">
        <v>2.0831067961165002</v>
      </c>
      <c r="R1747">
        <v>2.42</v>
      </c>
      <c r="S1747">
        <v>7.95</v>
      </c>
      <c r="T1747">
        <v>53.64</v>
      </c>
      <c r="U1747">
        <v>71.510000000000005</v>
      </c>
      <c r="V1747">
        <v>92</v>
      </c>
      <c r="W1747">
        <v>1.72</v>
      </c>
    </row>
    <row r="1748" spans="1:23" x14ac:dyDescent="0.3">
      <c r="A1748">
        <v>1748</v>
      </c>
      <c r="B1748" t="s">
        <v>1791</v>
      </c>
      <c r="C1748" t="s">
        <v>38</v>
      </c>
      <c r="D1748">
        <v>162</v>
      </c>
      <c r="E1748">
        <v>5815</v>
      </c>
      <c r="F1748" s="3">
        <v>198</v>
      </c>
      <c r="G1748">
        <v>11</v>
      </c>
      <c r="H1748">
        <v>7</v>
      </c>
      <c r="I1748" s="5">
        <v>4.3209876543209798E-2</v>
      </c>
      <c r="J1748" s="3">
        <v>300</v>
      </c>
      <c r="K1748" s="1">
        <v>45619</v>
      </c>
      <c r="L1748" t="s">
        <v>25</v>
      </c>
      <c r="M1748" t="s">
        <v>39</v>
      </c>
      <c r="N1748" t="s">
        <v>32</v>
      </c>
      <c r="O1748" t="s">
        <v>28</v>
      </c>
      <c r="P1748" t="s">
        <v>29</v>
      </c>
      <c r="Q1748" s="6">
        <v>1.22524691358024</v>
      </c>
      <c r="R1748">
        <v>2.79</v>
      </c>
      <c r="S1748">
        <v>18.04</v>
      </c>
      <c r="T1748">
        <v>28.36</v>
      </c>
      <c r="U1748">
        <v>51.14</v>
      </c>
      <c r="V1748">
        <v>42.86</v>
      </c>
      <c r="W1748">
        <v>1.51</v>
      </c>
    </row>
    <row r="1749" spans="1:23" x14ac:dyDescent="0.3">
      <c r="A1749">
        <v>1749</v>
      </c>
      <c r="B1749" t="s">
        <v>1792</v>
      </c>
      <c r="C1749" t="s">
        <v>24</v>
      </c>
      <c r="D1749">
        <v>161</v>
      </c>
      <c r="E1749">
        <v>3597</v>
      </c>
      <c r="F1749" s="3">
        <v>218</v>
      </c>
      <c r="G1749">
        <v>29</v>
      </c>
      <c r="H1749">
        <v>6</v>
      </c>
      <c r="I1749" s="5">
        <v>3.7267080745341602E-2</v>
      </c>
      <c r="J1749" s="3">
        <v>376</v>
      </c>
      <c r="K1749" s="1">
        <v>45602</v>
      </c>
      <c r="L1749" t="s">
        <v>25</v>
      </c>
      <c r="M1749" t="s">
        <v>39</v>
      </c>
      <c r="N1749" t="s">
        <v>32</v>
      </c>
      <c r="O1749" t="s">
        <v>28</v>
      </c>
      <c r="P1749" t="s">
        <v>33</v>
      </c>
      <c r="Q1749" s="6">
        <v>1.35621118012422</v>
      </c>
      <c r="R1749">
        <v>4.4800000000000004</v>
      </c>
      <c r="S1749">
        <v>7.53</v>
      </c>
      <c r="T1749">
        <v>36.39</v>
      </c>
      <c r="U1749">
        <v>72.2</v>
      </c>
      <c r="V1749">
        <v>62.67</v>
      </c>
      <c r="W1749">
        <v>1.72</v>
      </c>
    </row>
    <row r="1750" spans="1:23" x14ac:dyDescent="0.3">
      <c r="A1750">
        <v>1750</v>
      </c>
      <c r="B1750" t="s">
        <v>1793</v>
      </c>
      <c r="C1750" t="s">
        <v>43</v>
      </c>
      <c r="D1750">
        <v>83</v>
      </c>
      <c r="E1750">
        <v>5973</v>
      </c>
      <c r="F1750" s="3">
        <v>224</v>
      </c>
      <c r="G1750">
        <v>25</v>
      </c>
      <c r="H1750">
        <v>9</v>
      </c>
      <c r="I1750" s="5">
        <v>0.108433734939759</v>
      </c>
      <c r="J1750" s="3">
        <v>244</v>
      </c>
      <c r="K1750" s="1">
        <v>45606</v>
      </c>
      <c r="L1750" t="s">
        <v>25</v>
      </c>
      <c r="M1750" t="s">
        <v>31</v>
      </c>
      <c r="N1750" t="s">
        <v>49</v>
      </c>
      <c r="O1750" t="s">
        <v>28</v>
      </c>
      <c r="P1750" t="s">
        <v>50</v>
      </c>
      <c r="Q1750" s="6">
        <v>2.6995180722891501</v>
      </c>
      <c r="R1750">
        <v>1.39</v>
      </c>
      <c r="S1750">
        <v>8.9600000000000009</v>
      </c>
      <c r="T1750">
        <v>24.9</v>
      </c>
      <c r="U1750">
        <v>8.9</v>
      </c>
      <c r="V1750">
        <v>27.11</v>
      </c>
      <c r="W1750">
        <v>1.0900000000000001</v>
      </c>
    </row>
    <row r="1751" spans="1:23" x14ac:dyDescent="0.3">
      <c r="A1751">
        <v>1751</v>
      </c>
      <c r="B1751" t="s">
        <v>1794</v>
      </c>
      <c r="C1751" t="s">
        <v>35</v>
      </c>
      <c r="D1751">
        <v>165</v>
      </c>
      <c r="E1751">
        <v>3430</v>
      </c>
      <c r="F1751" s="3">
        <v>249</v>
      </c>
      <c r="G1751">
        <v>26</v>
      </c>
      <c r="H1751">
        <v>8</v>
      </c>
      <c r="I1751" s="5">
        <v>4.8484848484848402E-2</v>
      </c>
      <c r="J1751" s="3">
        <v>216</v>
      </c>
      <c r="K1751" s="1">
        <v>45602</v>
      </c>
      <c r="L1751" t="s">
        <v>25</v>
      </c>
      <c r="M1751" t="s">
        <v>26</v>
      </c>
      <c r="N1751" t="s">
        <v>49</v>
      </c>
      <c r="O1751" t="s">
        <v>28</v>
      </c>
      <c r="P1751" t="s">
        <v>33</v>
      </c>
      <c r="Q1751" s="6">
        <v>1.5066060606060601</v>
      </c>
      <c r="R1751">
        <v>4.8099999999999996</v>
      </c>
      <c r="S1751">
        <v>9.56</v>
      </c>
      <c r="T1751">
        <v>31.07</v>
      </c>
      <c r="U1751">
        <v>-13.11</v>
      </c>
      <c r="V1751">
        <v>27</v>
      </c>
      <c r="W1751">
        <v>0.87</v>
      </c>
    </row>
    <row r="1752" spans="1:23" x14ac:dyDescent="0.3">
      <c r="A1752">
        <v>1752</v>
      </c>
      <c r="B1752" t="s">
        <v>1795</v>
      </c>
      <c r="C1752" t="s">
        <v>24</v>
      </c>
      <c r="D1752">
        <v>134</v>
      </c>
      <c r="E1752">
        <v>5085</v>
      </c>
      <c r="F1752" s="3">
        <v>186</v>
      </c>
      <c r="G1752">
        <v>18</v>
      </c>
      <c r="H1752">
        <v>8</v>
      </c>
      <c r="I1752" s="5">
        <v>5.9701492537313397E-2</v>
      </c>
      <c r="J1752" s="3">
        <v>211</v>
      </c>
      <c r="K1752" s="1">
        <v>45623</v>
      </c>
      <c r="L1752" t="s">
        <v>25</v>
      </c>
      <c r="M1752" t="s">
        <v>31</v>
      </c>
      <c r="N1752" t="s">
        <v>32</v>
      </c>
      <c r="O1752" t="s">
        <v>28</v>
      </c>
      <c r="P1752" t="s">
        <v>33</v>
      </c>
      <c r="Q1752" s="6">
        <v>1.3888059701492499</v>
      </c>
      <c r="R1752">
        <v>2.64</v>
      </c>
      <c r="S1752">
        <v>10.34</v>
      </c>
      <c r="T1752">
        <v>23.26</v>
      </c>
      <c r="U1752">
        <v>13.38</v>
      </c>
      <c r="V1752">
        <v>26.38</v>
      </c>
      <c r="W1752">
        <v>1.1299999999999999</v>
      </c>
    </row>
    <row r="1753" spans="1:23" x14ac:dyDescent="0.3">
      <c r="A1753">
        <v>1753</v>
      </c>
      <c r="B1753" t="s">
        <v>1796</v>
      </c>
      <c r="C1753" t="s">
        <v>38</v>
      </c>
      <c r="D1753">
        <v>126</v>
      </c>
      <c r="E1753">
        <v>4906</v>
      </c>
      <c r="F1753" s="3">
        <v>223</v>
      </c>
      <c r="G1753">
        <v>16</v>
      </c>
      <c r="H1753">
        <v>9</v>
      </c>
      <c r="I1753" s="5">
        <v>7.1428571428571397E-2</v>
      </c>
      <c r="J1753" s="3">
        <v>294</v>
      </c>
      <c r="K1753" s="1">
        <v>45621</v>
      </c>
      <c r="L1753" t="s">
        <v>25</v>
      </c>
      <c r="M1753" t="s">
        <v>31</v>
      </c>
      <c r="N1753" t="s">
        <v>27</v>
      </c>
      <c r="O1753" t="s">
        <v>28</v>
      </c>
      <c r="P1753" t="s">
        <v>59</v>
      </c>
      <c r="Q1753" s="6">
        <v>1.7692063492063399</v>
      </c>
      <c r="R1753">
        <v>2.57</v>
      </c>
      <c r="S1753">
        <v>13.93</v>
      </c>
      <c r="T1753">
        <v>24.77</v>
      </c>
      <c r="U1753">
        <v>31.89</v>
      </c>
      <c r="V1753">
        <v>32.67</v>
      </c>
      <c r="W1753">
        <v>1.32</v>
      </c>
    </row>
    <row r="1754" spans="1:23" x14ac:dyDescent="0.3">
      <c r="A1754">
        <v>1754</v>
      </c>
      <c r="B1754" t="s">
        <v>1797</v>
      </c>
      <c r="C1754" t="s">
        <v>24</v>
      </c>
      <c r="D1754">
        <v>173</v>
      </c>
      <c r="E1754">
        <v>5082</v>
      </c>
      <c r="F1754" s="3">
        <v>199</v>
      </c>
      <c r="G1754">
        <v>16</v>
      </c>
      <c r="H1754">
        <v>3</v>
      </c>
      <c r="I1754" s="5">
        <v>1.7341040462427699E-2</v>
      </c>
      <c r="J1754" s="3">
        <v>230</v>
      </c>
      <c r="K1754" s="1">
        <v>45610</v>
      </c>
      <c r="L1754" t="s">
        <v>25</v>
      </c>
      <c r="M1754" t="s">
        <v>39</v>
      </c>
      <c r="N1754" t="s">
        <v>49</v>
      </c>
      <c r="O1754" t="s">
        <v>28</v>
      </c>
      <c r="P1754" t="s">
        <v>54</v>
      </c>
      <c r="Q1754" s="6">
        <v>1.14884393063583</v>
      </c>
      <c r="R1754">
        <v>3.4</v>
      </c>
      <c r="S1754">
        <v>12.42</v>
      </c>
      <c r="T1754">
        <v>66.25</v>
      </c>
      <c r="U1754">
        <v>15.72</v>
      </c>
      <c r="V1754">
        <v>76.67</v>
      </c>
      <c r="W1754">
        <v>1.1599999999999999</v>
      </c>
    </row>
    <row r="1755" spans="1:23" x14ac:dyDescent="0.3">
      <c r="A1755">
        <v>1755</v>
      </c>
      <c r="B1755" t="s">
        <v>1798</v>
      </c>
      <c r="C1755" t="s">
        <v>35</v>
      </c>
      <c r="D1755">
        <v>174</v>
      </c>
      <c r="E1755">
        <v>4661</v>
      </c>
      <c r="F1755" s="3">
        <v>201</v>
      </c>
      <c r="G1755">
        <v>25</v>
      </c>
      <c r="H1755">
        <v>5</v>
      </c>
      <c r="I1755" s="5">
        <v>2.8735632183908E-2</v>
      </c>
      <c r="J1755" s="3">
        <v>326</v>
      </c>
      <c r="K1755" s="1">
        <v>45616</v>
      </c>
      <c r="L1755" t="s">
        <v>25</v>
      </c>
      <c r="M1755" t="s">
        <v>26</v>
      </c>
      <c r="N1755" t="s">
        <v>32</v>
      </c>
      <c r="O1755" t="s">
        <v>28</v>
      </c>
      <c r="P1755" t="s">
        <v>33</v>
      </c>
      <c r="Q1755" s="6">
        <v>1.1536781609195399</v>
      </c>
      <c r="R1755">
        <v>3.73</v>
      </c>
      <c r="S1755">
        <v>8.0299999999999994</v>
      </c>
      <c r="T1755">
        <v>40.15</v>
      </c>
      <c r="U1755">
        <v>62.4</v>
      </c>
      <c r="V1755">
        <v>65.2</v>
      </c>
      <c r="W1755">
        <v>1.62</v>
      </c>
    </row>
    <row r="1756" spans="1:23" x14ac:dyDescent="0.3">
      <c r="A1756">
        <v>1756</v>
      </c>
      <c r="B1756" t="s">
        <v>1799</v>
      </c>
      <c r="C1756" t="s">
        <v>24</v>
      </c>
      <c r="D1756">
        <v>149</v>
      </c>
      <c r="E1756">
        <v>3573</v>
      </c>
      <c r="F1756" s="3">
        <v>248</v>
      </c>
      <c r="G1756">
        <v>20</v>
      </c>
      <c r="H1756">
        <v>4</v>
      </c>
      <c r="I1756" s="5">
        <v>2.68456375838926E-2</v>
      </c>
      <c r="J1756" s="3">
        <v>356</v>
      </c>
      <c r="K1756" s="1">
        <v>45599</v>
      </c>
      <c r="L1756" t="s">
        <v>25</v>
      </c>
      <c r="M1756" t="s">
        <v>31</v>
      </c>
      <c r="N1756" t="s">
        <v>49</v>
      </c>
      <c r="O1756" t="s">
        <v>28</v>
      </c>
      <c r="P1756" t="s">
        <v>50</v>
      </c>
      <c r="Q1756" s="6">
        <v>1.6612080536912699</v>
      </c>
      <c r="R1756">
        <v>4.17</v>
      </c>
      <c r="S1756">
        <v>12.38</v>
      </c>
      <c r="T1756">
        <v>61.88</v>
      </c>
      <c r="U1756">
        <v>43.83</v>
      </c>
      <c r="V1756">
        <v>89</v>
      </c>
      <c r="W1756">
        <v>1.44</v>
      </c>
    </row>
    <row r="1757" spans="1:23" x14ac:dyDescent="0.3">
      <c r="A1757">
        <v>1757</v>
      </c>
      <c r="B1757" t="s">
        <v>1800</v>
      </c>
      <c r="C1757" t="s">
        <v>35</v>
      </c>
      <c r="D1757">
        <v>108</v>
      </c>
      <c r="E1757">
        <v>5663</v>
      </c>
      <c r="F1757" s="3">
        <v>214</v>
      </c>
      <c r="G1757">
        <v>16</v>
      </c>
      <c r="H1757">
        <v>9</v>
      </c>
      <c r="I1757" s="5">
        <v>8.3333333333333301E-2</v>
      </c>
      <c r="J1757" s="3">
        <v>348</v>
      </c>
      <c r="K1757" s="1">
        <v>45613</v>
      </c>
      <c r="L1757" t="s">
        <v>25</v>
      </c>
      <c r="M1757" t="s">
        <v>26</v>
      </c>
      <c r="N1757" t="s">
        <v>36</v>
      </c>
      <c r="O1757" t="s">
        <v>28</v>
      </c>
      <c r="P1757" t="s">
        <v>50</v>
      </c>
      <c r="Q1757" s="6">
        <v>1.9800925925925901</v>
      </c>
      <c r="R1757">
        <v>1.91</v>
      </c>
      <c r="S1757">
        <v>13.37</v>
      </c>
      <c r="T1757">
        <v>23.76</v>
      </c>
      <c r="U1757">
        <v>62.73</v>
      </c>
      <c r="V1757">
        <v>38.67</v>
      </c>
      <c r="W1757">
        <v>1.63</v>
      </c>
    </row>
    <row r="1758" spans="1:23" x14ac:dyDescent="0.3">
      <c r="A1758">
        <v>1758</v>
      </c>
      <c r="B1758" t="s">
        <v>1801</v>
      </c>
      <c r="C1758" t="s">
        <v>24</v>
      </c>
      <c r="D1758">
        <v>99</v>
      </c>
      <c r="E1758">
        <v>4466</v>
      </c>
      <c r="F1758" s="3">
        <v>214</v>
      </c>
      <c r="G1758">
        <v>14</v>
      </c>
      <c r="H1758">
        <v>7</v>
      </c>
      <c r="I1758" s="5">
        <v>7.0707070707070704E-2</v>
      </c>
      <c r="J1758" s="3">
        <v>309</v>
      </c>
      <c r="K1758" s="1">
        <v>45611</v>
      </c>
      <c r="L1758" t="s">
        <v>25</v>
      </c>
      <c r="M1758" t="s">
        <v>26</v>
      </c>
      <c r="N1758" t="s">
        <v>49</v>
      </c>
      <c r="O1758" t="s">
        <v>28</v>
      </c>
      <c r="P1758" t="s">
        <v>45</v>
      </c>
      <c r="Q1758" s="6">
        <v>2.1624242424242399</v>
      </c>
      <c r="R1758">
        <v>2.2200000000000002</v>
      </c>
      <c r="S1758">
        <v>15.29</v>
      </c>
      <c r="T1758">
        <v>30.58</v>
      </c>
      <c r="U1758">
        <v>44.34</v>
      </c>
      <c r="V1758">
        <v>44.14</v>
      </c>
      <c r="W1758">
        <v>1.44</v>
      </c>
    </row>
    <row r="1759" spans="1:23" x14ac:dyDescent="0.3">
      <c r="A1759">
        <v>1759</v>
      </c>
      <c r="B1759" t="s">
        <v>1802</v>
      </c>
      <c r="C1759" t="s">
        <v>35</v>
      </c>
      <c r="D1759">
        <v>113</v>
      </c>
      <c r="E1759">
        <v>3120</v>
      </c>
      <c r="F1759" s="3">
        <v>250</v>
      </c>
      <c r="G1759">
        <v>20</v>
      </c>
      <c r="H1759">
        <v>8</v>
      </c>
      <c r="I1759" s="5">
        <v>7.0796460176991094E-2</v>
      </c>
      <c r="J1759" s="3">
        <v>387</v>
      </c>
      <c r="K1759" s="1">
        <v>45623</v>
      </c>
      <c r="L1759" t="s">
        <v>25</v>
      </c>
      <c r="M1759" t="s">
        <v>31</v>
      </c>
      <c r="N1759" t="s">
        <v>40</v>
      </c>
      <c r="O1759" t="s">
        <v>28</v>
      </c>
      <c r="P1759" t="s">
        <v>33</v>
      </c>
      <c r="Q1759" s="6">
        <v>2.20938053097345</v>
      </c>
      <c r="R1759">
        <v>3.62</v>
      </c>
      <c r="S1759">
        <v>12.48</v>
      </c>
      <c r="T1759">
        <v>31.21</v>
      </c>
      <c r="U1759">
        <v>55.01</v>
      </c>
      <c r="V1759">
        <v>48.38</v>
      </c>
      <c r="W1759">
        <v>1.55</v>
      </c>
    </row>
    <row r="1760" spans="1:23" x14ac:dyDescent="0.3">
      <c r="A1760">
        <v>1760</v>
      </c>
      <c r="B1760" t="s">
        <v>1803</v>
      </c>
      <c r="C1760" t="s">
        <v>35</v>
      </c>
      <c r="D1760">
        <v>84</v>
      </c>
      <c r="E1760">
        <v>3911</v>
      </c>
      <c r="F1760" s="3">
        <v>206</v>
      </c>
      <c r="G1760">
        <v>13</v>
      </c>
      <c r="H1760">
        <v>7</v>
      </c>
      <c r="I1760" s="5">
        <v>8.3333333333333301E-2</v>
      </c>
      <c r="J1760" s="3">
        <v>236</v>
      </c>
      <c r="K1760" s="1">
        <v>45614</v>
      </c>
      <c r="L1760" t="s">
        <v>25</v>
      </c>
      <c r="M1760" t="s">
        <v>39</v>
      </c>
      <c r="N1760" t="s">
        <v>27</v>
      </c>
      <c r="O1760" t="s">
        <v>28</v>
      </c>
      <c r="P1760" t="s">
        <v>59</v>
      </c>
      <c r="Q1760" s="6">
        <v>2.45309523809523</v>
      </c>
      <c r="R1760">
        <v>2.15</v>
      </c>
      <c r="S1760">
        <v>15.85</v>
      </c>
      <c r="T1760">
        <v>29.44</v>
      </c>
      <c r="U1760">
        <v>14.53</v>
      </c>
      <c r="V1760">
        <v>33.71</v>
      </c>
      <c r="W1760">
        <v>1.1499999999999999</v>
      </c>
    </row>
    <row r="1761" spans="1:23" x14ac:dyDescent="0.3">
      <c r="A1761">
        <v>1761</v>
      </c>
      <c r="B1761" t="s">
        <v>1804</v>
      </c>
      <c r="C1761" t="s">
        <v>35</v>
      </c>
      <c r="D1761">
        <v>182</v>
      </c>
      <c r="E1761">
        <v>3458</v>
      </c>
      <c r="F1761" s="3">
        <v>187</v>
      </c>
      <c r="G1761">
        <v>28</v>
      </c>
      <c r="H1761">
        <v>9</v>
      </c>
      <c r="I1761" s="5">
        <v>4.94505494505494E-2</v>
      </c>
      <c r="J1761" s="3">
        <v>404</v>
      </c>
      <c r="K1761" s="1">
        <v>45597</v>
      </c>
      <c r="L1761" t="s">
        <v>25</v>
      </c>
      <c r="M1761" t="s">
        <v>26</v>
      </c>
      <c r="N1761" t="s">
        <v>27</v>
      </c>
      <c r="O1761" t="s">
        <v>28</v>
      </c>
      <c r="P1761" t="s">
        <v>45</v>
      </c>
      <c r="Q1761" s="6">
        <v>1.0247802197802101</v>
      </c>
      <c r="R1761">
        <v>5.26</v>
      </c>
      <c r="S1761">
        <v>6.66</v>
      </c>
      <c r="T1761">
        <v>20.72</v>
      </c>
      <c r="U1761">
        <v>116.61</v>
      </c>
      <c r="V1761">
        <v>44.89</v>
      </c>
      <c r="W1761">
        <v>2.17</v>
      </c>
    </row>
    <row r="1762" spans="1:23" x14ac:dyDescent="0.3">
      <c r="A1762">
        <v>1762</v>
      </c>
      <c r="B1762" t="s">
        <v>1805</v>
      </c>
      <c r="C1762" t="s">
        <v>35</v>
      </c>
      <c r="D1762">
        <v>82</v>
      </c>
      <c r="E1762">
        <v>3261</v>
      </c>
      <c r="F1762" s="3">
        <v>245</v>
      </c>
      <c r="G1762">
        <v>30</v>
      </c>
      <c r="H1762">
        <v>8</v>
      </c>
      <c r="I1762" s="5">
        <v>9.7560975609756101E-2</v>
      </c>
      <c r="J1762" s="3">
        <v>392</v>
      </c>
      <c r="K1762" s="1">
        <v>45605</v>
      </c>
      <c r="L1762" t="s">
        <v>25</v>
      </c>
      <c r="M1762" t="s">
        <v>26</v>
      </c>
      <c r="N1762" t="s">
        <v>32</v>
      </c>
      <c r="O1762" t="s">
        <v>28</v>
      </c>
      <c r="P1762" t="s">
        <v>29</v>
      </c>
      <c r="Q1762" s="6">
        <v>2.99195121951219</v>
      </c>
      <c r="R1762">
        <v>2.5099999999999998</v>
      </c>
      <c r="S1762">
        <v>8.18</v>
      </c>
      <c r="T1762">
        <v>30.67</v>
      </c>
      <c r="U1762">
        <v>59.78</v>
      </c>
      <c r="V1762">
        <v>49</v>
      </c>
      <c r="W1762">
        <v>1.6</v>
      </c>
    </row>
    <row r="1763" spans="1:23" x14ac:dyDescent="0.3">
      <c r="A1763">
        <v>1763</v>
      </c>
      <c r="B1763" t="s">
        <v>1806</v>
      </c>
      <c r="C1763" t="s">
        <v>38</v>
      </c>
      <c r="D1763">
        <v>103</v>
      </c>
      <c r="E1763">
        <v>3844</v>
      </c>
      <c r="F1763" s="3">
        <v>232</v>
      </c>
      <c r="G1763">
        <v>13</v>
      </c>
      <c r="H1763">
        <v>7</v>
      </c>
      <c r="I1763" s="5">
        <v>6.7961165048543604E-2</v>
      </c>
      <c r="J1763" s="3">
        <v>360</v>
      </c>
      <c r="K1763" s="1">
        <v>45621</v>
      </c>
      <c r="L1763" t="s">
        <v>25</v>
      </c>
      <c r="M1763" t="s">
        <v>31</v>
      </c>
      <c r="N1763" t="s">
        <v>27</v>
      </c>
      <c r="O1763" t="s">
        <v>28</v>
      </c>
      <c r="P1763" t="s">
        <v>59</v>
      </c>
      <c r="Q1763" s="6">
        <v>2.2562135922330002</v>
      </c>
      <c r="R1763">
        <v>2.68</v>
      </c>
      <c r="S1763">
        <v>17.88</v>
      </c>
      <c r="T1763">
        <v>33.200000000000003</v>
      </c>
      <c r="U1763">
        <v>54.91</v>
      </c>
      <c r="V1763">
        <v>51.43</v>
      </c>
      <c r="W1763">
        <v>1.55</v>
      </c>
    </row>
    <row r="1764" spans="1:23" x14ac:dyDescent="0.3">
      <c r="A1764">
        <v>1764</v>
      </c>
      <c r="B1764" t="s">
        <v>1807</v>
      </c>
      <c r="C1764" t="s">
        <v>38</v>
      </c>
      <c r="D1764">
        <v>117</v>
      </c>
      <c r="E1764">
        <v>4298</v>
      </c>
      <c r="F1764" s="3">
        <v>228</v>
      </c>
      <c r="G1764">
        <v>15</v>
      </c>
      <c r="H1764">
        <v>8</v>
      </c>
      <c r="I1764" s="5">
        <v>6.83760683760683E-2</v>
      </c>
      <c r="J1764" s="3">
        <v>309</v>
      </c>
      <c r="K1764" s="1">
        <v>45617</v>
      </c>
      <c r="L1764" t="s">
        <v>25</v>
      </c>
      <c r="M1764" t="s">
        <v>39</v>
      </c>
      <c r="N1764" t="s">
        <v>44</v>
      </c>
      <c r="O1764" t="s">
        <v>28</v>
      </c>
      <c r="P1764" t="s">
        <v>54</v>
      </c>
      <c r="Q1764" s="6">
        <v>1.94803418803418</v>
      </c>
      <c r="R1764">
        <v>2.72</v>
      </c>
      <c r="S1764">
        <v>15.19</v>
      </c>
      <c r="T1764">
        <v>28.49</v>
      </c>
      <c r="U1764">
        <v>35.57</v>
      </c>
      <c r="V1764">
        <v>38.619999999999997</v>
      </c>
      <c r="W1764">
        <v>1.36</v>
      </c>
    </row>
    <row r="1765" spans="1:23" x14ac:dyDescent="0.3">
      <c r="A1765">
        <v>1765</v>
      </c>
      <c r="B1765" t="s">
        <v>1808</v>
      </c>
      <c r="C1765" t="s">
        <v>35</v>
      </c>
      <c r="D1765">
        <v>93</v>
      </c>
      <c r="E1765">
        <v>4998</v>
      </c>
      <c r="F1765" s="3">
        <v>202</v>
      </c>
      <c r="G1765">
        <v>17</v>
      </c>
      <c r="H1765">
        <v>8</v>
      </c>
      <c r="I1765" s="5">
        <v>8.6021505376343996E-2</v>
      </c>
      <c r="J1765" s="3">
        <v>248</v>
      </c>
      <c r="K1765" s="1">
        <v>45608</v>
      </c>
      <c r="L1765" t="s">
        <v>25</v>
      </c>
      <c r="M1765" t="s">
        <v>26</v>
      </c>
      <c r="N1765" t="s">
        <v>32</v>
      </c>
      <c r="O1765" t="s">
        <v>28</v>
      </c>
      <c r="P1765" t="s">
        <v>41</v>
      </c>
      <c r="Q1765" s="6">
        <v>2.1718279569892398</v>
      </c>
      <c r="R1765">
        <v>1.86</v>
      </c>
      <c r="S1765">
        <v>11.88</v>
      </c>
      <c r="T1765">
        <v>25.25</v>
      </c>
      <c r="U1765">
        <v>22.78</v>
      </c>
      <c r="V1765">
        <v>31</v>
      </c>
      <c r="W1765">
        <v>1.23</v>
      </c>
    </row>
    <row r="1766" spans="1:23" x14ac:dyDescent="0.3">
      <c r="A1766">
        <v>1766</v>
      </c>
      <c r="B1766" t="s">
        <v>1809</v>
      </c>
      <c r="C1766" t="s">
        <v>24</v>
      </c>
      <c r="D1766">
        <v>166</v>
      </c>
      <c r="E1766">
        <v>5110</v>
      </c>
      <c r="F1766" s="3">
        <v>197</v>
      </c>
      <c r="G1766">
        <v>26</v>
      </c>
      <c r="H1766">
        <v>4</v>
      </c>
      <c r="I1766" s="5">
        <v>2.40963855421686E-2</v>
      </c>
      <c r="J1766" s="3">
        <v>292</v>
      </c>
      <c r="K1766" s="1">
        <v>45608</v>
      </c>
      <c r="L1766" t="s">
        <v>25</v>
      </c>
      <c r="M1766" t="s">
        <v>39</v>
      </c>
      <c r="N1766" t="s">
        <v>36</v>
      </c>
      <c r="O1766" t="s">
        <v>28</v>
      </c>
      <c r="P1766" t="s">
        <v>41</v>
      </c>
      <c r="Q1766" s="6">
        <v>1.1866867469879501</v>
      </c>
      <c r="R1766">
        <v>3.25</v>
      </c>
      <c r="S1766">
        <v>7.58</v>
      </c>
      <c r="T1766">
        <v>49.25</v>
      </c>
      <c r="U1766">
        <v>48.23</v>
      </c>
      <c r="V1766">
        <v>73</v>
      </c>
      <c r="W1766">
        <v>1.48</v>
      </c>
    </row>
    <row r="1767" spans="1:23" x14ac:dyDescent="0.3">
      <c r="A1767">
        <v>1767</v>
      </c>
      <c r="B1767" t="s">
        <v>1810</v>
      </c>
      <c r="C1767" t="s">
        <v>43</v>
      </c>
      <c r="D1767">
        <v>121</v>
      </c>
      <c r="E1767">
        <v>5155</v>
      </c>
      <c r="F1767" s="3">
        <v>187</v>
      </c>
      <c r="G1767">
        <v>23</v>
      </c>
      <c r="H1767">
        <v>6</v>
      </c>
      <c r="I1767" s="5">
        <v>4.9586776859504099E-2</v>
      </c>
      <c r="J1767" s="3">
        <v>308</v>
      </c>
      <c r="K1767" s="1">
        <v>45601</v>
      </c>
      <c r="L1767" t="s">
        <v>25</v>
      </c>
      <c r="M1767" t="s">
        <v>39</v>
      </c>
      <c r="N1767" t="s">
        <v>32</v>
      </c>
      <c r="O1767" t="s">
        <v>28</v>
      </c>
      <c r="P1767" t="s">
        <v>41</v>
      </c>
      <c r="Q1767" s="6">
        <v>1.5454545454545401</v>
      </c>
      <c r="R1767">
        <v>2.35</v>
      </c>
      <c r="S1767">
        <v>8.1300000000000008</v>
      </c>
      <c r="T1767">
        <v>31.17</v>
      </c>
      <c r="U1767">
        <v>64.709999999999994</v>
      </c>
      <c r="V1767">
        <v>51.33</v>
      </c>
      <c r="W1767">
        <v>1.65</v>
      </c>
    </row>
    <row r="1768" spans="1:23" x14ac:dyDescent="0.3">
      <c r="A1768">
        <v>1768</v>
      </c>
      <c r="B1768" t="s">
        <v>1811</v>
      </c>
      <c r="C1768" t="s">
        <v>24</v>
      </c>
      <c r="D1768">
        <v>106</v>
      </c>
      <c r="E1768">
        <v>5010</v>
      </c>
      <c r="F1768" s="3">
        <v>221</v>
      </c>
      <c r="G1768">
        <v>26</v>
      </c>
      <c r="H1768">
        <v>6</v>
      </c>
      <c r="I1768" s="5">
        <v>5.6603773584905599E-2</v>
      </c>
      <c r="J1768" s="3">
        <v>274</v>
      </c>
      <c r="K1768" s="1">
        <v>45612</v>
      </c>
      <c r="L1768" t="s">
        <v>25</v>
      </c>
      <c r="M1768" t="s">
        <v>26</v>
      </c>
      <c r="N1768" t="s">
        <v>32</v>
      </c>
      <c r="O1768" t="s">
        <v>28</v>
      </c>
      <c r="P1768" t="s">
        <v>29</v>
      </c>
      <c r="Q1768" s="6">
        <v>2.0816981132075401</v>
      </c>
      <c r="R1768">
        <v>2.12</v>
      </c>
      <c r="S1768">
        <v>8.49</v>
      </c>
      <c r="T1768">
        <v>36.78</v>
      </c>
      <c r="U1768">
        <v>24.17</v>
      </c>
      <c r="V1768">
        <v>45.67</v>
      </c>
      <c r="W1768">
        <v>1.24</v>
      </c>
    </row>
    <row r="1769" spans="1:23" x14ac:dyDescent="0.3">
      <c r="A1769">
        <v>1769</v>
      </c>
      <c r="B1769" t="s">
        <v>1812</v>
      </c>
      <c r="C1769" t="s">
        <v>38</v>
      </c>
      <c r="D1769">
        <v>106</v>
      </c>
      <c r="E1769">
        <v>4362</v>
      </c>
      <c r="F1769" s="3">
        <v>227</v>
      </c>
      <c r="G1769">
        <v>12</v>
      </c>
      <c r="H1769">
        <v>9</v>
      </c>
      <c r="I1769" s="5">
        <v>8.4905660377358402E-2</v>
      </c>
      <c r="J1769" s="3">
        <v>316</v>
      </c>
      <c r="K1769" s="1">
        <v>45623</v>
      </c>
      <c r="L1769" t="s">
        <v>25</v>
      </c>
      <c r="M1769" t="s">
        <v>31</v>
      </c>
      <c r="N1769" t="s">
        <v>44</v>
      </c>
      <c r="O1769" t="s">
        <v>28</v>
      </c>
      <c r="P1769" t="s">
        <v>33</v>
      </c>
      <c r="Q1769" s="6">
        <v>2.1416981132075401</v>
      </c>
      <c r="R1769">
        <v>2.4300000000000002</v>
      </c>
      <c r="S1769">
        <v>18.920000000000002</v>
      </c>
      <c r="T1769">
        <v>25.22</v>
      </c>
      <c r="U1769">
        <v>39.19</v>
      </c>
      <c r="V1769">
        <v>35.11</v>
      </c>
      <c r="W1769">
        <v>1.39</v>
      </c>
    </row>
    <row r="1770" spans="1:23" x14ac:dyDescent="0.3">
      <c r="A1770">
        <v>1770</v>
      </c>
      <c r="B1770" t="s">
        <v>1813</v>
      </c>
      <c r="C1770" t="s">
        <v>38</v>
      </c>
      <c r="D1770">
        <v>122</v>
      </c>
      <c r="E1770">
        <v>3662</v>
      </c>
      <c r="F1770" s="3">
        <v>211</v>
      </c>
      <c r="G1770">
        <v>19</v>
      </c>
      <c r="H1770">
        <v>6</v>
      </c>
      <c r="I1770" s="5">
        <v>4.9180327868852403E-2</v>
      </c>
      <c r="J1770" s="3">
        <v>221</v>
      </c>
      <c r="K1770" s="1">
        <v>45617</v>
      </c>
      <c r="L1770" t="s">
        <v>25</v>
      </c>
      <c r="M1770" t="s">
        <v>26</v>
      </c>
      <c r="N1770" t="s">
        <v>40</v>
      </c>
      <c r="O1770" t="s">
        <v>28</v>
      </c>
      <c r="P1770" t="s">
        <v>54</v>
      </c>
      <c r="Q1770" s="6">
        <v>1.7299180327868799</v>
      </c>
      <c r="R1770">
        <v>3.33</v>
      </c>
      <c r="S1770">
        <v>11.11</v>
      </c>
      <c r="T1770">
        <v>35.18</v>
      </c>
      <c r="U1770">
        <v>4.71</v>
      </c>
      <c r="V1770">
        <v>36.83</v>
      </c>
      <c r="W1770">
        <v>1.05</v>
      </c>
    </row>
    <row r="1771" spans="1:23" x14ac:dyDescent="0.3">
      <c r="A1771">
        <v>1771</v>
      </c>
      <c r="B1771" t="s">
        <v>1814</v>
      </c>
      <c r="C1771" t="s">
        <v>35</v>
      </c>
      <c r="D1771">
        <v>193</v>
      </c>
      <c r="E1771">
        <v>5464</v>
      </c>
      <c r="F1771" s="3">
        <v>224</v>
      </c>
      <c r="G1771">
        <v>12</v>
      </c>
      <c r="H1771">
        <v>3</v>
      </c>
      <c r="I1771" s="5">
        <v>1.55440414507772E-2</v>
      </c>
      <c r="J1771" s="3">
        <v>236</v>
      </c>
      <c r="K1771" s="1">
        <v>45599</v>
      </c>
      <c r="L1771" t="s">
        <v>25</v>
      </c>
      <c r="M1771" t="s">
        <v>39</v>
      </c>
      <c r="N1771" t="s">
        <v>44</v>
      </c>
      <c r="O1771" t="s">
        <v>28</v>
      </c>
      <c r="P1771" t="s">
        <v>50</v>
      </c>
      <c r="Q1771" s="6">
        <v>1.1613989637305699</v>
      </c>
      <c r="R1771">
        <v>3.53</v>
      </c>
      <c r="S1771">
        <v>18.68</v>
      </c>
      <c r="T1771">
        <v>74.72</v>
      </c>
      <c r="U1771">
        <v>5.29</v>
      </c>
      <c r="V1771">
        <v>78.67</v>
      </c>
      <c r="W1771">
        <v>1.05</v>
      </c>
    </row>
    <row r="1772" spans="1:23" x14ac:dyDescent="0.3">
      <c r="A1772">
        <v>1772</v>
      </c>
      <c r="B1772" t="s">
        <v>1815</v>
      </c>
      <c r="C1772" t="s">
        <v>35</v>
      </c>
      <c r="D1772">
        <v>146</v>
      </c>
      <c r="E1772">
        <v>3560</v>
      </c>
      <c r="F1772" s="3">
        <v>214</v>
      </c>
      <c r="G1772">
        <v>26</v>
      </c>
      <c r="H1772">
        <v>3</v>
      </c>
      <c r="I1772" s="5">
        <v>2.0547945205479399E-2</v>
      </c>
      <c r="J1772" s="3">
        <v>211</v>
      </c>
      <c r="K1772" s="1">
        <v>45598</v>
      </c>
      <c r="L1772" t="s">
        <v>25</v>
      </c>
      <c r="M1772" t="s">
        <v>26</v>
      </c>
      <c r="N1772" t="s">
        <v>49</v>
      </c>
      <c r="O1772" t="s">
        <v>28</v>
      </c>
      <c r="P1772" t="s">
        <v>29</v>
      </c>
      <c r="Q1772" s="6">
        <v>1.46684931506849</v>
      </c>
      <c r="R1772">
        <v>4.0999999999999996</v>
      </c>
      <c r="S1772">
        <v>8.24</v>
      </c>
      <c r="T1772">
        <v>71.39</v>
      </c>
      <c r="U1772">
        <v>-1.48</v>
      </c>
      <c r="V1772">
        <v>70.33</v>
      </c>
      <c r="W1772">
        <v>0.99</v>
      </c>
    </row>
    <row r="1773" spans="1:23" x14ac:dyDescent="0.3">
      <c r="A1773">
        <v>1773</v>
      </c>
      <c r="B1773" t="s">
        <v>1816</v>
      </c>
      <c r="C1773" t="s">
        <v>38</v>
      </c>
      <c r="D1773">
        <v>152</v>
      </c>
      <c r="E1773">
        <v>5014</v>
      </c>
      <c r="F1773" s="3">
        <v>199</v>
      </c>
      <c r="G1773">
        <v>10</v>
      </c>
      <c r="H1773">
        <v>8</v>
      </c>
      <c r="I1773" s="5">
        <v>5.2631578947368397E-2</v>
      </c>
      <c r="J1773" s="3">
        <v>301</v>
      </c>
      <c r="K1773" s="1">
        <v>45610</v>
      </c>
      <c r="L1773" t="s">
        <v>25</v>
      </c>
      <c r="M1773" t="s">
        <v>39</v>
      </c>
      <c r="N1773" t="s">
        <v>27</v>
      </c>
      <c r="O1773" t="s">
        <v>28</v>
      </c>
      <c r="P1773" t="s">
        <v>54</v>
      </c>
      <c r="Q1773" s="6">
        <v>1.30815789473684</v>
      </c>
      <c r="R1773">
        <v>3.03</v>
      </c>
      <c r="S1773">
        <v>19.88</v>
      </c>
      <c r="T1773">
        <v>24.86</v>
      </c>
      <c r="U1773">
        <v>51.38</v>
      </c>
      <c r="V1773">
        <v>37.619999999999997</v>
      </c>
      <c r="W1773">
        <v>1.51</v>
      </c>
    </row>
    <row r="1774" spans="1:23" x14ac:dyDescent="0.3">
      <c r="A1774">
        <v>1774</v>
      </c>
      <c r="B1774" t="s">
        <v>1817</v>
      </c>
      <c r="C1774" t="s">
        <v>38</v>
      </c>
      <c r="D1774">
        <v>111</v>
      </c>
      <c r="E1774">
        <v>3278</v>
      </c>
      <c r="F1774" s="3">
        <v>190</v>
      </c>
      <c r="G1774">
        <v>25</v>
      </c>
      <c r="H1774">
        <v>5</v>
      </c>
      <c r="I1774" s="5">
        <v>4.5045045045045001E-2</v>
      </c>
      <c r="J1774" s="3">
        <v>384</v>
      </c>
      <c r="K1774" s="1">
        <v>45605</v>
      </c>
      <c r="L1774" t="s">
        <v>25</v>
      </c>
      <c r="M1774" t="s">
        <v>31</v>
      </c>
      <c r="N1774" t="s">
        <v>40</v>
      </c>
      <c r="O1774" t="s">
        <v>28</v>
      </c>
      <c r="P1774" t="s">
        <v>29</v>
      </c>
      <c r="Q1774" s="6">
        <v>1.70792792792792</v>
      </c>
      <c r="R1774">
        <v>3.39</v>
      </c>
      <c r="S1774">
        <v>7.58</v>
      </c>
      <c r="T1774">
        <v>37.92</v>
      </c>
      <c r="U1774">
        <v>102.55</v>
      </c>
      <c r="V1774">
        <v>76.8</v>
      </c>
      <c r="W1774">
        <v>2.0299999999999998</v>
      </c>
    </row>
    <row r="1775" spans="1:23" x14ac:dyDescent="0.3">
      <c r="A1775">
        <v>1775</v>
      </c>
      <c r="B1775" t="s">
        <v>1818</v>
      </c>
      <c r="C1775" t="s">
        <v>35</v>
      </c>
      <c r="D1775">
        <v>95</v>
      </c>
      <c r="E1775">
        <v>3149</v>
      </c>
      <c r="F1775" s="3">
        <v>214</v>
      </c>
      <c r="G1775">
        <v>14</v>
      </c>
      <c r="H1775">
        <v>8</v>
      </c>
      <c r="I1775" s="5">
        <v>8.4210526315789402E-2</v>
      </c>
      <c r="J1775" s="3">
        <v>304</v>
      </c>
      <c r="K1775" s="1">
        <v>45623</v>
      </c>
      <c r="L1775" t="s">
        <v>25</v>
      </c>
      <c r="M1775" t="s">
        <v>39</v>
      </c>
      <c r="N1775" t="s">
        <v>44</v>
      </c>
      <c r="O1775" t="s">
        <v>28</v>
      </c>
      <c r="P1775" t="s">
        <v>33</v>
      </c>
      <c r="Q1775" s="6">
        <v>2.24915789473684</v>
      </c>
      <c r="R1775">
        <v>3.02</v>
      </c>
      <c r="S1775">
        <v>15.26</v>
      </c>
      <c r="T1775">
        <v>26.71</v>
      </c>
      <c r="U1775">
        <v>42.28</v>
      </c>
      <c r="V1775">
        <v>38</v>
      </c>
      <c r="W1775">
        <v>1.42</v>
      </c>
    </row>
    <row r="1776" spans="1:23" x14ac:dyDescent="0.3">
      <c r="A1776">
        <v>1776</v>
      </c>
      <c r="B1776" t="s">
        <v>1819</v>
      </c>
      <c r="C1776" t="s">
        <v>38</v>
      </c>
      <c r="D1776">
        <v>195</v>
      </c>
      <c r="E1776">
        <v>4128</v>
      </c>
      <c r="F1776" s="3">
        <v>247</v>
      </c>
      <c r="G1776">
        <v>25</v>
      </c>
      <c r="H1776">
        <v>5</v>
      </c>
      <c r="I1776" s="5">
        <v>2.5641025641025599E-2</v>
      </c>
      <c r="J1776" s="3">
        <v>226</v>
      </c>
      <c r="K1776" s="1">
        <v>45605</v>
      </c>
      <c r="L1776" t="s">
        <v>25</v>
      </c>
      <c r="M1776" t="s">
        <v>31</v>
      </c>
      <c r="N1776" t="s">
        <v>40</v>
      </c>
      <c r="O1776" t="s">
        <v>28</v>
      </c>
      <c r="P1776" t="s">
        <v>29</v>
      </c>
      <c r="Q1776" s="6">
        <v>1.26435897435897</v>
      </c>
      <c r="R1776">
        <v>4.72</v>
      </c>
      <c r="S1776">
        <v>9.86</v>
      </c>
      <c r="T1776">
        <v>49.31</v>
      </c>
      <c r="U1776">
        <v>-8.34</v>
      </c>
      <c r="V1776">
        <v>45.2</v>
      </c>
      <c r="W1776">
        <v>0.92</v>
      </c>
    </row>
    <row r="1777" spans="1:23" x14ac:dyDescent="0.3">
      <c r="A1777">
        <v>1777</v>
      </c>
      <c r="B1777" t="s">
        <v>1820</v>
      </c>
      <c r="C1777" t="s">
        <v>38</v>
      </c>
      <c r="D1777">
        <v>149</v>
      </c>
      <c r="E1777">
        <v>5018</v>
      </c>
      <c r="F1777" s="3">
        <v>219</v>
      </c>
      <c r="G1777">
        <v>16</v>
      </c>
      <c r="H1777">
        <v>3</v>
      </c>
      <c r="I1777" s="5">
        <v>2.0134228187919399E-2</v>
      </c>
      <c r="J1777" s="3">
        <v>366</v>
      </c>
      <c r="K1777" s="1">
        <v>45622</v>
      </c>
      <c r="L1777" t="s">
        <v>25</v>
      </c>
      <c r="M1777" t="s">
        <v>26</v>
      </c>
      <c r="N1777" t="s">
        <v>40</v>
      </c>
      <c r="O1777" t="s">
        <v>28</v>
      </c>
      <c r="P1777" t="s">
        <v>41</v>
      </c>
      <c r="Q1777" s="6">
        <v>1.4705369127516701</v>
      </c>
      <c r="R1777">
        <v>2.97</v>
      </c>
      <c r="S1777">
        <v>13.69</v>
      </c>
      <c r="T1777">
        <v>73.040000000000006</v>
      </c>
      <c r="U1777">
        <v>67.040000000000006</v>
      </c>
      <c r="V1777">
        <v>122</v>
      </c>
      <c r="W1777">
        <v>1.67</v>
      </c>
    </row>
    <row r="1778" spans="1:23" x14ac:dyDescent="0.3">
      <c r="A1778">
        <v>1778</v>
      </c>
      <c r="B1778" t="s">
        <v>1821</v>
      </c>
      <c r="C1778" t="s">
        <v>43</v>
      </c>
      <c r="D1778">
        <v>194</v>
      </c>
      <c r="E1778">
        <v>5215</v>
      </c>
      <c r="F1778" s="3">
        <v>225</v>
      </c>
      <c r="G1778">
        <v>12</v>
      </c>
      <c r="H1778">
        <v>6</v>
      </c>
      <c r="I1778" s="5">
        <v>3.0927835051546299E-2</v>
      </c>
      <c r="J1778" s="3">
        <v>226</v>
      </c>
      <c r="K1778" s="1">
        <v>45618</v>
      </c>
      <c r="L1778" t="s">
        <v>25</v>
      </c>
      <c r="M1778" t="s">
        <v>39</v>
      </c>
      <c r="N1778" t="s">
        <v>36</v>
      </c>
      <c r="O1778" t="s">
        <v>28</v>
      </c>
      <c r="P1778" t="s">
        <v>45</v>
      </c>
      <c r="Q1778" s="6">
        <v>1.1604639175257701</v>
      </c>
      <c r="R1778">
        <v>3.72</v>
      </c>
      <c r="S1778">
        <v>18.760000000000002</v>
      </c>
      <c r="T1778">
        <v>37.520000000000003</v>
      </c>
      <c r="U1778">
        <v>0.39</v>
      </c>
      <c r="V1778">
        <v>37.67</v>
      </c>
      <c r="W1778">
        <v>1</v>
      </c>
    </row>
    <row r="1779" spans="1:23" x14ac:dyDescent="0.3">
      <c r="A1779">
        <v>1779</v>
      </c>
      <c r="B1779" t="s">
        <v>1822</v>
      </c>
      <c r="C1779" t="s">
        <v>38</v>
      </c>
      <c r="D1779">
        <v>191</v>
      </c>
      <c r="E1779">
        <v>3948</v>
      </c>
      <c r="F1779" s="3">
        <v>208</v>
      </c>
      <c r="G1779">
        <v>23</v>
      </c>
      <c r="H1779">
        <v>7</v>
      </c>
      <c r="I1779" s="5">
        <v>3.6649214659685798E-2</v>
      </c>
      <c r="J1779" s="3">
        <v>296</v>
      </c>
      <c r="K1779" s="1">
        <v>45620</v>
      </c>
      <c r="L1779" t="s">
        <v>25</v>
      </c>
      <c r="M1779" t="s">
        <v>39</v>
      </c>
      <c r="N1779" t="s">
        <v>32</v>
      </c>
      <c r="O1779" t="s">
        <v>28</v>
      </c>
      <c r="P1779" t="s">
        <v>50</v>
      </c>
      <c r="Q1779" s="6">
        <v>1.0912565445026099</v>
      </c>
      <c r="R1779">
        <v>4.84</v>
      </c>
      <c r="S1779">
        <v>9.06</v>
      </c>
      <c r="T1779">
        <v>29.78</v>
      </c>
      <c r="U1779">
        <v>42.01</v>
      </c>
      <c r="V1779">
        <v>42.29</v>
      </c>
      <c r="W1779">
        <v>1.42</v>
      </c>
    </row>
    <row r="1780" spans="1:23" x14ac:dyDescent="0.3">
      <c r="A1780">
        <v>1780</v>
      </c>
      <c r="B1780" t="s">
        <v>1823</v>
      </c>
      <c r="C1780" t="s">
        <v>38</v>
      </c>
      <c r="D1780">
        <v>196</v>
      </c>
      <c r="E1780">
        <v>4912</v>
      </c>
      <c r="F1780" s="3">
        <v>187</v>
      </c>
      <c r="G1780">
        <v>26</v>
      </c>
      <c r="H1780">
        <v>7</v>
      </c>
      <c r="I1780" s="5">
        <v>3.5714285714285698E-2</v>
      </c>
      <c r="J1780" s="3">
        <v>351</v>
      </c>
      <c r="K1780" s="1">
        <v>45600</v>
      </c>
      <c r="L1780" t="s">
        <v>25</v>
      </c>
      <c r="M1780" t="s">
        <v>26</v>
      </c>
      <c r="N1780" t="s">
        <v>32</v>
      </c>
      <c r="O1780" t="s">
        <v>28</v>
      </c>
      <c r="P1780" t="s">
        <v>59</v>
      </c>
      <c r="Q1780" s="6">
        <v>0.95443877551020395</v>
      </c>
      <c r="R1780">
        <v>3.99</v>
      </c>
      <c r="S1780">
        <v>7.19</v>
      </c>
      <c r="T1780">
        <v>26.72</v>
      </c>
      <c r="U1780">
        <v>87.63</v>
      </c>
      <c r="V1780">
        <v>50.14</v>
      </c>
      <c r="W1780">
        <v>1.88</v>
      </c>
    </row>
    <row r="1781" spans="1:23" x14ac:dyDescent="0.3">
      <c r="A1781">
        <v>1781</v>
      </c>
      <c r="B1781" t="s">
        <v>1824</v>
      </c>
      <c r="C1781" t="s">
        <v>24</v>
      </c>
      <c r="D1781">
        <v>182</v>
      </c>
      <c r="E1781">
        <v>5136</v>
      </c>
      <c r="F1781" s="3">
        <v>249</v>
      </c>
      <c r="G1781">
        <v>23</v>
      </c>
      <c r="H1781">
        <v>7</v>
      </c>
      <c r="I1781" s="5">
        <v>3.8461538461538401E-2</v>
      </c>
      <c r="J1781" s="3">
        <v>377</v>
      </c>
      <c r="K1781" s="1">
        <v>45599</v>
      </c>
      <c r="L1781" t="s">
        <v>25</v>
      </c>
      <c r="M1781" t="s">
        <v>26</v>
      </c>
      <c r="N1781" t="s">
        <v>27</v>
      </c>
      <c r="O1781" t="s">
        <v>28</v>
      </c>
      <c r="P1781" t="s">
        <v>50</v>
      </c>
      <c r="Q1781" s="6">
        <v>1.37010989010989</v>
      </c>
      <c r="R1781">
        <v>3.54</v>
      </c>
      <c r="S1781">
        <v>10.84</v>
      </c>
      <c r="T1781">
        <v>35.619999999999997</v>
      </c>
      <c r="U1781">
        <v>51.19</v>
      </c>
      <c r="V1781">
        <v>53.86</v>
      </c>
      <c r="W1781">
        <v>1.51</v>
      </c>
    </row>
    <row r="1782" spans="1:23" x14ac:dyDescent="0.3">
      <c r="A1782">
        <v>1782</v>
      </c>
      <c r="B1782" t="s">
        <v>1825</v>
      </c>
      <c r="C1782" t="s">
        <v>43</v>
      </c>
      <c r="D1782">
        <v>156</v>
      </c>
      <c r="E1782">
        <v>5674</v>
      </c>
      <c r="F1782" s="3">
        <v>193</v>
      </c>
      <c r="G1782">
        <v>29</v>
      </c>
      <c r="H1782">
        <v>10</v>
      </c>
      <c r="I1782" s="5">
        <v>6.4102564102564097E-2</v>
      </c>
      <c r="J1782" s="3">
        <v>240</v>
      </c>
      <c r="K1782" s="1">
        <v>45623</v>
      </c>
      <c r="L1782" t="s">
        <v>25</v>
      </c>
      <c r="M1782" t="s">
        <v>26</v>
      </c>
      <c r="N1782" t="s">
        <v>32</v>
      </c>
      <c r="O1782" t="s">
        <v>28</v>
      </c>
      <c r="P1782" t="s">
        <v>33</v>
      </c>
      <c r="Q1782" s="6">
        <v>1.23833333333333</v>
      </c>
      <c r="R1782">
        <v>2.75</v>
      </c>
      <c r="S1782">
        <v>6.66</v>
      </c>
      <c r="T1782">
        <v>19.32</v>
      </c>
      <c r="U1782">
        <v>24.24</v>
      </c>
      <c r="V1782">
        <v>24</v>
      </c>
      <c r="W1782">
        <v>1.24</v>
      </c>
    </row>
    <row r="1783" spans="1:23" x14ac:dyDescent="0.3">
      <c r="A1783">
        <v>1783</v>
      </c>
      <c r="B1783" t="s">
        <v>1826</v>
      </c>
      <c r="C1783" t="s">
        <v>35</v>
      </c>
      <c r="D1783">
        <v>187</v>
      </c>
      <c r="E1783">
        <v>4674</v>
      </c>
      <c r="F1783" s="3">
        <v>201</v>
      </c>
      <c r="G1783">
        <v>18</v>
      </c>
      <c r="H1783">
        <v>9</v>
      </c>
      <c r="I1783" s="5">
        <v>4.8128342245989303E-2</v>
      </c>
      <c r="J1783" s="3">
        <v>351</v>
      </c>
      <c r="K1783" s="1">
        <v>45624</v>
      </c>
      <c r="L1783" t="s">
        <v>25</v>
      </c>
      <c r="M1783" t="s">
        <v>39</v>
      </c>
      <c r="N1783" t="s">
        <v>27</v>
      </c>
      <c r="O1783" t="s">
        <v>28</v>
      </c>
      <c r="P1783" t="s">
        <v>54</v>
      </c>
      <c r="Q1783" s="6">
        <v>1.0770588235294101</v>
      </c>
      <c r="R1783">
        <v>4</v>
      </c>
      <c r="S1783">
        <v>11.19</v>
      </c>
      <c r="T1783">
        <v>22.38</v>
      </c>
      <c r="U1783">
        <v>74.27</v>
      </c>
      <c r="V1783">
        <v>39</v>
      </c>
      <c r="W1783">
        <v>1.74</v>
      </c>
    </row>
    <row r="1784" spans="1:23" x14ac:dyDescent="0.3">
      <c r="A1784">
        <v>1784</v>
      </c>
      <c r="B1784" t="s">
        <v>1827</v>
      </c>
      <c r="C1784" t="s">
        <v>38</v>
      </c>
      <c r="D1784">
        <v>117</v>
      </c>
      <c r="E1784">
        <v>4408</v>
      </c>
      <c r="F1784" s="3">
        <v>184</v>
      </c>
      <c r="G1784">
        <v>30</v>
      </c>
      <c r="H1784">
        <v>3</v>
      </c>
      <c r="I1784" s="5">
        <v>2.5641025641025599E-2</v>
      </c>
      <c r="J1784" s="3">
        <v>253</v>
      </c>
      <c r="K1784" s="1">
        <v>45610</v>
      </c>
      <c r="L1784" t="s">
        <v>25</v>
      </c>
      <c r="M1784" t="s">
        <v>39</v>
      </c>
      <c r="N1784" t="s">
        <v>44</v>
      </c>
      <c r="O1784" t="s">
        <v>28</v>
      </c>
      <c r="P1784" t="s">
        <v>54</v>
      </c>
      <c r="Q1784" s="6">
        <v>1.5726495726495699</v>
      </c>
      <c r="R1784">
        <v>2.65</v>
      </c>
      <c r="S1784">
        <v>6.13</v>
      </c>
      <c r="T1784">
        <v>61.33</v>
      </c>
      <c r="U1784">
        <v>37.5</v>
      </c>
      <c r="V1784">
        <v>84.33</v>
      </c>
      <c r="W1784">
        <v>1.38</v>
      </c>
    </row>
    <row r="1785" spans="1:23" x14ac:dyDescent="0.3">
      <c r="A1785">
        <v>1785</v>
      </c>
      <c r="B1785" t="s">
        <v>1828</v>
      </c>
      <c r="C1785" t="s">
        <v>38</v>
      </c>
      <c r="D1785">
        <v>135</v>
      </c>
      <c r="E1785">
        <v>5402</v>
      </c>
      <c r="F1785" s="3">
        <v>239</v>
      </c>
      <c r="G1785">
        <v>19</v>
      </c>
      <c r="H1785">
        <v>8</v>
      </c>
      <c r="I1785" s="5">
        <v>5.9259259259259199E-2</v>
      </c>
      <c r="J1785" s="3">
        <v>336</v>
      </c>
      <c r="K1785" s="1">
        <v>45624</v>
      </c>
      <c r="L1785" t="s">
        <v>25</v>
      </c>
      <c r="M1785" t="s">
        <v>31</v>
      </c>
      <c r="N1785" t="s">
        <v>27</v>
      </c>
      <c r="O1785" t="s">
        <v>28</v>
      </c>
      <c r="P1785" t="s">
        <v>54</v>
      </c>
      <c r="Q1785" s="6">
        <v>1.76896296296296</v>
      </c>
      <c r="R1785">
        <v>2.5</v>
      </c>
      <c r="S1785">
        <v>12.57</v>
      </c>
      <c r="T1785">
        <v>29.85</v>
      </c>
      <c r="U1785">
        <v>40.700000000000003</v>
      </c>
      <c r="V1785">
        <v>42</v>
      </c>
      <c r="W1785">
        <v>1.41</v>
      </c>
    </row>
    <row r="1786" spans="1:23" x14ac:dyDescent="0.3">
      <c r="A1786">
        <v>1786</v>
      </c>
      <c r="B1786" t="s">
        <v>1829</v>
      </c>
      <c r="C1786" t="s">
        <v>35</v>
      </c>
      <c r="D1786">
        <v>114</v>
      </c>
      <c r="E1786">
        <v>3759</v>
      </c>
      <c r="F1786" s="3">
        <v>224</v>
      </c>
      <c r="G1786">
        <v>20</v>
      </c>
      <c r="H1786">
        <v>3</v>
      </c>
      <c r="I1786" s="5">
        <v>2.6315789473684199E-2</v>
      </c>
      <c r="J1786" s="3">
        <v>377</v>
      </c>
      <c r="K1786" s="1">
        <v>45604</v>
      </c>
      <c r="L1786" t="s">
        <v>25</v>
      </c>
      <c r="M1786" t="s">
        <v>26</v>
      </c>
      <c r="N1786" t="s">
        <v>40</v>
      </c>
      <c r="O1786" t="s">
        <v>28</v>
      </c>
      <c r="P1786" t="s">
        <v>45</v>
      </c>
      <c r="Q1786" s="6">
        <v>1.9621929824561399</v>
      </c>
      <c r="R1786">
        <v>3.03</v>
      </c>
      <c r="S1786">
        <v>11.18</v>
      </c>
      <c r="T1786">
        <v>74.56</v>
      </c>
      <c r="U1786">
        <v>68.540000000000006</v>
      </c>
      <c r="V1786">
        <v>125.67</v>
      </c>
      <c r="W1786">
        <v>1.69</v>
      </c>
    </row>
    <row r="1787" spans="1:23" x14ac:dyDescent="0.3">
      <c r="A1787">
        <v>1787</v>
      </c>
      <c r="B1787" t="s">
        <v>1830</v>
      </c>
      <c r="C1787" t="s">
        <v>43</v>
      </c>
      <c r="D1787">
        <v>184</v>
      </c>
      <c r="E1787">
        <v>5876</v>
      </c>
      <c r="F1787" s="3">
        <v>232</v>
      </c>
      <c r="G1787">
        <v>23</v>
      </c>
      <c r="H1787">
        <v>9</v>
      </c>
      <c r="I1787" s="5">
        <v>4.8913043478260802E-2</v>
      </c>
      <c r="J1787" s="3">
        <v>208</v>
      </c>
      <c r="K1787" s="1">
        <v>45607</v>
      </c>
      <c r="L1787" t="s">
        <v>25</v>
      </c>
      <c r="M1787" t="s">
        <v>26</v>
      </c>
      <c r="N1787" t="s">
        <v>32</v>
      </c>
      <c r="O1787" t="s">
        <v>28</v>
      </c>
      <c r="P1787" t="s">
        <v>59</v>
      </c>
      <c r="Q1787" s="6">
        <v>1.2603804347826</v>
      </c>
      <c r="R1787">
        <v>3.13</v>
      </c>
      <c r="S1787">
        <v>10.08</v>
      </c>
      <c r="T1787">
        <v>25.77</v>
      </c>
      <c r="U1787">
        <v>-10.31</v>
      </c>
      <c r="V1787">
        <v>23.11</v>
      </c>
      <c r="W1787">
        <v>0.9</v>
      </c>
    </row>
    <row r="1788" spans="1:23" x14ac:dyDescent="0.3">
      <c r="A1788">
        <v>1788</v>
      </c>
      <c r="B1788" t="s">
        <v>1831</v>
      </c>
      <c r="C1788" t="s">
        <v>43</v>
      </c>
      <c r="D1788">
        <v>115</v>
      </c>
      <c r="E1788">
        <v>5996</v>
      </c>
      <c r="F1788" s="3">
        <v>192</v>
      </c>
      <c r="G1788">
        <v>24</v>
      </c>
      <c r="H1788">
        <v>5</v>
      </c>
      <c r="I1788" s="5">
        <v>4.3478260869565202E-2</v>
      </c>
      <c r="J1788" s="3">
        <v>372</v>
      </c>
      <c r="K1788" s="1">
        <v>45616</v>
      </c>
      <c r="L1788" t="s">
        <v>25</v>
      </c>
      <c r="M1788" t="s">
        <v>31</v>
      </c>
      <c r="N1788" t="s">
        <v>32</v>
      </c>
      <c r="O1788" t="s">
        <v>28</v>
      </c>
      <c r="P1788" t="s">
        <v>33</v>
      </c>
      <c r="Q1788" s="6">
        <v>1.66947826086956</v>
      </c>
      <c r="R1788">
        <v>1.92</v>
      </c>
      <c r="S1788">
        <v>8</v>
      </c>
      <c r="T1788">
        <v>38.4</v>
      </c>
      <c r="U1788">
        <v>93.76</v>
      </c>
      <c r="V1788">
        <v>74.400000000000006</v>
      </c>
      <c r="W1788">
        <v>1.94</v>
      </c>
    </row>
    <row r="1789" spans="1:23" x14ac:dyDescent="0.3">
      <c r="A1789">
        <v>1789</v>
      </c>
      <c r="B1789" t="s">
        <v>1832</v>
      </c>
      <c r="C1789" t="s">
        <v>24</v>
      </c>
      <c r="D1789">
        <v>149</v>
      </c>
      <c r="E1789">
        <v>3249</v>
      </c>
      <c r="F1789" s="3">
        <v>202</v>
      </c>
      <c r="G1789">
        <v>11</v>
      </c>
      <c r="H1789">
        <v>6</v>
      </c>
      <c r="I1789" s="5">
        <v>4.0268456375838903E-2</v>
      </c>
      <c r="J1789" s="3">
        <v>210</v>
      </c>
      <c r="K1789" s="1">
        <v>45600</v>
      </c>
      <c r="L1789" t="s">
        <v>25</v>
      </c>
      <c r="M1789" t="s">
        <v>26</v>
      </c>
      <c r="N1789" t="s">
        <v>49</v>
      </c>
      <c r="O1789" t="s">
        <v>28</v>
      </c>
      <c r="P1789" t="s">
        <v>59</v>
      </c>
      <c r="Q1789" s="6">
        <v>1.3585906040268401</v>
      </c>
      <c r="R1789">
        <v>4.59</v>
      </c>
      <c r="S1789">
        <v>18.399999999999999</v>
      </c>
      <c r="T1789">
        <v>33.74</v>
      </c>
      <c r="U1789">
        <v>3.74</v>
      </c>
      <c r="V1789">
        <v>35</v>
      </c>
      <c r="W1789">
        <v>1.04</v>
      </c>
    </row>
    <row r="1790" spans="1:23" x14ac:dyDescent="0.3">
      <c r="A1790">
        <v>1790</v>
      </c>
      <c r="B1790" t="s">
        <v>1833</v>
      </c>
      <c r="C1790" t="s">
        <v>24</v>
      </c>
      <c r="D1790">
        <v>136</v>
      </c>
      <c r="E1790">
        <v>4351</v>
      </c>
      <c r="F1790" s="3">
        <v>233</v>
      </c>
      <c r="G1790">
        <v>18</v>
      </c>
      <c r="H1790">
        <v>6</v>
      </c>
      <c r="I1790" s="5">
        <v>4.4117647058823498E-2</v>
      </c>
      <c r="J1790" s="3">
        <v>265</v>
      </c>
      <c r="K1790" s="1">
        <v>45608</v>
      </c>
      <c r="L1790" t="s">
        <v>25</v>
      </c>
      <c r="M1790" t="s">
        <v>39</v>
      </c>
      <c r="N1790" t="s">
        <v>44</v>
      </c>
      <c r="O1790" t="s">
        <v>28</v>
      </c>
      <c r="P1790" t="s">
        <v>41</v>
      </c>
      <c r="Q1790" s="6">
        <v>1.71639705882352</v>
      </c>
      <c r="R1790">
        <v>3.13</v>
      </c>
      <c r="S1790">
        <v>12.97</v>
      </c>
      <c r="T1790">
        <v>38.9</v>
      </c>
      <c r="U1790">
        <v>13.52</v>
      </c>
      <c r="V1790">
        <v>44.17</v>
      </c>
      <c r="W1790">
        <v>1.1399999999999999</v>
      </c>
    </row>
    <row r="1791" spans="1:23" x14ac:dyDescent="0.3">
      <c r="A1791">
        <v>1791</v>
      </c>
      <c r="B1791" t="s">
        <v>1834</v>
      </c>
      <c r="C1791" t="s">
        <v>43</v>
      </c>
      <c r="D1791">
        <v>119</v>
      </c>
      <c r="E1791">
        <v>5805</v>
      </c>
      <c r="F1791" s="3">
        <v>245</v>
      </c>
      <c r="G1791">
        <v>25</v>
      </c>
      <c r="H1791">
        <v>6</v>
      </c>
      <c r="I1791" s="5">
        <v>5.0420168067226802E-2</v>
      </c>
      <c r="J1791" s="3">
        <v>229</v>
      </c>
      <c r="K1791" s="1">
        <v>45609</v>
      </c>
      <c r="L1791" t="s">
        <v>25</v>
      </c>
      <c r="M1791" t="s">
        <v>39</v>
      </c>
      <c r="N1791" t="s">
        <v>44</v>
      </c>
      <c r="O1791" t="s">
        <v>28</v>
      </c>
      <c r="P1791" t="s">
        <v>33</v>
      </c>
      <c r="Q1791" s="6">
        <v>2.0599159663865501</v>
      </c>
      <c r="R1791">
        <v>2.0499999999999998</v>
      </c>
      <c r="S1791">
        <v>9.81</v>
      </c>
      <c r="T1791">
        <v>40.85</v>
      </c>
      <c r="U1791">
        <v>-6.58</v>
      </c>
      <c r="V1791">
        <v>38.17</v>
      </c>
      <c r="W1791">
        <v>0.93</v>
      </c>
    </row>
    <row r="1792" spans="1:23" x14ac:dyDescent="0.3">
      <c r="A1792">
        <v>1792</v>
      </c>
      <c r="B1792" t="s">
        <v>1835</v>
      </c>
      <c r="C1792" t="s">
        <v>24</v>
      </c>
      <c r="D1792">
        <v>186</v>
      </c>
      <c r="E1792">
        <v>5685</v>
      </c>
      <c r="F1792" s="3">
        <v>197</v>
      </c>
      <c r="G1792">
        <v>18</v>
      </c>
      <c r="H1792">
        <v>10</v>
      </c>
      <c r="I1792" s="5">
        <v>5.3763440860214999E-2</v>
      </c>
      <c r="J1792" s="3">
        <v>260</v>
      </c>
      <c r="K1792" s="1">
        <v>45620</v>
      </c>
      <c r="L1792" t="s">
        <v>25</v>
      </c>
      <c r="M1792" t="s">
        <v>26</v>
      </c>
      <c r="N1792" t="s">
        <v>32</v>
      </c>
      <c r="O1792" t="s">
        <v>28</v>
      </c>
      <c r="P1792" t="s">
        <v>50</v>
      </c>
      <c r="Q1792" s="6">
        <v>1.0599462365591299</v>
      </c>
      <c r="R1792">
        <v>3.27</v>
      </c>
      <c r="S1792">
        <v>10.95</v>
      </c>
      <c r="T1792">
        <v>19.72</v>
      </c>
      <c r="U1792">
        <v>31.88</v>
      </c>
      <c r="V1792">
        <v>26</v>
      </c>
      <c r="W1792">
        <v>1.32</v>
      </c>
    </row>
    <row r="1793" spans="1:23" x14ac:dyDescent="0.3">
      <c r="A1793">
        <v>1793</v>
      </c>
      <c r="B1793" t="s">
        <v>1836</v>
      </c>
      <c r="C1793" t="s">
        <v>43</v>
      </c>
      <c r="D1793">
        <v>91</v>
      </c>
      <c r="E1793">
        <v>3199</v>
      </c>
      <c r="F1793" s="3">
        <v>196</v>
      </c>
      <c r="G1793">
        <v>27</v>
      </c>
      <c r="H1793">
        <v>4</v>
      </c>
      <c r="I1793" s="5">
        <v>4.3956043956043897E-2</v>
      </c>
      <c r="J1793" s="3">
        <v>354</v>
      </c>
      <c r="K1793" s="1">
        <v>45621</v>
      </c>
      <c r="L1793" t="s">
        <v>25</v>
      </c>
      <c r="M1793" t="s">
        <v>39</v>
      </c>
      <c r="N1793" t="s">
        <v>40</v>
      </c>
      <c r="O1793" t="s">
        <v>28</v>
      </c>
      <c r="P1793" t="s">
        <v>59</v>
      </c>
      <c r="Q1793" s="6">
        <v>2.1542857142857099</v>
      </c>
      <c r="R1793">
        <v>2.84</v>
      </c>
      <c r="S1793">
        <v>7.26</v>
      </c>
      <c r="T1793">
        <v>49.01</v>
      </c>
      <c r="U1793">
        <v>80.58</v>
      </c>
      <c r="V1793">
        <v>88.5</v>
      </c>
      <c r="W1793">
        <v>1.81</v>
      </c>
    </row>
    <row r="1794" spans="1:23" x14ac:dyDescent="0.3">
      <c r="A1794">
        <v>1794</v>
      </c>
      <c r="B1794" t="s">
        <v>1837</v>
      </c>
      <c r="C1794" t="s">
        <v>43</v>
      </c>
      <c r="D1794">
        <v>171</v>
      </c>
      <c r="E1794">
        <v>3490</v>
      </c>
      <c r="F1794" s="3">
        <v>181</v>
      </c>
      <c r="G1794">
        <v>11</v>
      </c>
      <c r="H1794">
        <v>8</v>
      </c>
      <c r="I1794" s="5">
        <v>4.6783625730994101E-2</v>
      </c>
      <c r="J1794" s="3">
        <v>306</v>
      </c>
      <c r="K1794" s="1">
        <v>45610</v>
      </c>
      <c r="L1794" t="s">
        <v>25</v>
      </c>
      <c r="M1794" t="s">
        <v>31</v>
      </c>
      <c r="N1794" t="s">
        <v>32</v>
      </c>
      <c r="O1794" t="s">
        <v>28</v>
      </c>
      <c r="P1794" t="s">
        <v>54</v>
      </c>
      <c r="Q1794" s="6">
        <v>1.0574269005847901</v>
      </c>
      <c r="R1794">
        <v>4.9000000000000004</v>
      </c>
      <c r="S1794">
        <v>16.440000000000001</v>
      </c>
      <c r="T1794">
        <v>22.6</v>
      </c>
      <c r="U1794">
        <v>69.23</v>
      </c>
      <c r="V1794">
        <v>38.25</v>
      </c>
      <c r="W1794">
        <v>1.69</v>
      </c>
    </row>
    <row r="1795" spans="1:23" x14ac:dyDescent="0.3">
      <c r="A1795">
        <v>1795</v>
      </c>
      <c r="B1795" t="s">
        <v>1838</v>
      </c>
      <c r="C1795" t="s">
        <v>43</v>
      </c>
      <c r="D1795">
        <v>149</v>
      </c>
      <c r="E1795">
        <v>3584</v>
      </c>
      <c r="F1795" s="3">
        <v>200</v>
      </c>
      <c r="G1795">
        <v>21</v>
      </c>
      <c r="H1795">
        <v>8</v>
      </c>
      <c r="I1795" s="5">
        <v>5.3691275167785199E-2</v>
      </c>
      <c r="J1795" s="3">
        <v>373.71428571428498</v>
      </c>
      <c r="K1795" s="1">
        <v>45614</v>
      </c>
      <c r="L1795" t="s">
        <v>25</v>
      </c>
      <c r="M1795" t="s">
        <v>31</v>
      </c>
      <c r="N1795" t="s">
        <v>27</v>
      </c>
      <c r="O1795" t="s">
        <v>28</v>
      </c>
      <c r="P1795" t="s">
        <v>59</v>
      </c>
      <c r="Q1795" s="6">
        <v>1.34161073825503</v>
      </c>
      <c r="R1795">
        <v>4.16</v>
      </c>
      <c r="S1795">
        <v>9.52</v>
      </c>
      <c r="T1795">
        <v>24.99</v>
      </c>
      <c r="U1795">
        <v>86.95</v>
      </c>
      <c r="V1795">
        <v>46.71</v>
      </c>
      <c r="W1795">
        <v>1.87</v>
      </c>
    </row>
    <row r="1796" spans="1:23" x14ac:dyDescent="0.3">
      <c r="A1796">
        <v>1796</v>
      </c>
      <c r="B1796" t="s">
        <v>1839</v>
      </c>
      <c r="C1796" t="s">
        <v>43</v>
      </c>
      <c r="D1796">
        <v>121</v>
      </c>
      <c r="E1796">
        <v>3757</v>
      </c>
      <c r="F1796" s="3">
        <v>241</v>
      </c>
      <c r="G1796">
        <v>16</v>
      </c>
      <c r="H1796">
        <v>3</v>
      </c>
      <c r="I1796" s="5">
        <v>2.4793388429752001E-2</v>
      </c>
      <c r="J1796" s="3">
        <v>250</v>
      </c>
      <c r="K1796" s="1">
        <v>45607</v>
      </c>
      <c r="L1796" t="s">
        <v>25</v>
      </c>
      <c r="M1796" t="s">
        <v>26</v>
      </c>
      <c r="N1796" t="s">
        <v>36</v>
      </c>
      <c r="O1796" t="s">
        <v>28</v>
      </c>
      <c r="P1796" t="s">
        <v>59</v>
      </c>
      <c r="Q1796" s="6">
        <v>1.9928925619834701</v>
      </c>
      <c r="R1796">
        <v>3.22</v>
      </c>
      <c r="S1796">
        <v>15.07</v>
      </c>
      <c r="T1796">
        <v>80.38</v>
      </c>
      <c r="U1796">
        <v>3.67</v>
      </c>
      <c r="V1796">
        <v>83.33</v>
      </c>
      <c r="W1796">
        <v>1.04</v>
      </c>
    </row>
    <row r="1797" spans="1:23" x14ac:dyDescent="0.3">
      <c r="A1797">
        <v>1797</v>
      </c>
      <c r="B1797" t="s">
        <v>1840</v>
      </c>
      <c r="C1797" t="s">
        <v>35</v>
      </c>
      <c r="D1797">
        <v>189</v>
      </c>
      <c r="E1797">
        <v>3029</v>
      </c>
      <c r="F1797" s="3">
        <v>296</v>
      </c>
      <c r="G1797">
        <v>21</v>
      </c>
      <c r="H1797">
        <v>3</v>
      </c>
      <c r="I1797" s="5">
        <v>1.5873015873015799E-2</v>
      </c>
      <c r="J1797" s="3">
        <v>207</v>
      </c>
      <c r="K1797" s="1">
        <v>45601</v>
      </c>
      <c r="L1797" t="s">
        <v>25</v>
      </c>
      <c r="M1797" t="s">
        <v>26</v>
      </c>
      <c r="N1797" t="s">
        <v>40</v>
      </c>
      <c r="O1797" t="s">
        <v>28</v>
      </c>
      <c r="P1797" t="s">
        <v>41</v>
      </c>
      <c r="Q1797" s="6">
        <v>1.56753061615001</v>
      </c>
      <c r="R1797">
        <v>6.24</v>
      </c>
      <c r="S1797">
        <v>14.11</v>
      </c>
      <c r="T1797">
        <v>98.75</v>
      </c>
      <c r="U1797">
        <v>-30.13</v>
      </c>
      <c r="V1797">
        <v>69</v>
      </c>
      <c r="W1797">
        <v>0.7</v>
      </c>
    </row>
    <row r="1798" spans="1:23" x14ac:dyDescent="0.3">
      <c r="A1798">
        <v>1798</v>
      </c>
      <c r="B1798" t="s">
        <v>1841</v>
      </c>
      <c r="C1798" t="s">
        <v>24</v>
      </c>
      <c r="D1798">
        <v>183</v>
      </c>
      <c r="E1798">
        <v>3876</v>
      </c>
      <c r="F1798" s="3">
        <v>238</v>
      </c>
      <c r="G1798">
        <v>13</v>
      </c>
      <c r="H1798">
        <v>10</v>
      </c>
      <c r="I1798" s="5">
        <v>5.4644808743169397E-2</v>
      </c>
      <c r="J1798" s="3">
        <v>343</v>
      </c>
      <c r="K1798" s="1">
        <v>45607</v>
      </c>
      <c r="L1798" t="s">
        <v>25</v>
      </c>
      <c r="M1798" t="s">
        <v>31</v>
      </c>
      <c r="N1798" t="s">
        <v>36</v>
      </c>
      <c r="O1798" t="s">
        <v>28</v>
      </c>
      <c r="P1798" t="s">
        <v>59</v>
      </c>
      <c r="Q1798" s="6">
        <v>1.29901639344262</v>
      </c>
      <c r="R1798">
        <v>4.72</v>
      </c>
      <c r="S1798">
        <v>18.29</v>
      </c>
      <c r="T1798">
        <v>23.77</v>
      </c>
      <c r="U1798">
        <v>44.29</v>
      </c>
      <c r="V1798">
        <v>34.299999999999997</v>
      </c>
      <c r="W1798">
        <v>1.44</v>
      </c>
    </row>
    <row r="1799" spans="1:23" x14ac:dyDescent="0.3">
      <c r="A1799">
        <v>1799</v>
      </c>
      <c r="B1799" t="s">
        <v>1842</v>
      </c>
      <c r="C1799" t="s">
        <v>24</v>
      </c>
      <c r="D1799">
        <v>133</v>
      </c>
      <c r="E1799">
        <v>4622</v>
      </c>
      <c r="F1799" s="3">
        <v>244</v>
      </c>
      <c r="G1799">
        <v>26</v>
      </c>
      <c r="H1799">
        <v>5</v>
      </c>
      <c r="I1799" s="5">
        <v>3.7593984962405999E-2</v>
      </c>
      <c r="J1799" s="3">
        <v>356</v>
      </c>
      <c r="K1799" s="1">
        <v>45618</v>
      </c>
      <c r="L1799" t="s">
        <v>25</v>
      </c>
      <c r="M1799" t="s">
        <v>31</v>
      </c>
      <c r="N1799" t="s">
        <v>49</v>
      </c>
      <c r="O1799" t="s">
        <v>28</v>
      </c>
      <c r="P1799" t="s">
        <v>45</v>
      </c>
      <c r="Q1799" s="6">
        <v>1.83180451127819</v>
      </c>
      <c r="R1799">
        <v>2.88</v>
      </c>
      <c r="S1799">
        <v>9.3699999999999992</v>
      </c>
      <c r="T1799">
        <v>48.73</v>
      </c>
      <c r="U1799">
        <v>46.12</v>
      </c>
      <c r="V1799">
        <v>71.2</v>
      </c>
      <c r="W1799">
        <v>1.46</v>
      </c>
    </row>
    <row r="1800" spans="1:23" x14ac:dyDescent="0.3">
      <c r="A1800">
        <v>1800</v>
      </c>
      <c r="B1800" t="s">
        <v>1843</v>
      </c>
      <c r="C1800" t="s">
        <v>35</v>
      </c>
      <c r="D1800">
        <v>127</v>
      </c>
      <c r="E1800">
        <v>3249</v>
      </c>
      <c r="F1800" s="3">
        <v>244</v>
      </c>
      <c r="G1800">
        <v>25</v>
      </c>
      <c r="H1800">
        <v>5</v>
      </c>
      <c r="I1800" s="5">
        <v>3.9370078740157403E-2</v>
      </c>
      <c r="J1800" s="3">
        <v>255</v>
      </c>
      <c r="K1800" s="1">
        <v>45601</v>
      </c>
      <c r="L1800" t="s">
        <v>25</v>
      </c>
      <c r="M1800" t="s">
        <v>31</v>
      </c>
      <c r="N1800" t="s">
        <v>49</v>
      </c>
      <c r="O1800" t="s">
        <v>28</v>
      </c>
      <c r="P1800" t="s">
        <v>41</v>
      </c>
      <c r="Q1800" s="6">
        <v>1.9213385826771601</v>
      </c>
      <c r="R1800">
        <v>3.91</v>
      </c>
      <c r="S1800">
        <v>9.76</v>
      </c>
      <c r="T1800">
        <v>48.8</v>
      </c>
      <c r="U1800">
        <v>4.5</v>
      </c>
      <c r="V1800">
        <v>51</v>
      </c>
      <c r="W1800">
        <v>1.05</v>
      </c>
    </row>
    <row r="1801" spans="1:23" x14ac:dyDescent="0.3">
      <c r="A1801">
        <v>1801</v>
      </c>
      <c r="B1801" t="s">
        <v>1844</v>
      </c>
      <c r="C1801" t="s">
        <v>43</v>
      </c>
      <c r="D1801">
        <v>195</v>
      </c>
      <c r="E1801">
        <v>3372</v>
      </c>
      <c r="F1801" s="3">
        <v>226</v>
      </c>
      <c r="G1801">
        <v>10</v>
      </c>
      <c r="H1801">
        <v>9</v>
      </c>
      <c r="I1801" s="5">
        <v>4.6153846153846101E-2</v>
      </c>
      <c r="J1801" s="3">
        <v>344</v>
      </c>
      <c r="K1801" s="1">
        <v>45613</v>
      </c>
      <c r="L1801" t="s">
        <v>25</v>
      </c>
      <c r="M1801" t="s">
        <v>31</v>
      </c>
      <c r="N1801" t="s">
        <v>40</v>
      </c>
      <c r="O1801" t="s">
        <v>28</v>
      </c>
      <c r="P1801" t="s">
        <v>50</v>
      </c>
      <c r="Q1801" s="6">
        <v>1.1567692307692301</v>
      </c>
      <c r="R1801">
        <v>5.78</v>
      </c>
      <c r="S1801">
        <v>22.56</v>
      </c>
      <c r="T1801">
        <v>25.06</v>
      </c>
      <c r="U1801">
        <v>52.5</v>
      </c>
      <c r="V1801">
        <v>38.22</v>
      </c>
      <c r="W1801">
        <v>1.53</v>
      </c>
    </row>
    <row r="1802" spans="1:23" x14ac:dyDescent="0.3">
      <c r="A1802">
        <v>1802</v>
      </c>
      <c r="B1802" t="s">
        <v>1845</v>
      </c>
      <c r="C1802" t="s">
        <v>24</v>
      </c>
      <c r="D1802">
        <v>138</v>
      </c>
      <c r="E1802">
        <v>5452</v>
      </c>
      <c r="F1802" s="3">
        <v>210</v>
      </c>
      <c r="G1802">
        <v>16</v>
      </c>
      <c r="H1802">
        <v>8</v>
      </c>
      <c r="I1802" s="5">
        <v>5.7971014492753603E-2</v>
      </c>
      <c r="J1802" s="3">
        <v>401</v>
      </c>
      <c r="K1802" s="1">
        <v>45598</v>
      </c>
      <c r="L1802" t="s">
        <v>25</v>
      </c>
      <c r="M1802" t="s">
        <v>26</v>
      </c>
      <c r="N1802" t="s">
        <v>40</v>
      </c>
      <c r="O1802" t="s">
        <v>28</v>
      </c>
      <c r="P1802" t="s">
        <v>29</v>
      </c>
      <c r="Q1802" s="6">
        <v>1.5249999999999999</v>
      </c>
      <c r="R1802">
        <v>2.5299999999999998</v>
      </c>
      <c r="S1802">
        <v>13.15</v>
      </c>
      <c r="T1802">
        <v>26.31</v>
      </c>
      <c r="U1802">
        <v>90.54</v>
      </c>
      <c r="V1802">
        <v>50.12</v>
      </c>
      <c r="W1802">
        <v>1.91</v>
      </c>
    </row>
    <row r="1803" spans="1:23" x14ac:dyDescent="0.3">
      <c r="A1803">
        <v>1803</v>
      </c>
      <c r="B1803" t="s">
        <v>1846</v>
      </c>
      <c r="C1803" t="s">
        <v>43</v>
      </c>
      <c r="D1803">
        <v>134</v>
      </c>
      <c r="E1803">
        <v>3011</v>
      </c>
      <c r="F1803" s="3">
        <v>231</v>
      </c>
      <c r="G1803">
        <v>21</v>
      </c>
      <c r="H1803">
        <v>7</v>
      </c>
      <c r="I1803" s="5">
        <v>5.2238805970149203E-2</v>
      </c>
      <c r="J1803" s="3">
        <v>250</v>
      </c>
      <c r="K1803" s="1">
        <v>45612</v>
      </c>
      <c r="L1803" t="s">
        <v>25</v>
      </c>
      <c r="M1803" t="s">
        <v>31</v>
      </c>
      <c r="N1803" t="s">
        <v>44</v>
      </c>
      <c r="O1803" t="s">
        <v>28</v>
      </c>
      <c r="P1803" t="s">
        <v>29</v>
      </c>
      <c r="Q1803" s="6">
        <v>1.72082089552238</v>
      </c>
      <c r="R1803">
        <v>4.45</v>
      </c>
      <c r="S1803">
        <v>10.98</v>
      </c>
      <c r="T1803">
        <v>32.94</v>
      </c>
      <c r="U1803">
        <v>8.42</v>
      </c>
      <c r="V1803">
        <v>35.71</v>
      </c>
      <c r="W1803">
        <v>1.08</v>
      </c>
    </row>
    <row r="1804" spans="1:23" x14ac:dyDescent="0.3">
      <c r="A1804">
        <v>1804</v>
      </c>
      <c r="B1804" t="s">
        <v>1847</v>
      </c>
      <c r="C1804" t="s">
        <v>24</v>
      </c>
      <c r="D1804">
        <v>110</v>
      </c>
      <c r="E1804">
        <v>3371</v>
      </c>
      <c r="F1804" s="3">
        <v>212</v>
      </c>
      <c r="G1804">
        <v>12</v>
      </c>
      <c r="H1804">
        <v>6</v>
      </c>
      <c r="I1804" s="5">
        <v>5.4545454545454501E-2</v>
      </c>
      <c r="J1804" s="3">
        <v>356</v>
      </c>
      <c r="K1804" s="1">
        <v>45605</v>
      </c>
      <c r="L1804" t="s">
        <v>25</v>
      </c>
      <c r="M1804" t="s">
        <v>39</v>
      </c>
      <c r="N1804" t="s">
        <v>32</v>
      </c>
      <c r="O1804" t="s">
        <v>28</v>
      </c>
      <c r="P1804" t="s">
        <v>29</v>
      </c>
      <c r="Q1804" s="6">
        <v>1.92627272727272</v>
      </c>
      <c r="R1804">
        <v>3.26</v>
      </c>
      <c r="S1804">
        <v>17.66</v>
      </c>
      <c r="T1804">
        <v>35.32</v>
      </c>
      <c r="U1804">
        <v>68.010000000000005</v>
      </c>
      <c r="V1804">
        <v>59.33</v>
      </c>
      <c r="W1804">
        <v>1.68</v>
      </c>
    </row>
    <row r="1805" spans="1:23" x14ac:dyDescent="0.3">
      <c r="A1805">
        <v>1805</v>
      </c>
      <c r="B1805" t="s">
        <v>1848</v>
      </c>
      <c r="C1805" t="s">
        <v>24</v>
      </c>
      <c r="D1805">
        <v>186</v>
      </c>
      <c r="E1805">
        <v>5126</v>
      </c>
      <c r="F1805" s="3">
        <v>182</v>
      </c>
      <c r="G1805">
        <v>25</v>
      </c>
      <c r="H1805">
        <v>7</v>
      </c>
      <c r="I1805" s="5">
        <v>3.7634408602150497E-2</v>
      </c>
      <c r="J1805" s="3">
        <v>379</v>
      </c>
      <c r="K1805" s="1">
        <v>45614</v>
      </c>
      <c r="L1805" t="s">
        <v>25</v>
      </c>
      <c r="M1805" t="s">
        <v>39</v>
      </c>
      <c r="N1805" t="s">
        <v>36</v>
      </c>
      <c r="O1805" t="s">
        <v>28</v>
      </c>
      <c r="P1805" t="s">
        <v>59</v>
      </c>
      <c r="Q1805" s="6">
        <v>0.98053763440860198</v>
      </c>
      <c r="R1805">
        <v>3.63</v>
      </c>
      <c r="S1805">
        <v>7.3</v>
      </c>
      <c r="T1805">
        <v>26.05</v>
      </c>
      <c r="U1805">
        <v>107.81</v>
      </c>
      <c r="V1805">
        <v>54.14</v>
      </c>
      <c r="W1805">
        <v>2.08</v>
      </c>
    </row>
    <row r="1806" spans="1:23" x14ac:dyDescent="0.3">
      <c r="A1806">
        <v>1806</v>
      </c>
      <c r="B1806" t="s">
        <v>1849</v>
      </c>
      <c r="C1806" t="s">
        <v>43</v>
      </c>
      <c r="D1806">
        <v>191</v>
      </c>
      <c r="E1806">
        <v>5257</v>
      </c>
      <c r="F1806" s="3">
        <v>219</v>
      </c>
      <c r="G1806">
        <v>29</v>
      </c>
      <c r="H1806">
        <v>6</v>
      </c>
      <c r="I1806" s="5">
        <v>3.1413612565444997E-2</v>
      </c>
      <c r="J1806" s="3">
        <v>353</v>
      </c>
      <c r="K1806" s="1">
        <v>45600</v>
      </c>
      <c r="L1806" t="s">
        <v>25</v>
      </c>
      <c r="M1806" t="s">
        <v>31</v>
      </c>
      <c r="N1806" t="s">
        <v>36</v>
      </c>
      <c r="O1806" t="s">
        <v>28</v>
      </c>
      <c r="P1806" t="s">
        <v>59</v>
      </c>
      <c r="Q1806" s="6">
        <v>1.1486910994764301</v>
      </c>
      <c r="R1806">
        <v>3.63</v>
      </c>
      <c r="S1806">
        <v>7.57</v>
      </c>
      <c r="T1806">
        <v>36.57</v>
      </c>
      <c r="U1806">
        <v>60.89</v>
      </c>
      <c r="V1806">
        <v>58.83</v>
      </c>
      <c r="W1806">
        <v>1.61</v>
      </c>
    </row>
    <row r="1807" spans="1:23" x14ac:dyDescent="0.3">
      <c r="A1807">
        <v>1807</v>
      </c>
      <c r="B1807" t="s">
        <v>1850</v>
      </c>
      <c r="C1807" t="s">
        <v>43</v>
      </c>
      <c r="D1807">
        <v>169</v>
      </c>
      <c r="E1807">
        <v>3475</v>
      </c>
      <c r="F1807" s="3">
        <v>247</v>
      </c>
      <c r="G1807">
        <v>12</v>
      </c>
      <c r="H1807">
        <v>3</v>
      </c>
      <c r="I1807" s="5">
        <v>1.7751479289940801E-2</v>
      </c>
      <c r="J1807" s="3">
        <v>405</v>
      </c>
      <c r="K1807" s="1">
        <v>45608</v>
      </c>
      <c r="L1807" t="s">
        <v>25</v>
      </c>
      <c r="M1807" t="s">
        <v>31</v>
      </c>
      <c r="N1807" t="s">
        <v>40</v>
      </c>
      <c r="O1807" t="s">
        <v>28</v>
      </c>
      <c r="P1807" t="s">
        <v>41</v>
      </c>
      <c r="Q1807" s="6">
        <v>1.46248520710059</v>
      </c>
      <c r="R1807">
        <v>4.8600000000000003</v>
      </c>
      <c r="S1807">
        <v>20.6</v>
      </c>
      <c r="T1807">
        <v>82.39</v>
      </c>
      <c r="U1807">
        <v>63.86</v>
      </c>
      <c r="V1807">
        <v>135</v>
      </c>
      <c r="W1807">
        <v>1.64</v>
      </c>
    </row>
    <row r="1808" spans="1:23" x14ac:dyDescent="0.3">
      <c r="A1808">
        <v>1808</v>
      </c>
      <c r="B1808" t="s">
        <v>1851</v>
      </c>
      <c r="C1808" t="s">
        <v>24</v>
      </c>
      <c r="D1808">
        <v>198</v>
      </c>
      <c r="E1808">
        <v>5447</v>
      </c>
      <c r="F1808" s="3">
        <v>225</v>
      </c>
      <c r="G1808">
        <v>16</v>
      </c>
      <c r="H1808">
        <v>5</v>
      </c>
      <c r="I1808" s="5">
        <v>2.52525252525252E-2</v>
      </c>
      <c r="J1808" s="3">
        <v>255</v>
      </c>
      <c r="K1808" s="1">
        <v>45625</v>
      </c>
      <c r="L1808" t="s">
        <v>25</v>
      </c>
      <c r="M1808" t="s">
        <v>31</v>
      </c>
      <c r="N1808" t="s">
        <v>49</v>
      </c>
      <c r="O1808" t="s">
        <v>28</v>
      </c>
      <c r="P1808" t="s">
        <v>45</v>
      </c>
      <c r="Q1808" s="6">
        <v>1.13883838383838</v>
      </c>
      <c r="R1808">
        <v>3.64</v>
      </c>
      <c r="S1808">
        <v>14.09</v>
      </c>
      <c r="T1808">
        <v>45.1</v>
      </c>
      <c r="U1808">
        <v>13.09</v>
      </c>
      <c r="V1808">
        <v>51</v>
      </c>
      <c r="W1808">
        <v>1.1299999999999999</v>
      </c>
    </row>
    <row r="1809" spans="1:23" x14ac:dyDescent="0.3">
      <c r="A1809">
        <v>1809</v>
      </c>
      <c r="B1809" t="s">
        <v>1852</v>
      </c>
      <c r="C1809" t="s">
        <v>43</v>
      </c>
      <c r="D1809">
        <v>184</v>
      </c>
      <c r="E1809">
        <v>3272</v>
      </c>
      <c r="F1809" s="3">
        <v>242</v>
      </c>
      <c r="G1809">
        <v>27</v>
      </c>
      <c r="H1809">
        <v>9</v>
      </c>
      <c r="I1809" s="5">
        <v>4.8913043478260802E-2</v>
      </c>
      <c r="J1809" s="3">
        <v>402</v>
      </c>
      <c r="K1809" s="1">
        <v>45604</v>
      </c>
      <c r="L1809" t="s">
        <v>25</v>
      </c>
      <c r="M1809" t="s">
        <v>31</v>
      </c>
      <c r="N1809" t="s">
        <v>27</v>
      </c>
      <c r="O1809" t="s">
        <v>28</v>
      </c>
      <c r="P1809" t="s">
        <v>45</v>
      </c>
      <c r="Q1809" s="6">
        <v>1.3141304347825999</v>
      </c>
      <c r="R1809">
        <v>5.62</v>
      </c>
      <c r="S1809">
        <v>8.9600000000000009</v>
      </c>
      <c r="T1809">
        <v>26.87</v>
      </c>
      <c r="U1809">
        <v>66.25</v>
      </c>
      <c r="V1809">
        <v>44.67</v>
      </c>
      <c r="W1809">
        <v>1.66</v>
      </c>
    </row>
    <row r="1810" spans="1:23" x14ac:dyDescent="0.3">
      <c r="A1810">
        <v>1810</v>
      </c>
      <c r="B1810" t="s">
        <v>1853</v>
      </c>
      <c r="C1810" t="s">
        <v>35</v>
      </c>
      <c r="D1810">
        <v>87</v>
      </c>
      <c r="E1810">
        <v>5221</v>
      </c>
      <c r="F1810" s="3">
        <v>217</v>
      </c>
      <c r="G1810">
        <v>13</v>
      </c>
      <c r="H1810">
        <v>9</v>
      </c>
      <c r="I1810" s="5">
        <v>0.10344827586206801</v>
      </c>
      <c r="J1810" s="3">
        <v>352</v>
      </c>
      <c r="K1810" s="1">
        <v>45605</v>
      </c>
      <c r="L1810" t="s">
        <v>25</v>
      </c>
      <c r="M1810" t="s">
        <v>26</v>
      </c>
      <c r="N1810" t="s">
        <v>36</v>
      </c>
      <c r="O1810" t="s">
        <v>28</v>
      </c>
      <c r="P1810" t="s">
        <v>29</v>
      </c>
      <c r="Q1810" s="6">
        <v>2.4951724137931</v>
      </c>
      <c r="R1810">
        <v>1.67</v>
      </c>
      <c r="S1810">
        <v>16.7</v>
      </c>
      <c r="T1810">
        <v>24.12</v>
      </c>
      <c r="U1810">
        <v>62.15</v>
      </c>
      <c r="V1810">
        <v>39.11</v>
      </c>
      <c r="W1810">
        <v>1.62</v>
      </c>
    </row>
    <row r="1811" spans="1:23" x14ac:dyDescent="0.3">
      <c r="A1811">
        <v>1811</v>
      </c>
      <c r="B1811" t="s">
        <v>1854</v>
      </c>
      <c r="C1811" t="s">
        <v>35</v>
      </c>
      <c r="D1811">
        <v>180</v>
      </c>
      <c r="E1811">
        <v>3099</v>
      </c>
      <c r="F1811" s="3">
        <v>241</v>
      </c>
      <c r="G1811">
        <v>23</v>
      </c>
      <c r="H1811">
        <v>5</v>
      </c>
      <c r="I1811" s="5">
        <v>2.77777777777777E-2</v>
      </c>
      <c r="J1811" s="3">
        <v>240</v>
      </c>
      <c r="K1811" s="1">
        <v>45624</v>
      </c>
      <c r="L1811" t="s">
        <v>25</v>
      </c>
      <c r="M1811" t="s">
        <v>31</v>
      </c>
      <c r="N1811" t="s">
        <v>49</v>
      </c>
      <c r="O1811" t="s">
        <v>28</v>
      </c>
      <c r="P1811" t="s">
        <v>54</v>
      </c>
      <c r="Q1811" s="6">
        <v>1.34066666666666</v>
      </c>
      <c r="R1811">
        <v>5.81</v>
      </c>
      <c r="S1811">
        <v>10.49</v>
      </c>
      <c r="T1811">
        <v>48.26</v>
      </c>
      <c r="U1811">
        <v>-0.55000000000000004</v>
      </c>
      <c r="V1811">
        <v>48</v>
      </c>
      <c r="W1811">
        <v>0.99</v>
      </c>
    </row>
    <row r="1812" spans="1:23" x14ac:dyDescent="0.3">
      <c r="A1812">
        <v>1812</v>
      </c>
      <c r="B1812" t="s">
        <v>1855</v>
      </c>
      <c r="C1812" t="s">
        <v>43</v>
      </c>
      <c r="D1812">
        <v>99</v>
      </c>
      <c r="E1812">
        <v>4229</v>
      </c>
      <c r="F1812" s="3">
        <v>184</v>
      </c>
      <c r="G1812">
        <v>24</v>
      </c>
      <c r="H1812">
        <v>8</v>
      </c>
      <c r="I1812" s="5">
        <v>8.0808080808080801E-2</v>
      </c>
      <c r="J1812" s="3">
        <v>366</v>
      </c>
      <c r="K1812" s="1">
        <v>45615</v>
      </c>
      <c r="L1812" t="s">
        <v>25</v>
      </c>
      <c r="M1812" t="s">
        <v>31</v>
      </c>
      <c r="N1812" t="s">
        <v>27</v>
      </c>
      <c r="O1812" t="s">
        <v>28</v>
      </c>
      <c r="P1812" t="s">
        <v>41</v>
      </c>
      <c r="Q1812" s="6">
        <v>1.8555555555555501</v>
      </c>
      <c r="R1812">
        <v>2.34</v>
      </c>
      <c r="S1812">
        <v>7.65</v>
      </c>
      <c r="T1812">
        <v>22.96</v>
      </c>
      <c r="U1812">
        <v>99.24</v>
      </c>
      <c r="V1812">
        <v>45.75</v>
      </c>
      <c r="W1812">
        <v>1.99</v>
      </c>
    </row>
    <row r="1813" spans="1:23" x14ac:dyDescent="0.3">
      <c r="A1813">
        <v>1813</v>
      </c>
      <c r="B1813" t="s">
        <v>1856</v>
      </c>
      <c r="C1813" t="s">
        <v>24</v>
      </c>
      <c r="D1813">
        <v>148</v>
      </c>
      <c r="E1813">
        <v>4038</v>
      </c>
      <c r="F1813" s="3">
        <v>248</v>
      </c>
      <c r="G1813">
        <v>28</v>
      </c>
      <c r="H1813">
        <v>3</v>
      </c>
      <c r="I1813" s="5">
        <v>2.0270270270270199E-2</v>
      </c>
      <c r="J1813" s="3">
        <v>316</v>
      </c>
      <c r="K1813" s="1">
        <v>45604</v>
      </c>
      <c r="L1813" t="s">
        <v>25</v>
      </c>
      <c r="M1813" t="s">
        <v>31</v>
      </c>
      <c r="N1813" t="s">
        <v>44</v>
      </c>
      <c r="O1813" t="s">
        <v>28</v>
      </c>
      <c r="P1813" t="s">
        <v>45</v>
      </c>
      <c r="Q1813" s="6">
        <v>1.6781756756756701</v>
      </c>
      <c r="R1813">
        <v>3.67</v>
      </c>
      <c r="S1813">
        <v>8.8699999999999992</v>
      </c>
      <c r="T1813">
        <v>82.79</v>
      </c>
      <c r="U1813">
        <v>27.23</v>
      </c>
      <c r="V1813">
        <v>105.33</v>
      </c>
      <c r="W1813">
        <v>1.27</v>
      </c>
    </row>
    <row r="1814" spans="1:23" x14ac:dyDescent="0.3">
      <c r="A1814">
        <v>1814</v>
      </c>
      <c r="B1814" t="s">
        <v>1857</v>
      </c>
      <c r="C1814" t="s">
        <v>24</v>
      </c>
      <c r="D1814">
        <v>146</v>
      </c>
      <c r="E1814">
        <v>3960</v>
      </c>
      <c r="F1814" s="3">
        <v>214</v>
      </c>
      <c r="G1814">
        <v>29</v>
      </c>
      <c r="H1814">
        <v>6</v>
      </c>
      <c r="I1814" s="5">
        <v>4.1095890410958902E-2</v>
      </c>
      <c r="J1814" s="3">
        <v>240</v>
      </c>
      <c r="K1814" s="1">
        <v>45619</v>
      </c>
      <c r="L1814" t="s">
        <v>25</v>
      </c>
      <c r="M1814" t="s">
        <v>31</v>
      </c>
      <c r="N1814" t="s">
        <v>32</v>
      </c>
      <c r="O1814" t="s">
        <v>28</v>
      </c>
      <c r="P1814" t="s">
        <v>29</v>
      </c>
      <c r="Q1814" s="6">
        <v>1.4636986301369801</v>
      </c>
      <c r="R1814">
        <v>3.69</v>
      </c>
      <c r="S1814">
        <v>7.37</v>
      </c>
      <c r="T1814">
        <v>35.619999999999997</v>
      </c>
      <c r="U1814">
        <v>12.31</v>
      </c>
      <c r="V1814">
        <v>40</v>
      </c>
      <c r="W1814">
        <v>1.1200000000000001</v>
      </c>
    </row>
    <row r="1815" spans="1:23" x14ac:dyDescent="0.3">
      <c r="A1815">
        <v>1815</v>
      </c>
      <c r="B1815" t="s">
        <v>1858</v>
      </c>
      <c r="C1815" t="s">
        <v>38</v>
      </c>
      <c r="D1815">
        <v>149</v>
      </c>
      <c r="E1815">
        <v>3865</v>
      </c>
      <c r="F1815" s="3">
        <v>199</v>
      </c>
      <c r="G1815">
        <v>14</v>
      </c>
      <c r="H1815">
        <v>4</v>
      </c>
      <c r="I1815" s="5">
        <v>2.68456375838926E-2</v>
      </c>
      <c r="J1815" s="3">
        <v>186.85714285714201</v>
      </c>
      <c r="K1815" s="1">
        <v>45597</v>
      </c>
      <c r="L1815" t="s">
        <v>25</v>
      </c>
      <c r="M1815" t="s">
        <v>39</v>
      </c>
      <c r="N1815" t="s">
        <v>40</v>
      </c>
      <c r="O1815" t="s">
        <v>28</v>
      </c>
      <c r="P1815" t="s">
        <v>45</v>
      </c>
      <c r="Q1815" s="6">
        <v>1.3324832214765101</v>
      </c>
      <c r="R1815">
        <v>3.86</v>
      </c>
      <c r="S1815">
        <v>14.18</v>
      </c>
      <c r="T1815">
        <v>49.64</v>
      </c>
      <c r="U1815">
        <v>-5.88</v>
      </c>
      <c r="V1815">
        <v>46.71</v>
      </c>
      <c r="W1815">
        <v>0.94</v>
      </c>
    </row>
    <row r="1816" spans="1:23" x14ac:dyDescent="0.3">
      <c r="A1816">
        <v>1816</v>
      </c>
      <c r="B1816" t="s">
        <v>1859</v>
      </c>
      <c r="C1816" t="s">
        <v>24</v>
      </c>
      <c r="D1816">
        <v>88</v>
      </c>
      <c r="E1816">
        <v>3433</v>
      </c>
      <c r="F1816" s="3">
        <v>242</v>
      </c>
      <c r="G1816">
        <v>29</v>
      </c>
      <c r="H1816">
        <v>6</v>
      </c>
      <c r="I1816" s="5">
        <v>6.8181818181818094E-2</v>
      </c>
      <c r="J1816" s="3">
        <v>338</v>
      </c>
      <c r="K1816" s="1">
        <v>45616</v>
      </c>
      <c r="L1816" t="s">
        <v>25</v>
      </c>
      <c r="M1816" t="s">
        <v>31</v>
      </c>
      <c r="N1816" t="s">
        <v>27</v>
      </c>
      <c r="O1816" t="s">
        <v>28</v>
      </c>
      <c r="P1816" t="s">
        <v>33</v>
      </c>
      <c r="Q1816" s="6">
        <v>2.7477272727272699</v>
      </c>
      <c r="R1816">
        <v>2.56</v>
      </c>
      <c r="S1816">
        <v>8.34</v>
      </c>
      <c r="T1816">
        <v>40.299999999999997</v>
      </c>
      <c r="U1816">
        <v>39.78</v>
      </c>
      <c r="V1816">
        <v>56.33</v>
      </c>
      <c r="W1816">
        <v>1.4</v>
      </c>
    </row>
    <row r="1817" spans="1:23" x14ac:dyDescent="0.3">
      <c r="A1817">
        <v>1817</v>
      </c>
      <c r="B1817" t="s">
        <v>1860</v>
      </c>
      <c r="C1817" t="s">
        <v>24</v>
      </c>
      <c r="D1817">
        <v>154</v>
      </c>
      <c r="E1817">
        <v>3009</v>
      </c>
      <c r="F1817" s="3">
        <v>185</v>
      </c>
      <c r="G1817">
        <v>16</v>
      </c>
      <c r="H1817">
        <v>9</v>
      </c>
      <c r="I1817" s="5">
        <v>5.8441558441558399E-2</v>
      </c>
      <c r="J1817" s="3">
        <v>292</v>
      </c>
      <c r="K1817" s="1">
        <v>45610</v>
      </c>
      <c r="L1817" t="s">
        <v>25</v>
      </c>
      <c r="M1817" t="s">
        <v>31</v>
      </c>
      <c r="N1817" t="s">
        <v>36</v>
      </c>
      <c r="O1817" t="s">
        <v>28</v>
      </c>
      <c r="P1817" t="s">
        <v>54</v>
      </c>
      <c r="Q1817" s="6">
        <v>1.2033766233766201</v>
      </c>
      <c r="R1817">
        <v>5.12</v>
      </c>
      <c r="S1817">
        <v>11.58</v>
      </c>
      <c r="T1817">
        <v>20.59</v>
      </c>
      <c r="U1817">
        <v>57.57</v>
      </c>
      <c r="V1817">
        <v>32.44</v>
      </c>
      <c r="W1817">
        <v>1.58</v>
      </c>
    </row>
    <row r="1818" spans="1:23" x14ac:dyDescent="0.3">
      <c r="A1818">
        <v>1818</v>
      </c>
      <c r="B1818" t="s">
        <v>1861</v>
      </c>
      <c r="C1818" t="s">
        <v>35</v>
      </c>
      <c r="D1818">
        <v>137</v>
      </c>
      <c r="E1818">
        <v>4817</v>
      </c>
      <c r="F1818" s="3">
        <v>209</v>
      </c>
      <c r="G1818">
        <v>17</v>
      </c>
      <c r="H1818">
        <v>6</v>
      </c>
      <c r="I1818" s="5">
        <v>4.3795620437956199E-2</v>
      </c>
      <c r="J1818" s="3">
        <v>351</v>
      </c>
      <c r="K1818" s="1">
        <v>45604</v>
      </c>
      <c r="L1818" t="s">
        <v>25</v>
      </c>
      <c r="M1818" t="s">
        <v>31</v>
      </c>
      <c r="N1818" t="s">
        <v>32</v>
      </c>
      <c r="O1818" t="s">
        <v>28</v>
      </c>
      <c r="P1818" t="s">
        <v>45</v>
      </c>
      <c r="Q1818" s="6">
        <v>1.5243795620437901</v>
      </c>
      <c r="R1818">
        <v>2.84</v>
      </c>
      <c r="S1818">
        <v>12.28</v>
      </c>
      <c r="T1818">
        <v>34.81</v>
      </c>
      <c r="U1818">
        <v>68.069999999999993</v>
      </c>
      <c r="V1818">
        <v>58.5</v>
      </c>
      <c r="W1818">
        <v>1.68</v>
      </c>
    </row>
    <row r="1819" spans="1:23" x14ac:dyDescent="0.3">
      <c r="A1819">
        <v>1819</v>
      </c>
      <c r="B1819" t="s">
        <v>1862</v>
      </c>
      <c r="C1819" t="s">
        <v>24</v>
      </c>
      <c r="D1819">
        <v>125</v>
      </c>
      <c r="E1819">
        <v>5217</v>
      </c>
      <c r="F1819" s="3">
        <v>183</v>
      </c>
      <c r="G1819">
        <v>16</v>
      </c>
      <c r="H1819">
        <v>10</v>
      </c>
      <c r="I1819" s="5">
        <v>0.08</v>
      </c>
      <c r="J1819" s="3">
        <v>254</v>
      </c>
      <c r="K1819" s="1">
        <v>45599</v>
      </c>
      <c r="L1819" t="s">
        <v>25</v>
      </c>
      <c r="M1819" t="s">
        <v>39</v>
      </c>
      <c r="N1819" t="s">
        <v>27</v>
      </c>
      <c r="O1819" t="s">
        <v>28</v>
      </c>
      <c r="P1819" t="s">
        <v>50</v>
      </c>
      <c r="Q1819" s="6">
        <v>1.4652799999999999</v>
      </c>
      <c r="R1819">
        <v>2.4</v>
      </c>
      <c r="S1819">
        <v>11.45</v>
      </c>
      <c r="T1819">
        <v>18.32</v>
      </c>
      <c r="U1819">
        <v>38.68</v>
      </c>
      <c r="V1819">
        <v>25.4</v>
      </c>
      <c r="W1819">
        <v>1.39</v>
      </c>
    </row>
    <row r="1820" spans="1:23" x14ac:dyDescent="0.3">
      <c r="A1820">
        <v>1820</v>
      </c>
      <c r="B1820" t="s">
        <v>1863</v>
      </c>
      <c r="C1820" t="s">
        <v>24</v>
      </c>
      <c r="D1820">
        <v>155</v>
      </c>
      <c r="E1820">
        <v>4870</v>
      </c>
      <c r="F1820" s="3">
        <v>192</v>
      </c>
      <c r="G1820">
        <v>23</v>
      </c>
      <c r="H1820">
        <v>8</v>
      </c>
      <c r="I1820" s="5">
        <v>5.1612903225806403E-2</v>
      </c>
      <c r="J1820" s="3">
        <v>296</v>
      </c>
      <c r="K1820" s="1">
        <v>45610</v>
      </c>
      <c r="L1820" t="s">
        <v>25</v>
      </c>
      <c r="M1820" t="s">
        <v>39</v>
      </c>
      <c r="N1820" t="s">
        <v>32</v>
      </c>
      <c r="O1820" t="s">
        <v>28</v>
      </c>
      <c r="P1820" t="s">
        <v>54</v>
      </c>
      <c r="Q1820" s="6">
        <v>1.2357419354838699</v>
      </c>
      <c r="R1820">
        <v>3.18</v>
      </c>
      <c r="S1820">
        <v>8.33</v>
      </c>
      <c r="T1820">
        <v>23.94</v>
      </c>
      <c r="U1820">
        <v>54.54</v>
      </c>
      <c r="V1820">
        <v>37</v>
      </c>
      <c r="W1820">
        <v>1.55</v>
      </c>
    </row>
    <row r="1821" spans="1:23" x14ac:dyDescent="0.3">
      <c r="A1821">
        <v>1821</v>
      </c>
      <c r="B1821" t="s">
        <v>1864</v>
      </c>
      <c r="C1821" t="s">
        <v>35</v>
      </c>
      <c r="D1821">
        <v>111</v>
      </c>
      <c r="E1821">
        <v>5133</v>
      </c>
      <c r="F1821" s="3">
        <v>240</v>
      </c>
      <c r="G1821">
        <v>22</v>
      </c>
      <c r="H1821">
        <v>8</v>
      </c>
      <c r="I1821" s="5">
        <v>7.2072072072072002E-2</v>
      </c>
      <c r="J1821" s="3">
        <v>317</v>
      </c>
      <c r="K1821" s="1">
        <v>45618</v>
      </c>
      <c r="L1821" t="s">
        <v>25</v>
      </c>
      <c r="M1821" t="s">
        <v>26</v>
      </c>
      <c r="N1821" t="s">
        <v>44</v>
      </c>
      <c r="O1821" t="s">
        <v>28</v>
      </c>
      <c r="P1821" t="s">
        <v>45</v>
      </c>
      <c r="Q1821" s="6">
        <v>2.1642342342342298</v>
      </c>
      <c r="R1821">
        <v>2.16</v>
      </c>
      <c r="S1821">
        <v>10.92</v>
      </c>
      <c r="T1821">
        <v>30.03</v>
      </c>
      <c r="U1821">
        <v>31.96</v>
      </c>
      <c r="V1821">
        <v>39.619999999999997</v>
      </c>
      <c r="W1821">
        <v>1.32</v>
      </c>
    </row>
    <row r="1822" spans="1:23" x14ac:dyDescent="0.3">
      <c r="A1822">
        <v>1822</v>
      </c>
      <c r="B1822" t="s">
        <v>1865</v>
      </c>
      <c r="C1822" t="s">
        <v>24</v>
      </c>
      <c r="D1822">
        <v>141</v>
      </c>
      <c r="E1822">
        <v>3181</v>
      </c>
      <c r="F1822" s="3">
        <v>234</v>
      </c>
      <c r="G1822">
        <v>16</v>
      </c>
      <c r="H1822">
        <v>9</v>
      </c>
      <c r="I1822" s="5">
        <v>6.3829787234042507E-2</v>
      </c>
      <c r="J1822" s="3">
        <v>332</v>
      </c>
      <c r="K1822" s="1">
        <v>45617</v>
      </c>
      <c r="L1822" t="s">
        <v>25</v>
      </c>
      <c r="M1822" t="s">
        <v>26</v>
      </c>
      <c r="N1822" t="s">
        <v>40</v>
      </c>
      <c r="O1822" t="s">
        <v>28</v>
      </c>
      <c r="P1822" t="s">
        <v>54</v>
      </c>
      <c r="Q1822" s="6">
        <v>1.66269503546099</v>
      </c>
      <c r="R1822">
        <v>4.43</v>
      </c>
      <c r="S1822">
        <v>14.65</v>
      </c>
      <c r="T1822">
        <v>26.05</v>
      </c>
      <c r="U1822">
        <v>41.61</v>
      </c>
      <c r="V1822">
        <v>36.89</v>
      </c>
      <c r="W1822">
        <v>1.42</v>
      </c>
    </row>
    <row r="1823" spans="1:23" x14ac:dyDescent="0.3">
      <c r="A1823">
        <v>1823</v>
      </c>
      <c r="B1823" t="s">
        <v>1866</v>
      </c>
      <c r="C1823" t="s">
        <v>24</v>
      </c>
      <c r="D1823">
        <v>153</v>
      </c>
      <c r="E1823">
        <v>4153</v>
      </c>
      <c r="F1823" s="3">
        <v>234</v>
      </c>
      <c r="G1823">
        <v>18</v>
      </c>
      <c r="H1823">
        <v>5</v>
      </c>
      <c r="I1823" s="5">
        <v>3.2679738562091498E-2</v>
      </c>
      <c r="J1823" s="3">
        <v>279</v>
      </c>
      <c r="K1823" s="1">
        <v>45620</v>
      </c>
      <c r="L1823" t="s">
        <v>25</v>
      </c>
      <c r="M1823" t="s">
        <v>39</v>
      </c>
      <c r="N1823" t="s">
        <v>32</v>
      </c>
      <c r="O1823" t="s">
        <v>28</v>
      </c>
      <c r="P1823" t="s">
        <v>50</v>
      </c>
      <c r="Q1823" s="6">
        <v>1.5310457516339799</v>
      </c>
      <c r="R1823">
        <v>3.68</v>
      </c>
      <c r="S1823">
        <v>13.01</v>
      </c>
      <c r="T1823">
        <v>46.85</v>
      </c>
      <c r="U1823">
        <v>19.100000000000001</v>
      </c>
      <c r="V1823">
        <v>55.8</v>
      </c>
      <c r="W1823">
        <v>1.19</v>
      </c>
    </row>
    <row r="1824" spans="1:23" x14ac:dyDescent="0.3">
      <c r="A1824">
        <v>1824</v>
      </c>
      <c r="B1824" t="s">
        <v>1867</v>
      </c>
      <c r="C1824" t="s">
        <v>43</v>
      </c>
      <c r="D1824">
        <v>176</v>
      </c>
      <c r="E1824">
        <v>5804</v>
      </c>
      <c r="F1824" s="3">
        <v>191</v>
      </c>
      <c r="G1824">
        <v>11</v>
      </c>
      <c r="H1824">
        <v>4</v>
      </c>
      <c r="I1824" s="5">
        <v>2.27272727272727E-2</v>
      </c>
      <c r="J1824" s="3">
        <v>226</v>
      </c>
      <c r="K1824" s="1">
        <v>45624</v>
      </c>
      <c r="L1824" t="s">
        <v>25</v>
      </c>
      <c r="M1824" t="s">
        <v>31</v>
      </c>
      <c r="N1824" t="s">
        <v>44</v>
      </c>
      <c r="O1824" t="s">
        <v>28</v>
      </c>
      <c r="P1824" t="s">
        <v>54</v>
      </c>
      <c r="Q1824" s="6">
        <v>1.0858522727272699</v>
      </c>
      <c r="R1824">
        <v>3.03</v>
      </c>
      <c r="S1824">
        <v>17.37</v>
      </c>
      <c r="T1824">
        <v>47.78</v>
      </c>
      <c r="U1824">
        <v>18.260000000000002</v>
      </c>
      <c r="V1824">
        <v>56.5</v>
      </c>
      <c r="W1824">
        <v>1.18</v>
      </c>
    </row>
    <row r="1825" spans="1:23" x14ac:dyDescent="0.3">
      <c r="A1825">
        <v>1825</v>
      </c>
      <c r="B1825" t="s">
        <v>1868</v>
      </c>
      <c r="C1825" t="s">
        <v>38</v>
      </c>
      <c r="D1825">
        <v>147</v>
      </c>
      <c r="E1825">
        <v>4250</v>
      </c>
      <c r="F1825" s="3">
        <v>223</v>
      </c>
      <c r="G1825">
        <v>17</v>
      </c>
      <c r="H1825">
        <v>3</v>
      </c>
      <c r="I1825" s="5">
        <v>2.04081632653061E-2</v>
      </c>
      <c r="J1825" s="3">
        <v>218</v>
      </c>
      <c r="K1825" s="1">
        <v>45623</v>
      </c>
      <c r="L1825" t="s">
        <v>25</v>
      </c>
      <c r="M1825" t="s">
        <v>26</v>
      </c>
      <c r="N1825" t="s">
        <v>44</v>
      </c>
      <c r="O1825" t="s">
        <v>28</v>
      </c>
      <c r="P1825" t="s">
        <v>33</v>
      </c>
      <c r="Q1825" s="6">
        <v>1.5192517006802699</v>
      </c>
      <c r="R1825">
        <v>3.46</v>
      </c>
      <c r="S1825">
        <v>13.14</v>
      </c>
      <c r="T1825">
        <v>74.44</v>
      </c>
      <c r="U1825">
        <v>-2.39</v>
      </c>
      <c r="V1825">
        <v>72.67</v>
      </c>
      <c r="W1825">
        <v>0.98</v>
      </c>
    </row>
    <row r="1826" spans="1:23" x14ac:dyDescent="0.3">
      <c r="A1826">
        <v>1826</v>
      </c>
      <c r="B1826" t="s">
        <v>1869</v>
      </c>
      <c r="C1826" t="s">
        <v>24</v>
      </c>
      <c r="D1826">
        <v>80</v>
      </c>
      <c r="E1826">
        <v>2638</v>
      </c>
      <c r="F1826" s="3">
        <v>196</v>
      </c>
      <c r="G1826">
        <v>15</v>
      </c>
      <c r="H1826">
        <v>4</v>
      </c>
      <c r="I1826" s="5">
        <v>0.05</v>
      </c>
      <c r="J1826" s="3">
        <v>256</v>
      </c>
      <c r="K1826" s="1">
        <v>45604</v>
      </c>
      <c r="L1826" t="s">
        <v>25</v>
      </c>
      <c r="M1826" t="s">
        <v>26</v>
      </c>
      <c r="N1826" t="s">
        <v>27</v>
      </c>
      <c r="O1826" t="s">
        <v>28</v>
      </c>
      <c r="P1826" t="s">
        <v>45</v>
      </c>
      <c r="Q1826" s="6">
        <v>2.4521249999999899</v>
      </c>
      <c r="R1826">
        <v>3.03</v>
      </c>
      <c r="S1826">
        <v>13.08</v>
      </c>
      <c r="T1826">
        <v>49.04</v>
      </c>
      <c r="U1826">
        <v>30.5</v>
      </c>
      <c r="V1826">
        <v>64</v>
      </c>
      <c r="W1826">
        <v>1.3</v>
      </c>
    </row>
    <row r="1827" spans="1:23" x14ac:dyDescent="0.3">
      <c r="A1827">
        <v>1827</v>
      </c>
      <c r="B1827" t="s">
        <v>1870</v>
      </c>
      <c r="C1827" t="s">
        <v>43</v>
      </c>
      <c r="D1827">
        <v>181</v>
      </c>
      <c r="E1827">
        <v>5783</v>
      </c>
      <c r="F1827" s="3">
        <v>231</v>
      </c>
      <c r="G1827">
        <v>24</v>
      </c>
      <c r="H1827">
        <v>4</v>
      </c>
      <c r="I1827" s="5">
        <v>2.2099447513812098E-2</v>
      </c>
      <c r="J1827" s="3">
        <v>401</v>
      </c>
      <c r="K1827" s="1">
        <v>45625</v>
      </c>
      <c r="L1827" t="s">
        <v>25</v>
      </c>
      <c r="M1827" t="s">
        <v>39</v>
      </c>
      <c r="N1827" t="s">
        <v>32</v>
      </c>
      <c r="O1827" t="s">
        <v>28</v>
      </c>
      <c r="P1827" t="s">
        <v>45</v>
      </c>
      <c r="Q1827" s="6">
        <v>1.2771270718232</v>
      </c>
      <c r="R1827">
        <v>3.13</v>
      </c>
      <c r="S1827">
        <v>9.6300000000000008</v>
      </c>
      <c r="T1827">
        <v>57.79</v>
      </c>
      <c r="U1827">
        <v>73.47</v>
      </c>
      <c r="V1827">
        <v>100.25</v>
      </c>
      <c r="W1827">
        <v>1.73</v>
      </c>
    </row>
    <row r="1828" spans="1:23" x14ac:dyDescent="0.3">
      <c r="A1828">
        <v>1828</v>
      </c>
      <c r="B1828" t="s">
        <v>1871</v>
      </c>
      <c r="C1828" t="s">
        <v>43</v>
      </c>
      <c r="D1828">
        <v>175</v>
      </c>
      <c r="E1828">
        <v>3792</v>
      </c>
      <c r="F1828" s="3">
        <v>228</v>
      </c>
      <c r="G1828">
        <v>17</v>
      </c>
      <c r="H1828">
        <v>8</v>
      </c>
      <c r="I1828" s="5">
        <v>4.57142857142857E-2</v>
      </c>
      <c r="J1828" s="3">
        <v>332</v>
      </c>
      <c r="K1828" s="1">
        <v>45600</v>
      </c>
      <c r="L1828" t="s">
        <v>25</v>
      </c>
      <c r="M1828" t="s">
        <v>39</v>
      </c>
      <c r="N1828" t="s">
        <v>27</v>
      </c>
      <c r="O1828" t="s">
        <v>28</v>
      </c>
      <c r="P1828" t="s">
        <v>59</v>
      </c>
      <c r="Q1828" s="6">
        <v>1.3027428571428501</v>
      </c>
      <c r="R1828">
        <v>4.6100000000000003</v>
      </c>
      <c r="S1828">
        <v>13.41</v>
      </c>
      <c r="T1828">
        <v>28.5</v>
      </c>
      <c r="U1828">
        <v>45.63</v>
      </c>
      <c r="V1828">
        <v>41.5</v>
      </c>
      <c r="W1828">
        <v>1.46</v>
      </c>
    </row>
    <row r="1829" spans="1:23" x14ac:dyDescent="0.3">
      <c r="A1829">
        <v>1829</v>
      </c>
      <c r="B1829" t="s">
        <v>1872</v>
      </c>
      <c r="C1829" t="s">
        <v>43</v>
      </c>
      <c r="D1829">
        <v>94</v>
      </c>
      <c r="E1829">
        <v>5919</v>
      </c>
      <c r="F1829" s="3">
        <v>220</v>
      </c>
      <c r="G1829">
        <v>18</v>
      </c>
      <c r="H1829">
        <v>8</v>
      </c>
      <c r="I1829" s="5">
        <v>8.5106382978723402E-2</v>
      </c>
      <c r="J1829" s="3">
        <v>303</v>
      </c>
      <c r="K1829" s="1">
        <v>45614</v>
      </c>
      <c r="L1829" t="s">
        <v>25</v>
      </c>
      <c r="M1829" t="s">
        <v>26</v>
      </c>
      <c r="N1829" t="s">
        <v>40</v>
      </c>
      <c r="O1829" t="s">
        <v>28</v>
      </c>
      <c r="P1829" t="s">
        <v>59</v>
      </c>
      <c r="Q1829" s="6">
        <v>2.3431914893617001</v>
      </c>
      <c r="R1829">
        <v>1.59</v>
      </c>
      <c r="S1829">
        <v>12.24</v>
      </c>
      <c r="T1829">
        <v>27.53</v>
      </c>
      <c r="U1829">
        <v>37.56</v>
      </c>
      <c r="V1829">
        <v>37.880000000000003</v>
      </c>
      <c r="W1829">
        <v>1.38</v>
      </c>
    </row>
    <row r="1830" spans="1:23" x14ac:dyDescent="0.3">
      <c r="A1830">
        <v>1830</v>
      </c>
      <c r="B1830" t="s">
        <v>1873</v>
      </c>
      <c r="C1830" t="s">
        <v>35</v>
      </c>
      <c r="D1830">
        <v>119</v>
      </c>
      <c r="E1830">
        <v>4593</v>
      </c>
      <c r="F1830" s="3">
        <v>248</v>
      </c>
      <c r="G1830">
        <v>23</v>
      </c>
      <c r="H1830">
        <v>8</v>
      </c>
      <c r="I1830" s="5">
        <v>6.7226890756302504E-2</v>
      </c>
      <c r="J1830" s="3">
        <v>326</v>
      </c>
      <c r="K1830" s="1">
        <v>45604</v>
      </c>
      <c r="L1830" t="s">
        <v>25</v>
      </c>
      <c r="M1830" t="s">
        <v>31</v>
      </c>
      <c r="N1830" t="s">
        <v>27</v>
      </c>
      <c r="O1830" t="s">
        <v>28</v>
      </c>
      <c r="P1830" t="s">
        <v>45</v>
      </c>
      <c r="Q1830" s="6">
        <v>2.0852100840336099</v>
      </c>
      <c r="R1830">
        <v>2.59</v>
      </c>
      <c r="S1830">
        <v>10.79</v>
      </c>
      <c r="T1830">
        <v>31.02</v>
      </c>
      <c r="U1830">
        <v>31.38</v>
      </c>
      <c r="V1830">
        <v>40.75</v>
      </c>
      <c r="W1830">
        <v>1.31</v>
      </c>
    </row>
    <row r="1831" spans="1:23" x14ac:dyDescent="0.3">
      <c r="A1831">
        <v>1831</v>
      </c>
      <c r="B1831" t="s">
        <v>1874</v>
      </c>
      <c r="C1831" t="s">
        <v>35</v>
      </c>
      <c r="D1831">
        <v>146</v>
      </c>
      <c r="E1831">
        <v>4308</v>
      </c>
      <c r="F1831" s="3">
        <v>182</v>
      </c>
      <c r="G1831">
        <v>27</v>
      </c>
      <c r="H1831">
        <v>9</v>
      </c>
      <c r="I1831" s="5">
        <v>6.1643835616438297E-2</v>
      </c>
      <c r="J1831" s="3">
        <v>284</v>
      </c>
      <c r="K1831" s="1">
        <v>45602</v>
      </c>
      <c r="L1831" t="s">
        <v>25</v>
      </c>
      <c r="M1831" t="s">
        <v>39</v>
      </c>
      <c r="N1831" t="s">
        <v>49</v>
      </c>
      <c r="O1831" t="s">
        <v>28</v>
      </c>
      <c r="P1831" t="s">
        <v>33</v>
      </c>
      <c r="Q1831" s="6">
        <v>1.2445205479452</v>
      </c>
      <c r="R1831">
        <v>3.39</v>
      </c>
      <c r="S1831">
        <v>6.73</v>
      </c>
      <c r="T1831">
        <v>20.190000000000001</v>
      </c>
      <c r="U1831">
        <v>56.3</v>
      </c>
      <c r="V1831">
        <v>31.56</v>
      </c>
      <c r="W1831">
        <v>1.56</v>
      </c>
    </row>
    <row r="1832" spans="1:23" x14ac:dyDescent="0.3">
      <c r="A1832">
        <v>1832</v>
      </c>
      <c r="B1832" t="s">
        <v>1875</v>
      </c>
      <c r="C1832" t="s">
        <v>24</v>
      </c>
      <c r="D1832">
        <v>122</v>
      </c>
      <c r="E1832">
        <v>4676</v>
      </c>
      <c r="F1832" s="3">
        <v>203</v>
      </c>
      <c r="G1832">
        <v>25</v>
      </c>
      <c r="H1832">
        <v>8</v>
      </c>
      <c r="I1832" s="5">
        <v>6.5573770491803199E-2</v>
      </c>
      <c r="J1832" s="3">
        <v>279</v>
      </c>
      <c r="K1832" s="1">
        <v>45603</v>
      </c>
      <c r="L1832" t="s">
        <v>25</v>
      </c>
      <c r="M1832" t="s">
        <v>39</v>
      </c>
      <c r="N1832" t="s">
        <v>32</v>
      </c>
      <c r="O1832" t="s">
        <v>28</v>
      </c>
      <c r="P1832" t="s">
        <v>54</v>
      </c>
      <c r="Q1832" s="6">
        <v>1.6603278688524501</v>
      </c>
      <c r="R1832">
        <v>2.61</v>
      </c>
      <c r="S1832">
        <v>8.1</v>
      </c>
      <c r="T1832">
        <v>25.32</v>
      </c>
      <c r="U1832">
        <v>37.74</v>
      </c>
      <c r="V1832">
        <v>34.880000000000003</v>
      </c>
      <c r="W1832">
        <v>1.38</v>
      </c>
    </row>
    <row r="1833" spans="1:23" x14ac:dyDescent="0.3">
      <c r="A1833">
        <v>1833</v>
      </c>
      <c r="B1833" t="s">
        <v>1876</v>
      </c>
      <c r="C1833" t="s">
        <v>35</v>
      </c>
      <c r="D1833">
        <v>114</v>
      </c>
      <c r="E1833">
        <v>5832</v>
      </c>
      <c r="F1833" s="3">
        <v>174</v>
      </c>
      <c r="G1833">
        <v>28</v>
      </c>
      <c r="H1833">
        <v>4</v>
      </c>
      <c r="I1833" s="5">
        <v>3.5087719298245598E-2</v>
      </c>
      <c r="J1833" s="3">
        <v>320</v>
      </c>
      <c r="K1833" s="1">
        <v>45614</v>
      </c>
      <c r="L1833" t="s">
        <v>25</v>
      </c>
      <c r="M1833" t="s">
        <v>31</v>
      </c>
      <c r="N1833" t="s">
        <v>32</v>
      </c>
      <c r="O1833" t="s">
        <v>28</v>
      </c>
      <c r="P1833" t="s">
        <v>59</v>
      </c>
      <c r="Q1833" s="6">
        <v>1.5243795620437901</v>
      </c>
      <c r="R1833">
        <v>1.95</v>
      </c>
      <c r="S1833">
        <v>6.21</v>
      </c>
      <c r="T1833">
        <v>43.44</v>
      </c>
      <c r="U1833">
        <v>84.14</v>
      </c>
      <c r="V1833">
        <v>80</v>
      </c>
      <c r="W1833">
        <v>1.84</v>
      </c>
    </row>
    <row r="1834" spans="1:23" x14ac:dyDescent="0.3">
      <c r="A1834">
        <v>1834</v>
      </c>
      <c r="B1834" t="s">
        <v>1877</v>
      </c>
      <c r="C1834" t="s">
        <v>43</v>
      </c>
      <c r="D1834">
        <v>130</v>
      </c>
      <c r="E1834">
        <v>3637</v>
      </c>
      <c r="F1834" s="3">
        <v>201</v>
      </c>
      <c r="G1834">
        <v>25</v>
      </c>
      <c r="H1834">
        <v>7</v>
      </c>
      <c r="I1834" s="5">
        <v>5.3846153846153801E-2</v>
      </c>
      <c r="J1834" s="3">
        <v>278</v>
      </c>
      <c r="K1834" s="1">
        <v>45611</v>
      </c>
      <c r="L1834" t="s">
        <v>25</v>
      </c>
      <c r="M1834" t="s">
        <v>39</v>
      </c>
      <c r="N1834" t="s">
        <v>49</v>
      </c>
      <c r="O1834" t="s">
        <v>28</v>
      </c>
      <c r="P1834" t="s">
        <v>45</v>
      </c>
      <c r="Q1834" s="6">
        <v>1.5454545454545401</v>
      </c>
      <c r="R1834">
        <v>3.57</v>
      </c>
      <c r="S1834">
        <v>8.0399999999999991</v>
      </c>
      <c r="T1834">
        <v>28.7</v>
      </c>
      <c r="U1834">
        <v>38.369999999999997</v>
      </c>
      <c r="V1834">
        <v>39.71</v>
      </c>
      <c r="W1834">
        <v>1.38</v>
      </c>
    </row>
    <row r="1835" spans="1:23" x14ac:dyDescent="0.3">
      <c r="A1835">
        <v>1835</v>
      </c>
      <c r="B1835" t="s">
        <v>1878</v>
      </c>
      <c r="C1835" t="s">
        <v>35</v>
      </c>
      <c r="D1835">
        <v>154</v>
      </c>
      <c r="E1835">
        <v>5533</v>
      </c>
      <c r="F1835" s="3">
        <v>208</v>
      </c>
      <c r="G1835">
        <v>14</v>
      </c>
      <c r="H1835">
        <v>8</v>
      </c>
      <c r="I1835" s="5">
        <v>5.1948051948051903E-2</v>
      </c>
      <c r="J1835" s="3">
        <v>238</v>
      </c>
      <c r="K1835" s="1">
        <v>45602</v>
      </c>
      <c r="L1835" t="s">
        <v>25</v>
      </c>
      <c r="M1835" t="s">
        <v>26</v>
      </c>
      <c r="N1835" t="s">
        <v>49</v>
      </c>
      <c r="O1835" t="s">
        <v>28</v>
      </c>
      <c r="P1835" t="s">
        <v>33</v>
      </c>
      <c r="Q1835" s="6">
        <v>1.3481168831168799</v>
      </c>
      <c r="R1835">
        <v>2.78</v>
      </c>
      <c r="S1835">
        <v>14.83</v>
      </c>
      <c r="T1835">
        <v>25.95</v>
      </c>
      <c r="U1835">
        <v>14.64</v>
      </c>
      <c r="V1835">
        <v>29.75</v>
      </c>
      <c r="W1835">
        <v>1.1499999999999999</v>
      </c>
    </row>
    <row r="1836" spans="1:23" x14ac:dyDescent="0.3">
      <c r="A1836">
        <v>1836</v>
      </c>
      <c r="B1836" t="s">
        <v>1879</v>
      </c>
      <c r="C1836" t="s">
        <v>38</v>
      </c>
      <c r="D1836">
        <v>132</v>
      </c>
      <c r="E1836">
        <v>4320</v>
      </c>
      <c r="F1836" s="3">
        <v>229</v>
      </c>
      <c r="G1836">
        <v>15</v>
      </c>
      <c r="H1836">
        <v>5</v>
      </c>
      <c r="I1836" s="5">
        <v>3.7878787878787797E-2</v>
      </c>
      <c r="J1836" s="3">
        <v>318</v>
      </c>
      <c r="K1836" s="1">
        <v>45610</v>
      </c>
      <c r="L1836" t="s">
        <v>25</v>
      </c>
      <c r="M1836" t="s">
        <v>26</v>
      </c>
      <c r="N1836" t="s">
        <v>49</v>
      </c>
      <c r="O1836" t="s">
        <v>28</v>
      </c>
      <c r="P1836" t="s">
        <v>54</v>
      </c>
      <c r="Q1836" s="6">
        <v>1.7377272727272699</v>
      </c>
      <c r="R1836">
        <v>3.06</v>
      </c>
      <c r="S1836">
        <v>15.29</v>
      </c>
      <c r="T1836">
        <v>45.88</v>
      </c>
      <c r="U1836">
        <v>38.630000000000003</v>
      </c>
      <c r="V1836">
        <v>63.6</v>
      </c>
      <c r="W1836">
        <v>1.39</v>
      </c>
    </row>
    <row r="1837" spans="1:23" x14ac:dyDescent="0.3">
      <c r="A1837">
        <v>1837</v>
      </c>
      <c r="B1837" t="s">
        <v>1880</v>
      </c>
      <c r="C1837" t="s">
        <v>38</v>
      </c>
      <c r="D1837">
        <v>170</v>
      </c>
      <c r="E1837">
        <v>3526</v>
      </c>
      <c r="F1837" s="3">
        <v>224</v>
      </c>
      <c r="G1837">
        <v>29</v>
      </c>
      <c r="H1837">
        <v>4</v>
      </c>
      <c r="I1837" s="5">
        <v>2.3529411764705799E-2</v>
      </c>
      <c r="J1837" s="3">
        <v>402</v>
      </c>
      <c r="K1837" s="1">
        <v>45597</v>
      </c>
      <c r="L1837" t="s">
        <v>25</v>
      </c>
      <c r="M1837" t="s">
        <v>26</v>
      </c>
      <c r="N1837" t="s">
        <v>49</v>
      </c>
      <c r="O1837" t="s">
        <v>28</v>
      </c>
      <c r="P1837" t="s">
        <v>45</v>
      </c>
      <c r="Q1837" s="6">
        <v>1.3196470588235201</v>
      </c>
      <c r="R1837">
        <v>4.82</v>
      </c>
      <c r="S1837">
        <v>7.74</v>
      </c>
      <c r="T1837">
        <v>56.08</v>
      </c>
      <c r="U1837">
        <v>79.19</v>
      </c>
      <c r="V1837">
        <v>100.5</v>
      </c>
      <c r="W1837">
        <v>1.79</v>
      </c>
    </row>
    <row r="1838" spans="1:23" x14ac:dyDescent="0.3">
      <c r="A1838">
        <v>1838</v>
      </c>
      <c r="B1838" t="s">
        <v>1881</v>
      </c>
      <c r="C1838" t="s">
        <v>38</v>
      </c>
      <c r="D1838">
        <v>85</v>
      </c>
      <c r="E1838">
        <v>5962</v>
      </c>
      <c r="F1838" s="3">
        <v>201</v>
      </c>
      <c r="G1838">
        <v>20</v>
      </c>
      <c r="H1838">
        <v>10</v>
      </c>
      <c r="I1838" s="5">
        <v>0.11764705882352899</v>
      </c>
      <c r="J1838" s="3">
        <v>353</v>
      </c>
      <c r="K1838" s="1">
        <v>45621</v>
      </c>
      <c r="L1838" t="s">
        <v>25</v>
      </c>
      <c r="M1838" t="s">
        <v>31</v>
      </c>
      <c r="N1838" t="s">
        <v>32</v>
      </c>
      <c r="O1838" t="s">
        <v>28</v>
      </c>
      <c r="P1838" t="s">
        <v>59</v>
      </c>
      <c r="Q1838" s="6">
        <v>2.3661176470588199</v>
      </c>
      <c r="R1838">
        <v>1.43</v>
      </c>
      <c r="S1838">
        <v>10.06</v>
      </c>
      <c r="T1838">
        <v>20.11</v>
      </c>
      <c r="U1838">
        <v>75.52</v>
      </c>
      <c r="V1838">
        <v>35.299999999999997</v>
      </c>
      <c r="W1838">
        <v>1.76</v>
      </c>
    </row>
    <row r="1839" spans="1:23" x14ac:dyDescent="0.3">
      <c r="A1839">
        <v>1839</v>
      </c>
      <c r="B1839" t="s">
        <v>1882</v>
      </c>
      <c r="C1839" t="s">
        <v>43</v>
      </c>
      <c r="D1839">
        <v>85</v>
      </c>
      <c r="E1839">
        <v>3208</v>
      </c>
      <c r="F1839" s="3">
        <v>221</v>
      </c>
      <c r="G1839">
        <v>25</v>
      </c>
      <c r="H1839">
        <v>5</v>
      </c>
      <c r="I1839" s="5">
        <v>5.8823529411764698E-2</v>
      </c>
      <c r="J1839" s="3">
        <v>291</v>
      </c>
      <c r="K1839" s="1">
        <v>45598</v>
      </c>
      <c r="L1839" t="s">
        <v>25</v>
      </c>
      <c r="M1839" t="s">
        <v>26</v>
      </c>
      <c r="N1839" t="s">
        <v>49</v>
      </c>
      <c r="O1839" t="s">
        <v>28</v>
      </c>
      <c r="P1839" t="s">
        <v>29</v>
      </c>
      <c r="Q1839" s="6">
        <v>2.5944705882352901</v>
      </c>
      <c r="R1839">
        <v>2.65</v>
      </c>
      <c r="S1839">
        <v>8.82</v>
      </c>
      <c r="T1839">
        <v>44.11</v>
      </c>
      <c r="U1839">
        <v>31.95</v>
      </c>
      <c r="V1839">
        <v>58.2</v>
      </c>
      <c r="W1839">
        <v>1.32</v>
      </c>
    </row>
    <row r="1840" spans="1:23" x14ac:dyDescent="0.3">
      <c r="A1840">
        <v>1840</v>
      </c>
      <c r="B1840" t="s">
        <v>1883</v>
      </c>
      <c r="C1840" t="s">
        <v>24</v>
      </c>
      <c r="D1840">
        <v>127</v>
      </c>
      <c r="E1840">
        <v>4477</v>
      </c>
      <c r="F1840" s="3">
        <v>199</v>
      </c>
      <c r="G1840">
        <v>20</v>
      </c>
      <c r="H1840">
        <v>3</v>
      </c>
      <c r="I1840" s="5">
        <v>2.3622047244094401E-2</v>
      </c>
      <c r="J1840" s="3">
        <v>253</v>
      </c>
      <c r="K1840" s="1">
        <v>45597</v>
      </c>
      <c r="L1840" t="s">
        <v>25</v>
      </c>
      <c r="M1840" t="s">
        <v>26</v>
      </c>
      <c r="N1840" t="s">
        <v>32</v>
      </c>
      <c r="O1840" t="s">
        <v>28</v>
      </c>
      <c r="P1840" t="s">
        <v>45</v>
      </c>
      <c r="Q1840" s="6">
        <v>1.5696062992125901</v>
      </c>
      <c r="R1840">
        <v>2.84</v>
      </c>
      <c r="S1840">
        <v>9.9700000000000006</v>
      </c>
      <c r="T1840">
        <v>66.45</v>
      </c>
      <c r="U1840">
        <v>26.92</v>
      </c>
      <c r="V1840">
        <v>84.33</v>
      </c>
      <c r="W1840">
        <v>1.27</v>
      </c>
    </row>
    <row r="1841" spans="1:23" x14ac:dyDescent="0.3">
      <c r="A1841">
        <v>1841</v>
      </c>
      <c r="B1841" t="s">
        <v>1884</v>
      </c>
      <c r="C1841" t="s">
        <v>35</v>
      </c>
      <c r="D1841">
        <v>148</v>
      </c>
      <c r="E1841">
        <v>3207</v>
      </c>
      <c r="F1841" s="3">
        <v>207</v>
      </c>
      <c r="G1841">
        <v>22</v>
      </c>
      <c r="H1841">
        <v>9</v>
      </c>
      <c r="I1841" s="5">
        <v>6.08108108108108E-2</v>
      </c>
      <c r="J1841" s="3">
        <v>289</v>
      </c>
      <c r="K1841" s="1">
        <v>45624</v>
      </c>
      <c r="L1841" t="s">
        <v>25</v>
      </c>
      <c r="M1841" t="s">
        <v>26</v>
      </c>
      <c r="N1841" t="s">
        <v>44</v>
      </c>
      <c r="O1841" t="s">
        <v>28</v>
      </c>
      <c r="P1841" t="s">
        <v>54</v>
      </c>
      <c r="Q1841" s="6">
        <v>1.39972972972972</v>
      </c>
      <c r="R1841">
        <v>4.6100000000000003</v>
      </c>
      <c r="S1841">
        <v>9.42</v>
      </c>
      <c r="T1841">
        <v>23.02</v>
      </c>
      <c r="U1841">
        <v>39.51</v>
      </c>
      <c r="V1841">
        <v>32.11</v>
      </c>
      <c r="W1841">
        <v>1.4</v>
      </c>
    </row>
    <row r="1842" spans="1:23" x14ac:dyDescent="0.3">
      <c r="A1842">
        <v>1842</v>
      </c>
      <c r="B1842" t="s">
        <v>1885</v>
      </c>
      <c r="C1842" t="s">
        <v>43</v>
      </c>
      <c r="D1842">
        <v>181</v>
      </c>
      <c r="E1842">
        <v>4269</v>
      </c>
      <c r="F1842" s="3">
        <v>228</v>
      </c>
      <c r="G1842">
        <v>24</v>
      </c>
      <c r="H1842">
        <v>4</v>
      </c>
      <c r="I1842" s="5">
        <v>2.2099447513812098E-2</v>
      </c>
      <c r="J1842" s="3">
        <v>255</v>
      </c>
      <c r="K1842" s="1">
        <v>45612</v>
      </c>
      <c r="L1842" t="s">
        <v>25</v>
      </c>
      <c r="M1842" t="s">
        <v>31</v>
      </c>
      <c r="N1842" t="s">
        <v>32</v>
      </c>
      <c r="O1842" t="s">
        <v>28</v>
      </c>
      <c r="P1842" t="s">
        <v>29</v>
      </c>
      <c r="Q1842" s="6">
        <v>1.25723756906077</v>
      </c>
      <c r="R1842">
        <v>4.24</v>
      </c>
      <c r="S1842">
        <v>9.48</v>
      </c>
      <c r="T1842">
        <v>56.89</v>
      </c>
      <c r="U1842">
        <v>12.06</v>
      </c>
      <c r="V1842">
        <v>63.75</v>
      </c>
      <c r="W1842">
        <v>1.1200000000000001</v>
      </c>
    </row>
    <row r="1843" spans="1:23" x14ac:dyDescent="0.3">
      <c r="A1843">
        <v>1843</v>
      </c>
      <c r="B1843" t="s">
        <v>1886</v>
      </c>
      <c r="C1843" t="s">
        <v>24</v>
      </c>
      <c r="D1843">
        <v>102</v>
      </c>
      <c r="E1843">
        <v>4512</v>
      </c>
      <c r="F1843" s="3">
        <v>183</v>
      </c>
      <c r="G1843">
        <v>15</v>
      </c>
      <c r="H1843">
        <v>5</v>
      </c>
      <c r="I1843" s="5">
        <v>4.9019607843137199E-2</v>
      </c>
      <c r="J1843" s="3">
        <v>315</v>
      </c>
      <c r="K1843" s="1">
        <v>45620</v>
      </c>
      <c r="L1843" t="s">
        <v>25</v>
      </c>
      <c r="M1843" t="s">
        <v>39</v>
      </c>
      <c r="N1843" t="s">
        <v>49</v>
      </c>
      <c r="O1843" t="s">
        <v>28</v>
      </c>
      <c r="P1843" t="s">
        <v>50</v>
      </c>
      <c r="Q1843" s="6">
        <v>1.7942156862745</v>
      </c>
      <c r="R1843">
        <v>2.2599999999999998</v>
      </c>
      <c r="S1843">
        <v>12.2</v>
      </c>
      <c r="T1843">
        <v>36.6</v>
      </c>
      <c r="U1843">
        <v>72.12</v>
      </c>
      <c r="V1843">
        <v>63</v>
      </c>
      <c r="W1843">
        <v>1.72</v>
      </c>
    </row>
    <row r="1844" spans="1:23" x14ac:dyDescent="0.3">
      <c r="A1844">
        <v>1844</v>
      </c>
      <c r="B1844" t="s">
        <v>1887</v>
      </c>
      <c r="C1844" t="s">
        <v>38</v>
      </c>
      <c r="D1844">
        <v>136</v>
      </c>
      <c r="E1844">
        <v>5249</v>
      </c>
      <c r="F1844" s="3">
        <v>199</v>
      </c>
      <c r="G1844">
        <v>25</v>
      </c>
      <c r="H1844">
        <v>9</v>
      </c>
      <c r="I1844" s="5">
        <v>6.6176470588235295E-2</v>
      </c>
      <c r="J1844" s="3">
        <v>233</v>
      </c>
      <c r="K1844" s="1">
        <v>45605</v>
      </c>
      <c r="L1844" t="s">
        <v>25</v>
      </c>
      <c r="M1844" t="s">
        <v>26</v>
      </c>
      <c r="N1844" t="s">
        <v>49</v>
      </c>
      <c r="O1844" t="s">
        <v>28</v>
      </c>
      <c r="P1844" t="s">
        <v>29</v>
      </c>
      <c r="Q1844" s="6">
        <v>1.46514705882352</v>
      </c>
      <c r="R1844">
        <v>2.59</v>
      </c>
      <c r="S1844">
        <v>7.97</v>
      </c>
      <c r="T1844">
        <v>22.14</v>
      </c>
      <c r="U1844">
        <v>16.93</v>
      </c>
      <c r="V1844">
        <v>25.89</v>
      </c>
      <c r="W1844">
        <v>1.17</v>
      </c>
    </row>
    <row r="1845" spans="1:23" x14ac:dyDescent="0.3">
      <c r="A1845">
        <v>1845</v>
      </c>
      <c r="B1845" t="s">
        <v>1888</v>
      </c>
      <c r="C1845" t="s">
        <v>43</v>
      </c>
      <c r="D1845">
        <v>148</v>
      </c>
      <c r="E1845">
        <v>4881</v>
      </c>
      <c r="F1845" s="3">
        <v>213</v>
      </c>
      <c r="G1845">
        <v>14</v>
      </c>
      <c r="H1845">
        <v>4</v>
      </c>
      <c r="I1845" s="5">
        <v>2.7027027027027001E-2</v>
      </c>
      <c r="J1845" s="3">
        <v>301</v>
      </c>
      <c r="K1845" s="1">
        <v>45614</v>
      </c>
      <c r="L1845" t="s">
        <v>25</v>
      </c>
      <c r="M1845" t="s">
        <v>39</v>
      </c>
      <c r="N1845" t="s">
        <v>40</v>
      </c>
      <c r="O1845" t="s">
        <v>28</v>
      </c>
      <c r="P1845" t="s">
        <v>59</v>
      </c>
      <c r="Q1845" s="6">
        <v>1.4407432432432401</v>
      </c>
      <c r="R1845">
        <v>3.03</v>
      </c>
      <c r="S1845">
        <v>15.23</v>
      </c>
      <c r="T1845">
        <v>53.31</v>
      </c>
      <c r="U1845">
        <v>41.16</v>
      </c>
      <c r="V1845">
        <v>75.25</v>
      </c>
      <c r="W1845">
        <v>1.41</v>
      </c>
    </row>
    <row r="1846" spans="1:23" x14ac:dyDescent="0.3">
      <c r="A1846">
        <v>1846</v>
      </c>
      <c r="B1846" t="s">
        <v>1889</v>
      </c>
      <c r="C1846" t="s">
        <v>38</v>
      </c>
      <c r="D1846">
        <v>170</v>
      </c>
      <c r="E1846">
        <v>5385</v>
      </c>
      <c r="F1846" s="3">
        <v>198</v>
      </c>
      <c r="G1846">
        <v>21</v>
      </c>
      <c r="H1846">
        <v>7</v>
      </c>
      <c r="I1846" s="5">
        <v>4.1176470588235203E-2</v>
      </c>
      <c r="J1846" s="3">
        <v>240</v>
      </c>
      <c r="K1846" s="1">
        <v>45626</v>
      </c>
      <c r="L1846" t="s">
        <v>25</v>
      </c>
      <c r="M1846" t="s">
        <v>26</v>
      </c>
      <c r="N1846" t="s">
        <v>44</v>
      </c>
      <c r="O1846" t="s">
        <v>28</v>
      </c>
      <c r="P1846" t="s">
        <v>29</v>
      </c>
      <c r="Q1846" s="6">
        <v>1.16547058823529</v>
      </c>
      <c r="R1846">
        <v>3.16</v>
      </c>
      <c r="S1846">
        <v>9.43</v>
      </c>
      <c r="T1846">
        <v>28.3</v>
      </c>
      <c r="U1846">
        <v>21.13</v>
      </c>
      <c r="V1846">
        <v>34.29</v>
      </c>
      <c r="W1846">
        <v>1.21</v>
      </c>
    </row>
    <row r="1847" spans="1:23" x14ac:dyDescent="0.3">
      <c r="A1847">
        <v>1847</v>
      </c>
      <c r="B1847" t="s">
        <v>1890</v>
      </c>
      <c r="C1847" t="s">
        <v>35</v>
      </c>
      <c r="D1847">
        <v>152</v>
      </c>
      <c r="E1847">
        <v>4506</v>
      </c>
      <c r="F1847" s="3">
        <v>232</v>
      </c>
      <c r="G1847">
        <v>17</v>
      </c>
      <c r="H1847">
        <v>7</v>
      </c>
      <c r="I1847" s="5">
        <v>4.6052631578947303E-2</v>
      </c>
      <c r="J1847" s="3">
        <v>342</v>
      </c>
      <c r="K1847" s="1">
        <v>45608</v>
      </c>
      <c r="L1847" t="s">
        <v>25</v>
      </c>
      <c r="M1847" t="s">
        <v>31</v>
      </c>
      <c r="N1847" t="s">
        <v>27</v>
      </c>
      <c r="O1847" t="s">
        <v>28</v>
      </c>
      <c r="P1847" t="s">
        <v>41</v>
      </c>
      <c r="Q1847" s="6">
        <v>1.5243795620437901</v>
      </c>
      <c r="R1847">
        <v>3.37</v>
      </c>
      <c r="S1847">
        <v>13.63</v>
      </c>
      <c r="T1847">
        <v>33.1</v>
      </c>
      <c r="U1847">
        <v>47.6</v>
      </c>
      <c r="V1847">
        <v>48.86</v>
      </c>
      <c r="W1847">
        <v>1.48</v>
      </c>
    </row>
    <row r="1848" spans="1:23" x14ac:dyDescent="0.3">
      <c r="A1848">
        <v>1848</v>
      </c>
      <c r="B1848" t="s">
        <v>1891</v>
      </c>
      <c r="C1848" t="s">
        <v>24</v>
      </c>
      <c r="D1848">
        <v>128</v>
      </c>
      <c r="E1848">
        <v>4149</v>
      </c>
      <c r="F1848" s="3">
        <v>239</v>
      </c>
      <c r="G1848">
        <v>10</v>
      </c>
      <c r="H1848">
        <v>10</v>
      </c>
      <c r="I1848" s="5">
        <v>7.8125E-2</v>
      </c>
      <c r="J1848" s="3">
        <v>267</v>
      </c>
      <c r="K1848" s="1">
        <v>45609</v>
      </c>
      <c r="L1848" t="s">
        <v>25</v>
      </c>
      <c r="M1848" t="s">
        <v>31</v>
      </c>
      <c r="N1848" t="s">
        <v>32</v>
      </c>
      <c r="O1848" t="s">
        <v>28</v>
      </c>
      <c r="P1848" t="s">
        <v>33</v>
      </c>
      <c r="Q1848" s="6">
        <v>1.86671875</v>
      </c>
      <c r="R1848">
        <v>3.09</v>
      </c>
      <c r="S1848">
        <v>23.89</v>
      </c>
      <c r="T1848">
        <v>23.89</v>
      </c>
      <c r="U1848">
        <v>11.74</v>
      </c>
      <c r="V1848">
        <v>26.7</v>
      </c>
      <c r="W1848">
        <v>1.1200000000000001</v>
      </c>
    </row>
    <row r="1849" spans="1:23" x14ac:dyDescent="0.3">
      <c r="A1849">
        <v>1849</v>
      </c>
      <c r="B1849" t="s">
        <v>1892</v>
      </c>
      <c r="C1849" t="s">
        <v>38</v>
      </c>
      <c r="D1849">
        <v>168</v>
      </c>
      <c r="E1849">
        <v>4517</v>
      </c>
      <c r="F1849" s="3">
        <v>228</v>
      </c>
      <c r="G1849">
        <v>27</v>
      </c>
      <c r="H1849">
        <v>6</v>
      </c>
      <c r="I1849" s="5">
        <v>3.5714285714285698E-2</v>
      </c>
      <c r="J1849" s="3">
        <v>343</v>
      </c>
      <c r="K1849" s="1">
        <v>45616</v>
      </c>
      <c r="L1849" t="s">
        <v>25</v>
      </c>
      <c r="M1849" t="s">
        <v>31</v>
      </c>
      <c r="N1849" t="s">
        <v>44</v>
      </c>
      <c r="O1849" t="s">
        <v>28</v>
      </c>
      <c r="P1849" t="s">
        <v>33</v>
      </c>
      <c r="Q1849" s="6">
        <v>1.3571428571428501</v>
      </c>
      <c r="R1849">
        <v>3.72</v>
      </c>
      <c r="S1849">
        <v>8.44</v>
      </c>
      <c r="T1849">
        <v>38</v>
      </c>
      <c r="U1849">
        <v>50.44</v>
      </c>
      <c r="V1849">
        <v>57.17</v>
      </c>
      <c r="W1849">
        <v>1.5</v>
      </c>
    </row>
    <row r="1850" spans="1:23" x14ac:dyDescent="0.3">
      <c r="A1850">
        <v>1850</v>
      </c>
      <c r="B1850" t="s">
        <v>1893</v>
      </c>
      <c r="C1850" t="s">
        <v>43</v>
      </c>
      <c r="D1850">
        <v>95</v>
      </c>
      <c r="E1850">
        <v>4075</v>
      </c>
      <c r="F1850" s="3">
        <v>225</v>
      </c>
      <c r="G1850">
        <v>26</v>
      </c>
      <c r="H1850">
        <v>7</v>
      </c>
      <c r="I1850" s="5">
        <v>7.3684210526315699E-2</v>
      </c>
      <c r="J1850" s="3">
        <v>360</v>
      </c>
      <c r="K1850" s="1">
        <v>45615</v>
      </c>
      <c r="L1850" t="s">
        <v>25</v>
      </c>
      <c r="M1850" t="s">
        <v>39</v>
      </c>
      <c r="N1850" t="s">
        <v>36</v>
      </c>
      <c r="O1850" t="s">
        <v>28</v>
      </c>
      <c r="P1850" t="s">
        <v>41</v>
      </c>
      <c r="Q1850" s="6">
        <v>2.3703157894736799</v>
      </c>
      <c r="R1850">
        <v>2.33</v>
      </c>
      <c r="S1850">
        <v>8.66</v>
      </c>
      <c r="T1850">
        <v>32.17</v>
      </c>
      <c r="U1850">
        <v>59.87</v>
      </c>
      <c r="V1850">
        <v>51.43</v>
      </c>
      <c r="W1850">
        <v>1.6</v>
      </c>
    </row>
    <row r="1851" spans="1:23" x14ac:dyDescent="0.3">
      <c r="A1851">
        <v>1851</v>
      </c>
      <c r="B1851" t="s">
        <v>1894</v>
      </c>
      <c r="C1851" t="s">
        <v>43</v>
      </c>
      <c r="D1851">
        <v>120</v>
      </c>
      <c r="E1851">
        <v>3903</v>
      </c>
      <c r="F1851" s="3">
        <v>198</v>
      </c>
      <c r="G1851">
        <v>17</v>
      </c>
      <c r="H1851">
        <v>7</v>
      </c>
      <c r="I1851" s="5">
        <v>5.83333333333333E-2</v>
      </c>
      <c r="J1851" s="3">
        <v>256</v>
      </c>
      <c r="K1851" s="1">
        <v>45614</v>
      </c>
      <c r="L1851" t="s">
        <v>25</v>
      </c>
      <c r="M1851" t="s">
        <v>39</v>
      </c>
      <c r="N1851" t="s">
        <v>49</v>
      </c>
      <c r="O1851" t="s">
        <v>28</v>
      </c>
      <c r="P1851" t="s">
        <v>59</v>
      </c>
      <c r="Q1851" s="6">
        <v>1.6463333333333301</v>
      </c>
      <c r="R1851">
        <v>3.07</v>
      </c>
      <c r="S1851">
        <v>11.62</v>
      </c>
      <c r="T1851">
        <v>28.22</v>
      </c>
      <c r="U1851">
        <v>29.58</v>
      </c>
      <c r="V1851">
        <v>36.57</v>
      </c>
      <c r="W1851">
        <v>1.3</v>
      </c>
    </row>
    <row r="1852" spans="1:23" x14ac:dyDescent="0.3">
      <c r="A1852">
        <v>1852</v>
      </c>
      <c r="B1852" t="s">
        <v>1895</v>
      </c>
      <c r="C1852" t="s">
        <v>35</v>
      </c>
      <c r="D1852">
        <v>157</v>
      </c>
      <c r="E1852">
        <v>4477</v>
      </c>
      <c r="F1852" s="3">
        <v>192</v>
      </c>
      <c r="G1852">
        <v>20</v>
      </c>
      <c r="H1852">
        <v>10</v>
      </c>
      <c r="I1852" s="5">
        <v>6.3694267515923497E-2</v>
      </c>
      <c r="J1852" s="3">
        <v>326</v>
      </c>
      <c r="K1852" s="1">
        <v>45600</v>
      </c>
      <c r="L1852" t="s">
        <v>25</v>
      </c>
      <c r="M1852" t="s">
        <v>31</v>
      </c>
      <c r="N1852" t="s">
        <v>44</v>
      </c>
      <c r="O1852" t="s">
        <v>28</v>
      </c>
      <c r="P1852" t="s">
        <v>59</v>
      </c>
      <c r="Q1852" s="6">
        <v>1.2209554140127299</v>
      </c>
      <c r="R1852">
        <v>3.51</v>
      </c>
      <c r="S1852">
        <v>9.58</v>
      </c>
      <c r="T1852">
        <v>19.170000000000002</v>
      </c>
      <c r="U1852">
        <v>70.069999999999993</v>
      </c>
      <c r="V1852">
        <v>32.6</v>
      </c>
      <c r="W1852">
        <v>1.7</v>
      </c>
    </row>
    <row r="1853" spans="1:23" x14ac:dyDescent="0.3">
      <c r="A1853">
        <v>1853</v>
      </c>
      <c r="B1853" t="s">
        <v>1896</v>
      </c>
      <c r="C1853" t="s">
        <v>35</v>
      </c>
      <c r="D1853">
        <v>147</v>
      </c>
      <c r="E1853">
        <v>5580</v>
      </c>
      <c r="F1853" s="3">
        <v>230</v>
      </c>
      <c r="G1853">
        <v>15</v>
      </c>
      <c r="H1853">
        <v>3</v>
      </c>
      <c r="I1853" s="5">
        <v>2.04081632653061E-2</v>
      </c>
      <c r="J1853" s="3">
        <v>265</v>
      </c>
      <c r="K1853" s="1">
        <v>45602</v>
      </c>
      <c r="L1853" t="s">
        <v>25</v>
      </c>
      <c r="M1853" t="s">
        <v>26</v>
      </c>
      <c r="N1853" t="s">
        <v>27</v>
      </c>
      <c r="O1853" t="s">
        <v>28</v>
      </c>
      <c r="P1853" t="s">
        <v>33</v>
      </c>
      <c r="Q1853" s="6">
        <v>1.5656462585033999</v>
      </c>
      <c r="R1853">
        <v>2.63</v>
      </c>
      <c r="S1853">
        <v>15.34</v>
      </c>
      <c r="T1853">
        <v>76.72</v>
      </c>
      <c r="U1853">
        <v>15.14</v>
      </c>
      <c r="V1853">
        <v>88.33</v>
      </c>
      <c r="W1853">
        <v>1.1499999999999999</v>
      </c>
    </row>
    <row r="1854" spans="1:23" x14ac:dyDescent="0.3">
      <c r="A1854">
        <v>1854</v>
      </c>
      <c r="B1854" t="s">
        <v>1897</v>
      </c>
      <c r="C1854" t="s">
        <v>43</v>
      </c>
      <c r="D1854">
        <v>161</v>
      </c>
      <c r="E1854">
        <v>3253</v>
      </c>
      <c r="F1854" s="3">
        <v>181</v>
      </c>
      <c r="G1854">
        <v>15</v>
      </c>
      <c r="H1854">
        <v>10</v>
      </c>
      <c r="I1854" s="5">
        <v>6.2111801242236003E-2</v>
      </c>
      <c r="J1854" s="3">
        <v>273</v>
      </c>
      <c r="K1854" s="1">
        <v>45603</v>
      </c>
      <c r="L1854" t="s">
        <v>25</v>
      </c>
      <c r="M1854" t="s">
        <v>26</v>
      </c>
      <c r="N1854" t="s">
        <v>40</v>
      </c>
      <c r="O1854" t="s">
        <v>28</v>
      </c>
      <c r="P1854" t="s">
        <v>54</v>
      </c>
      <c r="Q1854" s="6">
        <v>1.1243478260869499</v>
      </c>
      <c r="R1854">
        <v>4.95</v>
      </c>
      <c r="S1854">
        <v>12.07</v>
      </c>
      <c r="T1854">
        <v>18.100000000000001</v>
      </c>
      <c r="U1854">
        <v>50.81</v>
      </c>
      <c r="V1854">
        <v>27.3</v>
      </c>
      <c r="W1854">
        <v>1.51</v>
      </c>
    </row>
    <row r="1855" spans="1:23" x14ac:dyDescent="0.3">
      <c r="A1855">
        <v>1855</v>
      </c>
      <c r="B1855" t="s">
        <v>1898</v>
      </c>
      <c r="C1855" t="s">
        <v>24</v>
      </c>
      <c r="D1855">
        <v>187</v>
      </c>
      <c r="E1855">
        <v>3869</v>
      </c>
      <c r="F1855" s="3">
        <v>185</v>
      </c>
      <c r="G1855">
        <v>26</v>
      </c>
      <c r="H1855">
        <v>6</v>
      </c>
      <c r="I1855" s="5">
        <v>3.20855614973262E-2</v>
      </c>
      <c r="J1855" s="3">
        <v>384</v>
      </c>
      <c r="K1855" s="1">
        <v>45600</v>
      </c>
      <c r="L1855" t="s">
        <v>25</v>
      </c>
      <c r="M1855" t="s">
        <v>31</v>
      </c>
      <c r="N1855" t="s">
        <v>40</v>
      </c>
      <c r="O1855" t="s">
        <v>28</v>
      </c>
      <c r="P1855" t="s">
        <v>59</v>
      </c>
      <c r="Q1855" s="6">
        <v>0.99010695187165698</v>
      </c>
      <c r="R1855">
        <v>4.83</v>
      </c>
      <c r="S1855">
        <v>7.12</v>
      </c>
      <c r="T1855">
        <v>30.86</v>
      </c>
      <c r="U1855">
        <v>107.4</v>
      </c>
      <c r="V1855">
        <v>64</v>
      </c>
      <c r="W1855">
        <v>2.0699999999999998</v>
      </c>
    </row>
    <row r="1856" spans="1:23" x14ac:dyDescent="0.3">
      <c r="A1856">
        <v>1856</v>
      </c>
      <c r="B1856" t="s">
        <v>1899</v>
      </c>
      <c r="C1856" t="s">
        <v>24</v>
      </c>
      <c r="D1856">
        <v>177</v>
      </c>
      <c r="E1856">
        <v>5043</v>
      </c>
      <c r="F1856" s="3">
        <v>214</v>
      </c>
      <c r="G1856">
        <v>18</v>
      </c>
      <c r="H1856">
        <v>4</v>
      </c>
      <c r="I1856" s="5">
        <v>2.2598870056497099E-2</v>
      </c>
      <c r="J1856" s="3">
        <v>228</v>
      </c>
      <c r="K1856" s="1">
        <v>45624</v>
      </c>
      <c r="L1856" t="s">
        <v>25</v>
      </c>
      <c r="M1856" t="s">
        <v>39</v>
      </c>
      <c r="N1856" t="s">
        <v>32</v>
      </c>
      <c r="O1856" t="s">
        <v>28</v>
      </c>
      <c r="P1856" t="s">
        <v>54</v>
      </c>
      <c r="Q1856" s="6">
        <v>1.2063276836158101</v>
      </c>
      <c r="R1856">
        <v>3.51</v>
      </c>
      <c r="S1856">
        <v>11.86</v>
      </c>
      <c r="T1856">
        <v>53.38</v>
      </c>
      <c r="U1856">
        <v>6.78</v>
      </c>
      <c r="V1856">
        <v>57</v>
      </c>
      <c r="W1856">
        <v>1.07</v>
      </c>
    </row>
    <row r="1857" spans="1:23" x14ac:dyDescent="0.3">
      <c r="A1857">
        <v>1857</v>
      </c>
      <c r="B1857" t="s">
        <v>1900</v>
      </c>
      <c r="C1857" t="s">
        <v>38</v>
      </c>
      <c r="D1857">
        <v>165</v>
      </c>
      <c r="E1857">
        <v>4537</v>
      </c>
      <c r="F1857" s="3">
        <v>192</v>
      </c>
      <c r="G1857">
        <v>15</v>
      </c>
      <c r="H1857">
        <v>4</v>
      </c>
      <c r="I1857" s="5">
        <v>2.4242424242424201E-2</v>
      </c>
      <c r="J1857" s="3">
        <v>364</v>
      </c>
      <c r="K1857" s="1">
        <v>45600</v>
      </c>
      <c r="L1857" t="s">
        <v>25</v>
      </c>
      <c r="M1857" t="s">
        <v>39</v>
      </c>
      <c r="N1857" t="s">
        <v>49</v>
      </c>
      <c r="O1857" t="s">
        <v>28</v>
      </c>
      <c r="P1857" t="s">
        <v>59</v>
      </c>
      <c r="Q1857" s="6">
        <v>1.1622424242424201</v>
      </c>
      <c r="R1857">
        <v>3.64</v>
      </c>
      <c r="S1857">
        <v>12.78</v>
      </c>
      <c r="T1857">
        <v>47.94</v>
      </c>
      <c r="U1857">
        <v>89.81</v>
      </c>
      <c r="V1857">
        <v>91</v>
      </c>
      <c r="W1857">
        <v>1.9</v>
      </c>
    </row>
    <row r="1858" spans="1:23" x14ac:dyDescent="0.3">
      <c r="A1858">
        <v>1858</v>
      </c>
      <c r="B1858" t="s">
        <v>1901</v>
      </c>
      <c r="C1858" t="s">
        <v>38</v>
      </c>
      <c r="D1858">
        <v>146</v>
      </c>
      <c r="E1858">
        <v>3766</v>
      </c>
      <c r="F1858" s="3">
        <v>229</v>
      </c>
      <c r="G1858">
        <v>23</v>
      </c>
      <c r="H1858">
        <v>6</v>
      </c>
      <c r="I1858" s="5">
        <v>4.1095890410958902E-2</v>
      </c>
      <c r="J1858" s="3">
        <v>359</v>
      </c>
      <c r="K1858" s="1">
        <v>45601</v>
      </c>
      <c r="L1858" t="s">
        <v>25</v>
      </c>
      <c r="M1858" t="s">
        <v>26</v>
      </c>
      <c r="N1858" t="s">
        <v>49</v>
      </c>
      <c r="O1858" t="s">
        <v>28</v>
      </c>
      <c r="P1858" t="s">
        <v>41</v>
      </c>
      <c r="Q1858" s="6">
        <v>1.56753061615001</v>
      </c>
      <c r="R1858">
        <v>3.88</v>
      </c>
      <c r="S1858">
        <v>9.9499999999999993</v>
      </c>
      <c r="T1858">
        <v>38.14</v>
      </c>
      <c r="U1858">
        <v>56.86</v>
      </c>
      <c r="V1858">
        <v>59.83</v>
      </c>
      <c r="W1858">
        <v>1.57</v>
      </c>
    </row>
    <row r="1859" spans="1:23" x14ac:dyDescent="0.3">
      <c r="A1859">
        <v>1859</v>
      </c>
      <c r="B1859" t="s">
        <v>1902</v>
      </c>
      <c r="C1859" t="s">
        <v>38</v>
      </c>
      <c r="D1859">
        <v>126</v>
      </c>
      <c r="E1859">
        <v>3702</v>
      </c>
      <c r="F1859" s="3">
        <v>222</v>
      </c>
      <c r="G1859">
        <v>27</v>
      </c>
      <c r="H1859">
        <v>5</v>
      </c>
      <c r="I1859" s="5">
        <v>3.9682539682539597E-2</v>
      </c>
      <c r="J1859" s="3">
        <v>304</v>
      </c>
      <c r="K1859" s="1">
        <v>45626</v>
      </c>
      <c r="L1859" t="s">
        <v>25</v>
      </c>
      <c r="M1859" t="s">
        <v>26</v>
      </c>
      <c r="N1859" t="s">
        <v>49</v>
      </c>
      <c r="O1859" t="s">
        <v>28</v>
      </c>
      <c r="P1859" t="s">
        <v>29</v>
      </c>
      <c r="Q1859" s="6">
        <v>1.7651587301587299</v>
      </c>
      <c r="R1859">
        <v>3.4</v>
      </c>
      <c r="S1859">
        <v>8.24</v>
      </c>
      <c r="T1859">
        <v>44.48</v>
      </c>
      <c r="U1859">
        <v>36.68</v>
      </c>
      <c r="V1859">
        <v>60.8</v>
      </c>
      <c r="W1859">
        <v>1.37</v>
      </c>
    </row>
    <row r="1860" spans="1:23" x14ac:dyDescent="0.3">
      <c r="A1860">
        <v>1860</v>
      </c>
      <c r="B1860" t="s">
        <v>1903</v>
      </c>
      <c r="C1860" t="s">
        <v>38</v>
      </c>
      <c r="D1860">
        <v>110</v>
      </c>
      <c r="E1860">
        <v>4840</v>
      </c>
      <c r="F1860" s="3">
        <v>185</v>
      </c>
      <c r="G1860">
        <v>17</v>
      </c>
      <c r="H1860">
        <v>8</v>
      </c>
      <c r="I1860" s="5">
        <v>7.2727272727272696E-2</v>
      </c>
      <c r="J1860" s="3">
        <v>207</v>
      </c>
      <c r="K1860" s="1">
        <v>45618</v>
      </c>
      <c r="L1860" t="s">
        <v>25</v>
      </c>
      <c r="M1860" t="s">
        <v>31</v>
      </c>
      <c r="N1860" t="s">
        <v>36</v>
      </c>
      <c r="O1860" t="s">
        <v>28</v>
      </c>
      <c r="P1860" t="s">
        <v>45</v>
      </c>
      <c r="Q1860" s="6">
        <v>1.6784545454545401</v>
      </c>
      <c r="R1860">
        <v>2.27</v>
      </c>
      <c r="S1860">
        <v>10.86</v>
      </c>
      <c r="T1860">
        <v>23.08</v>
      </c>
      <c r="U1860">
        <v>12.12</v>
      </c>
      <c r="V1860">
        <v>25.88</v>
      </c>
      <c r="W1860">
        <v>1.1200000000000001</v>
      </c>
    </row>
    <row r="1861" spans="1:23" x14ac:dyDescent="0.3">
      <c r="A1861">
        <v>1861</v>
      </c>
      <c r="B1861" t="s">
        <v>1904</v>
      </c>
      <c r="C1861" t="s">
        <v>43</v>
      </c>
      <c r="D1861">
        <v>97</v>
      </c>
      <c r="E1861">
        <v>4425</v>
      </c>
      <c r="F1861" s="3">
        <v>206</v>
      </c>
      <c r="G1861">
        <v>10</v>
      </c>
      <c r="H1861">
        <v>5</v>
      </c>
      <c r="I1861" s="5">
        <v>5.1546391752577303E-2</v>
      </c>
      <c r="J1861" s="3">
        <v>249</v>
      </c>
      <c r="K1861" s="1">
        <v>45612</v>
      </c>
      <c r="L1861" t="s">
        <v>25</v>
      </c>
      <c r="M1861" t="s">
        <v>26</v>
      </c>
      <c r="N1861" t="s">
        <v>32</v>
      </c>
      <c r="O1861" t="s">
        <v>28</v>
      </c>
      <c r="P1861" t="s">
        <v>29</v>
      </c>
      <c r="Q1861" s="6">
        <v>2.1279381443298901</v>
      </c>
      <c r="R1861">
        <v>2.19</v>
      </c>
      <c r="S1861">
        <v>20.64</v>
      </c>
      <c r="T1861">
        <v>41.28</v>
      </c>
      <c r="U1861">
        <v>20.63</v>
      </c>
      <c r="V1861">
        <v>49.8</v>
      </c>
      <c r="W1861">
        <v>1.21</v>
      </c>
    </row>
    <row r="1862" spans="1:23" x14ac:dyDescent="0.3">
      <c r="A1862">
        <v>1862</v>
      </c>
      <c r="B1862" t="s">
        <v>1905</v>
      </c>
      <c r="C1862" t="s">
        <v>35</v>
      </c>
      <c r="D1862">
        <v>104</v>
      </c>
      <c r="E1862">
        <v>4213</v>
      </c>
      <c r="F1862" s="3">
        <v>203</v>
      </c>
      <c r="G1862">
        <v>21</v>
      </c>
      <c r="H1862">
        <v>8</v>
      </c>
      <c r="I1862" s="5">
        <v>7.69230769230769E-2</v>
      </c>
      <c r="J1862" s="3">
        <v>217</v>
      </c>
      <c r="K1862" s="1">
        <v>45622</v>
      </c>
      <c r="L1862" t="s">
        <v>25</v>
      </c>
      <c r="M1862" t="s">
        <v>39</v>
      </c>
      <c r="N1862" t="s">
        <v>32</v>
      </c>
      <c r="O1862" t="s">
        <v>28</v>
      </c>
      <c r="P1862" t="s">
        <v>41</v>
      </c>
      <c r="Q1862" s="6">
        <v>1.9475</v>
      </c>
      <c r="R1862">
        <v>2.4700000000000002</v>
      </c>
      <c r="S1862">
        <v>9.64</v>
      </c>
      <c r="T1862">
        <v>25.32</v>
      </c>
      <c r="U1862">
        <v>7.14</v>
      </c>
      <c r="V1862">
        <v>27.12</v>
      </c>
      <c r="W1862">
        <v>1.07</v>
      </c>
    </row>
    <row r="1863" spans="1:23" x14ac:dyDescent="0.3">
      <c r="A1863">
        <v>1863</v>
      </c>
      <c r="B1863" t="s">
        <v>1906</v>
      </c>
      <c r="C1863" t="s">
        <v>24</v>
      </c>
      <c r="D1863">
        <v>176</v>
      </c>
      <c r="E1863">
        <v>5010</v>
      </c>
      <c r="F1863" s="3">
        <v>205</v>
      </c>
      <c r="G1863">
        <v>18</v>
      </c>
      <c r="H1863">
        <v>10</v>
      </c>
      <c r="I1863" s="5">
        <v>5.6818181818181802E-2</v>
      </c>
      <c r="J1863" s="3">
        <v>349</v>
      </c>
      <c r="K1863" s="1">
        <v>45620</v>
      </c>
      <c r="L1863" t="s">
        <v>25</v>
      </c>
      <c r="M1863" t="s">
        <v>39</v>
      </c>
      <c r="N1863" t="s">
        <v>32</v>
      </c>
      <c r="O1863" t="s">
        <v>28</v>
      </c>
      <c r="P1863" t="s">
        <v>50</v>
      </c>
      <c r="Q1863" s="6">
        <v>1.1674431818181801</v>
      </c>
      <c r="R1863">
        <v>3.51</v>
      </c>
      <c r="S1863">
        <v>11.42</v>
      </c>
      <c r="T1863">
        <v>20.55</v>
      </c>
      <c r="U1863">
        <v>69.849999999999994</v>
      </c>
      <c r="V1863">
        <v>34.9</v>
      </c>
      <c r="W1863">
        <v>1.7</v>
      </c>
    </row>
    <row r="1864" spans="1:23" x14ac:dyDescent="0.3">
      <c r="A1864">
        <v>1864</v>
      </c>
      <c r="B1864" t="s">
        <v>1907</v>
      </c>
      <c r="C1864" t="s">
        <v>24</v>
      </c>
      <c r="D1864">
        <v>91</v>
      </c>
      <c r="E1864">
        <v>4045</v>
      </c>
      <c r="F1864" s="3">
        <v>226</v>
      </c>
      <c r="G1864">
        <v>12</v>
      </c>
      <c r="H1864">
        <v>7</v>
      </c>
      <c r="I1864" s="5">
        <v>7.69230769230769E-2</v>
      </c>
      <c r="J1864" s="3">
        <v>373</v>
      </c>
      <c r="K1864" s="1">
        <v>45609</v>
      </c>
      <c r="L1864" t="s">
        <v>25</v>
      </c>
      <c r="M1864" t="s">
        <v>39</v>
      </c>
      <c r="N1864" t="s">
        <v>44</v>
      </c>
      <c r="O1864" t="s">
        <v>28</v>
      </c>
      <c r="P1864" t="s">
        <v>33</v>
      </c>
      <c r="Q1864" s="6">
        <v>2.4815384615384599</v>
      </c>
      <c r="R1864">
        <v>2.25</v>
      </c>
      <c r="S1864">
        <v>18.82</v>
      </c>
      <c r="T1864">
        <v>32.26</v>
      </c>
      <c r="U1864">
        <v>65.180000000000007</v>
      </c>
      <c r="V1864">
        <v>53.29</v>
      </c>
      <c r="W1864">
        <v>1.65</v>
      </c>
    </row>
    <row r="1865" spans="1:23" x14ac:dyDescent="0.3">
      <c r="A1865">
        <v>1865</v>
      </c>
      <c r="B1865" t="s">
        <v>1908</v>
      </c>
      <c r="C1865" t="s">
        <v>35</v>
      </c>
      <c r="D1865">
        <v>167</v>
      </c>
      <c r="E1865">
        <v>5145</v>
      </c>
      <c r="F1865" s="3">
        <v>183</v>
      </c>
      <c r="G1865">
        <v>19</v>
      </c>
      <c r="H1865">
        <v>9</v>
      </c>
      <c r="I1865" s="5">
        <v>5.3892215568862201E-2</v>
      </c>
      <c r="J1865" s="3">
        <v>208</v>
      </c>
      <c r="K1865" s="1">
        <v>45618</v>
      </c>
      <c r="L1865" t="s">
        <v>25</v>
      </c>
      <c r="M1865" t="s">
        <v>26</v>
      </c>
      <c r="N1865" t="s">
        <v>44</v>
      </c>
      <c r="O1865" t="s">
        <v>28</v>
      </c>
      <c r="P1865" t="s">
        <v>45</v>
      </c>
      <c r="Q1865" s="6">
        <v>1.0971257485029899</v>
      </c>
      <c r="R1865">
        <v>3.25</v>
      </c>
      <c r="S1865">
        <v>9.64</v>
      </c>
      <c r="T1865">
        <v>20.36</v>
      </c>
      <c r="U1865">
        <v>13.52</v>
      </c>
      <c r="V1865">
        <v>23.11</v>
      </c>
      <c r="W1865">
        <v>1.1399999999999999</v>
      </c>
    </row>
    <row r="1866" spans="1:23" x14ac:dyDescent="0.3">
      <c r="A1866">
        <v>1866</v>
      </c>
      <c r="B1866" t="s">
        <v>1909</v>
      </c>
      <c r="C1866" t="s">
        <v>35</v>
      </c>
      <c r="D1866">
        <v>132</v>
      </c>
      <c r="E1866">
        <v>3725</v>
      </c>
      <c r="F1866" s="3">
        <v>197</v>
      </c>
      <c r="G1866">
        <v>16</v>
      </c>
      <c r="H1866">
        <v>6</v>
      </c>
      <c r="I1866" s="5">
        <v>4.54545454545454E-2</v>
      </c>
      <c r="J1866" s="3">
        <v>223</v>
      </c>
      <c r="K1866" s="1">
        <v>45597</v>
      </c>
      <c r="L1866" t="s">
        <v>25</v>
      </c>
      <c r="M1866" t="s">
        <v>26</v>
      </c>
      <c r="N1866" t="s">
        <v>49</v>
      </c>
      <c r="O1866" t="s">
        <v>28</v>
      </c>
      <c r="P1866" t="s">
        <v>45</v>
      </c>
      <c r="Q1866" s="6">
        <v>1.4922727272727201</v>
      </c>
      <c r="R1866">
        <v>3.54</v>
      </c>
      <c r="S1866">
        <v>12.31</v>
      </c>
      <c r="T1866">
        <v>32.83</v>
      </c>
      <c r="U1866">
        <v>13.21</v>
      </c>
      <c r="V1866">
        <v>37.17</v>
      </c>
      <c r="W1866">
        <v>1.1299999999999999</v>
      </c>
    </row>
    <row r="1867" spans="1:23" x14ac:dyDescent="0.3">
      <c r="A1867">
        <v>1867</v>
      </c>
      <c r="B1867" t="s">
        <v>1910</v>
      </c>
      <c r="C1867" t="s">
        <v>35</v>
      </c>
      <c r="D1867">
        <v>93</v>
      </c>
      <c r="E1867">
        <v>4962</v>
      </c>
      <c r="F1867" s="3">
        <v>181</v>
      </c>
      <c r="G1867">
        <v>22</v>
      </c>
      <c r="H1867">
        <v>4</v>
      </c>
      <c r="I1867" s="5">
        <v>4.3010752688171998E-2</v>
      </c>
      <c r="J1867" s="3">
        <v>224</v>
      </c>
      <c r="K1867" s="1">
        <v>45626</v>
      </c>
      <c r="L1867" t="s">
        <v>25</v>
      </c>
      <c r="M1867" t="s">
        <v>26</v>
      </c>
      <c r="N1867" t="s">
        <v>49</v>
      </c>
      <c r="O1867" t="s">
        <v>28</v>
      </c>
      <c r="P1867" t="s">
        <v>29</v>
      </c>
      <c r="Q1867" s="6">
        <v>1.9498924731182701</v>
      </c>
      <c r="R1867">
        <v>1.87</v>
      </c>
      <c r="S1867">
        <v>8.24</v>
      </c>
      <c r="T1867">
        <v>45.34</v>
      </c>
      <c r="U1867">
        <v>23.52</v>
      </c>
      <c r="V1867">
        <v>56</v>
      </c>
      <c r="W1867">
        <v>1.24</v>
      </c>
    </row>
    <row r="1868" spans="1:23" x14ac:dyDescent="0.3">
      <c r="A1868">
        <v>1868</v>
      </c>
      <c r="B1868" t="s">
        <v>1911</v>
      </c>
      <c r="C1868" t="s">
        <v>38</v>
      </c>
      <c r="D1868">
        <v>149</v>
      </c>
      <c r="E1868">
        <v>3055</v>
      </c>
      <c r="F1868" s="3">
        <v>228</v>
      </c>
      <c r="G1868">
        <v>18</v>
      </c>
      <c r="H1868">
        <v>7</v>
      </c>
      <c r="I1868" s="5">
        <v>4.6979865771811999E-2</v>
      </c>
      <c r="J1868" s="3">
        <v>282</v>
      </c>
      <c r="K1868" s="1">
        <v>45613</v>
      </c>
      <c r="L1868" t="s">
        <v>25</v>
      </c>
      <c r="M1868" t="s">
        <v>26</v>
      </c>
      <c r="N1868" t="s">
        <v>27</v>
      </c>
      <c r="O1868" t="s">
        <v>28</v>
      </c>
      <c r="P1868" t="s">
        <v>50</v>
      </c>
      <c r="Q1868" s="6">
        <v>1.53134228187919</v>
      </c>
      <c r="R1868">
        <v>4.88</v>
      </c>
      <c r="S1868">
        <v>12.68</v>
      </c>
      <c r="T1868">
        <v>32.6</v>
      </c>
      <c r="U1868">
        <v>23.59</v>
      </c>
      <c r="V1868">
        <v>40.29</v>
      </c>
      <c r="W1868">
        <v>1.24</v>
      </c>
    </row>
    <row r="1869" spans="1:23" x14ac:dyDescent="0.3">
      <c r="A1869">
        <v>1869</v>
      </c>
      <c r="B1869" t="s">
        <v>1912</v>
      </c>
      <c r="C1869" t="s">
        <v>35</v>
      </c>
      <c r="D1869">
        <v>184</v>
      </c>
      <c r="E1869">
        <v>4425</v>
      </c>
      <c r="F1869" s="3">
        <v>222</v>
      </c>
      <c r="G1869">
        <v>30</v>
      </c>
      <c r="H1869">
        <v>6</v>
      </c>
      <c r="I1869" s="5">
        <v>3.2608695652173898E-2</v>
      </c>
      <c r="J1869" s="3">
        <v>399</v>
      </c>
      <c r="K1869" s="1">
        <v>45609</v>
      </c>
      <c r="L1869" t="s">
        <v>25</v>
      </c>
      <c r="M1869" t="s">
        <v>39</v>
      </c>
      <c r="N1869" t="s">
        <v>36</v>
      </c>
      <c r="O1869" t="s">
        <v>28</v>
      </c>
      <c r="P1869" t="s">
        <v>33</v>
      </c>
      <c r="Q1869" s="6">
        <v>1.20559782608695</v>
      </c>
      <c r="R1869">
        <v>4.16</v>
      </c>
      <c r="S1869">
        <v>7.39</v>
      </c>
      <c r="T1869">
        <v>36.97</v>
      </c>
      <c r="U1869">
        <v>79.87</v>
      </c>
      <c r="V1869">
        <v>66.5</v>
      </c>
      <c r="W1869">
        <v>1.8</v>
      </c>
    </row>
    <row r="1870" spans="1:23" x14ac:dyDescent="0.3">
      <c r="A1870">
        <v>1870</v>
      </c>
      <c r="B1870" t="s">
        <v>1913</v>
      </c>
      <c r="C1870" t="s">
        <v>24</v>
      </c>
      <c r="D1870">
        <v>192</v>
      </c>
      <c r="E1870">
        <v>3755</v>
      </c>
      <c r="F1870" s="3">
        <v>301</v>
      </c>
      <c r="G1870">
        <v>16</v>
      </c>
      <c r="H1870">
        <v>4</v>
      </c>
      <c r="I1870" s="5">
        <v>2.0833333333333301E-2</v>
      </c>
      <c r="J1870" s="3">
        <v>368</v>
      </c>
      <c r="K1870" s="1">
        <v>45602</v>
      </c>
      <c r="L1870" t="s">
        <v>25</v>
      </c>
      <c r="M1870" t="s">
        <v>26</v>
      </c>
      <c r="N1870" t="s">
        <v>27</v>
      </c>
      <c r="O1870" t="s">
        <v>28</v>
      </c>
      <c r="P1870" t="s">
        <v>33</v>
      </c>
      <c r="Q1870" s="6">
        <v>1.56753061615001</v>
      </c>
      <c r="R1870">
        <v>5.1100000000000003</v>
      </c>
      <c r="S1870">
        <v>18.809999999999999</v>
      </c>
      <c r="T1870">
        <v>75.239999999999995</v>
      </c>
      <c r="U1870">
        <v>22.27</v>
      </c>
      <c r="V1870">
        <v>92</v>
      </c>
      <c r="W1870">
        <v>1.22</v>
      </c>
    </row>
    <row r="1871" spans="1:23" x14ac:dyDescent="0.3">
      <c r="A1871">
        <v>1871</v>
      </c>
      <c r="B1871" t="s">
        <v>1914</v>
      </c>
      <c r="C1871" t="s">
        <v>35</v>
      </c>
      <c r="D1871">
        <v>115</v>
      </c>
      <c r="E1871">
        <v>4832</v>
      </c>
      <c r="F1871" s="3">
        <v>237</v>
      </c>
      <c r="G1871">
        <v>24</v>
      </c>
      <c r="H1871">
        <v>5</v>
      </c>
      <c r="I1871" s="5">
        <v>4.3478260869565202E-2</v>
      </c>
      <c r="J1871" s="3">
        <v>354</v>
      </c>
      <c r="K1871" s="1">
        <v>45619</v>
      </c>
      <c r="L1871" t="s">
        <v>25</v>
      </c>
      <c r="M1871" t="s">
        <v>39</v>
      </c>
      <c r="N1871" t="s">
        <v>36</v>
      </c>
      <c r="O1871" t="s">
        <v>28</v>
      </c>
      <c r="P1871" t="s">
        <v>29</v>
      </c>
      <c r="Q1871" s="6">
        <v>2.06243478260869</v>
      </c>
      <c r="R1871">
        <v>2.38</v>
      </c>
      <c r="S1871">
        <v>9.8800000000000008</v>
      </c>
      <c r="T1871">
        <v>47.44</v>
      </c>
      <c r="U1871">
        <v>49.25</v>
      </c>
      <c r="V1871">
        <v>70.8</v>
      </c>
      <c r="W1871">
        <v>1.49</v>
      </c>
    </row>
    <row r="1872" spans="1:23" x14ac:dyDescent="0.3">
      <c r="A1872">
        <v>1872</v>
      </c>
      <c r="B1872" t="s">
        <v>1915</v>
      </c>
      <c r="C1872" t="s">
        <v>35</v>
      </c>
      <c r="D1872">
        <v>81</v>
      </c>
      <c r="E1872">
        <v>3224</v>
      </c>
      <c r="F1872" s="3">
        <v>240</v>
      </c>
      <c r="G1872">
        <v>18</v>
      </c>
      <c r="H1872">
        <v>10</v>
      </c>
      <c r="I1872" s="5">
        <v>0.12345679012345601</v>
      </c>
      <c r="J1872" s="3">
        <v>251</v>
      </c>
      <c r="K1872" s="1">
        <v>45623</v>
      </c>
      <c r="L1872" t="s">
        <v>25</v>
      </c>
      <c r="M1872" t="s">
        <v>39</v>
      </c>
      <c r="N1872" t="s">
        <v>44</v>
      </c>
      <c r="O1872" t="s">
        <v>28</v>
      </c>
      <c r="P1872" t="s">
        <v>33</v>
      </c>
      <c r="Q1872" s="6">
        <v>2.9577777777777698</v>
      </c>
      <c r="R1872">
        <v>2.5099999999999998</v>
      </c>
      <c r="S1872">
        <v>13.31</v>
      </c>
      <c r="T1872">
        <v>23.96</v>
      </c>
      <c r="U1872">
        <v>4.7699999999999996</v>
      </c>
      <c r="V1872">
        <v>25.1</v>
      </c>
      <c r="W1872">
        <v>1.05</v>
      </c>
    </row>
    <row r="1873" spans="1:23" x14ac:dyDescent="0.3">
      <c r="A1873">
        <v>1873</v>
      </c>
      <c r="B1873" t="s">
        <v>1916</v>
      </c>
      <c r="C1873" t="s">
        <v>35</v>
      </c>
      <c r="D1873">
        <v>119</v>
      </c>
      <c r="E1873">
        <v>5809</v>
      </c>
      <c r="F1873" s="3">
        <v>224</v>
      </c>
      <c r="G1873">
        <v>11</v>
      </c>
      <c r="H1873">
        <v>7</v>
      </c>
      <c r="I1873" s="5">
        <v>5.8823529411764698E-2</v>
      </c>
      <c r="J1873" s="3">
        <v>354</v>
      </c>
      <c r="K1873" s="1">
        <v>45615</v>
      </c>
      <c r="L1873" t="s">
        <v>25</v>
      </c>
      <c r="M1873" t="s">
        <v>31</v>
      </c>
      <c r="N1873" t="s">
        <v>49</v>
      </c>
      <c r="O1873" t="s">
        <v>28</v>
      </c>
      <c r="P1873" t="s">
        <v>41</v>
      </c>
      <c r="Q1873" s="6">
        <v>1.8865546218487299</v>
      </c>
      <c r="R1873">
        <v>2.0499999999999998</v>
      </c>
      <c r="S1873">
        <v>20.41</v>
      </c>
      <c r="T1873">
        <v>32.07</v>
      </c>
      <c r="U1873">
        <v>57.68</v>
      </c>
      <c r="V1873">
        <v>50.57</v>
      </c>
      <c r="W1873">
        <v>1.58</v>
      </c>
    </row>
    <row r="1874" spans="1:23" x14ac:dyDescent="0.3">
      <c r="A1874">
        <v>1874</v>
      </c>
      <c r="B1874" t="s">
        <v>1917</v>
      </c>
      <c r="C1874" t="s">
        <v>35</v>
      </c>
      <c r="D1874">
        <v>169</v>
      </c>
      <c r="E1874">
        <v>4027</v>
      </c>
      <c r="F1874" s="3">
        <v>194</v>
      </c>
      <c r="G1874">
        <v>22</v>
      </c>
      <c r="H1874">
        <v>4</v>
      </c>
      <c r="I1874" s="5">
        <v>2.3668639053254399E-2</v>
      </c>
      <c r="J1874" s="3">
        <v>283</v>
      </c>
      <c r="K1874" s="1">
        <v>45608</v>
      </c>
      <c r="L1874" t="s">
        <v>25</v>
      </c>
      <c r="M1874" t="s">
        <v>26</v>
      </c>
      <c r="N1874" t="s">
        <v>36</v>
      </c>
      <c r="O1874" t="s">
        <v>28</v>
      </c>
      <c r="P1874" t="s">
        <v>41</v>
      </c>
      <c r="Q1874" s="6">
        <v>1.14710059171597</v>
      </c>
      <c r="R1874">
        <v>4.2</v>
      </c>
      <c r="S1874">
        <v>8.81</v>
      </c>
      <c r="T1874">
        <v>48.46</v>
      </c>
      <c r="U1874">
        <v>45.98</v>
      </c>
      <c r="V1874">
        <v>70.75</v>
      </c>
      <c r="W1874">
        <v>1.46</v>
      </c>
    </row>
    <row r="1875" spans="1:23" x14ac:dyDescent="0.3">
      <c r="A1875">
        <v>1875</v>
      </c>
      <c r="B1875" t="s">
        <v>1918</v>
      </c>
      <c r="C1875" t="s">
        <v>43</v>
      </c>
      <c r="D1875">
        <v>103</v>
      </c>
      <c r="E1875">
        <v>5900</v>
      </c>
      <c r="F1875" s="3">
        <v>231</v>
      </c>
      <c r="G1875">
        <v>24</v>
      </c>
      <c r="H1875">
        <v>10</v>
      </c>
      <c r="I1875" s="5">
        <v>9.7087378640776698E-2</v>
      </c>
      <c r="J1875" s="3">
        <v>401</v>
      </c>
      <c r="K1875" s="1">
        <v>45598</v>
      </c>
      <c r="L1875" t="s">
        <v>25</v>
      </c>
      <c r="M1875" t="s">
        <v>31</v>
      </c>
      <c r="N1875" t="s">
        <v>40</v>
      </c>
      <c r="O1875" t="s">
        <v>28</v>
      </c>
      <c r="P1875" t="s">
        <v>29</v>
      </c>
      <c r="Q1875" s="6">
        <v>2.2465048543689301</v>
      </c>
      <c r="R1875">
        <v>1.75</v>
      </c>
      <c r="S1875">
        <v>9.64</v>
      </c>
      <c r="T1875">
        <v>23.14</v>
      </c>
      <c r="U1875">
        <v>73.3</v>
      </c>
      <c r="V1875">
        <v>40.1</v>
      </c>
      <c r="W1875">
        <v>1.73</v>
      </c>
    </row>
    <row r="1876" spans="1:23" x14ac:dyDescent="0.3">
      <c r="A1876">
        <v>1876</v>
      </c>
      <c r="B1876" t="s">
        <v>1919</v>
      </c>
      <c r="C1876" t="s">
        <v>38</v>
      </c>
      <c r="D1876">
        <v>90</v>
      </c>
      <c r="E1876">
        <v>3518</v>
      </c>
      <c r="F1876" s="3">
        <v>217</v>
      </c>
      <c r="G1876">
        <v>21</v>
      </c>
      <c r="H1876">
        <v>4</v>
      </c>
      <c r="I1876" s="5">
        <v>4.4444444444444398E-2</v>
      </c>
      <c r="J1876" s="3">
        <v>363</v>
      </c>
      <c r="K1876" s="1">
        <v>45619</v>
      </c>
      <c r="L1876" t="s">
        <v>25</v>
      </c>
      <c r="M1876" t="s">
        <v>31</v>
      </c>
      <c r="N1876" t="s">
        <v>27</v>
      </c>
      <c r="O1876" t="s">
        <v>28</v>
      </c>
      <c r="P1876" t="s">
        <v>29</v>
      </c>
      <c r="Q1876" s="6">
        <v>2.40888888888888</v>
      </c>
      <c r="R1876">
        <v>2.56</v>
      </c>
      <c r="S1876">
        <v>10.32</v>
      </c>
      <c r="T1876">
        <v>54.2</v>
      </c>
      <c r="U1876">
        <v>67.44</v>
      </c>
      <c r="V1876">
        <v>90.75</v>
      </c>
      <c r="W1876">
        <v>1.67</v>
      </c>
    </row>
    <row r="1877" spans="1:23" x14ac:dyDescent="0.3">
      <c r="A1877">
        <v>1877</v>
      </c>
      <c r="B1877" t="s">
        <v>1920</v>
      </c>
      <c r="C1877" t="s">
        <v>35</v>
      </c>
      <c r="D1877">
        <v>184</v>
      </c>
      <c r="E1877">
        <v>4238</v>
      </c>
      <c r="F1877" s="3">
        <v>228</v>
      </c>
      <c r="G1877">
        <v>26</v>
      </c>
      <c r="H1877">
        <v>10</v>
      </c>
      <c r="I1877" s="5">
        <v>5.4347826086956499E-2</v>
      </c>
      <c r="J1877" s="3">
        <v>205</v>
      </c>
      <c r="K1877" s="1">
        <v>45605</v>
      </c>
      <c r="L1877" t="s">
        <v>25</v>
      </c>
      <c r="M1877" t="s">
        <v>39</v>
      </c>
      <c r="N1877" t="s">
        <v>27</v>
      </c>
      <c r="O1877" t="s">
        <v>28</v>
      </c>
      <c r="P1877" t="s">
        <v>29</v>
      </c>
      <c r="Q1877" s="6">
        <v>1.24179347826086</v>
      </c>
      <c r="R1877">
        <v>4.34</v>
      </c>
      <c r="S1877">
        <v>8.7899999999999991</v>
      </c>
      <c r="T1877">
        <v>22.85</v>
      </c>
      <c r="U1877">
        <v>-10.28</v>
      </c>
      <c r="V1877">
        <v>20.5</v>
      </c>
      <c r="W1877">
        <v>0.9</v>
      </c>
    </row>
    <row r="1878" spans="1:23" x14ac:dyDescent="0.3">
      <c r="A1878">
        <v>1878</v>
      </c>
      <c r="B1878" t="s">
        <v>1921</v>
      </c>
      <c r="C1878" t="s">
        <v>38</v>
      </c>
      <c r="D1878">
        <v>143</v>
      </c>
      <c r="E1878">
        <v>5160</v>
      </c>
      <c r="F1878" s="3">
        <v>248</v>
      </c>
      <c r="G1878">
        <v>21</v>
      </c>
      <c r="H1878">
        <v>10</v>
      </c>
      <c r="I1878" s="5">
        <v>6.9930069930069894E-2</v>
      </c>
      <c r="J1878" s="3">
        <v>363</v>
      </c>
      <c r="K1878" s="1">
        <v>45621</v>
      </c>
      <c r="L1878" t="s">
        <v>25</v>
      </c>
      <c r="M1878" t="s">
        <v>31</v>
      </c>
      <c r="N1878" t="s">
        <v>36</v>
      </c>
      <c r="O1878" t="s">
        <v>28</v>
      </c>
      <c r="P1878" t="s">
        <v>59</v>
      </c>
      <c r="Q1878" s="6">
        <v>1.7345454545454499</v>
      </c>
      <c r="R1878">
        <v>2.77</v>
      </c>
      <c r="S1878">
        <v>11.81</v>
      </c>
      <c r="T1878">
        <v>24.8</v>
      </c>
      <c r="U1878">
        <v>46.35</v>
      </c>
      <c r="V1878">
        <v>36.299999999999997</v>
      </c>
      <c r="W1878">
        <v>1.46</v>
      </c>
    </row>
    <row r="1879" spans="1:23" x14ac:dyDescent="0.3">
      <c r="A1879">
        <v>1879</v>
      </c>
      <c r="B1879" t="s">
        <v>1922</v>
      </c>
      <c r="C1879" t="s">
        <v>38</v>
      </c>
      <c r="D1879">
        <v>123</v>
      </c>
      <c r="E1879">
        <v>4753</v>
      </c>
      <c r="F1879" s="3">
        <v>204</v>
      </c>
      <c r="G1879">
        <v>29</v>
      </c>
      <c r="H1879">
        <v>10</v>
      </c>
      <c r="I1879" s="5">
        <v>8.1300813008129996E-2</v>
      </c>
      <c r="J1879" s="3">
        <v>400</v>
      </c>
      <c r="K1879" s="1">
        <v>45611</v>
      </c>
      <c r="L1879" t="s">
        <v>25</v>
      </c>
      <c r="M1879" t="s">
        <v>31</v>
      </c>
      <c r="N1879" t="s">
        <v>40</v>
      </c>
      <c r="O1879" t="s">
        <v>28</v>
      </c>
      <c r="P1879" t="s">
        <v>45</v>
      </c>
      <c r="Q1879" s="6">
        <v>1.6552032520325199</v>
      </c>
      <c r="R1879">
        <v>2.59</v>
      </c>
      <c r="S1879">
        <v>7.02</v>
      </c>
      <c r="T1879">
        <v>20.36</v>
      </c>
      <c r="U1879">
        <v>96.47</v>
      </c>
      <c r="V1879">
        <v>40</v>
      </c>
      <c r="W1879">
        <v>1.96</v>
      </c>
    </row>
    <row r="1880" spans="1:23" x14ac:dyDescent="0.3">
      <c r="A1880">
        <v>1880</v>
      </c>
      <c r="B1880" t="s">
        <v>1923</v>
      </c>
      <c r="C1880" t="s">
        <v>24</v>
      </c>
      <c r="D1880">
        <v>155</v>
      </c>
      <c r="E1880">
        <v>4969</v>
      </c>
      <c r="F1880" s="3">
        <v>191</v>
      </c>
      <c r="G1880">
        <v>25</v>
      </c>
      <c r="H1880">
        <v>5</v>
      </c>
      <c r="I1880" s="5">
        <v>3.2258064516128997E-2</v>
      </c>
      <c r="J1880" s="3">
        <v>369</v>
      </c>
      <c r="K1880" s="1">
        <v>45624</v>
      </c>
      <c r="L1880" t="s">
        <v>25</v>
      </c>
      <c r="M1880" t="s">
        <v>39</v>
      </c>
      <c r="N1880" t="s">
        <v>40</v>
      </c>
      <c r="O1880" t="s">
        <v>28</v>
      </c>
      <c r="P1880" t="s">
        <v>54</v>
      </c>
      <c r="Q1880" s="6">
        <v>1.2314193548387</v>
      </c>
      <c r="R1880">
        <v>3.12</v>
      </c>
      <c r="S1880">
        <v>7.63</v>
      </c>
      <c r="T1880">
        <v>38.17</v>
      </c>
      <c r="U1880">
        <v>93.33</v>
      </c>
      <c r="V1880">
        <v>73.8</v>
      </c>
      <c r="W1880">
        <v>1.93</v>
      </c>
    </row>
    <row r="1881" spans="1:23" x14ac:dyDescent="0.3">
      <c r="A1881">
        <v>1881</v>
      </c>
      <c r="B1881" t="s">
        <v>1924</v>
      </c>
      <c r="C1881" t="s">
        <v>43</v>
      </c>
      <c r="D1881">
        <v>140</v>
      </c>
      <c r="E1881">
        <v>4415</v>
      </c>
      <c r="F1881" s="3">
        <v>241</v>
      </c>
      <c r="G1881">
        <v>13</v>
      </c>
      <c r="H1881">
        <v>8</v>
      </c>
      <c r="I1881" s="5">
        <v>5.7142857142857099E-2</v>
      </c>
      <c r="J1881" s="3">
        <v>322</v>
      </c>
      <c r="K1881" s="1">
        <v>45608</v>
      </c>
      <c r="L1881" t="s">
        <v>25</v>
      </c>
      <c r="M1881" t="s">
        <v>31</v>
      </c>
      <c r="N1881" t="s">
        <v>40</v>
      </c>
      <c r="O1881" t="s">
        <v>28</v>
      </c>
      <c r="P1881" t="s">
        <v>41</v>
      </c>
      <c r="Q1881" s="6">
        <v>1.7210714285714199</v>
      </c>
      <c r="R1881">
        <v>3.17</v>
      </c>
      <c r="S1881">
        <v>18.53</v>
      </c>
      <c r="T1881">
        <v>30.12</v>
      </c>
      <c r="U1881">
        <v>33.64</v>
      </c>
      <c r="V1881">
        <v>40.25</v>
      </c>
      <c r="W1881">
        <v>1.34</v>
      </c>
    </row>
    <row r="1882" spans="1:23" x14ac:dyDescent="0.3">
      <c r="A1882">
        <v>1882</v>
      </c>
      <c r="B1882" t="s">
        <v>1925</v>
      </c>
      <c r="C1882" t="s">
        <v>24</v>
      </c>
      <c r="D1882">
        <v>110</v>
      </c>
      <c r="E1882">
        <v>3931</v>
      </c>
      <c r="F1882" s="3">
        <v>193</v>
      </c>
      <c r="G1882">
        <v>16</v>
      </c>
      <c r="H1882">
        <v>4</v>
      </c>
      <c r="I1882" s="5">
        <v>3.6363636363636299E-2</v>
      </c>
      <c r="J1882" s="3">
        <v>222</v>
      </c>
      <c r="K1882" s="1">
        <v>45610</v>
      </c>
      <c r="L1882" t="s">
        <v>25</v>
      </c>
      <c r="M1882" t="s">
        <v>31</v>
      </c>
      <c r="N1882" t="s">
        <v>40</v>
      </c>
      <c r="O1882" t="s">
        <v>28</v>
      </c>
      <c r="P1882" t="s">
        <v>54</v>
      </c>
      <c r="Q1882" s="6">
        <v>1.7574545454545401</v>
      </c>
      <c r="R1882">
        <v>2.8</v>
      </c>
      <c r="S1882">
        <v>12.08</v>
      </c>
      <c r="T1882">
        <v>48.33</v>
      </c>
      <c r="U1882">
        <v>14.84</v>
      </c>
      <c r="V1882">
        <v>55.5</v>
      </c>
      <c r="W1882">
        <v>1.1499999999999999</v>
      </c>
    </row>
    <row r="1883" spans="1:23" x14ac:dyDescent="0.3">
      <c r="A1883">
        <v>1883</v>
      </c>
      <c r="B1883" t="s">
        <v>1926</v>
      </c>
      <c r="C1883" t="s">
        <v>38</v>
      </c>
      <c r="D1883">
        <v>103</v>
      </c>
      <c r="E1883">
        <v>4409</v>
      </c>
      <c r="F1883" s="3">
        <v>247</v>
      </c>
      <c r="G1883">
        <v>18</v>
      </c>
      <c r="H1883">
        <v>8</v>
      </c>
      <c r="I1883" s="5">
        <v>7.7669902912621297E-2</v>
      </c>
      <c r="J1883" s="3">
        <v>232</v>
      </c>
      <c r="K1883" s="1">
        <v>45620</v>
      </c>
      <c r="L1883" t="s">
        <v>25</v>
      </c>
      <c r="M1883" t="s">
        <v>26</v>
      </c>
      <c r="N1883" t="s">
        <v>44</v>
      </c>
      <c r="O1883" t="s">
        <v>28</v>
      </c>
      <c r="P1883" t="s">
        <v>50</v>
      </c>
      <c r="Q1883" s="6">
        <v>2.3967961165048499</v>
      </c>
      <c r="R1883">
        <v>2.34</v>
      </c>
      <c r="S1883">
        <v>13.72</v>
      </c>
      <c r="T1883">
        <v>30.86</v>
      </c>
      <c r="U1883">
        <v>-6.02</v>
      </c>
      <c r="V1883">
        <v>29</v>
      </c>
      <c r="W1883">
        <v>0.94</v>
      </c>
    </row>
    <row r="1884" spans="1:23" x14ac:dyDescent="0.3">
      <c r="A1884">
        <v>1884</v>
      </c>
      <c r="B1884" t="s">
        <v>1927</v>
      </c>
      <c r="C1884" t="s">
        <v>38</v>
      </c>
      <c r="D1884">
        <v>127</v>
      </c>
      <c r="E1884">
        <v>5064</v>
      </c>
      <c r="F1884" s="3">
        <v>195</v>
      </c>
      <c r="G1884">
        <v>22</v>
      </c>
      <c r="H1884">
        <v>10</v>
      </c>
      <c r="I1884" s="5">
        <v>7.8740157480314904E-2</v>
      </c>
      <c r="J1884" s="3">
        <v>310</v>
      </c>
      <c r="K1884" s="1">
        <v>45612</v>
      </c>
      <c r="L1884" t="s">
        <v>25</v>
      </c>
      <c r="M1884" t="s">
        <v>31</v>
      </c>
      <c r="N1884" t="s">
        <v>27</v>
      </c>
      <c r="O1884" t="s">
        <v>28</v>
      </c>
      <c r="P1884" t="s">
        <v>29</v>
      </c>
      <c r="Q1884" s="6">
        <v>1.5359842519685001</v>
      </c>
      <c r="R1884">
        <v>2.5099999999999998</v>
      </c>
      <c r="S1884">
        <v>8.8699999999999992</v>
      </c>
      <c r="T1884">
        <v>19.510000000000002</v>
      </c>
      <c r="U1884">
        <v>58.92</v>
      </c>
      <c r="V1884">
        <v>31</v>
      </c>
      <c r="W1884">
        <v>1.59</v>
      </c>
    </row>
    <row r="1885" spans="1:23" x14ac:dyDescent="0.3">
      <c r="A1885">
        <v>1885</v>
      </c>
      <c r="B1885" t="s">
        <v>1928</v>
      </c>
      <c r="C1885" t="s">
        <v>35</v>
      </c>
      <c r="D1885">
        <v>151</v>
      </c>
      <c r="E1885">
        <v>3905</v>
      </c>
      <c r="F1885" s="3">
        <v>191</v>
      </c>
      <c r="G1885">
        <v>20</v>
      </c>
      <c r="H1885">
        <v>10</v>
      </c>
      <c r="I1885" s="5">
        <v>6.6225165562913899E-2</v>
      </c>
      <c r="J1885" s="3">
        <v>274</v>
      </c>
      <c r="K1885" s="1">
        <v>45626</v>
      </c>
      <c r="L1885" t="s">
        <v>25</v>
      </c>
      <c r="M1885" t="s">
        <v>26</v>
      </c>
      <c r="N1885" t="s">
        <v>32</v>
      </c>
      <c r="O1885" t="s">
        <v>28</v>
      </c>
      <c r="P1885" t="s">
        <v>29</v>
      </c>
      <c r="Q1885" s="6">
        <v>1.2675496688741701</v>
      </c>
      <c r="R1885">
        <v>3.87</v>
      </c>
      <c r="S1885">
        <v>9.57</v>
      </c>
      <c r="T1885">
        <v>19.14</v>
      </c>
      <c r="U1885">
        <v>43.16</v>
      </c>
      <c r="V1885">
        <v>27.4</v>
      </c>
      <c r="W1885">
        <v>1.43</v>
      </c>
    </row>
    <row r="1886" spans="1:23" x14ac:dyDescent="0.3">
      <c r="A1886">
        <v>1886</v>
      </c>
      <c r="B1886" t="s">
        <v>1929</v>
      </c>
      <c r="C1886" t="s">
        <v>24</v>
      </c>
      <c r="D1886">
        <v>191</v>
      </c>
      <c r="E1886">
        <v>4710</v>
      </c>
      <c r="F1886" s="3">
        <v>214</v>
      </c>
      <c r="G1886">
        <v>15</v>
      </c>
      <c r="H1886">
        <v>6</v>
      </c>
      <c r="I1886" s="5">
        <v>3.1413612565444997E-2</v>
      </c>
      <c r="J1886" s="3">
        <v>220</v>
      </c>
      <c r="K1886" s="1">
        <v>45601</v>
      </c>
      <c r="L1886" t="s">
        <v>25</v>
      </c>
      <c r="M1886" t="s">
        <v>26</v>
      </c>
      <c r="N1886" t="s">
        <v>32</v>
      </c>
      <c r="O1886" t="s">
        <v>28</v>
      </c>
      <c r="P1886" t="s">
        <v>41</v>
      </c>
      <c r="Q1886" s="6">
        <v>1.1216753926701499</v>
      </c>
      <c r="R1886">
        <v>4.0599999999999996</v>
      </c>
      <c r="S1886">
        <v>14.28</v>
      </c>
      <c r="T1886">
        <v>35.71</v>
      </c>
      <c r="U1886">
        <v>2.69</v>
      </c>
      <c r="V1886">
        <v>36.67</v>
      </c>
      <c r="W1886">
        <v>1.03</v>
      </c>
    </row>
    <row r="1887" spans="1:23" x14ac:dyDescent="0.3">
      <c r="A1887">
        <v>1887</v>
      </c>
      <c r="B1887" t="s">
        <v>1930</v>
      </c>
      <c r="C1887" t="s">
        <v>38</v>
      </c>
      <c r="D1887">
        <v>177</v>
      </c>
      <c r="E1887">
        <v>3869</v>
      </c>
      <c r="F1887" s="3">
        <v>199</v>
      </c>
      <c r="G1887">
        <v>23</v>
      </c>
      <c r="H1887">
        <v>4</v>
      </c>
      <c r="I1887" s="5">
        <v>2.2598870056497099E-2</v>
      </c>
      <c r="J1887" s="3">
        <v>390</v>
      </c>
      <c r="K1887" s="1">
        <v>45600</v>
      </c>
      <c r="L1887" t="s">
        <v>25</v>
      </c>
      <c r="M1887" t="s">
        <v>26</v>
      </c>
      <c r="N1887" t="s">
        <v>32</v>
      </c>
      <c r="O1887" t="s">
        <v>28</v>
      </c>
      <c r="P1887" t="s">
        <v>59</v>
      </c>
      <c r="Q1887" s="6">
        <v>1.12361581920903</v>
      </c>
      <c r="R1887">
        <v>4.57</v>
      </c>
      <c r="S1887">
        <v>8.65</v>
      </c>
      <c r="T1887">
        <v>49.72</v>
      </c>
      <c r="U1887">
        <v>96.1</v>
      </c>
      <c r="V1887">
        <v>97.5</v>
      </c>
      <c r="W1887">
        <v>1.96</v>
      </c>
    </row>
    <row r="1888" spans="1:23" x14ac:dyDescent="0.3">
      <c r="A1888">
        <v>1888</v>
      </c>
      <c r="B1888" t="s">
        <v>1931</v>
      </c>
      <c r="C1888" t="s">
        <v>38</v>
      </c>
      <c r="D1888">
        <v>122</v>
      </c>
      <c r="E1888">
        <v>3760</v>
      </c>
      <c r="F1888" s="3">
        <v>233</v>
      </c>
      <c r="G1888">
        <v>22</v>
      </c>
      <c r="H1888">
        <v>7</v>
      </c>
      <c r="I1888" s="5">
        <v>5.7377049180327801E-2</v>
      </c>
      <c r="J1888" s="3">
        <v>364</v>
      </c>
      <c r="K1888" s="1">
        <v>45612</v>
      </c>
      <c r="L1888" t="s">
        <v>25</v>
      </c>
      <c r="M1888" t="s">
        <v>26</v>
      </c>
      <c r="N1888" t="s">
        <v>49</v>
      </c>
      <c r="O1888" t="s">
        <v>28</v>
      </c>
      <c r="P1888" t="s">
        <v>29</v>
      </c>
      <c r="Q1888" s="6">
        <v>1.91368852459016</v>
      </c>
      <c r="R1888">
        <v>3.24</v>
      </c>
      <c r="S1888">
        <v>10.61</v>
      </c>
      <c r="T1888">
        <v>33.35</v>
      </c>
      <c r="U1888">
        <v>55.91</v>
      </c>
      <c r="V1888">
        <v>52</v>
      </c>
      <c r="W1888">
        <v>1.56</v>
      </c>
    </row>
    <row r="1889" spans="1:23" x14ac:dyDescent="0.3">
      <c r="A1889">
        <v>1889</v>
      </c>
      <c r="B1889" t="s">
        <v>1932</v>
      </c>
      <c r="C1889" t="s">
        <v>35</v>
      </c>
      <c r="D1889">
        <v>99</v>
      </c>
      <c r="E1889">
        <v>3979</v>
      </c>
      <c r="F1889" s="3">
        <v>189</v>
      </c>
      <c r="G1889">
        <v>16</v>
      </c>
      <c r="H1889">
        <v>4</v>
      </c>
      <c r="I1889" s="5">
        <v>4.0404040404040401E-2</v>
      </c>
      <c r="J1889" s="3">
        <v>254</v>
      </c>
      <c r="K1889" s="1">
        <v>45616</v>
      </c>
      <c r="L1889" t="s">
        <v>25</v>
      </c>
      <c r="M1889" t="s">
        <v>39</v>
      </c>
      <c r="N1889" t="s">
        <v>40</v>
      </c>
      <c r="O1889" t="s">
        <v>28</v>
      </c>
      <c r="P1889" t="s">
        <v>33</v>
      </c>
      <c r="Q1889" s="6">
        <v>1.9044444444444399</v>
      </c>
      <c r="R1889">
        <v>2.4900000000000002</v>
      </c>
      <c r="S1889">
        <v>11.78</v>
      </c>
      <c r="T1889">
        <v>47.14</v>
      </c>
      <c r="U1889">
        <v>34.72</v>
      </c>
      <c r="V1889">
        <v>63.5</v>
      </c>
      <c r="W1889">
        <v>1.35</v>
      </c>
    </row>
    <row r="1890" spans="1:23" x14ac:dyDescent="0.3">
      <c r="A1890">
        <v>1890</v>
      </c>
      <c r="B1890" t="s">
        <v>1933</v>
      </c>
      <c r="C1890" t="s">
        <v>24</v>
      </c>
      <c r="D1890">
        <v>92</v>
      </c>
      <c r="E1890">
        <v>3027</v>
      </c>
      <c r="F1890" s="3">
        <v>206</v>
      </c>
      <c r="G1890">
        <v>13</v>
      </c>
      <c r="H1890">
        <v>7</v>
      </c>
      <c r="I1890" s="5">
        <v>7.6086956521739094E-2</v>
      </c>
      <c r="J1890" s="3">
        <v>325</v>
      </c>
      <c r="K1890" s="1">
        <v>45603</v>
      </c>
      <c r="L1890" t="s">
        <v>25</v>
      </c>
      <c r="M1890" t="s">
        <v>39</v>
      </c>
      <c r="N1890" t="s">
        <v>27</v>
      </c>
      <c r="O1890" t="s">
        <v>28</v>
      </c>
      <c r="P1890" t="s">
        <v>54</v>
      </c>
      <c r="Q1890" s="6">
        <v>2.2355434782608601</v>
      </c>
      <c r="R1890">
        <v>3.04</v>
      </c>
      <c r="S1890">
        <v>15.82</v>
      </c>
      <c r="T1890">
        <v>29.38</v>
      </c>
      <c r="U1890">
        <v>58.02</v>
      </c>
      <c r="V1890">
        <v>46.43</v>
      </c>
      <c r="W1890">
        <v>1.58</v>
      </c>
    </row>
    <row r="1891" spans="1:23" x14ac:dyDescent="0.3">
      <c r="A1891">
        <v>1891</v>
      </c>
      <c r="B1891" t="s">
        <v>1934</v>
      </c>
      <c r="C1891" t="s">
        <v>24</v>
      </c>
      <c r="D1891">
        <v>114</v>
      </c>
      <c r="E1891">
        <v>4540</v>
      </c>
      <c r="F1891" s="3">
        <v>185</v>
      </c>
      <c r="G1891">
        <v>10</v>
      </c>
      <c r="H1891">
        <v>4</v>
      </c>
      <c r="I1891" s="5">
        <v>3.5087719298245598E-2</v>
      </c>
      <c r="J1891" s="3">
        <v>319</v>
      </c>
      <c r="K1891" s="1">
        <v>45624</v>
      </c>
      <c r="L1891" t="s">
        <v>25</v>
      </c>
      <c r="M1891" t="s">
        <v>31</v>
      </c>
      <c r="N1891" t="s">
        <v>32</v>
      </c>
      <c r="O1891" t="s">
        <v>28</v>
      </c>
      <c r="P1891" t="s">
        <v>54</v>
      </c>
      <c r="Q1891" s="6">
        <v>1.6231578947368399</v>
      </c>
      <c r="R1891">
        <v>2.5099999999999998</v>
      </c>
      <c r="S1891">
        <v>18.5</v>
      </c>
      <c r="T1891">
        <v>46.26</v>
      </c>
      <c r="U1891">
        <v>72.400000000000006</v>
      </c>
      <c r="V1891">
        <v>79.75</v>
      </c>
      <c r="W1891">
        <v>1.72</v>
      </c>
    </row>
    <row r="1892" spans="1:23" x14ac:dyDescent="0.3">
      <c r="A1892">
        <v>1892</v>
      </c>
      <c r="B1892" t="s">
        <v>1935</v>
      </c>
      <c r="C1892" t="s">
        <v>24</v>
      </c>
      <c r="D1892">
        <v>92</v>
      </c>
      <c r="E1892">
        <v>4466</v>
      </c>
      <c r="F1892" s="3">
        <v>244</v>
      </c>
      <c r="G1892">
        <v>18</v>
      </c>
      <c r="H1892">
        <v>6</v>
      </c>
      <c r="I1892" s="5">
        <v>6.5217391304347797E-2</v>
      </c>
      <c r="J1892" s="3">
        <v>390</v>
      </c>
      <c r="K1892" s="1">
        <v>45603</v>
      </c>
      <c r="L1892" t="s">
        <v>25</v>
      </c>
      <c r="M1892" t="s">
        <v>26</v>
      </c>
      <c r="N1892" t="s">
        <v>27</v>
      </c>
      <c r="O1892" t="s">
        <v>28</v>
      </c>
      <c r="P1892" t="s">
        <v>54</v>
      </c>
      <c r="Q1892" s="6">
        <v>2.6571739130434699</v>
      </c>
      <c r="R1892">
        <v>2.06</v>
      </c>
      <c r="S1892">
        <v>13.58</v>
      </c>
      <c r="T1892">
        <v>40.74</v>
      </c>
      <c r="U1892">
        <v>59.54</v>
      </c>
      <c r="V1892">
        <v>65</v>
      </c>
      <c r="W1892">
        <v>1.6</v>
      </c>
    </row>
    <row r="1893" spans="1:23" x14ac:dyDescent="0.3">
      <c r="A1893">
        <v>1893</v>
      </c>
      <c r="B1893" t="s">
        <v>1936</v>
      </c>
      <c r="C1893" t="s">
        <v>35</v>
      </c>
      <c r="D1893">
        <v>148</v>
      </c>
      <c r="E1893">
        <v>4865</v>
      </c>
      <c r="F1893" s="3">
        <v>206</v>
      </c>
      <c r="G1893">
        <v>25</v>
      </c>
      <c r="H1893">
        <v>9</v>
      </c>
      <c r="I1893" s="5">
        <v>6.08108108108108E-2</v>
      </c>
      <c r="J1893" s="3">
        <v>375</v>
      </c>
      <c r="K1893" s="1">
        <v>45604</v>
      </c>
      <c r="L1893" t="s">
        <v>25</v>
      </c>
      <c r="M1893" t="s">
        <v>26</v>
      </c>
      <c r="N1893" t="s">
        <v>36</v>
      </c>
      <c r="O1893" t="s">
        <v>28</v>
      </c>
      <c r="P1893" t="s">
        <v>45</v>
      </c>
      <c r="Q1893" s="6">
        <v>1.3931081081081</v>
      </c>
      <c r="R1893">
        <v>3.04</v>
      </c>
      <c r="S1893">
        <v>8.25</v>
      </c>
      <c r="T1893">
        <v>22.91</v>
      </c>
      <c r="U1893">
        <v>81.88</v>
      </c>
      <c r="V1893">
        <v>41.67</v>
      </c>
      <c r="W1893">
        <v>1.82</v>
      </c>
    </row>
    <row r="1894" spans="1:23" x14ac:dyDescent="0.3">
      <c r="A1894">
        <v>1894</v>
      </c>
      <c r="B1894" t="s">
        <v>1937</v>
      </c>
      <c r="C1894" t="s">
        <v>24</v>
      </c>
      <c r="D1894">
        <v>157</v>
      </c>
      <c r="E1894">
        <v>5890</v>
      </c>
      <c r="F1894" s="3">
        <v>222</v>
      </c>
      <c r="G1894">
        <v>27</v>
      </c>
      <c r="H1894">
        <v>7</v>
      </c>
      <c r="I1894" s="5">
        <v>4.4585987261146397E-2</v>
      </c>
      <c r="J1894" s="3">
        <v>229</v>
      </c>
      <c r="K1894" s="1">
        <v>45607</v>
      </c>
      <c r="L1894" t="s">
        <v>25</v>
      </c>
      <c r="M1894" t="s">
        <v>31</v>
      </c>
      <c r="N1894" t="s">
        <v>40</v>
      </c>
      <c r="O1894" t="s">
        <v>28</v>
      </c>
      <c r="P1894" t="s">
        <v>59</v>
      </c>
      <c r="Q1894" s="6">
        <v>1.4110191082802499</v>
      </c>
      <c r="R1894">
        <v>2.67</v>
      </c>
      <c r="S1894">
        <v>8.1999999999999993</v>
      </c>
      <c r="T1894">
        <v>31.65</v>
      </c>
      <c r="U1894">
        <v>3.37</v>
      </c>
      <c r="V1894">
        <v>32.71</v>
      </c>
      <c r="W1894">
        <v>1.03</v>
      </c>
    </row>
    <row r="1895" spans="1:23" x14ac:dyDescent="0.3">
      <c r="A1895">
        <v>1895</v>
      </c>
      <c r="B1895" t="s">
        <v>1938</v>
      </c>
      <c r="C1895" t="s">
        <v>43</v>
      </c>
      <c r="D1895">
        <v>91</v>
      </c>
      <c r="E1895">
        <v>4010</v>
      </c>
      <c r="F1895" s="3">
        <v>230</v>
      </c>
      <c r="G1895">
        <v>11</v>
      </c>
      <c r="H1895">
        <v>6</v>
      </c>
      <c r="I1895" s="5">
        <v>6.5934065934065894E-2</v>
      </c>
      <c r="J1895" s="3">
        <v>333</v>
      </c>
      <c r="K1895" s="1">
        <v>45598</v>
      </c>
      <c r="L1895" t="s">
        <v>25</v>
      </c>
      <c r="M1895" t="s">
        <v>31</v>
      </c>
      <c r="N1895" t="s">
        <v>49</v>
      </c>
      <c r="O1895" t="s">
        <v>28</v>
      </c>
      <c r="P1895" t="s">
        <v>29</v>
      </c>
      <c r="Q1895" s="6">
        <v>2.52571428571428</v>
      </c>
      <c r="R1895">
        <v>2.27</v>
      </c>
      <c r="S1895">
        <v>20.89</v>
      </c>
      <c r="T1895">
        <v>38.31</v>
      </c>
      <c r="U1895">
        <v>44.88</v>
      </c>
      <c r="V1895">
        <v>55.5</v>
      </c>
      <c r="W1895">
        <v>1.45</v>
      </c>
    </row>
    <row r="1896" spans="1:23" x14ac:dyDescent="0.3">
      <c r="A1896">
        <v>1896</v>
      </c>
      <c r="B1896" t="s">
        <v>1939</v>
      </c>
      <c r="C1896" t="s">
        <v>35</v>
      </c>
      <c r="D1896">
        <v>91</v>
      </c>
      <c r="E1896">
        <v>4641</v>
      </c>
      <c r="F1896" s="3">
        <v>183</v>
      </c>
      <c r="G1896">
        <v>12</v>
      </c>
      <c r="H1896">
        <v>9</v>
      </c>
      <c r="I1896" s="5">
        <v>9.8901098901098897E-2</v>
      </c>
      <c r="J1896" s="3">
        <v>252</v>
      </c>
      <c r="K1896" s="1">
        <v>45621</v>
      </c>
      <c r="L1896" t="s">
        <v>25</v>
      </c>
      <c r="M1896" t="s">
        <v>31</v>
      </c>
      <c r="N1896" t="s">
        <v>36</v>
      </c>
      <c r="O1896" t="s">
        <v>28</v>
      </c>
      <c r="P1896" t="s">
        <v>59</v>
      </c>
      <c r="Q1896" s="6">
        <v>2.00923076923076</v>
      </c>
      <c r="R1896">
        <v>1.96</v>
      </c>
      <c r="S1896">
        <v>15.24</v>
      </c>
      <c r="T1896">
        <v>20.32</v>
      </c>
      <c r="U1896">
        <v>37.83</v>
      </c>
      <c r="V1896">
        <v>28</v>
      </c>
      <c r="W1896">
        <v>1.38</v>
      </c>
    </row>
    <row r="1897" spans="1:23" x14ac:dyDescent="0.3">
      <c r="A1897">
        <v>1897</v>
      </c>
      <c r="B1897" t="s">
        <v>1940</v>
      </c>
      <c r="C1897" t="s">
        <v>43</v>
      </c>
      <c r="D1897">
        <v>99</v>
      </c>
      <c r="E1897">
        <v>5669</v>
      </c>
      <c r="F1897" s="3">
        <v>202</v>
      </c>
      <c r="G1897">
        <v>24</v>
      </c>
      <c r="H1897">
        <v>7</v>
      </c>
      <c r="I1897" s="5">
        <v>7.0707070707070704E-2</v>
      </c>
      <c r="J1897" s="3">
        <v>380</v>
      </c>
      <c r="K1897" s="1">
        <v>45607</v>
      </c>
      <c r="L1897" t="s">
        <v>25</v>
      </c>
      <c r="M1897" t="s">
        <v>26</v>
      </c>
      <c r="N1897" t="s">
        <v>44</v>
      </c>
      <c r="O1897" t="s">
        <v>28</v>
      </c>
      <c r="P1897" t="s">
        <v>59</v>
      </c>
      <c r="Q1897" s="6">
        <v>2.0451515151515101</v>
      </c>
      <c r="R1897">
        <v>1.75</v>
      </c>
      <c r="S1897">
        <v>8.44</v>
      </c>
      <c r="T1897">
        <v>28.92</v>
      </c>
      <c r="U1897">
        <v>87.68</v>
      </c>
      <c r="V1897">
        <v>54.29</v>
      </c>
      <c r="W1897">
        <v>1.88</v>
      </c>
    </row>
    <row r="1898" spans="1:23" x14ac:dyDescent="0.3">
      <c r="A1898">
        <v>1898</v>
      </c>
      <c r="B1898" t="s">
        <v>1941</v>
      </c>
      <c r="C1898" t="s">
        <v>38</v>
      </c>
      <c r="D1898">
        <v>160</v>
      </c>
      <c r="E1898">
        <v>3000</v>
      </c>
      <c r="F1898" s="3">
        <v>202</v>
      </c>
      <c r="G1898">
        <v>28</v>
      </c>
      <c r="H1898">
        <v>9</v>
      </c>
      <c r="I1898" s="5">
        <v>5.6250000000000001E-2</v>
      </c>
      <c r="J1898" s="3">
        <v>225</v>
      </c>
      <c r="K1898" s="1">
        <v>45612</v>
      </c>
      <c r="L1898" t="s">
        <v>25</v>
      </c>
      <c r="M1898" t="s">
        <v>26</v>
      </c>
      <c r="N1898" t="s">
        <v>36</v>
      </c>
      <c r="O1898" t="s">
        <v>28</v>
      </c>
      <c r="P1898" t="s">
        <v>29</v>
      </c>
      <c r="Q1898" s="6">
        <v>1.2605625</v>
      </c>
      <c r="R1898">
        <v>5.33</v>
      </c>
      <c r="S1898">
        <v>7.2</v>
      </c>
      <c r="T1898">
        <v>22.41</v>
      </c>
      <c r="U1898">
        <v>11.56</v>
      </c>
      <c r="V1898">
        <v>25</v>
      </c>
      <c r="W1898">
        <v>1.1200000000000001</v>
      </c>
    </row>
    <row r="1899" spans="1:23" x14ac:dyDescent="0.3">
      <c r="A1899">
        <v>1899</v>
      </c>
      <c r="B1899" t="s">
        <v>1942</v>
      </c>
      <c r="C1899" t="s">
        <v>43</v>
      </c>
      <c r="D1899">
        <v>121</v>
      </c>
      <c r="E1899">
        <v>3979</v>
      </c>
      <c r="F1899" s="3">
        <v>241</v>
      </c>
      <c r="G1899">
        <v>25</v>
      </c>
      <c r="H1899">
        <v>10</v>
      </c>
      <c r="I1899" s="5">
        <v>8.2644628099173501E-2</v>
      </c>
      <c r="J1899" s="3">
        <v>304</v>
      </c>
      <c r="K1899" s="1">
        <v>45606</v>
      </c>
      <c r="L1899" t="s">
        <v>25</v>
      </c>
      <c r="M1899" t="s">
        <v>26</v>
      </c>
      <c r="N1899" t="s">
        <v>32</v>
      </c>
      <c r="O1899" t="s">
        <v>28</v>
      </c>
      <c r="P1899" t="s">
        <v>50</v>
      </c>
      <c r="Q1899" s="6">
        <v>1.99421487603305</v>
      </c>
      <c r="R1899">
        <v>3.04</v>
      </c>
      <c r="S1899">
        <v>9.65</v>
      </c>
      <c r="T1899">
        <v>24.13</v>
      </c>
      <c r="U1899">
        <v>25.98</v>
      </c>
      <c r="V1899">
        <v>30.4</v>
      </c>
      <c r="W1899">
        <v>1.26</v>
      </c>
    </row>
    <row r="1900" spans="1:23" x14ac:dyDescent="0.3">
      <c r="A1900">
        <v>1900</v>
      </c>
      <c r="B1900" t="s">
        <v>1943</v>
      </c>
      <c r="C1900" t="s">
        <v>38</v>
      </c>
      <c r="D1900">
        <v>185</v>
      </c>
      <c r="E1900">
        <v>6101</v>
      </c>
      <c r="F1900" s="3">
        <v>193</v>
      </c>
      <c r="G1900">
        <v>23</v>
      </c>
      <c r="H1900">
        <v>5</v>
      </c>
      <c r="I1900" s="5">
        <v>2.7027027027027001E-2</v>
      </c>
      <c r="J1900" s="3">
        <v>241</v>
      </c>
      <c r="K1900" s="1">
        <v>45597</v>
      </c>
      <c r="L1900" t="s">
        <v>25</v>
      </c>
      <c r="M1900" t="s">
        <v>26</v>
      </c>
      <c r="N1900" t="s">
        <v>27</v>
      </c>
      <c r="O1900" t="s">
        <v>28</v>
      </c>
      <c r="P1900" t="s">
        <v>45</v>
      </c>
      <c r="Q1900" s="6">
        <v>1.04108108108108</v>
      </c>
      <c r="R1900">
        <v>3.03</v>
      </c>
      <c r="S1900">
        <v>8.3699999999999992</v>
      </c>
      <c r="T1900">
        <v>38.520000000000003</v>
      </c>
      <c r="U1900">
        <v>25.13</v>
      </c>
      <c r="V1900">
        <v>48.2</v>
      </c>
      <c r="W1900">
        <v>1.25</v>
      </c>
    </row>
    <row r="1901" spans="1:23" x14ac:dyDescent="0.3">
      <c r="A1901">
        <v>1901</v>
      </c>
      <c r="B1901" t="s">
        <v>1944</v>
      </c>
      <c r="C1901" t="s">
        <v>43</v>
      </c>
      <c r="D1901">
        <v>137</v>
      </c>
      <c r="E1901">
        <v>5049</v>
      </c>
      <c r="F1901" s="3">
        <v>181</v>
      </c>
      <c r="G1901">
        <v>26</v>
      </c>
      <c r="H1901">
        <v>3</v>
      </c>
      <c r="I1901" s="5">
        <v>2.18978102189781E-2</v>
      </c>
      <c r="J1901" s="3">
        <v>369</v>
      </c>
      <c r="K1901" s="1">
        <v>45614</v>
      </c>
      <c r="L1901" t="s">
        <v>25</v>
      </c>
      <c r="M1901" t="s">
        <v>26</v>
      </c>
      <c r="N1901" t="s">
        <v>40</v>
      </c>
      <c r="O1901" t="s">
        <v>28</v>
      </c>
      <c r="P1901" t="s">
        <v>59</v>
      </c>
      <c r="Q1901" s="6">
        <v>1.3181021897810199</v>
      </c>
      <c r="R1901">
        <v>2.71</v>
      </c>
      <c r="S1901">
        <v>6.95</v>
      </c>
      <c r="T1901">
        <v>60.19</v>
      </c>
      <c r="U1901">
        <v>104.34</v>
      </c>
      <c r="V1901">
        <v>123</v>
      </c>
      <c r="W1901">
        <v>2.04</v>
      </c>
    </row>
    <row r="1902" spans="1:23" x14ac:dyDescent="0.3">
      <c r="A1902">
        <v>1902</v>
      </c>
      <c r="B1902" t="s">
        <v>1945</v>
      </c>
      <c r="C1902" t="s">
        <v>24</v>
      </c>
      <c r="D1902">
        <v>159</v>
      </c>
      <c r="E1902">
        <v>3662</v>
      </c>
      <c r="F1902" s="3">
        <v>204</v>
      </c>
      <c r="G1902">
        <v>20</v>
      </c>
      <c r="H1902">
        <v>4</v>
      </c>
      <c r="I1902" s="5">
        <v>2.51572327044025E-2</v>
      </c>
      <c r="J1902" s="3">
        <v>362</v>
      </c>
      <c r="K1902" s="1">
        <v>45606</v>
      </c>
      <c r="L1902" t="s">
        <v>25</v>
      </c>
      <c r="M1902" t="s">
        <v>39</v>
      </c>
      <c r="N1902" t="s">
        <v>32</v>
      </c>
      <c r="O1902" t="s">
        <v>28</v>
      </c>
      <c r="P1902" t="s">
        <v>50</v>
      </c>
      <c r="Q1902" s="6">
        <v>1.2825786163521999</v>
      </c>
      <c r="R1902">
        <v>4.34</v>
      </c>
      <c r="S1902">
        <v>10.199999999999999</v>
      </c>
      <c r="T1902">
        <v>50.98</v>
      </c>
      <c r="U1902">
        <v>77.510000000000005</v>
      </c>
      <c r="V1902">
        <v>90.5</v>
      </c>
      <c r="W1902">
        <v>1.78</v>
      </c>
    </row>
    <row r="1903" spans="1:23" x14ac:dyDescent="0.3">
      <c r="A1903">
        <v>1903</v>
      </c>
      <c r="B1903" t="s">
        <v>1946</v>
      </c>
      <c r="C1903" t="s">
        <v>43</v>
      </c>
      <c r="D1903">
        <v>155</v>
      </c>
      <c r="E1903">
        <v>5822</v>
      </c>
      <c r="F1903" s="3">
        <v>227</v>
      </c>
      <c r="G1903">
        <v>10</v>
      </c>
      <c r="H1903">
        <v>4</v>
      </c>
      <c r="I1903" s="5">
        <v>2.5806451612903201E-2</v>
      </c>
      <c r="J1903" s="3">
        <v>280</v>
      </c>
      <c r="K1903" s="1">
        <v>45624</v>
      </c>
      <c r="L1903" t="s">
        <v>25</v>
      </c>
      <c r="M1903" t="s">
        <v>31</v>
      </c>
      <c r="N1903" t="s">
        <v>36</v>
      </c>
      <c r="O1903" t="s">
        <v>28</v>
      </c>
      <c r="P1903" t="s">
        <v>54</v>
      </c>
      <c r="Q1903" s="6">
        <v>1.46754838709677</v>
      </c>
      <c r="R1903">
        <v>2.66</v>
      </c>
      <c r="S1903">
        <v>22.75</v>
      </c>
      <c r="T1903">
        <v>56.87</v>
      </c>
      <c r="U1903">
        <v>23.09</v>
      </c>
      <c r="V1903">
        <v>70</v>
      </c>
      <c r="W1903">
        <v>1.23</v>
      </c>
    </row>
    <row r="1904" spans="1:23" x14ac:dyDescent="0.3">
      <c r="A1904">
        <v>1904</v>
      </c>
      <c r="B1904" t="s">
        <v>1947</v>
      </c>
      <c r="C1904" t="s">
        <v>24</v>
      </c>
      <c r="D1904">
        <v>103</v>
      </c>
      <c r="E1904">
        <v>3762</v>
      </c>
      <c r="F1904" s="3">
        <v>187</v>
      </c>
      <c r="G1904">
        <v>12</v>
      </c>
      <c r="H1904">
        <v>9</v>
      </c>
      <c r="I1904" s="5">
        <v>8.7378640776699004E-2</v>
      </c>
      <c r="J1904" s="3">
        <v>224</v>
      </c>
      <c r="K1904" s="1">
        <v>45620</v>
      </c>
      <c r="L1904" t="s">
        <v>25</v>
      </c>
      <c r="M1904" t="s">
        <v>31</v>
      </c>
      <c r="N1904" t="s">
        <v>27</v>
      </c>
      <c r="O1904" t="s">
        <v>28</v>
      </c>
      <c r="P1904" t="s">
        <v>50</v>
      </c>
      <c r="Q1904" s="6">
        <v>1.8166019417475701</v>
      </c>
      <c r="R1904">
        <v>2.74</v>
      </c>
      <c r="S1904">
        <v>15.59</v>
      </c>
      <c r="T1904">
        <v>20.79</v>
      </c>
      <c r="U1904">
        <v>19.72</v>
      </c>
      <c r="V1904">
        <v>24.89</v>
      </c>
      <c r="W1904">
        <v>1.2</v>
      </c>
    </row>
    <row r="1905" spans="1:23" x14ac:dyDescent="0.3">
      <c r="A1905">
        <v>1905</v>
      </c>
      <c r="B1905" t="s">
        <v>1948</v>
      </c>
      <c r="C1905" t="s">
        <v>24</v>
      </c>
      <c r="D1905">
        <v>134</v>
      </c>
      <c r="E1905">
        <v>3647</v>
      </c>
      <c r="F1905" s="3">
        <v>210</v>
      </c>
      <c r="G1905">
        <v>21</v>
      </c>
      <c r="H1905">
        <v>7</v>
      </c>
      <c r="I1905" s="5">
        <v>5.2238805970149203E-2</v>
      </c>
      <c r="J1905" s="3">
        <v>356</v>
      </c>
      <c r="K1905" s="1">
        <v>45599</v>
      </c>
      <c r="L1905" t="s">
        <v>25</v>
      </c>
      <c r="M1905" t="s">
        <v>26</v>
      </c>
      <c r="N1905" t="s">
        <v>27</v>
      </c>
      <c r="O1905" t="s">
        <v>28</v>
      </c>
      <c r="P1905" t="s">
        <v>50</v>
      </c>
      <c r="Q1905" s="6">
        <v>1.5663432835820801</v>
      </c>
      <c r="R1905">
        <v>3.67</v>
      </c>
      <c r="S1905">
        <v>9.99</v>
      </c>
      <c r="T1905">
        <v>29.98</v>
      </c>
      <c r="U1905">
        <v>69.61</v>
      </c>
      <c r="V1905">
        <v>50.86</v>
      </c>
      <c r="W1905">
        <v>1.7</v>
      </c>
    </row>
    <row r="1906" spans="1:23" x14ac:dyDescent="0.3">
      <c r="A1906">
        <v>1906</v>
      </c>
      <c r="B1906" t="s">
        <v>1949</v>
      </c>
      <c r="C1906" t="s">
        <v>35</v>
      </c>
      <c r="D1906">
        <v>128</v>
      </c>
      <c r="E1906">
        <v>3448</v>
      </c>
      <c r="F1906" s="3">
        <v>236</v>
      </c>
      <c r="G1906">
        <v>27</v>
      </c>
      <c r="H1906">
        <v>8</v>
      </c>
      <c r="I1906" s="5">
        <v>6.25E-2</v>
      </c>
      <c r="J1906" s="3">
        <v>280</v>
      </c>
      <c r="K1906" s="1">
        <v>45613</v>
      </c>
      <c r="L1906" t="s">
        <v>25</v>
      </c>
      <c r="M1906" t="s">
        <v>26</v>
      </c>
      <c r="N1906" t="s">
        <v>32</v>
      </c>
      <c r="O1906" t="s">
        <v>28</v>
      </c>
      <c r="P1906" t="s">
        <v>50</v>
      </c>
      <c r="Q1906" s="6">
        <v>1.841328125</v>
      </c>
      <c r="R1906">
        <v>3.71</v>
      </c>
      <c r="S1906">
        <v>8.73</v>
      </c>
      <c r="T1906">
        <v>29.46</v>
      </c>
      <c r="U1906">
        <v>18.8</v>
      </c>
      <c r="V1906">
        <v>35</v>
      </c>
      <c r="W1906">
        <v>1.19</v>
      </c>
    </row>
    <row r="1907" spans="1:23" x14ac:dyDescent="0.3">
      <c r="A1907">
        <v>1907</v>
      </c>
      <c r="B1907" t="s">
        <v>1950</v>
      </c>
      <c r="C1907" t="s">
        <v>43</v>
      </c>
      <c r="D1907">
        <v>156</v>
      </c>
      <c r="E1907">
        <v>3776</v>
      </c>
      <c r="F1907" s="3">
        <v>213</v>
      </c>
      <c r="G1907">
        <v>30</v>
      </c>
      <c r="H1907">
        <v>4</v>
      </c>
      <c r="I1907" s="5">
        <v>2.5641025641025599E-2</v>
      </c>
      <c r="J1907" s="3">
        <v>207</v>
      </c>
      <c r="K1907" s="1">
        <v>45615</v>
      </c>
      <c r="L1907" t="s">
        <v>25</v>
      </c>
      <c r="M1907" t="s">
        <v>39</v>
      </c>
      <c r="N1907" t="s">
        <v>44</v>
      </c>
      <c r="O1907" t="s">
        <v>28</v>
      </c>
      <c r="P1907" t="s">
        <v>41</v>
      </c>
      <c r="Q1907" s="6">
        <v>1.3673076923076899</v>
      </c>
      <c r="R1907">
        <v>4.13</v>
      </c>
      <c r="S1907">
        <v>7.11</v>
      </c>
      <c r="T1907">
        <v>53.32</v>
      </c>
      <c r="U1907">
        <v>-2.95</v>
      </c>
      <c r="V1907">
        <v>51.75</v>
      </c>
      <c r="W1907">
        <v>0.97</v>
      </c>
    </row>
    <row r="1908" spans="1:23" x14ac:dyDescent="0.3">
      <c r="A1908">
        <v>1908</v>
      </c>
      <c r="B1908" t="s">
        <v>1951</v>
      </c>
      <c r="C1908" t="s">
        <v>24</v>
      </c>
      <c r="D1908">
        <v>154</v>
      </c>
      <c r="E1908">
        <v>5763</v>
      </c>
      <c r="F1908" s="3">
        <v>240</v>
      </c>
      <c r="G1908">
        <v>20</v>
      </c>
      <c r="H1908">
        <v>10</v>
      </c>
      <c r="I1908" s="5">
        <v>6.4935064935064901E-2</v>
      </c>
      <c r="J1908" s="3">
        <v>371</v>
      </c>
      <c r="K1908" s="1">
        <v>45621</v>
      </c>
      <c r="L1908" t="s">
        <v>25</v>
      </c>
      <c r="M1908" t="s">
        <v>31</v>
      </c>
      <c r="N1908" t="s">
        <v>36</v>
      </c>
      <c r="O1908" t="s">
        <v>28</v>
      </c>
      <c r="P1908" t="s">
        <v>59</v>
      </c>
      <c r="Q1908" s="6">
        <v>1.5607142857142799</v>
      </c>
      <c r="R1908">
        <v>2.67</v>
      </c>
      <c r="S1908">
        <v>12.02</v>
      </c>
      <c r="T1908">
        <v>24.04</v>
      </c>
      <c r="U1908">
        <v>54.36</v>
      </c>
      <c r="V1908">
        <v>37.1</v>
      </c>
      <c r="W1908">
        <v>1.54</v>
      </c>
    </row>
    <row r="1909" spans="1:23" x14ac:dyDescent="0.3">
      <c r="A1909">
        <v>1909</v>
      </c>
      <c r="B1909" t="s">
        <v>1952</v>
      </c>
      <c r="C1909" t="s">
        <v>43</v>
      </c>
      <c r="D1909">
        <v>176</v>
      </c>
      <c r="E1909">
        <v>3835</v>
      </c>
      <c r="F1909" s="3">
        <v>210</v>
      </c>
      <c r="G1909">
        <v>10</v>
      </c>
      <c r="H1909">
        <v>3</v>
      </c>
      <c r="I1909" s="5">
        <v>1.7045454545454499E-2</v>
      </c>
      <c r="J1909" s="3">
        <v>209</v>
      </c>
      <c r="K1909" s="1">
        <v>45601</v>
      </c>
      <c r="L1909" t="s">
        <v>25</v>
      </c>
      <c r="M1909" t="s">
        <v>39</v>
      </c>
      <c r="N1909" t="s">
        <v>32</v>
      </c>
      <c r="O1909" t="s">
        <v>28</v>
      </c>
      <c r="P1909" t="s">
        <v>41</v>
      </c>
      <c r="Q1909" s="6">
        <v>1.19380681818181</v>
      </c>
      <c r="R1909">
        <v>4.59</v>
      </c>
      <c r="S1909">
        <v>21.01</v>
      </c>
      <c r="T1909">
        <v>70.040000000000006</v>
      </c>
      <c r="U1909">
        <v>-0.53</v>
      </c>
      <c r="V1909">
        <v>69.67</v>
      </c>
      <c r="W1909">
        <v>0.99</v>
      </c>
    </row>
    <row r="1910" spans="1:23" x14ac:dyDescent="0.3">
      <c r="A1910">
        <v>1910</v>
      </c>
      <c r="B1910" t="s">
        <v>1953</v>
      </c>
      <c r="C1910" t="s">
        <v>43</v>
      </c>
      <c r="D1910">
        <v>124</v>
      </c>
      <c r="E1910">
        <v>4079</v>
      </c>
      <c r="F1910" s="3">
        <v>244</v>
      </c>
      <c r="G1910">
        <v>23</v>
      </c>
      <c r="H1910">
        <v>6</v>
      </c>
      <c r="I1910" s="5">
        <v>4.8387096774193498E-2</v>
      </c>
      <c r="J1910" s="3">
        <v>390</v>
      </c>
      <c r="K1910" s="1">
        <v>45625</v>
      </c>
      <c r="L1910" t="s">
        <v>25</v>
      </c>
      <c r="M1910" t="s">
        <v>39</v>
      </c>
      <c r="N1910" t="s">
        <v>27</v>
      </c>
      <c r="O1910" t="s">
        <v>28</v>
      </c>
      <c r="P1910" t="s">
        <v>45</v>
      </c>
      <c r="Q1910" s="6">
        <v>1.96612903225806</v>
      </c>
      <c r="R1910">
        <v>3.04</v>
      </c>
      <c r="S1910">
        <v>10.6</v>
      </c>
      <c r="T1910">
        <v>40.630000000000003</v>
      </c>
      <c r="U1910">
        <v>59.97</v>
      </c>
      <c r="V1910">
        <v>65</v>
      </c>
      <c r="W1910">
        <v>1.6</v>
      </c>
    </row>
    <row r="1911" spans="1:23" x14ac:dyDescent="0.3">
      <c r="A1911">
        <v>1911</v>
      </c>
      <c r="B1911" t="s">
        <v>1954</v>
      </c>
      <c r="C1911" t="s">
        <v>43</v>
      </c>
      <c r="D1911">
        <v>182</v>
      </c>
      <c r="E1911">
        <v>4444</v>
      </c>
      <c r="F1911" s="3">
        <v>189</v>
      </c>
      <c r="G1911">
        <v>19</v>
      </c>
      <c r="H1911">
        <v>9</v>
      </c>
      <c r="I1911" s="5">
        <v>4.94505494505494E-2</v>
      </c>
      <c r="J1911" s="3">
        <v>317</v>
      </c>
      <c r="K1911" s="1">
        <v>45621</v>
      </c>
      <c r="L1911" t="s">
        <v>25</v>
      </c>
      <c r="M1911" t="s">
        <v>26</v>
      </c>
      <c r="N1911" t="s">
        <v>32</v>
      </c>
      <c r="O1911" t="s">
        <v>28</v>
      </c>
      <c r="P1911" t="s">
        <v>59</v>
      </c>
      <c r="Q1911" s="6">
        <v>1.0376923076922999</v>
      </c>
      <c r="R1911">
        <v>4.0999999999999996</v>
      </c>
      <c r="S1911">
        <v>9.94</v>
      </c>
      <c r="T1911">
        <v>20.98</v>
      </c>
      <c r="U1911">
        <v>67.849999999999994</v>
      </c>
      <c r="V1911">
        <v>35.22</v>
      </c>
      <c r="W1911">
        <v>1.68</v>
      </c>
    </row>
    <row r="1912" spans="1:23" x14ac:dyDescent="0.3">
      <c r="A1912">
        <v>1912</v>
      </c>
      <c r="B1912" t="s">
        <v>1955</v>
      </c>
      <c r="C1912" t="s">
        <v>38</v>
      </c>
      <c r="D1912">
        <v>84</v>
      </c>
      <c r="E1912">
        <v>3859</v>
      </c>
      <c r="F1912" s="3">
        <v>183</v>
      </c>
      <c r="G1912">
        <v>17</v>
      </c>
      <c r="H1912">
        <v>8</v>
      </c>
      <c r="I1912" s="5">
        <v>9.5238095238095205E-2</v>
      </c>
      <c r="J1912" s="3">
        <v>234</v>
      </c>
      <c r="K1912" s="1">
        <v>45605</v>
      </c>
      <c r="L1912" t="s">
        <v>25</v>
      </c>
      <c r="M1912" t="s">
        <v>31</v>
      </c>
      <c r="N1912" t="s">
        <v>40</v>
      </c>
      <c r="O1912" t="s">
        <v>28</v>
      </c>
      <c r="P1912" t="s">
        <v>29</v>
      </c>
      <c r="Q1912" s="6">
        <v>2.1767857142857099</v>
      </c>
      <c r="R1912">
        <v>2.1800000000000002</v>
      </c>
      <c r="S1912">
        <v>10.76</v>
      </c>
      <c r="T1912">
        <v>22.86</v>
      </c>
      <c r="U1912">
        <v>27.97</v>
      </c>
      <c r="V1912">
        <v>29.25</v>
      </c>
      <c r="W1912">
        <v>1.28</v>
      </c>
    </row>
    <row r="1913" spans="1:23" x14ac:dyDescent="0.3">
      <c r="A1913">
        <v>1913</v>
      </c>
      <c r="B1913" t="s">
        <v>1956</v>
      </c>
      <c r="C1913" t="s">
        <v>24</v>
      </c>
      <c r="D1913">
        <v>192</v>
      </c>
      <c r="E1913">
        <v>3752</v>
      </c>
      <c r="F1913" s="3">
        <v>241</v>
      </c>
      <c r="G1913">
        <v>23</v>
      </c>
      <c r="H1913">
        <v>8</v>
      </c>
      <c r="I1913" s="5">
        <v>4.1666666666666602E-2</v>
      </c>
      <c r="J1913" s="3">
        <v>307</v>
      </c>
      <c r="K1913" s="1">
        <v>45609</v>
      </c>
      <c r="L1913" t="s">
        <v>25</v>
      </c>
      <c r="M1913" t="s">
        <v>26</v>
      </c>
      <c r="N1913" t="s">
        <v>32</v>
      </c>
      <c r="O1913" t="s">
        <v>28</v>
      </c>
      <c r="P1913" t="s">
        <v>33</v>
      </c>
      <c r="Q1913" s="6">
        <v>1.25317708333333</v>
      </c>
      <c r="R1913">
        <v>5.12</v>
      </c>
      <c r="S1913">
        <v>10.46</v>
      </c>
      <c r="T1913">
        <v>30.08</v>
      </c>
      <c r="U1913">
        <v>27.59</v>
      </c>
      <c r="V1913">
        <v>38.380000000000003</v>
      </c>
      <c r="W1913">
        <v>1.28</v>
      </c>
    </row>
    <row r="1914" spans="1:23" x14ac:dyDescent="0.3">
      <c r="A1914">
        <v>1914</v>
      </c>
      <c r="B1914" t="s">
        <v>1957</v>
      </c>
      <c r="C1914" t="s">
        <v>38</v>
      </c>
      <c r="D1914">
        <v>133</v>
      </c>
      <c r="E1914">
        <v>5487</v>
      </c>
      <c r="F1914" s="3">
        <v>243</v>
      </c>
      <c r="G1914">
        <v>22</v>
      </c>
      <c r="H1914">
        <v>7</v>
      </c>
      <c r="I1914" s="5">
        <v>5.2631578947368397E-2</v>
      </c>
      <c r="J1914" s="3">
        <v>216</v>
      </c>
      <c r="K1914" s="1">
        <v>45614</v>
      </c>
      <c r="L1914" t="s">
        <v>25</v>
      </c>
      <c r="M1914" t="s">
        <v>26</v>
      </c>
      <c r="N1914" t="s">
        <v>36</v>
      </c>
      <c r="O1914" t="s">
        <v>28</v>
      </c>
      <c r="P1914" t="s">
        <v>59</v>
      </c>
      <c r="Q1914" s="6">
        <v>1.8304511278195399</v>
      </c>
      <c r="R1914">
        <v>2.42</v>
      </c>
      <c r="S1914">
        <v>11.07</v>
      </c>
      <c r="T1914">
        <v>34.78</v>
      </c>
      <c r="U1914">
        <v>-11.28</v>
      </c>
      <c r="V1914">
        <v>30.86</v>
      </c>
      <c r="W1914">
        <v>0.89</v>
      </c>
    </row>
    <row r="1915" spans="1:23" x14ac:dyDescent="0.3">
      <c r="A1915">
        <v>1915</v>
      </c>
      <c r="B1915" t="s">
        <v>1958</v>
      </c>
      <c r="C1915" t="s">
        <v>43</v>
      </c>
      <c r="D1915">
        <v>81</v>
      </c>
      <c r="E1915">
        <v>4864</v>
      </c>
      <c r="F1915" s="3">
        <v>238</v>
      </c>
      <c r="G1915">
        <v>15</v>
      </c>
      <c r="H1915">
        <v>7</v>
      </c>
      <c r="I1915" s="5">
        <v>8.6419753086419707E-2</v>
      </c>
      <c r="J1915" s="3">
        <v>261</v>
      </c>
      <c r="K1915" s="1">
        <v>45597</v>
      </c>
      <c r="L1915" t="s">
        <v>25</v>
      </c>
      <c r="M1915" t="s">
        <v>26</v>
      </c>
      <c r="N1915" t="s">
        <v>49</v>
      </c>
      <c r="O1915" t="s">
        <v>28</v>
      </c>
      <c r="P1915" t="s">
        <v>45</v>
      </c>
      <c r="Q1915" s="6">
        <v>2.9416049382715999</v>
      </c>
      <c r="R1915">
        <v>1.67</v>
      </c>
      <c r="S1915">
        <v>15.88</v>
      </c>
      <c r="T1915">
        <v>34.04</v>
      </c>
      <c r="U1915">
        <v>9.5399999999999991</v>
      </c>
      <c r="V1915">
        <v>37.29</v>
      </c>
      <c r="W1915">
        <v>1.1000000000000001</v>
      </c>
    </row>
    <row r="1916" spans="1:23" x14ac:dyDescent="0.3">
      <c r="A1916">
        <v>1916</v>
      </c>
      <c r="B1916" t="s">
        <v>1959</v>
      </c>
      <c r="C1916" t="s">
        <v>43</v>
      </c>
      <c r="D1916">
        <v>196</v>
      </c>
      <c r="E1916">
        <v>3834</v>
      </c>
      <c r="F1916" s="3">
        <v>216</v>
      </c>
      <c r="G1916">
        <v>10</v>
      </c>
      <c r="H1916">
        <v>3</v>
      </c>
      <c r="I1916" s="5">
        <v>1.53061224489795E-2</v>
      </c>
      <c r="J1916" s="3">
        <v>352</v>
      </c>
      <c r="K1916" s="1">
        <v>45599</v>
      </c>
      <c r="L1916" t="s">
        <v>25</v>
      </c>
      <c r="M1916" t="s">
        <v>31</v>
      </c>
      <c r="N1916" t="s">
        <v>36</v>
      </c>
      <c r="O1916" t="s">
        <v>28</v>
      </c>
      <c r="P1916" t="s">
        <v>50</v>
      </c>
      <c r="Q1916" s="6">
        <v>1.1031632653061201</v>
      </c>
      <c r="R1916">
        <v>5.1100000000000003</v>
      </c>
      <c r="S1916">
        <v>21.62</v>
      </c>
      <c r="T1916">
        <v>72.069999999999993</v>
      </c>
      <c r="U1916">
        <v>62.8</v>
      </c>
      <c r="V1916">
        <v>117.33</v>
      </c>
      <c r="W1916">
        <v>1.63</v>
      </c>
    </row>
    <row r="1917" spans="1:23" x14ac:dyDescent="0.3">
      <c r="A1917">
        <v>1917</v>
      </c>
      <c r="B1917" t="s">
        <v>1960</v>
      </c>
      <c r="C1917" t="s">
        <v>24</v>
      </c>
      <c r="D1917">
        <v>103</v>
      </c>
      <c r="E1917">
        <v>5859</v>
      </c>
      <c r="F1917" s="3">
        <v>211</v>
      </c>
      <c r="G1917">
        <v>15</v>
      </c>
      <c r="H1917">
        <v>7</v>
      </c>
      <c r="I1917" s="5">
        <v>6.7961165048543604E-2</v>
      </c>
      <c r="J1917" s="3">
        <v>220</v>
      </c>
      <c r="K1917" s="1">
        <v>45611</v>
      </c>
      <c r="L1917" t="s">
        <v>25</v>
      </c>
      <c r="M1917" t="s">
        <v>31</v>
      </c>
      <c r="N1917" t="s">
        <v>44</v>
      </c>
      <c r="O1917" t="s">
        <v>28</v>
      </c>
      <c r="P1917" t="s">
        <v>45</v>
      </c>
      <c r="Q1917" s="6">
        <v>2.0471844660194098</v>
      </c>
      <c r="R1917">
        <v>1.76</v>
      </c>
      <c r="S1917">
        <v>14.06</v>
      </c>
      <c r="T1917">
        <v>30.12</v>
      </c>
      <c r="U1917">
        <v>4.33</v>
      </c>
      <c r="V1917">
        <v>31.43</v>
      </c>
      <c r="W1917">
        <v>1.04</v>
      </c>
    </row>
    <row r="1918" spans="1:23" x14ac:dyDescent="0.3">
      <c r="A1918">
        <v>1918</v>
      </c>
      <c r="B1918" t="s">
        <v>1961</v>
      </c>
      <c r="C1918" t="s">
        <v>24</v>
      </c>
      <c r="D1918">
        <v>107</v>
      </c>
      <c r="E1918">
        <v>4428</v>
      </c>
      <c r="F1918" s="3">
        <v>187</v>
      </c>
      <c r="G1918">
        <v>28</v>
      </c>
      <c r="H1918">
        <v>8</v>
      </c>
      <c r="I1918" s="5">
        <v>7.4766355140186896E-2</v>
      </c>
      <c r="J1918" s="3">
        <v>360</v>
      </c>
      <c r="K1918" s="1">
        <v>45622</v>
      </c>
      <c r="L1918" t="s">
        <v>25</v>
      </c>
      <c r="M1918" t="s">
        <v>39</v>
      </c>
      <c r="N1918" t="s">
        <v>32</v>
      </c>
      <c r="O1918" t="s">
        <v>28</v>
      </c>
      <c r="P1918" t="s">
        <v>41</v>
      </c>
      <c r="Q1918" s="6">
        <v>1.74841121495327</v>
      </c>
      <c r="R1918">
        <v>2.42</v>
      </c>
      <c r="S1918">
        <v>6.68</v>
      </c>
      <c r="T1918">
        <v>23.38</v>
      </c>
      <c r="U1918">
        <v>92.43</v>
      </c>
      <c r="V1918">
        <v>45</v>
      </c>
      <c r="W1918">
        <v>1.92</v>
      </c>
    </row>
    <row r="1919" spans="1:23" x14ac:dyDescent="0.3">
      <c r="A1919">
        <v>1919</v>
      </c>
      <c r="B1919" t="s">
        <v>1962</v>
      </c>
      <c r="C1919" t="s">
        <v>35</v>
      </c>
      <c r="D1919">
        <v>199</v>
      </c>
      <c r="E1919">
        <v>5649</v>
      </c>
      <c r="F1919" s="3">
        <v>224</v>
      </c>
      <c r="G1919">
        <v>11</v>
      </c>
      <c r="H1919">
        <v>4</v>
      </c>
      <c r="I1919" s="5">
        <v>2.01005025125628E-2</v>
      </c>
      <c r="J1919" s="3">
        <v>219</v>
      </c>
      <c r="K1919" s="1">
        <v>45618</v>
      </c>
      <c r="L1919" t="s">
        <v>25</v>
      </c>
      <c r="M1919" t="s">
        <v>26</v>
      </c>
      <c r="N1919" t="s">
        <v>32</v>
      </c>
      <c r="O1919" t="s">
        <v>28</v>
      </c>
      <c r="P1919" t="s">
        <v>45</v>
      </c>
      <c r="Q1919" s="6">
        <v>1.1237185929648199</v>
      </c>
      <c r="R1919">
        <v>3.52</v>
      </c>
      <c r="S1919">
        <v>20.329999999999998</v>
      </c>
      <c r="T1919">
        <v>55.9</v>
      </c>
      <c r="U1919">
        <v>-2.0699999999999998</v>
      </c>
      <c r="V1919">
        <v>54.75</v>
      </c>
      <c r="W1919">
        <v>0.98</v>
      </c>
    </row>
    <row r="1920" spans="1:23" x14ac:dyDescent="0.3">
      <c r="A1920">
        <v>1920</v>
      </c>
      <c r="B1920" t="s">
        <v>1963</v>
      </c>
      <c r="C1920" t="s">
        <v>38</v>
      </c>
      <c r="D1920">
        <v>133</v>
      </c>
      <c r="E1920">
        <v>4116</v>
      </c>
      <c r="F1920" s="3">
        <v>248</v>
      </c>
      <c r="G1920">
        <v>14</v>
      </c>
      <c r="H1920">
        <v>3</v>
      </c>
      <c r="I1920" s="5">
        <v>2.2556390977443601E-2</v>
      </c>
      <c r="J1920" s="3">
        <v>237</v>
      </c>
      <c r="K1920" s="1">
        <v>45616</v>
      </c>
      <c r="L1920" t="s">
        <v>25</v>
      </c>
      <c r="M1920" t="s">
        <v>31</v>
      </c>
      <c r="N1920" t="s">
        <v>32</v>
      </c>
      <c r="O1920" t="s">
        <v>28</v>
      </c>
      <c r="P1920" t="s">
        <v>33</v>
      </c>
      <c r="Q1920" s="6">
        <v>1.86661654135338</v>
      </c>
      <c r="R1920">
        <v>3.23</v>
      </c>
      <c r="S1920">
        <v>17.73</v>
      </c>
      <c r="T1920">
        <v>82.75</v>
      </c>
      <c r="U1920">
        <v>-4.54</v>
      </c>
      <c r="V1920">
        <v>79</v>
      </c>
      <c r="W1920">
        <v>0.95</v>
      </c>
    </row>
    <row r="1921" spans="1:23" x14ac:dyDescent="0.3">
      <c r="A1921">
        <v>1921</v>
      </c>
      <c r="B1921" t="s">
        <v>1964</v>
      </c>
      <c r="C1921" t="s">
        <v>24</v>
      </c>
      <c r="D1921">
        <v>192</v>
      </c>
      <c r="E1921">
        <v>5026</v>
      </c>
      <c r="F1921" s="3">
        <v>210</v>
      </c>
      <c r="G1921">
        <v>25</v>
      </c>
      <c r="H1921">
        <v>9</v>
      </c>
      <c r="I1921" s="5">
        <v>4.6875E-2</v>
      </c>
      <c r="J1921" s="3">
        <v>404</v>
      </c>
      <c r="K1921" s="1">
        <v>45626</v>
      </c>
      <c r="L1921" t="s">
        <v>25</v>
      </c>
      <c r="M1921" t="s">
        <v>39</v>
      </c>
      <c r="N1921" t="s">
        <v>32</v>
      </c>
      <c r="O1921" t="s">
        <v>28</v>
      </c>
      <c r="P1921" t="s">
        <v>29</v>
      </c>
      <c r="Q1921" s="6">
        <v>1.0931770833333301</v>
      </c>
      <c r="R1921">
        <v>3.82</v>
      </c>
      <c r="S1921">
        <v>8.4</v>
      </c>
      <c r="T1921">
        <v>23.32</v>
      </c>
      <c r="U1921">
        <v>92.48</v>
      </c>
      <c r="V1921">
        <v>44.89</v>
      </c>
      <c r="W1921">
        <v>1.92</v>
      </c>
    </row>
    <row r="1922" spans="1:23" x14ac:dyDescent="0.3">
      <c r="A1922">
        <v>1922</v>
      </c>
      <c r="B1922" t="s">
        <v>1965</v>
      </c>
      <c r="C1922" t="s">
        <v>43</v>
      </c>
      <c r="D1922">
        <v>189</v>
      </c>
      <c r="E1922">
        <v>4969</v>
      </c>
      <c r="F1922" s="3">
        <v>245</v>
      </c>
      <c r="G1922">
        <v>11</v>
      </c>
      <c r="H1922">
        <v>9</v>
      </c>
      <c r="I1922" s="5">
        <v>4.7619047619047603E-2</v>
      </c>
      <c r="J1922" s="3">
        <v>407</v>
      </c>
      <c r="K1922" s="1">
        <v>45601</v>
      </c>
      <c r="L1922" t="s">
        <v>25</v>
      </c>
      <c r="M1922" t="s">
        <v>39</v>
      </c>
      <c r="N1922" t="s">
        <v>44</v>
      </c>
      <c r="O1922" t="s">
        <v>28</v>
      </c>
      <c r="P1922" t="s">
        <v>41</v>
      </c>
      <c r="Q1922" s="6">
        <v>1.29682539682539</v>
      </c>
      <c r="R1922">
        <v>3.8</v>
      </c>
      <c r="S1922">
        <v>22.28</v>
      </c>
      <c r="T1922">
        <v>27.23</v>
      </c>
      <c r="U1922">
        <v>66.05</v>
      </c>
      <c r="V1922">
        <v>45.22</v>
      </c>
      <c r="W1922">
        <v>1.66</v>
      </c>
    </row>
    <row r="1923" spans="1:23" x14ac:dyDescent="0.3">
      <c r="A1923">
        <v>1923</v>
      </c>
      <c r="B1923" t="s">
        <v>1966</v>
      </c>
      <c r="C1923" t="s">
        <v>38</v>
      </c>
      <c r="D1923">
        <v>197</v>
      </c>
      <c r="E1923">
        <v>4441</v>
      </c>
      <c r="F1923" s="3">
        <v>221</v>
      </c>
      <c r="G1923">
        <v>26</v>
      </c>
      <c r="H1923">
        <v>6</v>
      </c>
      <c r="I1923" s="5">
        <v>3.0456852791878101E-2</v>
      </c>
      <c r="J1923" s="3">
        <v>280.28571428571399</v>
      </c>
      <c r="K1923" s="1">
        <v>45612</v>
      </c>
      <c r="L1923" t="s">
        <v>25</v>
      </c>
      <c r="M1923" t="s">
        <v>26</v>
      </c>
      <c r="N1923" t="s">
        <v>44</v>
      </c>
      <c r="O1923" t="s">
        <v>28</v>
      </c>
      <c r="P1923" t="s">
        <v>29</v>
      </c>
      <c r="Q1923" s="6">
        <v>1.1210152284263899</v>
      </c>
      <c r="R1923">
        <v>4.4400000000000004</v>
      </c>
      <c r="S1923">
        <v>8.49</v>
      </c>
      <c r="T1923">
        <v>36.81</v>
      </c>
      <c r="U1923">
        <v>26.92</v>
      </c>
      <c r="V1923">
        <v>46.71</v>
      </c>
      <c r="W1923">
        <v>1.27</v>
      </c>
    </row>
    <row r="1924" spans="1:23" x14ac:dyDescent="0.3">
      <c r="A1924">
        <v>1924</v>
      </c>
      <c r="B1924" t="s">
        <v>1967</v>
      </c>
      <c r="C1924" t="s">
        <v>38</v>
      </c>
      <c r="D1924">
        <v>142</v>
      </c>
      <c r="E1924">
        <v>4854</v>
      </c>
      <c r="F1924" s="3">
        <v>221</v>
      </c>
      <c r="G1924">
        <v>25</v>
      </c>
      <c r="H1924">
        <v>9</v>
      </c>
      <c r="I1924" s="5">
        <v>6.3380281690140802E-2</v>
      </c>
      <c r="J1924" s="3">
        <v>386</v>
      </c>
      <c r="K1924" s="1">
        <v>45597</v>
      </c>
      <c r="L1924" t="s">
        <v>25</v>
      </c>
      <c r="M1924" t="s">
        <v>26</v>
      </c>
      <c r="N1924" t="s">
        <v>36</v>
      </c>
      <c r="O1924" t="s">
        <v>28</v>
      </c>
      <c r="P1924" t="s">
        <v>45</v>
      </c>
      <c r="Q1924" s="6">
        <v>1.5544366197182999</v>
      </c>
      <c r="R1924">
        <v>2.93</v>
      </c>
      <c r="S1924">
        <v>8.83</v>
      </c>
      <c r="T1924">
        <v>24.53</v>
      </c>
      <c r="U1924">
        <v>74.87</v>
      </c>
      <c r="V1924">
        <v>42.89</v>
      </c>
      <c r="W1924">
        <v>1.75</v>
      </c>
    </row>
    <row r="1925" spans="1:23" x14ac:dyDescent="0.3">
      <c r="A1925">
        <v>1925</v>
      </c>
      <c r="B1925" t="s">
        <v>1968</v>
      </c>
      <c r="C1925" t="s">
        <v>35</v>
      </c>
      <c r="D1925">
        <v>122</v>
      </c>
      <c r="E1925">
        <v>4010</v>
      </c>
      <c r="F1925" s="3">
        <v>238</v>
      </c>
      <c r="G1925">
        <v>12</v>
      </c>
      <c r="H1925">
        <v>3</v>
      </c>
      <c r="I1925" s="5">
        <v>2.4590163934426201E-2</v>
      </c>
      <c r="J1925" s="3">
        <v>387</v>
      </c>
      <c r="K1925" s="1">
        <v>45601</v>
      </c>
      <c r="L1925" t="s">
        <v>25</v>
      </c>
      <c r="M1925" t="s">
        <v>39</v>
      </c>
      <c r="N1925" t="s">
        <v>49</v>
      </c>
      <c r="O1925" t="s">
        <v>28</v>
      </c>
      <c r="P1925" t="s">
        <v>41</v>
      </c>
      <c r="Q1925" s="6">
        <v>1.9533606557376999</v>
      </c>
      <c r="R1925">
        <v>3.04</v>
      </c>
      <c r="S1925">
        <v>19.86</v>
      </c>
      <c r="T1925">
        <v>79.44</v>
      </c>
      <c r="U1925">
        <v>62.39</v>
      </c>
      <c r="V1925">
        <v>129</v>
      </c>
      <c r="W1925">
        <v>1.62</v>
      </c>
    </row>
    <row r="1926" spans="1:23" x14ac:dyDescent="0.3">
      <c r="A1926">
        <v>1926</v>
      </c>
      <c r="B1926" t="s">
        <v>1969</v>
      </c>
      <c r="C1926" t="s">
        <v>35</v>
      </c>
      <c r="D1926">
        <v>134</v>
      </c>
      <c r="E1926">
        <v>4790</v>
      </c>
      <c r="F1926" s="3">
        <v>182</v>
      </c>
      <c r="G1926">
        <v>19</v>
      </c>
      <c r="H1926">
        <v>5</v>
      </c>
      <c r="I1926" s="5">
        <v>3.7313432835820802E-2</v>
      </c>
      <c r="J1926" s="3">
        <v>221</v>
      </c>
      <c r="K1926" s="1">
        <v>45621</v>
      </c>
      <c r="L1926" t="s">
        <v>25</v>
      </c>
      <c r="M1926" t="s">
        <v>26</v>
      </c>
      <c r="N1926" t="s">
        <v>49</v>
      </c>
      <c r="O1926" t="s">
        <v>28</v>
      </c>
      <c r="P1926" t="s">
        <v>59</v>
      </c>
      <c r="Q1926" s="6">
        <v>1.3618656716417901</v>
      </c>
      <c r="R1926">
        <v>2.8</v>
      </c>
      <c r="S1926">
        <v>9.6</v>
      </c>
      <c r="T1926">
        <v>36.5</v>
      </c>
      <c r="U1926">
        <v>21.1</v>
      </c>
      <c r="V1926">
        <v>44.2</v>
      </c>
      <c r="W1926">
        <v>1.21</v>
      </c>
    </row>
    <row r="1927" spans="1:23" x14ac:dyDescent="0.3">
      <c r="A1927">
        <v>1927</v>
      </c>
      <c r="B1927" t="s">
        <v>1970</v>
      </c>
      <c r="C1927" t="s">
        <v>43</v>
      </c>
      <c r="D1927">
        <v>198</v>
      </c>
      <c r="E1927">
        <v>4953</v>
      </c>
      <c r="F1927" s="3">
        <v>202</v>
      </c>
      <c r="G1927">
        <v>22</v>
      </c>
      <c r="H1927">
        <v>8</v>
      </c>
      <c r="I1927" s="5">
        <v>4.0404040404040401E-2</v>
      </c>
      <c r="J1927" s="3">
        <v>350</v>
      </c>
      <c r="K1927" s="1">
        <v>45625</v>
      </c>
      <c r="L1927" t="s">
        <v>25</v>
      </c>
      <c r="M1927" t="s">
        <v>31</v>
      </c>
      <c r="N1927" t="s">
        <v>40</v>
      </c>
      <c r="O1927" t="s">
        <v>28</v>
      </c>
      <c r="P1927" t="s">
        <v>45</v>
      </c>
      <c r="Q1927" s="6">
        <v>1.01868686868686</v>
      </c>
      <c r="R1927">
        <v>4</v>
      </c>
      <c r="S1927">
        <v>9.17</v>
      </c>
      <c r="T1927">
        <v>25.21</v>
      </c>
      <c r="U1927">
        <v>73.53</v>
      </c>
      <c r="V1927">
        <v>43.75</v>
      </c>
      <c r="W1927">
        <v>1.74</v>
      </c>
    </row>
    <row r="1928" spans="1:23" x14ac:dyDescent="0.3">
      <c r="A1928">
        <v>1928</v>
      </c>
      <c r="B1928" t="s">
        <v>1971</v>
      </c>
      <c r="C1928" t="s">
        <v>24</v>
      </c>
      <c r="D1928">
        <v>142</v>
      </c>
      <c r="E1928">
        <v>4818</v>
      </c>
      <c r="F1928" s="3">
        <v>234</v>
      </c>
      <c r="G1928">
        <v>24</v>
      </c>
      <c r="H1928">
        <v>5</v>
      </c>
      <c r="I1928" s="5">
        <v>3.5211267605633798E-2</v>
      </c>
      <c r="J1928" s="3">
        <v>321</v>
      </c>
      <c r="K1928" s="1">
        <v>45599</v>
      </c>
      <c r="L1928" t="s">
        <v>25</v>
      </c>
      <c r="M1928" t="s">
        <v>26</v>
      </c>
      <c r="N1928" t="s">
        <v>49</v>
      </c>
      <c r="O1928" t="s">
        <v>28</v>
      </c>
      <c r="P1928" t="s">
        <v>50</v>
      </c>
      <c r="Q1928" s="6">
        <v>1.6460563380281601</v>
      </c>
      <c r="R1928">
        <v>2.95</v>
      </c>
      <c r="S1928">
        <v>9.74</v>
      </c>
      <c r="T1928">
        <v>46.75</v>
      </c>
      <c r="U1928">
        <v>37.33</v>
      </c>
      <c r="V1928">
        <v>64.2</v>
      </c>
      <c r="W1928">
        <v>1.37</v>
      </c>
    </row>
    <row r="1929" spans="1:23" x14ac:dyDescent="0.3">
      <c r="A1929">
        <v>1929</v>
      </c>
      <c r="B1929" t="s">
        <v>1972</v>
      </c>
      <c r="C1929" t="s">
        <v>24</v>
      </c>
      <c r="D1929">
        <v>91</v>
      </c>
      <c r="E1929">
        <v>4394</v>
      </c>
      <c r="F1929" s="3">
        <v>141</v>
      </c>
      <c r="G1929">
        <v>21</v>
      </c>
      <c r="H1929">
        <v>4</v>
      </c>
      <c r="I1929" s="5">
        <v>4.3956043956043897E-2</v>
      </c>
      <c r="J1929" s="3">
        <v>393</v>
      </c>
      <c r="K1929" s="1">
        <v>45611</v>
      </c>
      <c r="L1929" t="s">
        <v>25</v>
      </c>
      <c r="M1929" t="s">
        <v>39</v>
      </c>
      <c r="N1929" t="s">
        <v>44</v>
      </c>
      <c r="O1929" t="s">
        <v>28</v>
      </c>
      <c r="P1929" t="s">
        <v>45</v>
      </c>
      <c r="Q1929" s="6">
        <v>1.5454545454545401</v>
      </c>
      <c r="R1929">
        <v>2.0699999999999998</v>
      </c>
      <c r="S1929">
        <v>6.7</v>
      </c>
      <c r="T1929">
        <v>35.159999999999997</v>
      </c>
      <c r="U1929">
        <v>179.44</v>
      </c>
      <c r="V1929">
        <v>98.25</v>
      </c>
      <c r="W1929">
        <v>2.79</v>
      </c>
    </row>
    <row r="1930" spans="1:23" x14ac:dyDescent="0.3">
      <c r="A1930">
        <v>1930</v>
      </c>
      <c r="B1930" t="s">
        <v>1973</v>
      </c>
      <c r="C1930" t="s">
        <v>35</v>
      </c>
      <c r="D1930">
        <v>81</v>
      </c>
      <c r="E1930">
        <v>3855</v>
      </c>
      <c r="F1930" s="3">
        <v>186</v>
      </c>
      <c r="G1930">
        <v>21</v>
      </c>
      <c r="H1930">
        <v>9</v>
      </c>
      <c r="I1930" s="5">
        <v>0.11111111111111099</v>
      </c>
      <c r="J1930" s="3">
        <v>267</v>
      </c>
      <c r="K1930" s="1">
        <v>45610</v>
      </c>
      <c r="L1930" t="s">
        <v>25</v>
      </c>
      <c r="M1930" t="s">
        <v>26</v>
      </c>
      <c r="N1930" t="s">
        <v>27</v>
      </c>
      <c r="O1930" t="s">
        <v>28</v>
      </c>
      <c r="P1930" t="s">
        <v>54</v>
      </c>
      <c r="Q1930" s="6">
        <v>2.29246913580246</v>
      </c>
      <c r="R1930">
        <v>2.1</v>
      </c>
      <c r="S1930">
        <v>8.84</v>
      </c>
      <c r="T1930">
        <v>20.63</v>
      </c>
      <c r="U1930">
        <v>43.79</v>
      </c>
      <c r="V1930">
        <v>29.67</v>
      </c>
      <c r="W1930">
        <v>1.44</v>
      </c>
    </row>
    <row r="1931" spans="1:23" x14ac:dyDescent="0.3">
      <c r="A1931">
        <v>1931</v>
      </c>
      <c r="B1931" t="s">
        <v>1974</v>
      </c>
      <c r="C1931" t="s">
        <v>38</v>
      </c>
      <c r="D1931">
        <v>160</v>
      </c>
      <c r="E1931">
        <v>3781</v>
      </c>
      <c r="F1931" s="3">
        <v>242</v>
      </c>
      <c r="G1931">
        <v>23</v>
      </c>
      <c r="H1931">
        <v>3</v>
      </c>
      <c r="I1931" s="5">
        <v>1.8749999999999999E-2</v>
      </c>
      <c r="J1931" s="3">
        <v>362</v>
      </c>
      <c r="K1931" s="1">
        <v>45601</v>
      </c>
      <c r="L1931" t="s">
        <v>25</v>
      </c>
      <c r="M1931" t="s">
        <v>39</v>
      </c>
      <c r="N1931" t="s">
        <v>36</v>
      </c>
      <c r="O1931" t="s">
        <v>28</v>
      </c>
      <c r="P1931" t="s">
        <v>41</v>
      </c>
      <c r="Q1931" s="6">
        <v>1.5124375000000001</v>
      </c>
      <c r="R1931">
        <v>4.2300000000000004</v>
      </c>
      <c r="S1931">
        <v>10.52</v>
      </c>
      <c r="T1931">
        <v>80.66</v>
      </c>
      <c r="U1931">
        <v>49.59</v>
      </c>
      <c r="V1931">
        <v>120.67</v>
      </c>
      <c r="W1931">
        <v>1.5</v>
      </c>
    </row>
    <row r="1932" spans="1:23" x14ac:dyDescent="0.3">
      <c r="A1932">
        <v>1932</v>
      </c>
      <c r="B1932" t="s">
        <v>1975</v>
      </c>
      <c r="C1932" t="s">
        <v>24</v>
      </c>
      <c r="D1932">
        <v>106</v>
      </c>
      <c r="E1932">
        <v>3309</v>
      </c>
      <c r="F1932" s="3">
        <v>217</v>
      </c>
      <c r="G1932">
        <v>25</v>
      </c>
      <c r="H1932">
        <v>4</v>
      </c>
      <c r="I1932" s="5">
        <v>3.7735849056603703E-2</v>
      </c>
      <c r="J1932" s="3">
        <v>308</v>
      </c>
      <c r="K1932" s="1">
        <v>45599</v>
      </c>
      <c r="L1932" t="s">
        <v>25</v>
      </c>
      <c r="M1932" t="s">
        <v>39</v>
      </c>
      <c r="N1932" t="s">
        <v>32</v>
      </c>
      <c r="O1932" t="s">
        <v>28</v>
      </c>
      <c r="P1932" t="s">
        <v>50</v>
      </c>
      <c r="Q1932" s="6">
        <v>2.0490566037735798</v>
      </c>
      <c r="R1932">
        <v>3.2</v>
      </c>
      <c r="S1932">
        <v>8.69</v>
      </c>
      <c r="T1932">
        <v>54.3</v>
      </c>
      <c r="U1932">
        <v>41.8</v>
      </c>
      <c r="V1932">
        <v>77</v>
      </c>
      <c r="W1932">
        <v>1.42</v>
      </c>
    </row>
    <row r="1933" spans="1:23" x14ac:dyDescent="0.3">
      <c r="A1933">
        <v>1933</v>
      </c>
      <c r="B1933" t="s">
        <v>1976</v>
      </c>
      <c r="C1933" t="s">
        <v>24</v>
      </c>
      <c r="D1933">
        <v>148</v>
      </c>
      <c r="E1933">
        <v>4930</v>
      </c>
      <c r="F1933" s="3">
        <v>211</v>
      </c>
      <c r="G1933">
        <v>24</v>
      </c>
      <c r="H1933">
        <v>6</v>
      </c>
      <c r="I1933" s="5">
        <v>4.0540540540540501E-2</v>
      </c>
      <c r="J1933" s="3">
        <v>281</v>
      </c>
      <c r="K1933" s="1">
        <v>45615</v>
      </c>
      <c r="L1933" t="s">
        <v>25</v>
      </c>
      <c r="M1933" t="s">
        <v>31</v>
      </c>
      <c r="N1933" t="s">
        <v>40</v>
      </c>
      <c r="O1933" t="s">
        <v>28</v>
      </c>
      <c r="P1933" t="s">
        <v>41</v>
      </c>
      <c r="Q1933" s="6">
        <v>1.42574324324324</v>
      </c>
      <c r="R1933">
        <v>3</v>
      </c>
      <c r="S1933">
        <v>8.7899999999999991</v>
      </c>
      <c r="T1933">
        <v>35.17</v>
      </c>
      <c r="U1933">
        <v>33.17</v>
      </c>
      <c r="V1933">
        <v>46.83</v>
      </c>
      <c r="W1933">
        <v>1.33</v>
      </c>
    </row>
    <row r="1934" spans="1:23" x14ac:dyDescent="0.3">
      <c r="A1934">
        <v>1934</v>
      </c>
      <c r="B1934" t="s">
        <v>1977</v>
      </c>
      <c r="C1934" t="s">
        <v>24</v>
      </c>
      <c r="D1934">
        <v>83</v>
      </c>
      <c r="E1934">
        <v>4830</v>
      </c>
      <c r="F1934" s="3">
        <v>185</v>
      </c>
      <c r="G1934">
        <v>12</v>
      </c>
      <c r="H1934">
        <v>10</v>
      </c>
      <c r="I1934" s="5">
        <v>0.120481927710843</v>
      </c>
      <c r="J1934" s="3">
        <v>212</v>
      </c>
      <c r="K1934" s="1">
        <v>45597</v>
      </c>
      <c r="L1934" t="s">
        <v>25</v>
      </c>
      <c r="M1934" t="s">
        <v>26</v>
      </c>
      <c r="N1934" t="s">
        <v>27</v>
      </c>
      <c r="O1934" t="s">
        <v>28</v>
      </c>
      <c r="P1934" t="s">
        <v>45</v>
      </c>
      <c r="Q1934" s="6">
        <v>2.2286746987951802</v>
      </c>
      <c r="R1934">
        <v>1.72</v>
      </c>
      <c r="S1934">
        <v>15.42</v>
      </c>
      <c r="T1934">
        <v>18.5</v>
      </c>
      <c r="U1934">
        <v>14.61</v>
      </c>
      <c r="V1934">
        <v>21.2</v>
      </c>
      <c r="W1934">
        <v>1.1499999999999999</v>
      </c>
    </row>
    <row r="1935" spans="1:23" x14ac:dyDescent="0.3">
      <c r="A1935">
        <v>1935</v>
      </c>
      <c r="B1935" t="s">
        <v>1978</v>
      </c>
      <c r="C1935" t="s">
        <v>43</v>
      </c>
      <c r="D1935">
        <v>89</v>
      </c>
      <c r="E1935">
        <v>5422</v>
      </c>
      <c r="F1935" s="3">
        <v>200</v>
      </c>
      <c r="G1935">
        <v>12</v>
      </c>
      <c r="H1935">
        <v>6</v>
      </c>
      <c r="I1935" s="5">
        <v>6.7415730337078594E-2</v>
      </c>
      <c r="J1935" s="3">
        <v>388</v>
      </c>
      <c r="K1935" s="1">
        <v>45605</v>
      </c>
      <c r="L1935" t="s">
        <v>25</v>
      </c>
      <c r="M1935" t="s">
        <v>26</v>
      </c>
      <c r="N1935" t="s">
        <v>40</v>
      </c>
      <c r="O1935" t="s">
        <v>28</v>
      </c>
      <c r="P1935" t="s">
        <v>29</v>
      </c>
      <c r="Q1935" s="6">
        <v>2.2461797752808899</v>
      </c>
      <c r="R1935">
        <v>1.64</v>
      </c>
      <c r="S1935">
        <v>16.66</v>
      </c>
      <c r="T1935">
        <v>33.32</v>
      </c>
      <c r="U1935">
        <v>94.09</v>
      </c>
      <c r="V1935">
        <v>64.67</v>
      </c>
      <c r="W1935">
        <v>1.94</v>
      </c>
    </row>
    <row r="1936" spans="1:23" x14ac:dyDescent="0.3">
      <c r="A1936">
        <v>1936</v>
      </c>
      <c r="B1936" t="s">
        <v>1979</v>
      </c>
      <c r="C1936" t="s">
        <v>38</v>
      </c>
      <c r="D1936">
        <v>123</v>
      </c>
      <c r="E1936">
        <v>4658</v>
      </c>
      <c r="F1936" s="3">
        <v>212</v>
      </c>
      <c r="G1936">
        <v>30</v>
      </c>
      <c r="H1936">
        <v>3</v>
      </c>
      <c r="I1936" s="5">
        <v>2.4390243902439001E-2</v>
      </c>
      <c r="J1936" s="3">
        <v>245</v>
      </c>
      <c r="K1936" s="1">
        <v>45611</v>
      </c>
      <c r="L1936" t="s">
        <v>25</v>
      </c>
      <c r="M1936" t="s">
        <v>26</v>
      </c>
      <c r="N1936" t="s">
        <v>44</v>
      </c>
      <c r="O1936" t="s">
        <v>28</v>
      </c>
      <c r="P1936" t="s">
        <v>45</v>
      </c>
      <c r="Q1936" s="6">
        <v>1.72162601626016</v>
      </c>
      <c r="R1936">
        <v>2.64</v>
      </c>
      <c r="S1936">
        <v>7.06</v>
      </c>
      <c r="T1936">
        <v>70.59</v>
      </c>
      <c r="U1936">
        <v>15.7</v>
      </c>
      <c r="V1936">
        <v>81.67</v>
      </c>
      <c r="W1936">
        <v>1.1599999999999999</v>
      </c>
    </row>
    <row r="1937" spans="1:23" x14ac:dyDescent="0.3">
      <c r="A1937">
        <v>1937</v>
      </c>
      <c r="B1937" t="s">
        <v>1980</v>
      </c>
      <c r="C1937" t="s">
        <v>43</v>
      </c>
      <c r="D1937">
        <v>103</v>
      </c>
      <c r="E1937">
        <v>3249</v>
      </c>
      <c r="F1937" s="3">
        <v>233</v>
      </c>
      <c r="G1937">
        <v>13</v>
      </c>
      <c r="H1937">
        <v>4</v>
      </c>
      <c r="I1937" s="5">
        <v>3.88349514563106E-2</v>
      </c>
      <c r="J1937" s="3">
        <v>285</v>
      </c>
      <c r="K1937" s="1">
        <v>45600</v>
      </c>
      <c r="L1937" t="s">
        <v>25</v>
      </c>
      <c r="M1937" t="s">
        <v>26</v>
      </c>
      <c r="N1937" t="s">
        <v>32</v>
      </c>
      <c r="O1937" t="s">
        <v>28</v>
      </c>
      <c r="P1937" t="s">
        <v>59</v>
      </c>
      <c r="Q1937" s="6">
        <v>2.2606796116504801</v>
      </c>
      <c r="R1937">
        <v>3.17</v>
      </c>
      <c r="S1937">
        <v>17.91</v>
      </c>
      <c r="T1937">
        <v>58.21</v>
      </c>
      <c r="U1937">
        <v>22.4</v>
      </c>
      <c r="V1937">
        <v>71.25</v>
      </c>
      <c r="W1937">
        <v>1.22</v>
      </c>
    </row>
    <row r="1938" spans="1:23" x14ac:dyDescent="0.3">
      <c r="A1938">
        <v>1938</v>
      </c>
      <c r="B1938" t="s">
        <v>1981</v>
      </c>
      <c r="C1938" t="s">
        <v>43</v>
      </c>
      <c r="D1938">
        <v>130</v>
      </c>
      <c r="E1938">
        <v>4393</v>
      </c>
      <c r="F1938" s="3">
        <v>199</v>
      </c>
      <c r="G1938">
        <v>19</v>
      </c>
      <c r="H1938">
        <v>7</v>
      </c>
      <c r="I1938" s="5">
        <v>5.3846153846153801E-2</v>
      </c>
      <c r="J1938" s="3">
        <v>252</v>
      </c>
      <c r="K1938" s="1">
        <v>45607</v>
      </c>
      <c r="L1938" t="s">
        <v>25</v>
      </c>
      <c r="M1938" t="s">
        <v>26</v>
      </c>
      <c r="N1938" t="s">
        <v>36</v>
      </c>
      <c r="O1938" t="s">
        <v>28</v>
      </c>
      <c r="P1938" t="s">
        <v>59</v>
      </c>
      <c r="Q1938" s="6">
        <v>1.52815384615384</v>
      </c>
      <c r="R1938">
        <v>2.96</v>
      </c>
      <c r="S1938">
        <v>10.46</v>
      </c>
      <c r="T1938">
        <v>28.38</v>
      </c>
      <c r="U1938">
        <v>26.85</v>
      </c>
      <c r="V1938">
        <v>36</v>
      </c>
      <c r="W1938">
        <v>1.27</v>
      </c>
    </row>
    <row r="1939" spans="1:23" x14ac:dyDescent="0.3">
      <c r="A1939">
        <v>1939</v>
      </c>
      <c r="B1939" t="s">
        <v>1982</v>
      </c>
      <c r="C1939" t="s">
        <v>24</v>
      </c>
      <c r="D1939">
        <v>193</v>
      </c>
      <c r="E1939">
        <v>4953</v>
      </c>
      <c r="F1939" s="3">
        <v>244</v>
      </c>
      <c r="G1939">
        <v>14</v>
      </c>
      <c r="H1939">
        <v>3</v>
      </c>
      <c r="I1939" s="5">
        <v>1.55440414507772E-2</v>
      </c>
      <c r="J1939" s="3">
        <v>228</v>
      </c>
      <c r="K1939" s="1">
        <v>45600</v>
      </c>
      <c r="L1939" t="s">
        <v>25</v>
      </c>
      <c r="M1939" t="s">
        <v>31</v>
      </c>
      <c r="N1939" t="s">
        <v>49</v>
      </c>
      <c r="O1939" t="s">
        <v>28</v>
      </c>
      <c r="P1939" t="s">
        <v>59</v>
      </c>
      <c r="Q1939" s="6">
        <v>1.2629533678756399</v>
      </c>
      <c r="R1939">
        <v>3.9</v>
      </c>
      <c r="S1939">
        <v>17.41</v>
      </c>
      <c r="T1939">
        <v>81.25</v>
      </c>
      <c r="U1939">
        <v>-6.46</v>
      </c>
      <c r="V1939">
        <v>76</v>
      </c>
      <c r="W1939">
        <v>0.94</v>
      </c>
    </row>
    <row r="1940" spans="1:23" x14ac:dyDescent="0.3">
      <c r="A1940">
        <v>1940</v>
      </c>
      <c r="B1940" t="s">
        <v>1983</v>
      </c>
      <c r="C1940" t="s">
        <v>24</v>
      </c>
      <c r="D1940">
        <v>185</v>
      </c>
      <c r="E1940">
        <v>5208</v>
      </c>
      <c r="F1940" s="3">
        <v>227</v>
      </c>
      <c r="G1940">
        <v>16</v>
      </c>
      <c r="H1940">
        <v>4</v>
      </c>
      <c r="I1940" s="5">
        <v>2.1621621621621599E-2</v>
      </c>
      <c r="J1940" s="3">
        <v>399</v>
      </c>
      <c r="K1940" s="1">
        <v>45604</v>
      </c>
      <c r="L1940" t="s">
        <v>25</v>
      </c>
      <c r="M1940" t="s">
        <v>31</v>
      </c>
      <c r="N1940" t="s">
        <v>40</v>
      </c>
      <c r="O1940" t="s">
        <v>28</v>
      </c>
      <c r="P1940" t="s">
        <v>45</v>
      </c>
      <c r="Q1940" s="6">
        <v>1.2284324324324301</v>
      </c>
      <c r="R1940">
        <v>3.55</v>
      </c>
      <c r="S1940">
        <v>14.2</v>
      </c>
      <c r="T1940">
        <v>56.82</v>
      </c>
      <c r="U1940">
        <v>75.569999999999993</v>
      </c>
      <c r="V1940">
        <v>99.75</v>
      </c>
      <c r="W1940">
        <v>1.76</v>
      </c>
    </row>
    <row r="1941" spans="1:23" x14ac:dyDescent="0.3">
      <c r="A1941">
        <v>1941</v>
      </c>
      <c r="B1941" t="s">
        <v>1984</v>
      </c>
      <c r="C1941" t="s">
        <v>43</v>
      </c>
      <c r="D1941">
        <v>163</v>
      </c>
      <c r="E1941">
        <v>4114</v>
      </c>
      <c r="F1941" s="3">
        <v>225</v>
      </c>
      <c r="G1941">
        <v>18</v>
      </c>
      <c r="H1941">
        <v>8</v>
      </c>
      <c r="I1941" s="5">
        <v>4.9079754601226898E-2</v>
      </c>
      <c r="J1941" s="3">
        <v>305</v>
      </c>
      <c r="K1941" s="1">
        <v>45620</v>
      </c>
      <c r="L1941" t="s">
        <v>25</v>
      </c>
      <c r="M1941" t="s">
        <v>26</v>
      </c>
      <c r="N1941" t="s">
        <v>44</v>
      </c>
      <c r="O1941" t="s">
        <v>28</v>
      </c>
      <c r="P1941" t="s">
        <v>50</v>
      </c>
      <c r="Q1941" s="6">
        <v>1.3791411042944699</v>
      </c>
      <c r="R1941">
        <v>3.96</v>
      </c>
      <c r="S1941">
        <v>12.49</v>
      </c>
      <c r="T1941">
        <v>28.1</v>
      </c>
      <c r="U1941">
        <v>35.68</v>
      </c>
      <c r="V1941">
        <v>38.119999999999997</v>
      </c>
      <c r="W1941">
        <v>1.36</v>
      </c>
    </row>
    <row r="1942" spans="1:23" x14ac:dyDescent="0.3">
      <c r="A1942">
        <v>1942</v>
      </c>
      <c r="B1942" t="s">
        <v>1985</v>
      </c>
      <c r="C1942" t="s">
        <v>38</v>
      </c>
      <c r="D1942">
        <v>197</v>
      </c>
      <c r="E1942">
        <v>3508</v>
      </c>
      <c r="F1942" s="3">
        <v>181</v>
      </c>
      <c r="G1942">
        <v>20</v>
      </c>
      <c r="H1942">
        <v>4</v>
      </c>
      <c r="I1942" s="5">
        <v>2.03045685279187E-2</v>
      </c>
      <c r="J1942" s="3">
        <v>372</v>
      </c>
      <c r="K1942" s="1">
        <v>45612</v>
      </c>
      <c r="L1942" t="s">
        <v>25</v>
      </c>
      <c r="M1942" t="s">
        <v>31</v>
      </c>
      <c r="N1942" t="s">
        <v>40</v>
      </c>
      <c r="O1942" t="s">
        <v>28</v>
      </c>
      <c r="P1942" t="s">
        <v>29</v>
      </c>
      <c r="Q1942" s="6">
        <v>0.91898477157360403</v>
      </c>
      <c r="R1942">
        <v>5.62</v>
      </c>
      <c r="S1942">
        <v>9.0500000000000007</v>
      </c>
      <c r="T1942">
        <v>45.26</v>
      </c>
      <c r="U1942">
        <v>105.48</v>
      </c>
      <c r="V1942">
        <v>93</v>
      </c>
      <c r="W1942">
        <v>2.0499999999999998</v>
      </c>
    </row>
    <row r="1943" spans="1:23" x14ac:dyDescent="0.3">
      <c r="A1943">
        <v>1943</v>
      </c>
      <c r="B1943" t="s">
        <v>1986</v>
      </c>
      <c r="C1943" t="s">
        <v>43</v>
      </c>
      <c r="D1943">
        <v>89</v>
      </c>
      <c r="E1943">
        <v>5733</v>
      </c>
      <c r="F1943" s="3">
        <v>215</v>
      </c>
      <c r="G1943">
        <v>22</v>
      </c>
      <c r="H1943">
        <v>9</v>
      </c>
      <c r="I1943" s="5">
        <v>0.101123595505617</v>
      </c>
      <c r="J1943" s="3">
        <v>270</v>
      </c>
      <c r="K1943" s="1">
        <v>45611</v>
      </c>
      <c r="L1943" t="s">
        <v>25</v>
      </c>
      <c r="M1943" t="s">
        <v>39</v>
      </c>
      <c r="N1943" t="s">
        <v>36</v>
      </c>
      <c r="O1943" t="s">
        <v>28</v>
      </c>
      <c r="P1943" t="s">
        <v>45</v>
      </c>
      <c r="Q1943" s="6">
        <v>2.4194382022471901</v>
      </c>
      <c r="R1943">
        <v>1.55</v>
      </c>
      <c r="S1943">
        <v>9.7899999999999991</v>
      </c>
      <c r="T1943">
        <v>23.93</v>
      </c>
      <c r="U1943">
        <v>25.39</v>
      </c>
      <c r="V1943">
        <v>30</v>
      </c>
      <c r="W1943">
        <v>1.25</v>
      </c>
    </row>
    <row r="1944" spans="1:23" x14ac:dyDescent="0.3">
      <c r="A1944">
        <v>1944</v>
      </c>
      <c r="B1944" t="s">
        <v>1987</v>
      </c>
      <c r="C1944" t="s">
        <v>24</v>
      </c>
      <c r="D1944">
        <v>99</v>
      </c>
      <c r="E1944">
        <v>3948</v>
      </c>
      <c r="F1944" s="3">
        <v>199</v>
      </c>
      <c r="G1944">
        <v>22</v>
      </c>
      <c r="H1944">
        <v>4</v>
      </c>
      <c r="I1944" s="5">
        <v>4.0404040404040401E-2</v>
      </c>
      <c r="J1944" s="3">
        <v>295</v>
      </c>
      <c r="K1944" s="1">
        <v>45615</v>
      </c>
      <c r="L1944" t="s">
        <v>25</v>
      </c>
      <c r="M1944" t="s">
        <v>31</v>
      </c>
      <c r="N1944" t="s">
        <v>40</v>
      </c>
      <c r="O1944" t="s">
        <v>28</v>
      </c>
      <c r="P1944" t="s">
        <v>41</v>
      </c>
      <c r="Q1944" s="6">
        <v>2.00656565656565</v>
      </c>
      <c r="R1944">
        <v>2.5099999999999998</v>
      </c>
      <c r="S1944">
        <v>9.0299999999999994</v>
      </c>
      <c r="T1944">
        <v>49.66</v>
      </c>
      <c r="U1944">
        <v>48.5</v>
      </c>
      <c r="V1944">
        <v>73.75</v>
      </c>
      <c r="W1944">
        <v>1.49</v>
      </c>
    </row>
    <row r="1945" spans="1:23" x14ac:dyDescent="0.3">
      <c r="A1945">
        <v>1945</v>
      </c>
      <c r="B1945" t="s">
        <v>1988</v>
      </c>
      <c r="C1945" t="s">
        <v>24</v>
      </c>
      <c r="D1945">
        <v>110</v>
      </c>
      <c r="E1945">
        <v>4488</v>
      </c>
      <c r="F1945" s="3">
        <v>211</v>
      </c>
      <c r="G1945">
        <v>27</v>
      </c>
      <c r="H1945">
        <v>10</v>
      </c>
      <c r="I1945" s="5">
        <v>9.0909090909090898E-2</v>
      </c>
      <c r="J1945" s="3">
        <v>382</v>
      </c>
      <c r="K1945" s="1">
        <v>45608</v>
      </c>
      <c r="L1945" t="s">
        <v>25</v>
      </c>
      <c r="M1945" t="s">
        <v>31</v>
      </c>
      <c r="N1945" t="s">
        <v>40</v>
      </c>
      <c r="O1945" t="s">
        <v>28</v>
      </c>
      <c r="P1945" t="s">
        <v>41</v>
      </c>
      <c r="Q1945" s="6">
        <v>1.9153636363636299</v>
      </c>
      <c r="R1945">
        <v>2.4500000000000002</v>
      </c>
      <c r="S1945">
        <v>7.8</v>
      </c>
      <c r="T1945">
        <v>21.07</v>
      </c>
      <c r="U1945">
        <v>81.31</v>
      </c>
      <c r="V1945">
        <v>38.200000000000003</v>
      </c>
      <c r="W1945">
        <v>1.81</v>
      </c>
    </row>
    <row r="1946" spans="1:23" x14ac:dyDescent="0.3">
      <c r="A1946">
        <v>1946</v>
      </c>
      <c r="B1946" t="s">
        <v>1989</v>
      </c>
      <c r="C1946" t="s">
        <v>35</v>
      </c>
      <c r="D1946">
        <v>124</v>
      </c>
      <c r="E1946">
        <v>4747</v>
      </c>
      <c r="F1946" s="3">
        <v>235</v>
      </c>
      <c r="G1946">
        <v>24</v>
      </c>
      <c r="H1946">
        <v>10</v>
      </c>
      <c r="I1946" s="5">
        <v>8.0645161290322495E-2</v>
      </c>
      <c r="J1946" s="3">
        <v>467.142857142857</v>
      </c>
      <c r="K1946" s="1">
        <v>45613</v>
      </c>
      <c r="L1946" t="s">
        <v>25</v>
      </c>
      <c r="M1946" t="s">
        <v>26</v>
      </c>
      <c r="N1946" t="s">
        <v>44</v>
      </c>
      <c r="O1946" t="s">
        <v>28</v>
      </c>
      <c r="P1946" t="s">
        <v>50</v>
      </c>
      <c r="Q1946" s="6">
        <v>1.8949193548387</v>
      </c>
      <c r="R1946">
        <v>2.61</v>
      </c>
      <c r="S1946">
        <v>9.7899999999999991</v>
      </c>
      <c r="T1946">
        <v>23.5</v>
      </c>
      <c r="U1946">
        <v>98.81</v>
      </c>
      <c r="V1946">
        <v>46.71</v>
      </c>
      <c r="W1946">
        <v>1.99</v>
      </c>
    </row>
    <row r="1947" spans="1:23" x14ac:dyDescent="0.3">
      <c r="A1947">
        <v>1947</v>
      </c>
      <c r="B1947" t="s">
        <v>1990</v>
      </c>
      <c r="C1947" t="s">
        <v>24</v>
      </c>
      <c r="D1947">
        <v>120</v>
      </c>
      <c r="E1947">
        <v>5363</v>
      </c>
      <c r="F1947" s="3">
        <v>221</v>
      </c>
      <c r="G1947">
        <v>17</v>
      </c>
      <c r="H1947">
        <v>4</v>
      </c>
      <c r="I1947" s="5">
        <v>3.3333333333333298E-2</v>
      </c>
      <c r="J1947" s="3">
        <v>274</v>
      </c>
      <c r="K1947" s="1">
        <v>45604</v>
      </c>
      <c r="L1947" t="s">
        <v>25</v>
      </c>
      <c r="M1947" t="s">
        <v>39</v>
      </c>
      <c r="N1947" t="s">
        <v>49</v>
      </c>
      <c r="O1947" t="s">
        <v>28</v>
      </c>
      <c r="P1947" t="s">
        <v>45</v>
      </c>
      <c r="Q1947" s="6">
        <v>1.8430833333333301</v>
      </c>
      <c r="R1947">
        <v>2.2400000000000002</v>
      </c>
      <c r="S1947">
        <v>13.01</v>
      </c>
      <c r="T1947">
        <v>55.29</v>
      </c>
      <c r="U1947">
        <v>23.89</v>
      </c>
      <c r="V1947">
        <v>68.5</v>
      </c>
      <c r="W1947">
        <v>1.24</v>
      </c>
    </row>
    <row r="1948" spans="1:23" x14ac:dyDescent="0.3">
      <c r="A1948">
        <v>1948</v>
      </c>
      <c r="B1948" t="s">
        <v>1991</v>
      </c>
      <c r="C1948" t="s">
        <v>35</v>
      </c>
      <c r="D1948">
        <v>97</v>
      </c>
      <c r="E1948">
        <v>3199</v>
      </c>
      <c r="F1948" s="3">
        <v>185</v>
      </c>
      <c r="G1948">
        <v>25</v>
      </c>
      <c r="H1948">
        <v>10</v>
      </c>
      <c r="I1948" s="5">
        <v>0.103092783505154</v>
      </c>
      <c r="J1948" s="3">
        <v>467.142857142857</v>
      </c>
      <c r="K1948" s="1">
        <v>45610</v>
      </c>
      <c r="L1948" t="s">
        <v>25</v>
      </c>
      <c r="M1948" t="s">
        <v>39</v>
      </c>
      <c r="N1948" t="s">
        <v>36</v>
      </c>
      <c r="O1948" t="s">
        <v>28</v>
      </c>
      <c r="P1948" t="s">
        <v>54</v>
      </c>
      <c r="Q1948" s="6">
        <v>1.90474226804123</v>
      </c>
      <c r="R1948">
        <v>3.03</v>
      </c>
      <c r="S1948">
        <v>7.39</v>
      </c>
      <c r="T1948">
        <v>18.48</v>
      </c>
      <c r="U1948">
        <v>152.84</v>
      </c>
      <c r="V1948">
        <v>46.71</v>
      </c>
      <c r="W1948">
        <v>2.5299999999999998</v>
      </c>
    </row>
    <row r="1949" spans="1:23" x14ac:dyDescent="0.3">
      <c r="A1949">
        <v>1949</v>
      </c>
      <c r="B1949" t="s">
        <v>1992</v>
      </c>
      <c r="C1949" t="s">
        <v>43</v>
      </c>
      <c r="D1949">
        <v>108</v>
      </c>
      <c r="E1949">
        <v>5611</v>
      </c>
      <c r="F1949" s="3">
        <v>224</v>
      </c>
      <c r="G1949">
        <v>29</v>
      </c>
      <c r="H1949">
        <v>8</v>
      </c>
      <c r="I1949" s="5">
        <v>7.4074074074074001E-2</v>
      </c>
      <c r="J1949" s="3">
        <v>385</v>
      </c>
      <c r="K1949" s="1">
        <v>45607</v>
      </c>
      <c r="L1949" t="s">
        <v>25</v>
      </c>
      <c r="M1949" t="s">
        <v>31</v>
      </c>
      <c r="N1949" t="s">
        <v>49</v>
      </c>
      <c r="O1949" t="s">
        <v>28</v>
      </c>
      <c r="P1949" t="s">
        <v>59</v>
      </c>
      <c r="Q1949" s="6">
        <v>2.0775925925925902</v>
      </c>
      <c r="R1949">
        <v>1.92</v>
      </c>
      <c r="S1949">
        <v>7.74</v>
      </c>
      <c r="T1949">
        <v>28.05</v>
      </c>
      <c r="U1949">
        <v>71.58</v>
      </c>
      <c r="V1949">
        <v>48.12</v>
      </c>
      <c r="W1949">
        <v>1.72</v>
      </c>
    </row>
    <row r="1950" spans="1:23" x14ac:dyDescent="0.3">
      <c r="A1950">
        <v>1950</v>
      </c>
      <c r="B1950" t="s">
        <v>1993</v>
      </c>
      <c r="C1950" t="s">
        <v>24</v>
      </c>
      <c r="D1950">
        <v>143</v>
      </c>
      <c r="E1950">
        <v>4788</v>
      </c>
      <c r="F1950" s="3">
        <v>213</v>
      </c>
      <c r="G1950">
        <v>24</v>
      </c>
      <c r="H1950">
        <v>7</v>
      </c>
      <c r="I1950" s="5">
        <v>4.8951048951048903E-2</v>
      </c>
      <c r="J1950" s="3">
        <v>277</v>
      </c>
      <c r="K1950" s="1">
        <v>45597</v>
      </c>
      <c r="L1950" t="s">
        <v>25</v>
      </c>
      <c r="M1950" t="s">
        <v>26</v>
      </c>
      <c r="N1950" t="s">
        <v>49</v>
      </c>
      <c r="O1950" t="s">
        <v>28</v>
      </c>
      <c r="P1950" t="s">
        <v>45</v>
      </c>
      <c r="Q1950" s="6">
        <v>1.4909090909090901</v>
      </c>
      <c r="R1950">
        <v>2.99</v>
      </c>
      <c r="S1950">
        <v>8.8800000000000008</v>
      </c>
      <c r="T1950">
        <v>30.46</v>
      </c>
      <c r="U1950">
        <v>29.92</v>
      </c>
      <c r="V1950">
        <v>39.57</v>
      </c>
      <c r="W1950">
        <v>1.3</v>
      </c>
    </row>
    <row r="1951" spans="1:23" x14ac:dyDescent="0.3">
      <c r="A1951">
        <v>1951</v>
      </c>
      <c r="B1951" t="s">
        <v>1994</v>
      </c>
      <c r="C1951" t="s">
        <v>43</v>
      </c>
      <c r="D1951">
        <v>129</v>
      </c>
      <c r="E1951">
        <v>5899</v>
      </c>
      <c r="F1951" s="3">
        <v>217</v>
      </c>
      <c r="G1951">
        <v>15</v>
      </c>
      <c r="H1951">
        <v>9</v>
      </c>
      <c r="I1951" s="5">
        <v>6.9767441860465101E-2</v>
      </c>
      <c r="J1951" s="3">
        <v>321</v>
      </c>
      <c r="K1951" s="1">
        <v>45626</v>
      </c>
      <c r="L1951" t="s">
        <v>25</v>
      </c>
      <c r="M1951" t="s">
        <v>26</v>
      </c>
      <c r="N1951" t="s">
        <v>32</v>
      </c>
      <c r="O1951" t="s">
        <v>28</v>
      </c>
      <c r="P1951" t="s">
        <v>29</v>
      </c>
      <c r="Q1951" s="6">
        <v>1.68100775193798</v>
      </c>
      <c r="R1951">
        <v>2.19</v>
      </c>
      <c r="S1951">
        <v>14.46</v>
      </c>
      <c r="T1951">
        <v>24.09</v>
      </c>
      <c r="U1951">
        <v>48.03</v>
      </c>
      <c r="V1951">
        <v>35.67</v>
      </c>
      <c r="W1951">
        <v>1.48</v>
      </c>
    </row>
    <row r="1952" spans="1:23" x14ac:dyDescent="0.3">
      <c r="A1952">
        <v>1952</v>
      </c>
      <c r="B1952" t="s">
        <v>1995</v>
      </c>
      <c r="C1952" t="s">
        <v>24</v>
      </c>
      <c r="D1952">
        <v>165</v>
      </c>
      <c r="E1952">
        <v>4121</v>
      </c>
      <c r="F1952" s="3">
        <v>225</v>
      </c>
      <c r="G1952">
        <v>30</v>
      </c>
      <c r="H1952">
        <v>7</v>
      </c>
      <c r="I1952" s="5">
        <v>4.2424242424242399E-2</v>
      </c>
      <c r="J1952" s="3">
        <v>320</v>
      </c>
      <c r="K1952" s="1">
        <v>45599</v>
      </c>
      <c r="L1952" t="s">
        <v>25</v>
      </c>
      <c r="M1952" t="s">
        <v>31</v>
      </c>
      <c r="N1952" t="s">
        <v>32</v>
      </c>
      <c r="O1952" t="s">
        <v>28</v>
      </c>
      <c r="P1952" t="s">
        <v>50</v>
      </c>
      <c r="Q1952" s="6">
        <v>1.3611515151515099</v>
      </c>
      <c r="R1952">
        <v>4</v>
      </c>
      <c r="S1952">
        <v>7.49</v>
      </c>
      <c r="T1952">
        <v>32.08</v>
      </c>
      <c r="U1952">
        <v>42.48</v>
      </c>
      <c r="V1952">
        <v>45.71</v>
      </c>
      <c r="W1952">
        <v>1.42</v>
      </c>
    </row>
    <row r="1953" spans="1:23" x14ac:dyDescent="0.3">
      <c r="A1953">
        <v>1953</v>
      </c>
      <c r="B1953" t="s">
        <v>1996</v>
      </c>
      <c r="C1953" t="s">
        <v>35</v>
      </c>
      <c r="D1953">
        <v>155</v>
      </c>
      <c r="E1953">
        <v>5030</v>
      </c>
      <c r="F1953" s="3">
        <v>234</v>
      </c>
      <c r="G1953">
        <v>13</v>
      </c>
      <c r="H1953">
        <v>5</v>
      </c>
      <c r="I1953" s="5">
        <v>3.2258064516128997E-2</v>
      </c>
      <c r="J1953" s="3">
        <v>227</v>
      </c>
      <c r="K1953" s="1">
        <v>45604</v>
      </c>
      <c r="L1953" t="s">
        <v>25</v>
      </c>
      <c r="M1953" t="s">
        <v>31</v>
      </c>
      <c r="N1953" t="s">
        <v>44</v>
      </c>
      <c r="O1953" t="s">
        <v>28</v>
      </c>
      <c r="P1953" t="s">
        <v>45</v>
      </c>
      <c r="Q1953" s="6">
        <v>1.5123225806451599</v>
      </c>
      <c r="R1953">
        <v>3.08</v>
      </c>
      <c r="S1953">
        <v>18.03</v>
      </c>
      <c r="T1953">
        <v>46.88</v>
      </c>
      <c r="U1953">
        <v>-3.16</v>
      </c>
      <c r="V1953">
        <v>45.4</v>
      </c>
      <c r="W1953">
        <v>0.97</v>
      </c>
    </row>
    <row r="1954" spans="1:23" x14ac:dyDescent="0.3">
      <c r="A1954">
        <v>1954</v>
      </c>
      <c r="B1954" t="s">
        <v>1997</v>
      </c>
      <c r="C1954" t="s">
        <v>24</v>
      </c>
      <c r="D1954">
        <v>156</v>
      </c>
      <c r="E1954">
        <v>3533</v>
      </c>
      <c r="F1954" s="3">
        <v>212</v>
      </c>
      <c r="G1954">
        <v>22</v>
      </c>
      <c r="H1954">
        <v>9</v>
      </c>
      <c r="I1954" s="5">
        <v>5.7692307692307598E-2</v>
      </c>
      <c r="J1954" s="3">
        <v>286</v>
      </c>
      <c r="K1954" s="1">
        <v>45606</v>
      </c>
      <c r="L1954" t="s">
        <v>25</v>
      </c>
      <c r="M1954" t="s">
        <v>31</v>
      </c>
      <c r="N1954" t="s">
        <v>32</v>
      </c>
      <c r="O1954" t="s">
        <v>28</v>
      </c>
      <c r="P1954" t="s">
        <v>50</v>
      </c>
      <c r="Q1954" s="6">
        <v>1.3570512820512799</v>
      </c>
      <c r="R1954">
        <v>4.42</v>
      </c>
      <c r="S1954">
        <v>9.6199999999999992</v>
      </c>
      <c r="T1954">
        <v>23.52</v>
      </c>
      <c r="U1954">
        <v>35.1</v>
      </c>
      <c r="V1954">
        <v>31.78</v>
      </c>
      <c r="W1954">
        <v>1.35</v>
      </c>
    </row>
    <row r="1955" spans="1:23" x14ac:dyDescent="0.3">
      <c r="A1955">
        <v>1955</v>
      </c>
      <c r="B1955" t="s">
        <v>1998</v>
      </c>
      <c r="C1955" t="s">
        <v>43</v>
      </c>
      <c r="D1955">
        <v>94</v>
      </c>
      <c r="E1955">
        <v>5751</v>
      </c>
      <c r="F1955" s="3">
        <v>205</v>
      </c>
      <c r="G1955">
        <v>10</v>
      </c>
      <c r="H1955">
        <v>9</v>
      </c>
      <c r="I1955" s="5">
        <v>9.5744680851063801E-2</v>
      </c>
      <c r="J1955" s="3">
        <v>236</v>
      </c>
      <c r="K1955" s="1">
        <v>45615</v>
      </c>
      <c r="L1955" t="s">
        <v>25</v>
      </c>
      <c r="M1955" t="s">
        <v>39</v>
      </c>
      <c r="N1955" t="s">
        <v>32</v>
      </c>
      <c r="O1955" t="s">
        <v>28</v>
      </c>
      <c r="P1955" t="s">
        <v>41</v>
      </c>
      <c r="Q1955" s="6">
        <v>2.1847872340425498</v>
      </c>
      <c r="R1955">
        <v>1.63</v>
      </c>
      <c r="S1955">
        <v>20.54</v>
      </c>
      <c r="T1955">
        <v>22.82</v>
      </c>
      <c r="U1955">
        <v>14.91</v>
      </c>
      <c r="V1955">
        <v>26.22</v>
      </c>
      <c r="W1955">
        <v>1.1499999999999999</v>
      </c>
    </row>
    <row r="1956" spans="1:23" x14ac:dyDescent="0.3">
      <c r="A1956">
        <v>1956</v>
      </c>
      <c r="B1956" t="s">
        <v>1999</v>
      </c>
      <c r="C1956" t="s">
        <v>24</v>
      </c>
      <c r="D1956">
        <v>170</v>
      </c>
      <c r="E1956">
        <v>5484</v>
      </c>
      <c r="F1956" s="3">
        <v>210</v>
      </c>
      <c r="G1956">
        <v>20</v>
      </c>
      <c r="H1956">
        <v>9</v>
      </c>
      <c r="I1956" s="5">
        <v>5.29411764705882E-2</v>
      </c>
      <c r="J1956" s="3">
        <v>269</v>
      </c>
      <c r="K1956" s="1">
        <v>45619</v>
      </c>
      <c r="L1956" t="s">
        <v>25</v>
      </c>
      <c r="M1956" t="s">
        <v>39</v>
      </c>
      <c r="N1956" t="s">
        <v>40</v>
      </c>
      <c r="O1956" t="s">
        <v>28</v>
      </c>
      <c r="P1956" t="s">
        <v>29</v>
      </c>
      <c r="Q1956" s="6">
        <v>1.23694117647058</v>
      </c>
      <c r="R1956">
        <v>3.1</v>
      </c>
      <c r="S1956">
        <v>10.51</v>
      </c>
      <c r="T1956">
        <v>23.36</v>
      </c>
      <c r="U1956">
        <v>27.92</v>
      </c>
      <c r="V1956">
        <v>29.89</v>
      </c>
      <c r="W1956">
        <v>1.28</v>
      </c>
    </row>
    <row r="1957" spans="1:23" x14ac:dyDescent="0.3">
      <c r="A1957">
        <v>1957</v>
      </c>
      <c r="B1957" t="s">
        <v>2000</v>
      </c>
      <c r="C1957" t="s">
        <v>24</v>
      </c>
      <c r="D1957">
        <v>90</v>
      </c>
      <c r="E1957">
        <v>5457</v>
      </c>
      <c r="F1957" s="3">
        <v>234</v>
      </c>
      <c r="G1957">
        <v>17</v>
      </c>
      <c r="H1957">
        <v>9</v>
      </c>
      <c r="I1957" s="5">
        <v>0.1</v>
      </c>
      <c r="J1957" s="3">
        <v>237</v>
      </c>
      <c r="K1957" s="1">
        <v>45615</v>
      </c>
      <c r="L1957" t="s">
        <v>25</v>
      </c>
      <c r="M1957" t="s">
        <v>26</v>
      </c>
      <c r="N1957" t="s">
        <v>32</v>
      </c>
      <c r="O1957" t="s">
        <v>28</v>
      </c>
      <c r="P1957" t="s">
        <v>41</v>
      </c>
      <c r="Q1957" s="6">
        <v>2.5944444444444401</v>
      </c>
      <c r="R1957">
        <v>1.65</v>
      </c>
      <c r="S1957">
        <v>13.74</v>
      </c>
      <c r="T1957">
        <v>25.94</v>
      </c>
      <c r="U1957">
        <v>1.5</v>
      </c>
      <c r="V1957">
        <v>26.33</v>
      </c>
      <c r="W1957">
        <v>1.01</v>
      </c>
    </row>
    <row r="1958" spans="1:23" x14ac:dyDescent="0.3">
      <c r="A1958">
        <v>1958</v>
      </c>
      <c r="B1958" t="s">
        <v>2001</v>
      </c>
      <c r="C1958" t="s">
        <v>38</v>
      </c>
      <c r="D1958">
        <v>100</v>
      </c>
      <c r="E1958">
        <v>3314</v>
      </c>
      <c r="F1958" s="3">
        <v>158</v>
      </c>
      <c r="G1958">
        <v>26</v>
      </c>
      <c r="H1958">
        <v>10</v>
      </c>
      <c r="I1958" s="5">
        <v>0.1</v>
      </c>
      <c r="J1958" s="3">
        <v>353</v>
      </c>
      <c r="K1958" s="1">
        <v>45623</v>
      </c>
      <c r="L1958" t="s">
        <v>25</v>
      </c>
      <c r="M1958" t="s">
        <v>26</v>
      </c>
      <c r="N1958" t="s">
        <v>49</v>
      </c>
      <c r="O1958" t="s">
        <v>28</v>
      </c>
      <c r="P1958" t="s">
        <v>33</v>
      </c>
      <c r="Q1958" s="6">
        <v>1.57527392711035</v>
      </c>
      <c r="R1958">
        <v>3.02</v>
      </c>
      <c r="S1958">
        <v>6.06</v>
      </c>
      <c r="T1958">
        <v>15.75</v>
      </c>
      <c r="U1958">
        <v>124.09</v>
      </c>
      <c r="V1958">
        <v>35.299999999999997</v>
      </c>
      <c r="W1958">
        <v>2.2400000000000002</v>
      </c>
    </row>
    <row r="1959" spans="1:23" x14ac:dyDescent="0.3">
      <c r="A1959">
        <v>1959</v>
      </c>
      <c r="B1959" t="s">
        <v>2002</v>
      </c>
      <c r="C1959" t="s">
        <v>38</v>
      </c>
      <c r="D1959">
        <v>80</v>
      </c>
      <c r="E1959">
        <v>5808</v>
      </c>
      <c r="F1959" s="3">
        <v>240</v>
      </c>
      <c r="G1959">
        <v>12</v>
      </c>
      <c r="H1959">
        <v>4</v>
      </c>
      <c r="I1959" s="5">
        <v>0.05</v>
      </c>
      <c r="J1959" s="3">
        <v>315</v>
      </c>
      <c r="K1959" s="1">
        <v>45612</v>
      </c>
      <c r="L1959" t="s">
        <v>25</v>
      </c>
      <c r="M1959" t="s">
        <v>26</v>
      </c>
      <c r="N1959" t="s">
        <v>36</v>
      </c>
      <c r="O1959" t="s">
        <v>28</v>
      </c>
      <c r="P1959" t="s">
        <v>29</v>
      </c>
      <c r="Q1959" s="6">
        <v>3.0055000000000001</v>
      </c>
      <c r="R1959">
        <v>1.38</v>
      </c>
      <c r="S1959">
        <v>20.04</v>
      </c>
      <c r="T1959">
        <v>60.11</v>
      </c>
      <c r="U1959">
        <v>31.01</v>
      </c>
      <c r="V1959">
        <v>78.75</v>
      </c>
      <c r="W1959">
        <v>1.31</v>
      </c>
    </row>
    <row r="1960" spans="1:23" x14ac:dyDescent="0.3">
      <c r="A1960">
        <v>1960</v>
      </c>
      <c r="B1960" t="s">
        <v>2003</v>
      </c>
      <c r="C1960" t="s">
        <v>35</v>
      </c>
      <c r="D1960">
        <v>166</v>
      </c>
      <c r="E1960">
        <v>5567</v>
      </c>
      <c r="F1960" s="3">
        <v>199</v>
      </c>
      <c r="G1960">
        <v>29</v>
      </c>
      <c r="H1960">
        <v>5</v>
      </c>
      <c r="I1960" s="5">
        <v>3.0120481927710802E-2</v>
      </c>
      <c r="J1960" s="3">
        <v>301</v>
      </c>
      <c r="K1960" s="1">
        <v>45604</v>
      </c>
      <c r="L1960" t="s">
        <v>25</v>
      </c>
      <c r="M1960" t="s">
        <v>31</v>
      </c>
      <c r="N1960" t="s">
        <v>27</v>
      </c>
      <c r="O1960" t="s">
        <v>28</v>
      </c>
      <c r="P1960" t="s">
        <v>45</v>
      </c>
      <c r="Q1960" s="6">
        <v>1.19957831325301</v>
      </c>
      <c r="R1960">
        <v>2.98</v>
      </c>
      <c r="S1960">
        <v>6.87</v>
      </c>
      <c r="T1960">
        <v>39.83</v>
      </c>
      <c r="U1960">
        <v>51.16</v>
      </c>
      <c r="V1960">
        <v>60.2</v>
      </c>
      <c r="W1960">
        <v>1.51</v>
      </c>
    </row>
    <row r="1961" spans="1:23" x14ac:dyDescent="0.3">
      <c r="A1961">
        <v>1961</v>
      </c>
      <c r="B1961" t="s">
        <v>2004</v>
      </c>
      <c r="C1961" t="s">
        <v>24</v>
      </c>
      <c r="D1961">
        <v>149</v>
      </c>
      <c r="E1961">
        <v>5936</v>
      </c>
      <c r="F1961" s="3">
        <v>247</v>
      </c>
      <c r="G1961">
        <v>14</v>
      </c>
      <c r="H1961">
        <v>6</v>
      </c>
      <c r="I1961" s="5">
        <v>4.0268456375838903E-2</v>
      </c>
      <c r="J1961" s="3">
        <v>285</v>
      </c>
      <c r="K1961" s="1">
        <v>45597</v>
      </c>
      <c r="L1961" t="s">
        <v>25</v>
      </c>
      <c r="M1961" t="s">
        <v>26</v>
      </c>
      <c r="N1961" t="s">
        <v>27</v>
      </c>
      <c r="O1961" t="s">
        <v>28</v>
      </c>
      <c r="P1961" t="s">
        <v>45</v>
      </c>
      <c r="Q1961" s="6">
        <v>1.6548993288590601</v>
      </c>
      <c r="R1961">
        <v>2.5099999999999998</v>
      </c>
      <c r="S1961">
        <v>17.61</v>
      </c>
      <c r="T1961">
        <v>41.1</v>
      </c>
      <c r="U1961">
        <v>15.58</v>
      </c>
      <c r="V1961">
        <v>47.5</v>
      </c>
      <c r="W1961">
        <v>1.1599999999999999</v>
      </c>
    </row>
    <row r="1962" spans="1:23" x14ac:dyDescent="0.3">
      <c r="A1962">
        <v>1962</v>
      </c>
      <c r="B1962" t="s">
        <v>2005</v>
      </c>
      <c r="C1962" t="s">
        <v>35</v>
      </c>
      <c r="D1962">
        <v>151</v>
      </c>
      <c r="E1962">
        <v>4966</v>
      </c>
      <c r="F1962" s="3">
        <v>224</v>
      </c>
      <c r="G1962">
        <v>15</v>
      </c>
      <c r="H1962">
        <v>3</v>
      </c>
      <c r="I1962" s="5">
        <v>1.98675496688741E-2</v>
      </c>
      <c r="J1962" s="3">
        <v>288</v>
      </c>
      <c r="K1962" s="1">
        <v>45605</v>
      </c>
      <c r="L1962" t="s">
        <v>25</v>
      </c>
      <c r="M1962" t="s">
        <v>39</v>
      </c>
      <c r="N1962" t="s">
        <v>49</v>
      </c>
      <c r="O1962" t="s">
        <v>28</v>
      </c>
      <c r="P1962" t="s">
        <v>29</v>
      </c>
      <c r="Q1962" s="6">
        <v>1.48125827814569</v>
      </c>
      <c r="R1962">
        <v>3.04</v>
      </c>
      <c r="S1962">
        <v>14.91</v>
      </c>
      <c r="T1962">
        <v>74.56</v>
      </c>
      <c r="U1962">
        <v>28.76</v>
      </c>
      <c r="V1962">
        <v>96</v>
      </c>
      <c r="W1962">
        <v>1.29</v>
      </c>
    </row>
    <row r="1963" spans="1:23" x14ac:dyDescent="0.3">
      <c r="A1963">
        <v>1963</v>
      </c>
      <c r="B1963" t="s">
        <v>2006</v>
      </c>
      <c r="C1963" t="s">
        <v>38</v>
      </c>
      <c r="D1963">
        <v>186</v>
      </c>
      <c r="E1963">
        <v>4790</v>
      </c>
      <c r="F1963" s="3">
        <v>233</v>
      </c>
      <c r="G1963">
        <v>10</v>
      </c>
      <c r="H1963">
        <v>3</v>
      </c>
      <c r="I1963" s="5">
        <v>1.6129032258064498E-2</v>
      </c>
      <c r="J1963" s="3">
        <v>245</v>
      </c>
      <c r="K1963" s="1">
        <v>45621</v>
      </c>
      <c r="L1963" t="s">
        <v>25</v>
      </c>
      <c r="M1963" t="s">
        <v>26</v>
      </c>
      <c r="N1963" t="s">
        <v>40</v>
      </c>
      <c r="O1963" t="s">
        <v>28</v>
      </c>
      <c r="P1963" t="s">
        <v>59</v>
      </c>
      <c r="Q1963" s="6">
        <v>1.25494623655913</v>
      </c>
      <c r="R1963">
        <v>3.88</v>
      </c>
      <c r="S1963">
        <v>23.34</v>
      </c>
      <c r="T1963">
        <v>77.81</v>
      </c>
      <c r="U1963">
        <v>4.96</v>
      </c>
      <c r="V1963">
        <v>81.67</v>
      </c>
      <c r="W1963">
        <v>1.05</v>
      </c>
    </row>
    <row r="1964" spans="1:23" x14ac:dyDescent="0.3">
      <c r="A1964">
        <v>1964</v>
      </c>
      <c r="B1964" t="s">
        <v>2007</v>
      </c>
      <c r="C1964" t="s">
        <v>43</v>
      </c>
      <c r="D1964">
        <v>143</v>
      </c>
      <c r="E1964">
        <v>4932</v>
      </c>
      <c r="F1964" s="3">
        <v>206</v>
      </c>
      <c r="G1964">
        <v>20</v>
      </c>
      <c r="H1964">
        <v>9</v>
      </c>
      <c r="I1964" s="5">
        <v>6.2937062937062901E-2</v>
      </c>
      <c r="J1964" s="3">
        <v>231</v>
      </c>
      <c r="K1964" s="1">
        <v>45618</v>
      </c>
      <c r="L1964" t="s">
        <v>25</v>
      </c>
      <c r="M1964" t="s">
        <v>26</v>
      </c>
      <c r="N1964" t="s">
        <v>32</v>
      </c>
      <c r="O1964" t="s">
        <v>28</v>
      </c>
      <c r="P1964" t="s">
        <v>45</v>
      </c>
      <c r="Q1964" s="6">
        <v>1.44300699300699</v>
      </c>
      <c r="R1964">
        <v>2.9</v>
      </c>
      <c r="S1964">
        <v>10.32</v>
      </c>
      <c r="T1964">
        <v>22.93</v>
      </c>
      <c r="U1964">
        <v>11.95</v>
      </c>
      <c r="V1964">
        <v>25.67</v>
      </c>
      <c r="W1964">
        <v>1.1200000000000001</v>
      </c>
    </row>
    <row r="1965" spans="1:23" x14ac:dyDescent="0.3">
      <c r="A1965">
        <v>1965</v>
      </c>
      <c r="B1965" t="s">
        <v>2008</v>
      </c>
      <c r="C1965" t="s">
        <v>43</v>
      </c>
      <c r="D1965">
        <v>180</v>
      </c>
      <c r="E1965">
        <v>3991</v>
      </c>
      <c r="F1965" s="3">
        <v>200</v>
      </c>
      <c r="G1965">
        <v>10</v>
      </c>
      <c r="H1965">
        <v>10</v>
      </c>
      <c r="I1965" s="5">
        <v>5.5555555555555497E-2</v>
      </c>
      <c r="J1965" s="3">
        <v>291</v>
      </c>
      <c r="K1965" s="1">
        <v>45617</v>
      </c>
      <c r="L1965" t="s">
        <v>25</v>
      </c>
      <c r="M1965" t="s">
        <v>39</v>
      </c>
      <c r="N1965" t="s">
        <v>44</v>
      </c>
      <c r="O1965" t="s">
        <v>28</v>
      </c>
      <c r="P1965" t="s">
        <v>54</v>
      </c>
      <c r="Q1965" s="6">
        <v>1.1134999999999999</v>
      </c>
      <c r="R1965">
        <v>4.51</v>
      </c>
      <c r="S1965">
        <v>20.04</v>
      </c>
      <c r="T1965">
        <v>20.04</v>
      </c>
      <c r="U1965">
        <v>45.19</v>
      </c>
      <c r="V1965">
        <v>29.1</v>
      </c>
      <c r="W1965">
        <v>1.45</v>
      </c>
    </row>
    <row r="1966" spans="1:23" x14ac:dyDescent="0.3">
      <c r="A1966">
        <v>1966</v>
      </c>
      <c r="B1966" t="s">
        <v>2009</v>
      </c>
      <c r="C1966" t="s">
        <v>35</v>
      </c>
      <c r="D1966">
        <v>141</v>
      </c>
      <c r="E1966">
        <v>3306</v>
      </c>
      <c r="F1966" s="3">
        <v>188</v>
      </c>
      <c r="G1966">
        <v>30</v>
      </c>
      <c r="H1966">
        <v>9</v>
      </c>
      <c r="I1966" s="5">
        <v>6.3829787234042507E-2</v>
      </c>
      <c r="J1966" s="3">
        <v>319</v>
      </c>
      <c r="K1966" s="1">
        <v>45614</v>
      </c>
      <c r="L1966" t="s">
        <v>25</v>
      </c>
      <c r="M1966" t="s">
        <v>39</v>
      </c>
      <c r="N1966" t="s">
        <v>49</v>
      </c>
      <c r="O1966" t="s">
        <v>28</v>
      </c>
      <c r="P1966" t="s">
        <v>59</v>
      </c>
      <c r="Q1966" s="6">
        <v>1.3353900709219799</v>
      </c>
      <c r="R1966">
        <v>4.26</v>
      </c>
      <c r="S1966">
        <v>6.28</v>
      </c>
      <c r="T1966">
        <v>20.92</v>
      </c>
      <c r="U1966">
        <v>69.42</v>
      </c>
      <c r="V1966">
        <v>35.44</v>
      </c>
      <c r="W1966">
        <v>1.69</v>
      </c>
    </row>
    <row r="1967" spans="1:23" x14ac:dyDescent="0.3">
      <c r="A1967">
        <v>1967</v>
      </c>
      <c r="B1967" t="s">
        <v>2010</v>
      </c>
      <c r="C1967" t="s">
        <v>43</v>
      </c>
      <c r="D1967">
        <v>80</v>
      </c>
      <c r="E1967">
        <v>3432</v>
      </c>
      <c r="F1967" s="3">
        <v>226</v>
      </c>
      <c r="G1967">
        <v>11</v>
      </c>
      <c r="H1967">
        <v>9</v>
      </c>
      <c r="I1967" s="5">
        <v>0.1125</v>
      </c>
      <c r="J1967" s="3">
        <v>256</v>
      </c>
      <c r="K1967" s="1">
        <v>45603</v>
      </c>
      <c r="L1967" t="s">
        <v>25</v>
      </c>
      <c r="M1967" t="s">
        <v>26</v>
      </c>
      <c r="N1967" t="s">
        <v>27</v>
      </c>
      <c r="O1967" t="s">
        <v>28</v>
      </c>
      <c r="P1967" t="s">
        <v>54</v>
      </c>
      <c r="Q1967" s="6">
        <v>2.8253750000000002</v>
      </c>
      <c r="R1967">
        <v>2.33</v>
      </c>
      <c r="S1967">
        <v>20.55</v>
      </c>
      <c r="T1967">
        <v>25.11</v>
      </c>
      <c r="U1967">
        <v>13.26</v>
      </c>
      <c r="V1967">
        <v>28.44</v>
      </c>
      <c r="W1967">
        <v>1.1299999999999999</v>
      </c>
    </row>
    <row r="1968" spans="1:23" x14ac:dyDescent="0.3">
      <c r="A1968">
        <v>1968</v>
      </c>
      <c r="B1968" t="s">
        <v>2011</v>
      </c>
      <c r="C1968" t="s">
        <v>43</v>
      </c>
      <c r="D1968">
        <v>152</v>
      </c>
      <c r="E1968">
        <v>4683</v>
      </c>
      <c r="F1968" s="3">
        <v>223</v>
      </c>
      <c r="G1968">
        <v>12</v>
      </c>
      <c r="H1968">
        <v>7</v>
      </c>
      <c r="I1968" s="5">
        <v>4.6052631578947303E-2</v>
      </c>
      <c r="J1968" s="3">
        <v>346</v>
      </c>
      <c r="K1968" s="1">
        <v>45614</v>
      </c>
      <c r="L1968" t="s">
        <v>25</v>
      </c>
      <c r="M1968" t="s">
        <v>39</v>
      </c>
      <c r="N1968" t="s">
        <v>32</v>
      </c>
      <c r="O1968" t="s">
        <v>28</v>
      </c>
      <c r="P1968" t="s">
        <v>59</v>
      </c>
      <c r="Q1968" s="6">
        <v>1.4692763157894699</v>
      </c>
      <c r="R1968">
        <v>3.25</v>
      </c>
      <c r="S1968">
        <v>18.61</v>
      </c>
      <c r="T1968">
        <v>31.9</v>
      </c>
      <c r="U1968">
        <v>54.93</v>
      </c>
      <c r="V1968">
        <v>49.43</v>
      </c>
      <c r="W1968">
        <v>1.55</v>
      </c>
    </row>
    <row r="1969" spans="1:23" x14ac:dyDescent="0.3">
      <c r="A1969">
        <v>1969</v>
      </c>
      <c r="B1969" t="s">
        <v>2012</v>
      </c>
      <c r="C1969" t="s">
        <v>24</v>
      </c>
      <c r="D1969">
        <v>189</v>
      </c>
      <c r="E1969">
        <v>3635</v>
      </c>
      <c r="F1969" s="3">
        <v>229</v>
      </c>
      <c r="G1969">
        <v>17</v>
      </c>
      <c r="H1969">
        <v>9</v>
      </c>
      <c r="I1969" s="5">
        <v>4.7619047619047603E-2</v>
      </c>
      <c r="J1969" s="3">
        <v>250</v>
      </c>
      <c r="K1969" s="1">
        <v>45609</v>
      </c>
      <c r="L1969" t="s">
        <v>25</v>
      </c>
      <c r="M1969" t="s">
        <v>39</v>
      </c>
      <c r="N1969" t="s">
        <v>44</v>
      </c>
      <c r="O1969" t="s">
        <v>28</v>
      </c>
      <c r="P1969" t="s">
        <v>33</v>
      </c>
      <c r="Q1969" s="6">
        <v>1.2120634920634901</v>
      </c>
      <c r="R1969">
        <v>5.2</v>
      </c>
      <c r="S1969">
        <v>13.48</v>
      </c>
      <c r="T1969">
        <v>25.45</v>
      </c>
      <c r="U1969">
        <v>9.1300000000000008</v>
      </c>
      <c r="V1969">
        <v>27.78</v>
      </c>
      <c r="W1969">
        <v>1.0900000000000001</v>
      </c>
    </row>
    <row r="1970" spans="1:23" x14ac:dyDescent="0.3">
      <c r="A1970">
        <v>1970</v>
      </c>
      <c r="B1970" t="s">
        <v>2013</v>
      </c>
      <c r="C1970" t="s">
        <v>38</v>
      </c>
      <c r="D1970">
        <v>121</v>
      </c>
      <c r="E1970">
        <v>4638</v>
      </c>
      <c r="F1970" s="3">
        <v>199</v>
      </c>
      <c r="G1970">
        <v>14</v>
      </c>
      <c r="H1970">
        <v>6</v>
      </c>
      <c r="I1970" s="5">
        <v>4.9586776859504099E-2</v>
      </c>
      <c r="J1970" s="3">
        <v>401</v>
      </c>
      <c r="K1970" s="1">
        <v>45604</v>
      </c>
      <c r="L1970" t="s">
        <v>25</v>
      </c>
      <c r="M1970" t="s">
        <v>26</v>
      </c>
      <c r="N1970" t="s">
        <v>27</v>
      </c>
      <c r="O1970" t="s">
        <v>28</v>
      </c>
      <c r="P1970" t="s">
        <v>45</v>
      </c>
      <c r="Q1970" s="6">
        <v>1.64363636363636</v>
      </c>
      <c r="R1970">
        <v>2.61</v>
      </c>
      <c r="S1970">
        <v>14.21</v>
      </c>
      <c r="T1970">
        <v>33.15</v>
      </c>
      <c r="U1970">
        <v>101.63</v>
      </c>
      <c r="V1970">
        <v>66.83</v>
      </c>
      <c r="W1970">
        <v>2.02</v>
      </c>
    </row>
    <row r="1971" spans="1:23" x14ac:dyDescent="0.3">
      <c r="A1971">
        <v>1971</v>
      </c>
      <c r="B1971" t="s">
        <v>2014</v>
      </c>
      <c r="C1971" t="s">
        <v>35</v>
      </c>
      <c r="D1971">
        <v>140</v>
      </c>
      <c r="E1971">
        <v>5095</v>
      </c>
      <c r="F1971" s="3">
        <v>224</v>
      </c>
      <c r="G1971">
        <v>28</v>
      </c>
      <c r="H1971">
        <v>7</v>
      </c>
      <c r="I1971" s="5">
        <v>0.05</v>
      </c>
      <c r="J1971" s="3">
        <v>252</v>
      </c>
      <c r="K1971" s="1">
        <v>45610</v>
      </c>
      <c r="L1971" t="s">
        <v>25</v>
      </c>
      <c r="M1971" t="s">
        <v>39</v>
      </c>
      <c r="N1971" t="s">
        <v>27</v>
      </c>
      <c r="O1971" t="s">
        <v>28</v>
      </c>
      <c r="P1971" t="s">
        <v>54</v>
      </c>
      <c r="Q1971" s="6">
        <v>1.5983571428571399</v>
      </c>
      <c r="R1971">
        <v>2.75</v>
      </c>
      <c r="S1971">
        <v>7.99</v>
      </c>
      <c r="T1971">
        <v>31.97</v>
      </c>
      <c r="U1971">
        <v>12.62</v>
      </c>
      <c r="V1971">
        <v>36</v>
      </c>
      <c r="W1971">
        <v>1.1299999999999999</v>
      </c>
    </row>
    <row r="1972" spans="1:23" x14ac:dyDescent="0.3">
      <c r="A1972">
        <v>1972</v>
      </c>
      <c r="B1972" t="s">
        <v>2015</v>
      </c>
      <c r="C1972" t="s">
        <v>43</v>
      </c>
      <c r="D1972">
        <v>183</v>
      </c>
      <c r="E1972">
        <v>5749</v>
      </c>
      <c r="F1972" s="3">
        <v>214</v>
      </c>
      <c r="G1972">
        <v>23</v>
      </c>
      <c r="H1972">
        <v>7</v>
      </c>
      <c r="I1972" s="5">
        <v>3.8251366120218497E-2</v>
      </c>
      <c r="J1972" s="3">
        <v>242</v>
      </c>
      <c r="K1972" s="1">
        <v>45618</v>
      </c>
      <c r="L1972" t="s">
        <v>25</v>
      </c>
      <c r="M1972" t="s">
        <v>31</v>
      </c>
      <c r="N1972" t="s">
        <v>44</v>
      </c>
      <c r="O1972" t="s">
        <v>28</v>
      </c>
      <c r="P1972" t="s">
        <v>45</v>
      </c>
      <c r="Q1972" s="6">
        <v>1.16754098360655</v>
      </c>
      <c r="R1972">
        <v>3.18</v>
      </c>
      <c r="S1972">
        <v>9.2899999999999991</v>
      </c>
      <c r="T1972">
        <v>30.52</v>
      </c>
      <c r="U1972">
        <v>13.26</v>
      </c>
      <c r="V1972">
        <v>34.57</v>
      </c>
      <c r="W1972">
        <v>1.1299999999999999</v>
      </c>
    </row>
    <row r="1973" spans="1:23" x14ac:dyDescent="0.3">
      <c r="A1973">
        <v>1973</v>
      </c>
      <c r="B1973" t="s">
        <v>2016</v>
      </c>
      <c r="C1973" t="s">
        <v>24</v>
      </c>
      <c r="D1973">
        <v>156</v>
      </c>
      <c r="E1973">
        <v>3964</v>
      </c>
      <c r="F1973" s="3">
        <v>184</v>
      </c>
      <c r="G1973">
        <v>22</v>
      </c>
      <c r="H1973">
        <v>6</v>
      </c>
      <c r="I1973" s="5">
        <v>3.8461538461538401E-2</v>
      </c>
      <c r="J1973" s="3">
        <v>386</v>
      </c>
      <c r="K1973" s="1">
        <v>45626</v>
      </c>
      <c r="L1973" t="s">
        <v>25</v>
      </c>
      <c r="M1973" t="s">
        <v>39</v>
      </c>
      <c r="N1973" t="s">
        <v>44</v>
      </c>
      <c r="O1973" t="s">
        <v>28</v>
      </c>
      <c r="P1973" t="s">
        <v>29</v>
      </c>
      <c r="Q1973" s="6">
        <v>1.18217948717948</v>
      </c>
      <c r="R1973">
        <v>3.94</v>
      </c>
      <c r="S1973">
        <v>8.3800000000000008</v>
      </c>
      <c r="T1973">
        <v>30.74</v>
      </c>
      <c r="U1973">
        <v>109.3</v>
      </c>
      <c r="V1973">
        <v>64.33</v>
      </c>
      <c r="W1973">
        <v>2.09</v>
      </c>
    </row>
    <row r="1974" spans="1:23" x14ac:dyDescent="0.3">
      <c r="A1974">
        <v>1974</v>
      </c>
      <c r="B1974" t="s">
        <v>2017</v>
      </c>
      <c r="C1974" t="s">
        <v>24</v>
      </c>
      <c r="D1974">
        <v>136</v>
      </c>
      <c r="E1974">
        <v>5645</v>
      </c>
      <c r="F1974" s="3">
        <v>196</v>
      </c>
      <c r="G1974">
        <v>26</v>
      </c>
      <c r="H1974">
        <v>4</v>
      </c>
      <c r="I1974" s="5">
        <v>2.94117647058823E-2</v>
      </c>
      <c r="J1974" s="3">
        <v>362</v>
      </c>
      <c r="K1974" s="1">
        <v>45597</v>
      </c>
      <c r="L1974" t="s">
        <v>25</v>
      </c>
      <c r="M1974" t="s">
        <v>39</v>
      </c>
      <c r="N1974" t="s">
        <v>27</v>
      </c>
      <c r="O1974" t="s">
        <v>28</v>
      </c>
      <c r="P1974" t="s">
        <v>45</v>
      </c>
      <c r="Q1974" s="6">
        <v>1.4378676470588201</v>
      </c>
      <c r="R1974">
        <v>2.41</v>
      </c>
      <c r="S1974">
        <v>7.52</v>
      </c>
      <c r="T1974">
        <v>48.89</v>
      </c>
      <c r="U1974">
        <v>85.12</v>
      </c>
      <c r="V1974">
        <v>90.5</v>
      </c>
      <c r="W1974">
        <v>1.85</v>
      </c>
    </row>
    <row r="1975" spans="1:23" x14ac:dyDescent="0.3">
      <c r="A1975">
        <v>1975</v>
      </c>
      <c r="B1975" t="s">
        <v>2018</v>
      </c>
      <c r="C1975" t="s">
        <v>35</v>
      </c>
      <c r="D1975">
        <v>107</v>
      </c>
      <c r="E1975">
        <v>5272</v>
      </c>
      <c r="F1975" s="3">
        <v>223</v>
      </c>
      <c r="G1975">
        <v>16</v>
      </c>
      <c r="H1975">
        <v>8</v>
      </c>
      <c r="I1975" s="5">
        <v>7.4766355140186896E-2</v>
      </c>
      <c r="J1975" s="3">
        <v>227</v>
      </c>
      <c r="K1975" s="1">
        <v>45624</v>
      </c>
      <c r="L1975" t="s">
        <v>25</v>
      </c>
      <c r="M1975" t="s">
        <v>26</v>
      </c>
      <c r="N1975" t="s">
        <v>27</v>
      </c>
      <c r="O1975" t="s">
        <v>28</v>
      </c>
      <c r="P1975" t="s">
        <v>54</v>
      </c>
      <c r="Q1975" s="6">
        <v>2.08579439252336</v>
      </c>
      <c r="R1975">
        <v>2.0299999999999998</v>
      </c>
      <c r="S1975">
        <v>13.95</v>
      </c>
      <c r="T1975">
        <v>27.9</v>
      </c>
      <c r="U1975">
        <v>1.71</v>
      </c>
      <c r="V1975">
        <v>28.38</v>
      </c>
      <c r="W1975">
        <v>1.02</v>
      </c>
    </row>
    <row r="1976" spans="1:23" x14ac:dyDescent="0.3">
      <c r="A1976">
        <v>1976</v>
      </c>
      <c r="B1976" t="s">
        <v>2019</v>
      </c>
      <c r="C1976" t="s">
        <v>24</v>
      </c>
      <c r="D1976">
        <v>86</v>
      </c>
      <c r="E1976">
        <v>4824</v>
      </c>
      <c r="F1976" s="3">
        <v>232</v>
      </c>
      <c r="G1976">
        <v>20</v>
      </c>
      <c r="H1976">
        <v>7</v>
      </c>
      <c r="I1976" s="5">
        <v>8.1395348837209294E-2</v>
      </c>
      <c r="J1976" s="3">
        <v>284</v>
      </c>
      <c r="K1976" s="1">
        <v>45606</v>
      </c>
      <c r="L1976" t="s">
        <v>25</v>
      </c>
      <c r="M1976" t="s">
        <v>39</v>
      </c>
      <c r="N1976" t="s">
        <v>36</v>
      </c>
      <c r="O1976" t="s">
        <v>28</v>
      </c>
      <c r="P1976" t="s">
        <v>50</v>
      </c>
      <c r="Q1976" s="6">
        <v>2.6931395348837199</v>
      </c>
      <c r="R1976">
        <v>1.78</v>
      </c>
      <c r="S1976">
        <v>11.58</v>
      </c>
      <c r="T1976">
        <v>33.090000000000003</v>
      </c>
      <c r="U1976">
        <v>22.62</v>
      </c>
      <c r="V1976">
        <v>40.57</v>
      </c>
      <c r="W1976">
        <v>1.23</v>
      </c>
    </row>
    <row r="1977" spans="1:23" x14ac:dyDescent="0.3">
      <c r="A1977">
        <v>1977</v>
      </c>
      <c r="B1977" t="s">
        <v>2020</v>
      </c>
      <c r="C1977" t="s">
        <v>43</v>
      </c>
      <c r="D1977">
        <v>165</v>
      </c>
      <c r="E1977">
        <v>5455</v>
      </c>
      <c r="F1977" s="3">
        <v>192</v>
      </c>
      <c r="G1977">
        <v>30</v>
      </c>
      <c r="H1977">
        <v>5</v>
      </c>
      <c r="I1977" s="5">
        <v>3.03030303030303E-2</v>
      </c>
      <c r="J1977" s="3">
        <v>234</v>
      </c>
      <c r="K1977" s="1">
        <v>45598</v>
      </c>
      <c r="L1977" t="s">
        <v>25</v>
      </c>
      <c r="M1977" t="s">
        <v>26</v>
      </c>
      <c r="N1977" t="s">
        <v>40</v>
      </c>
      <c r="O1977" t="s">
        <v>28</v>
      </c>
      <c r="P1977" t="s">
        <v>29</v>
      </c>
      <c r="Q1977" s="6">
        <v>1.1621212121212099</v>
      </c>
      <c r="R1977">
        <v>3.02</v>
      </c>
      <c r="S1977">
        <v>6.39</v>
      </c>
      <c r="T1977">
        <v>38.35</v>
      </c>
      <c r="U1977">
        <v>22.03</v>
      </c>
      <c r="V1977">
        <v>46.8</v>
      </c>
      <c r="W1977">
        <v>1.22</v>
      </c>
    </row>
    <row r="1978" spans="1:23" x14ac:dyDescent="0.3">
      <c r="A1978">
        <v>1978</v>
      </c>
      <c r="B1978" t="s">
        <v>2021</v>
      </c>
      <c r="C1978" t="s">
        <v>43</v>
      </c>
      <c r="D1978">
        <v>145</v>
      </c>
      <c r="E1978">
        <v>3779</v>
      </c>
      <c r="F1978" s="3">
        <v>183</v>
      </c>
      <c r="G1978">
        <v>27</v>
      </c>
      <c r="H1978">
        <v>4</v>
      </c>
      <c r="I1978" s="5">
        <v>2.7586206896551699E-2</v>
      </c>
      <c r="J1978" s="3">
        <v>278</v>
      </c>
      <c r="K1978" s="1">
        <v>45620</v>
      </c>
      <c r="L1978" t="s">
        <v>25</v>
      </c>
      <c r="M1978" t="s">
        <v>39</v>
      </c>
      <c r="N1978" t="s">
        <v>49</v>
      </c>
      <c r="O1978" t="s">
        <v>28</v>
      </c>
      <c r="P1978" t="s">
        <v>50</v>
      </c>
      <c r="Q1978" s="6">
        <v>1.2596551724137901</v>
      </c>
      <c r="R1978">
        <v>3.84</v>
      </c>
      <c r="S1978">
        <v>6.76</v>
      </c>
      <c r="T1978">
        <v>45.66</v>
      </c>
      <c r="U1978">
        <v>52.2</v>
      </c>
      <c r="V1978">
        <v>69.5</v>
      </c>
      <c r="W1978">
        <v>1.52</v>
      </c>
    </row>
    <row r="1979" spans="1:23" x14ac:dyDescent="0.3">
      <c r="A1979">
        <v>1979</v>
      </c>
      <c r="B1979" t="s">
        <v>2022</v>
      </c>
      <c r="C1979" t="s">
        <v>24</v>
      </c>
      <c r="D1979">
        <v>99</v>
      </c>
      <c r="E1979">
        <v>5981</v>
      </c>
      <c r="F1979" s="3">
        <v>244</v>
      </c>
      <c r="G1979">
        <v>16</v>
      </c>
      <c r="H1979">
        <v>9</v>
      </c>
      <c r="I1979" s="5">
        <v>9.0909090909090898E-2</v>
      </c>
      <c r="J1979" s="3">
        <v>383</v>
      </c>
      <c r="K1979" s="1">
        <v>45607</v>
      </c>
      <c r="L1979" t="s">
        <v>25</v>
      </c>
      <c r="M1979" t="s">
        <v>26</v>
      </c>
      <c r="N1979" t="s">
        <v>36</v>
      </c>
      <c r="O1979" t="s">
        <v>28</v>
      </c>
      <c r="P1979" t="s">
        <v>59</v>
      </c>
      <c r="Q1979" s="6">
        <v>2.4635353535353501</v>
      </c>
      <c r="R1979">
        <v>1.66</v>
      </c>
      <c r="S1979">
        <v>15.24</v>
      </c>
      <c r="T1979">
        <v>27.1</v>
      </c>
      <c r="U1979">
        <v>57.04</v>
      </c>
      <c r="V1979">
        <v>42.56</v>
      </c>
      <c r="W1979">
        <v>1.57</v>
      </c>
    </row>
    <row r="1980" spans="1:23" x14ac:dyDescent="0.3">
      <c r="A1980">
        <v>1980</v>
      </c>
      <c r="B1980" t="s">
        <v>2023</v>
      </c>
      <c r="C1980" t="s">
        <v>38</v>
      </c>
      <c r="D1980">
        <v>181</v>
      </c>
      <c r="E1980">
        <v>5954</v>
      </c>
      <c r="F1980" s="3">
        <v>216</v>
      </c>
      <c r="G1980">
        <v>27</v>
      </c>
      <c r="H1980">
        <v>10</v>
      </c>
      <c r="I1980" s="5">
        <v>5.5248618784530301E-2</v>
      </c>
      <c r="J1980" s="3">
        <v>384</v>
      </c>
      <c r="K1980" s="1">
        <v>45624</v>
      </c>
      <c r="L1980" t="s">
        <v>25</v>
      </c>
      <c r="M1980" t="s">
        <v>26</v>
      </c>
      <c r="N1980" t="s">
        <v>40</v>
      </c>
      <c r="O1980" t="s">
        <v>28</v>
      </c>
      <c r="P1980" t="s">
        <v>54</v>
      </c>
      <c r="Q1980" s="6">
        <v>1.19348066298342</v>
      </c>
      <c r="R1980">
        <v>3.04</v>
      </c>
      <c r="S1980">
        <v>8</v>
      </c>
      <c r="T1980">
        <v>21.6</v>
      </c>
      <c r="U1980">
        <v>77.760000000000005</v>
      </c>
      <c r="V1980">
        <v>38.4</v>
      </c>
      <c r="W1980">
        <v>1.78</v>
      </c>
    </row>
    <row r="1981" spans="1:23" x14ac:dyDescent="0.3">
      <c r="A1981">
        <v>1981</v>
      </c>
      <c r="B1981" t="s">
        <v>2024</v>
      </c>
      <c r="C1981" t="s">
        <v>24</v>
      </c>
      <c r="D1981">
        <v>139</v>
      </c>
      <c r="E1981">
        <v>5055</v>
      </c>
      <c r="F1981" s="3">
        <v>215</v>
      </c>
      <c r="G1981">
        <v>19</v>
      </c>
      <c r="H1981">
        <v>8</v>
      </c>
      <c r="I1981" s="5">
        <v>5.7553956834532301E-2</v>
      </c>
      <c r="J1981" s="3">
        <v>346</v>
      </c>
      <c r="K1981" s="1">
        <v>45625</v>
      </c>
      <c r="L1981" t="s">
        <v>25</v>
      </c>
      <c r="M1981" t="s">
        <v>39</v>
      </c>
      <c r="N1981" t="s">
        <v>44</v>
      </c>
      <c r="O1981" t="s">
        <v>28</v>
      </c>
      <c r="P1981" t="s">
        <v>45</v>
      </c>
      <c r="Q1981" s="6">
        <v>1.5454545454545401</v>
      </c>
      <c r="R1981">
        <v>2.75</v>
      </c>
      <c r="S1981">
        <v>11.31</v>
      </c>
      <c r="T1981">
        <v>26.85</v>
      </c>
      <c r="U1981">
        <v>61.07</v>
      </c>
      <c r="V1981">
        <v>43.25</v>
      </c>
      <c r="W1981">
        <v>1.61</v>
      </c>
    </row>
    <row r="1982" spans="1:23" x14ac:dyDescent="0.3">
      <c r="A1982">
        <v>1982</v>
      </c>
      <c r="B1982" t="s">
        <v>2025</v>
      </c>
      <c r="C1982" t="s">
        <v>24</v>
      </c>
      <c r="D1982">
        <v>153</v>
      </c>
      <c r="E1982">
        <v>4524</v>
      </c>
      <c r="F1982" s="3">
        <v>224</v>
      </c>
      <c r="G1982">
        <v>20</v>
      </c>
      <c r="H1982">
        <v>4</v>
      </c>
      <c r="I1982" s="5">
        <v>2.61437908496732E-2</v>
      </c>
      <c r="J1982" s="3">
        <v>221</v>
      </c>
      <c r="K1982" s="1">
        <v>45601</v>
      </c>
      <c r="L1982" t="s">
        <v>25</v>
      </c>
      <c r="M1982" t="s">
        <v>39</v>
      </c>
      <c r="N1982" t="s">
        <v>27</v>
      </c>
      <c r="O1982" t="s">
        <v>28</v>
      </c>
      <c r="P1982" t="s">
        <v>41</v>
      </c>
      <c r="Q1982" s="6">
        <v>1.46503267973856</v>
      </c>
      <c r="R1982">
        <v>3.38</v>
      </c>
      <c r="S1982">
        <v>11.21</v>
      </c>
      <c r="T1982">
        <v>56.04</v>
      </c>
      <c r="U1982">
        <v>-1.41</v>
      </c>
      <c r="V1982">
        <v>55.25</v>
      </c>
      <c r="W1982">
        <v>0.99</v>
      </c>
    </row>
    <row r="1983" spans="1:23" x14ac:dyDescent="0.3">
      <c r="A1983">
        <v>1983</v>
      </c>
      <c r="B1983" t="s">
        <v>2026</v>
      </c>
      <c r="C1983" t="s">
        <v>24</v>
      </c>
      <c r="D1983">
        <v>184</v>
      </c>
      <c r="E1983">
        <v>5903</v>
      </c>
      <c r="F1983" s="3">
        <v>182</v>
      </c>
      <c r="G1983">
        <v>15</v>
      </c>
      <c r="H1983">
        <v>10</v>
      </c>
      <c r="I1983" s="5">
        <v>5.4347826086956499E-2</v>
      </c>
      <c r="J1983" s="3">
        <v>251</v>
      </c>
      <c r="K1983" s="1">
        <v>45621</v>
      </c>
      <c r="L1983" t="s">
        <v>25</v>
      </c>
      <c r="M1983" t="s">
        <v>31</v>
      </c>
      <c r="N1983" t="s">
        <v>27</v>
      </c>
      <c r="O1983" t="s">
        <v>28</v>
      </c>
      <c r="P1983" t="s">
        <v>59</v>
      </c>
      <c r="Q1983" s="6">
        <v>0.99184782608695599</v>
      </c>
      <c r="R1983">
        <v>3.12</v>
      </c>
      <c r="S1983">
        <v>12.17</v>
      </c>
      <c r="T1983">
        <v>18.25</v>
      </c>
      <c r="U1983">
        <v>37.53</v>
      </c>
      <c r="V1983">
        <v>25.1</v>
      </c>
      <c r="W1983">
        <v>1.38</v>
      </c>
    </row>
    <row r="1984" spans="1:23" x14ac:dyDescent="0.3">
      <c r="A1984">
        <v>1984</v>
      </c>
      <c r="B1984" t="s">
        <v>2027</v>
      </c>
      <c r="C1984" t="s">
        <v>24</v>
      </c>
      <c r="D1984">
        <v>119</v>
      </c>
      <c r="E1984">
        <v>5050</v>
      </c>
      <c r="F1984" s="3">
        <v>181</v>
      </c>
      <c r="G1984">
        <v>12</v>
      </c>
      <c r="H1984">
        <v>8</v>
      </c>
      <c r="I1984" s="5">
        <v>6.7226890756302504E-2</v>
      </c>
      <c r="J1984" s="3">
        <v>254</v>
      </c>
      <c r="K1984" s="1">
        <v>45600</v>
      </c>
      <c r="L1984" t="s">
        <v>25</v>
      </c>
      <c r="M1984" t="s">
        <v>31</v>
      </c>
      <c r="N1984" t="s">
        <v>49</v>
      </c>
      <c r="O1984" t="s">
        <v>28</v>
      </c>
      <c r="P1984" t="s">
        <v>59</v>
      </c>
      <c r="Q1984" s="6">
        <v>1.51739495798319</v>
      </c>
      <c r="R1984">
        <v>2.36</v>
      </c>
      <c r="S1984">
        <v>15.05</v>
      </c>
      <c r="T1984">
        <v>22.57</v>
      </c>
      <c r="U1984">
        <v>40.67</v>
      </c>
      <c r="V1984">
        <v>31.75</v>
      </c>
      <c r="W1984">
        <v>1.41</v>
      </c>
    </row>
    <row r="1985" spans="1:23" x14ac:dyDescent="0.3">
      <c r="A1985">
        <v>1985</v>
      </c>
      <c r="B1985" t="s">
        <v>2028</v>
      </c>
      <c r="C1985" t="s">
        <v>24</v>
      </c>
      <c r="D1985">
        <v>109</v>
      </c>
      <c r="E1985">
        <v>4816</v>
      </c>
      <c r="F1985" s="3">
        <v>183</v>
      </c>
      <c r="G1985">
        <v>27</v>
      </c>
      <c r="H1985">
        <v>8</v>
      </c>
      <c r="I1985" s="5">
        <v>7.3394495412843999E-2</v>
      </c>
      <c r="J1985" s="3">
        <v>229</v>
      </c>
      <c r="K1985" s="1">
        <v>45617</v>
      </c>
      <c r="L1985" t="s">
        <v>25</v>
      </c>
      <c r="M1985" t="s">
        <v>26</v>
      </c>
      <c r="N1985" t="s">
        <v>40</v>
      </c>
      <c r="O1985" t="s">
        <v>28</v>
      </c>
      <c r="P1985" t="s">
        <v>54</v>
      </c>
      <c r="Q1985" s="6">
        <v>1.6779816513761401</v>
      </c>
      <c r="R1985">
        <v>2.2599999999999998</v>
      </c>
      <c r="S1985">
        <v>6.77</v>
      </c>
      <c r="T1985">
        <v>22.86</v>
      </c>
      <c r="U1985">
        <v>25.21</v>
      </c>
      <c r="V1985">
        <v>28.62</v>
      </c>
      <c r="W1985">
        <v>1.25</v>
      </c>
    </row>
    <row r="1986" spans="1:23" x14ac:dyDescent="0.3">
      <c r="A1986">
        <v>1986</v>
      </c>
      <c r="B1986" t="s">
        <v>2029</v>
      </c>
      <c r="C1986" t="s">
        <v>24</v>
      </c>
      <c r="D1986">
        <v>168</v>
      </c>
      <c r="E1986">
        <v>4070</v>
      </c>
      <c r="F1986" s="3">
        <v>223</v>
      </c>
      <c r="G1986">
        <v>29</v>
      </c>
      <c r="H1986">
        <v>7</v>
      </c>
      <c r="I1986" s="5">
        <v>4.1666666666666602E-2</v>
      </c>
      <c r="J1986" s="3">
        <v>354</v>
      </c>
      <c r="K1986" s="1">
        <v>45608</v>
      </c>
      <c r="L1986" t="s">
        <v>25</v>
      </c>
      <c r="M1986" t="s">
        <v>31</v>
      </c>
      <c r="N1986" t="s">
        <v>40</v>
      </c>
      <c r="O1986" t="s">
        <v>28</v>
      </c>
      <c r="P1986" t="s">
        <v>41</v>
      </c>
      <c r="Q1986" s="6">
        <v>1.3273214285714201</v>
      </c>
      <c r="R1986">
        <v>4.13</v>
      </c>
      <c r="S1986">
        <v>7.69</v>
      </c>
      <c r="T1986">
        <v>31.86</v>
      </c>
      <c r="U1986">
        <v>58.75</v>
      </c>
      <c r="V1986">
        <v>50.57</v>
      </c>
      <c r="W1986">
        <v>1.59</v>
      </c>
    </row>
    <row r="1987" spans="1:23" x14ac:dyDescent="0.3">
      <c r="A1987">
        <v>1987</v>
      </c>
      <c r="B1987" t="s">
        <v>2030</v>
      </c>
      <c r="C1987" t="s">
        <v>38</v>
      </c>
      <c r="D1987">
        <v>177</v>
      </c>
      <c r="E1987">
        <v>5827</v>
      </c>
      <c r="F1987" s="3">
        <v>191</v>
      </c>
      <c r="G1987">
        <v>14</v>
      </c>
      <c r="H1987">
        <v>3</v>
      </c>
      <c r="I1987" s="5">
        <v>1.6949152542372801E-2</v>
      </c>
      <c r="J1987" s="3">
        <v>353</v>
      </c>
      <c r="K1987" s="1">
        <v>45626</v>
      </c>
      <c r="L1987" t="s">
        <v>25</v>
      </c>
      <c r="M1987" t="s">
        <v>26</v>
      </c>
      <c r="N1987" t="s">
        <v>32</v>
      </c>
      <c r="O1987" t="s">
        <v>28</v>
      </c>
      <c r="P1987" t="s">
        <v>29</v>
      </c>
      <c r="Q1987" s="6">
        <v>1.07870056497175</v>
      </c>
      <c r="R1987">
        <v>3.04</v>
      </c>
      <c r="S1987">
        <v>13.64</v>
      </c>
      <c r="T1987">
        <v>63.64</v>
      </c>
      <c r="U1987">
        <v>84.88</v>
      </c>
      <c r="V1987">
        <v>117.67</v>
      </c>
      <c r="W1987">
        <v>1.85</v>
      </c>
    </row>
    <row r="1988" spans="1:23" x14ac:dyDescent="0.3">
      <c r="A1988">
        <v>1988</v>
      </c>
      <c r="B1988" t="s">
        <v>2031</v>
      </c>
      <c r="C1988" t="s">
        <v>43</v>
      </c>
      <c r="D1988">
        <v>82</v>
      </c>
      <c r="E1988">
        <v>4922</v>
      </c>
      <c r="F1988" s="3">
        <v>235</v>
      </c>
      <c r="G1988">
        <v>27</v>
      </c>
      <c r="H1988">
        <v>10</v>
      </c>
      <c r="I1988" s="5">
        <v>0.12195121951219499</v>
      </c>
      <c r="J1988" s="3">
        <v>318</v>
      </c>
      <c r="K1988" s="1">
        <v>45613</v>
      </c>
      <c r="L1988" t="s">
        <v>25</v>
      </c>
      <c r="M1988" t="s">
        <v>26</v>
      </c>
      <c r="N1988" t="s">
        <v>40</v>
      </c>
      <c r="O1988" t="s">
        <v>28</v>
      </c>
      <c r="P1988" t="s">
        <v>50</v>
      </c>
      <c r="Q1988" s="6">
        <v>2.8636585365853602</v>
      </c>
      <c r="R1988">
        <v>1.67</v>
      </c>
      <c r="S1988">
        <v>8.6999999999999993</v>
      </c>
      <c r="T1988">
        <v>23.48</v>
      </c>
      <c r="U1988">
        <v>35.42</v>
      </c>
      <c r="V1988">
        <v>31.8</v>
      </c>
      <c r="W1988">
        <v>1.35</v>
      </c>
    </row>
    <row r="1989" spans="1:23" x14ac:dyDescent="0.3">
      <c r="A1989">
        <v>1989</v>
      </c>
      <c r="B1989" t="s">
        <v>2032</v>
      </c>
      <c r="C1989" t="s">
        <v>24</v>
      </c>
      <c r="D1989">
        <v>112</v>
      </c>
      <c r="E1989">
        <v>4277</v>
      </c>
      <c r="F1989" s="3">
        <v>250</v>
      </c>
      <c r="G1989">
        <v>27</v>
      </c>
      <c r="H1989">
        <v>3</v>
      </c>
      <c r="I1989" s="5">
        <v>2.6785714285714201E-2</v>
      </c>
      <c r="J1989" s="3">
        <v>399</v>
      </c>
      <c r="K1989" s="1">
        <v>45622</v>
      </c>
      <c r="L1989" t="s">
        <v>25</v>
      </c>
      <c r="M1989" t="s">
        <v>39</v>
      </c>
      <c r="N1989" t="s">
        <v>36</v>
      </c>
      <c r="O1989" t="s">
        <v>28</v>
      </c>
      <c r="P1989" t="s">
        <v>41</v>
      </c>
      <c r="Q1989" s="6">
        <v>2.2290178571428498</v>
      </c>
      <c r="R1989">
        <v>2.62</v>
      </c>
      <c r="S1989">
        <v>9.25</v>
      </c>
      <c r="T1989">
        <v>83.22</v>
      </c>
      <c r="U1989">
        <v>59.82</v>
      </c>
      <c r="V1989">
        <v>133</v>
      </c>
      <c r="W1989">
        <v>1.6</v>
      </c>
    </row>
    <row r="1990" spans="1:23" x14ac:dyDescent="0.3">
      <c r="A1990">
        <v>1990</v>
      </c>
      <c r="B1990" t="s">
        <v>2033</v>
      </c>
      <c r="C1990" t="s">
        <v>35</v>
      </c>
      <c r="D1990">
        <v>99</v>
      </c>
      <c r="E1990">
        <v>3418</v>
      </c>
      <c r="F1990" s="3">
        <v>196</v>
      </c>
      <c r="G1990">
        <v>19</v>
      </c>
      <c r="H1990">
        <v>10</v>
      </c>
      <c r="I1990" s="5">
        <v>0.10101010101010099</v>
      </c>
      <c r="J1990" s="3">
        <v>253</v>
      </c>
      <c r="K1990" s="1">
        <v>45600</v>
      </c>
      <c r="L1990" t="s">
        <v>25</v>
      </c>
      <c r="M1990" t="s">
        <v>26</v>
      </c>
      <c r="N1990" t="s">
        <v>40</v>
      </c>
      <c r="O1990" t="s">
        <v>28</v>
      </c>
      <c r="P1990" t="s">
        <v>59</v>
      </c>
      <c r="Q1990" s="6">
        <v>1.97888888888888</v>
      </c>
      <c r="R1990">
        <v>2.9</v>
      </c>
      <c r="S1990">
        <v>10.31</v>
      </c>
      <c r="T1990">
        <v>19.59</v>
      </c>
      <c r="U1990">
        <v>29.14</v>
      </c>
      <c r="V1990">
        <v>25.3</v>
      </c>
      <c r="W1990">
        <v>1.29</v>
      </c>
    </row>
    <row r="1991" spans="1:23" x14ac:dyDescent="0.3">
      <c r="A1991">
        <v>1991</v>
      </c>
      <c r="B1991" t="s">
        <v>2034</v>
      </c>
      <c r="C1991" t="s">
        <v>24</v>
      </c>
      <c r="D1991">
        <v>89</v>
      </c>
      <c r="E1991">
        <v>3363</v>
      </c>
      <c r="F1991" s="3">
        <v>220</v>
      </c>
      <c r="G1991">
        <v>26</v>
      </c>
      <c r="H1991">
        <v>4</v>
      </c>
      <c r="I1991" s="5">
        <v>4.49438202247191E-2</v>
      </c>
      <c r="J1991" s="3">
        <v>396</v>
      </c>
      <c r="K1991" s="1">
        <v>45605</v>
      </c>
      <c r="L1991" t="s">
        <v>25</v>
      </c>
      <c r="M1991" t="s">
        <v>26</v>
      </c>
      <c r="N1991" t="s">
        <v>32</v>
      </c>
      <c r="O1991" t="s">
        <v>28</v>
      </c>
      <c r="P1991" t="s">
        <v>29</v>
      </c>
      <c r="Q1991" s="6">
        <v>2.47269662921348</v>
      </c>
      <c r="R1991">
        <v>2.65</v>
      </c>
      <c r="S1991">
        <v>8.4600000000000009</v>
      </c>
      <c r="T1991">
        <v>55.02</v>
      </c>
      <c r="U1991">
        <v>79.94</v>
      </c>
      <c r="V1991">
        <v>99</v>
      </c>
      <c r="W1991">
        <v>1.8</v>
      </c>
    </row>
    <row r="1992" spans="1:23" x14ac:dyDescent="0.3">
      <c r="A1992">
        <v>1992</v>
      </c>
      <c r="B1992" t="s">
        <v>2035</v>
      </c>
      <c r="C1992" t="s">
        <v>38</v>
      </c>
      <c r="D1992">
        <v>154</v>
      </c>
      <c r="E1992">
        <v>4828</v>
      </c>
      <c r="F1992" s="3">
        <v>233</v>
      </c>
      <c r="G1992">
        <v>24</v>
      </c>
      <c r="H1992">
        <v>6</v>
      </c>
      <c r="I1992" s="5">
        <v>3.8961038961038898E-2</v>
      </c>
      <c r="J1992" s="3">
        <v>339</v>
      </c>
      <c r="K1992" s="1">
        <v>45598</v>
      </c>
      <c r="L1992" t="s">
        <v>25</v>
      </c>
      <c r="M1992" t="s">
        <v>39</v>
      </c>
      <c r="N1992" t="s">
        <v>27</v>
      </c>
      <c r="O1992" t="s">
        <v>28</v>
      </c>
      <c r="P1992" t="s">
        <v>29</v>
      </c>
      <c r="Q1992" s="6">
        <v>1.51551948051948</v>
      </c>
      <c r="R1992">
        <v>3.19</v>
      </c>
      <c r="S1992">
        <v>9.7200000000000006</v>
      </c>
      <c r="T1992">
        <v>38.9</v>
      </c>
      <c r="U1992">
        <v>45.25</v>
      </c>
      <c r="V1992">
        <v>56.5</v>
      </c>
      <c r="W1992">
        <v>1.45</v>
      </c>
    </row>
    <row r="1993" spans="1:23" x14ac:dyDescent="0.3">
      <c r="A1993">
        <v>1993</v>
      </c>
      <c r="B1993" t="s">
        <v>2036</v>
      </c>
      <c r="C1993" t="s">
        <v>38</v>
      </c>
      <c r="D1993">
        <v>155</v>
      </c>
      <c r="E1993">
        <v>4135</v>
      </c>
      <c r="F1993" s="3">
        <v>227</v>
      </c>
      <c r="G1993">
        <v>26</v>
      </c>
      <c r="H1993">
        <v>7</v>
      </c>
      <c r="I1993" s="5">
        <v>4.5161290322580601E-2</v>
      </c>
      <c r="J1993" s="3">
        <v>294</v>
      </c>
      <c r="K1993" s="1">
        <v>45618</v>
      </c>
      <c r="L1993" t="s">
        <v>25</v>
      </c>
      <c r="M1993" t="s">
        <v>39</v>
      </c>
      <c r="N1993" t="s">
        <v>49</v>
      </c>
      <c r="O1993" t="s">
        <v>28</v>
      </c>
      <c r="P1993" t="s">
        <v>45</v>
      </c>
      <c r="Q1993" s="6">
        <v>1.4623225806451601</v>
      </c>
      <c r="R1993">
        <v>3.75</v>
      </c>
      <c r="S1993">
        <v>8.7200000000000006</v>
      </c>
      <c r="T1993">
        <v>32.380000000000003</v>
      </c>
      <c r="U1993">
        <v>29.71</v>
      </c>
      <c r="V1993">
        <v>42</v>
      </c>
      <c r="W1993">
        <v>1.3</v>
      </c>
    </row>
    <row r="1994" spans="1:23" x14ac:dyDescent="0.3">
      <c r="A1994">
        <v>1994</v>
      </c>
      <c r="B1994" t="s">
        <v>2037</v>
      </c>
      <c r="C1994" t="s">
        <v>38</v>
      </c>
      <c r="D1994">
        <v>188</v>
      </c>
      <c r="E1994">
        <v>5254</v>
      </c>
      <c r="F1994" s="3">
        <v>190</v>
      </c>
      <c r="G1994">
        <v>27</v>
      </c>
      <c r="H1994">
        <v>7</v>
      </c>
      <c r="I1994" s="5">
        <v>3.7234042553191397E-2</v>
      </c>
      <c r="J1994" s="3">
        <v>372</v>
      </c>
      <c r="K1994" s="1">
        <v>45612</v>
      </c>
      <c r="L1994" t="s">
        <v>25</v>
      </c>
      <c r="M1994" t="s">
        <v>26</v>
      </c>
      <c r="N1994" t="s">
        <v>44</v>
      </c>
      <c r="O1994" t="s">
        <v>28</v>
      </c>
      <c r="P1994" t="s">
        <v>29</v>
      </c>
      <c r="Q1994" s="6">
        <v>1.01292553191489</v>
      </c>
      <c r="R1994">
        <v>3.58</v>
      </c>
      <c r="S1994">
        <v>7.05</v>
      </c>
      <c r="T1994">
        <v>27.2</v>
      </c>
      <c r="U1994">
        <v>95.35</v>
      </c>
      <c r="V1994">
        <v>53.14</v>
      </c>
      <c r="W1994">
        <v>1.95</v>
      </c>
    </row>
    <row r="1995" spans="1:23" x14ac:dyDescent="0.3">
      <c r="A1995">
        <v>1995</v>
      </c>
      <c r="B1995" t="s">
        <v>2038</v>
      </c>
      <c r="C1995" t="s">
        <v>24</v>
      </c>
      <c r="D1995">
        <v>83</v>
      </c>
      <c r="E1995">
        <v>4439</v>
      </c>
      <c r="F1995" s="3">
        <v>232</v>
      </c>
      <c r="G1995">
        <v>28</v>
      </c>
      <c r="H1995">
        <v>7</v>
      </c>
      <c r="I1995" s="5">
        <v>8.43373493975903E-2</v>
      </c>
      <c r="J1995" s="3">
        <v>320</v>
      </c>
      <c r="K1995" s="1">
        <v>45615</v>
      </c>
      <c r="L1995" t="s">
        <v>25</v>
      </c>
      <c r="M1995" t="s">
        <v>31</v>
      </c>
      <c r="N1995" t="s">
        <v>40</v>
      </c>
      <c r="O1995" t="s">
        <v>28</v>
      </c>
      <c r="P1995" t="s">
        <v>41</v>
      </c>
      <c r="Q1995" s="6">
        <v>2.7967469879518001</v>
      </c>
      <c r="R1995">
        <v>1.87</v>
      </c>
      <c r="S1995">
        <v>8.2899999999999991</v>
      </c>
      <c r="T1995">
        <v>33.159999999999997</v>
      </c>
      <c r="U1995">
        <v>37.85</v>
      </c>
      <c r="V1995">
        <v>45.71</v>
      </c>
      <c r="W1995">
        <v>1.38</v>
      </c>
    </row>
    <row r="1996" spans="1:23" x14ac:dyDescent="0.3">
      <c r="A1996">
        <v>1996</v>
      </c>
      <c r="B1996" t="s">
        <v>2039</v>
      </c>
      <c r="C1996" t="s">
        <v>38</v>
      </c>
      <c r="D1996">
        <v>127</v>
      </c>
      <c r="E1996">
        <v>3053</v>
      </c>
      <c r="F1996" s="3">
        <v>184</v>
      </c>
      <c r="G1996">
        <v>10</v>
      </c>
      <c r="H1996">
        <v>8</v>
      </c>
      <c r="I1996" s="5">
        <v>6.2992125984251898E-2</v>
      </c>
      <c r="J1996" s="3">
        <v>341</v>
      </c>
      <c r="K1996" s="1">
        <v>45609</v>
      </c>
      <c r="L1996" t="s">
        <v>25</v>
      </c>
      <c r="M1996" t="s">
        <v>39</v>
      </c>
      <c r="N1996" t="s">
        <v>32</v>
      </c>
      <c r="O1996" t="s">
        <v>28</v>
      </c>
      <c r="P1996" t="s">
        <v>33</v>
      </c>
      <c r="Q1996" s="6">
        <v>1.44543307086614</v>
      </c>
      <c r="R1996">
        <v>4.16</v>
      </c>
      <c r="S1996">
        <v>18.36</v>
      </c>
      <c r="T1996">
        <v>22.95</v>
      </c>
      <c r="U1996">
        <v>85.76</v>
      </c>
      <c r="V1996">
        <v>42.62</v>
      </c>
      <c r="W1996">
        <v>1.86</v>
      </c>
    </row>
    <row r="1997" spans="1:23" x14ac:dyDescent="0.3">
      <c r="A1997">
        <v>1997</v>
      </c>
      <c r="B1997" t="s">
        <v>2040</v>
      </c>
      <c r="C1997" t="s">
        <v>38</v>
      </c>
      <c r="D1997">
        <v>141</v>
      </c>
      <c r="E1997">
        <v>5550</v>
      </c>
      <c r="F1997" s="3">
        <v>214</v>
      </c>
      <c r="G1997">
        <v>20</v>
      </c>
      <c r="H1997">
        <v>10</v>
      </c>
      <c r="I1997" s="5">
        <v>7.09219858156028E-2</v>
      </c>
      <c r="J1997" s="3">
        <v>315</v>
      </c>
      <c r="K1997" s="1">
        <v>45611</v>
      </c>
      <c r="L1997" t="s">
        <v>25</v>
      </c>
      <c r="M1997" t="s">
        <v>39</v>
      </c>
      <c r="N1997" t="s">
        <v>36</v>
      </c>
      <c r="O1997" t="s">
        <v>28</v>
      </c>
      <c r="P1997" t="s">
        <v>45</v>
      </c>
      <c r="Q1997" s="6">
        <v>1.5164539007092099</v>
      </c>
      <c r="R1997">
        <v>2.54</v>
      </c>
      <c r="S1997">
        <v>10.69</v>
      </c>
      <c r="T1997">
        <v>21.38</v>
      </c>
      <c r="U1997">
        <v>47.32</v>
      </c>
      <c r="V1997">
        <v>31.5</v>
      </c>
      <c r="W1997">
        <v>1.47</v>
      </c>
    </row>
    <row r="1998" spans="1:23" x14ac:dyDescent="0.3">
      <c r="A1998">
        <v>1998</v>
      </c>
      <c r="B1998" t="s">
        <v>2041</v>
      </c>
      <c r="C1998" t="s">
        <v>43</v>
      </c>
      <c r="D1998">
        <v>149</v>
      </c>
      <c r="E1998">
        <v>4678</v>
      </c>
      <c r="F1998" s="3">
        <v>241</v>
      </c>
      <c r="G1998">
        <v>11</v>
      </c>
      <c r="H1998">
        <v>6</v>
      </c>
      <c r="I1998" s="5">
        <v>4.0268456375838903E-2</v>
      </c>
      <c r="J1998" s="3">
        <v>226</v>
      </c>
      <c r="K1998" s="1">
        <v>45600</v>
      </c>
      <c r="L1998" t="s">
        <v>25</v>
      </c>
      <c r="M1998" t="s">
        <v>26</v>
      </c>
      <c r="N1998" t="s">
        <v>49</v>
      </c>
      <c r="O1998" t="s">
        <v>28</v>
      </c>
      <c r="P1998" t="s">
        <v>59</v>
      </c>
      <c r="Q1998" s="6">
        <v>1.62020134228187</v>
      </c>
      <c r="R1998">
        <v>3.19</v>
      </c>
      <c r="S1998">
        <v>21.95</v>
      </c>
      <c r="T1998">
        <v>40.24</v>
      </c>
      <c r="U1998">
        <v>-6.38</v>
      </c>
      <c r="V1998">
        <v>37.67</v>
      </c>
      <c r="W1998">
        <v>0.94</v>
      </c>
    </row>
    <row r="1999" spans="1:23" x14ac:dyDescent="0.3">
      <c r="A1999">
        <v>1999</v>
      </c>
      <c r="B1999" t="s">
        <v>2042</v>
      </c>
      <c r="C1999" t="s">
        <v>35</v>
      </c>
      <c r="D1999">
        <v>152</v>
      </c>
      <c r="E1999">
        <v>3036</v>
      </c>
      <c r="F1999" s="3">
        <v>211</v>
      </c>
      <c r="G1999">
        <v>12</v>
      </c>
      <c r="H1999">
        <v>6</v>
      </c>
      <c r="I1999" s="5">
        <v>3.94736842105263E-2</v>
      </c>
      <c r="J1999" s="3">
        <v>219</v>
      </c>
      <c r="K1999" s="1">
        <v>45606</v>
      </c>
      <c r="L1999" t="s">
        <v>25</v>
      </c>
      <c r="M1999" t="s">
        <v>39</v>
      </c>
      <c r="N1999" t="s">
        <v>36</v>
      </c>
      <c r="O1999" t="s">
        <v>28</v>
      </c>
      <c r="P1999" t="s">
        <v>50</v>
      </c>
      <c r="Q1999" s="6">
        <v>1.38671052631578</v>
      </c>
      <c r="R1999">
        <v>5.01</v>
      </c>
      <c r="S1999">
        <v>17.57</v>
      </c>
      <c r="T1999">
        <v>35.130000000000003</v>
      </c>
      <c r="U1999">
        <v>3.9</v>
      </c>
      <c r="V1999">
        <v>36.5</v>
      </c>
      <c r="W1999">
        <v>1.04</v>
      </c>
    </row>
    <row r="2000" spans="1:23" x14ac:dyDescent="0.3">
      <c r="A2000">
        <v>2000</v>
      </c>
      <c r="B2000" t="s">
        <v>2043</v>
      </c>
      <c r="C2000" t="s">
        <v>43</v>
      </c>
      <c r="D2000">
        <v>123</v>
      </c>
      <c r="E2000">
        <v>5050</v>
      </c>
      <c r="F2000" s="3">
        <v>248</v>
      </c>
      <c r="G2000">
        <v>11</v>
      </c>
      <c r="H2000">
        <v>8</v>
      </c>
      <c r="I2000" s="5">
        <v>6.5040650406504003E-2</v>
      </c>
      <c r="J2000" s="3">
        <v>358</v>
      </c>
      <c r="K2000" s="1">
        <v>45625</v>
      </c>
      <c r="L2000" t="s">
        <v>25</v>
      </c>
      <c r="M2000" t="s">
        <v>39</v>
      </c>
      <c r="N2000" t="s">
        <v>49</v>
      </c>
      <c r="O2000" t="s">
        <v>28</v>
      </c>
      <c r="P2000" t="s">
        <v>45</v>
      </c>
      <c r="Q2000" s="6">
        <v>2.0156910569105602</v>
      </c>
      <c r="R2000">
        <v>2.44</v>
      </c>
      <c r="S2000">
        <v>22.54</v>
      </c>
      <c r="T2000">
        <v>30.99</v>
      </c>
      <c r="U2000">
        <v>44.4</v>
      </c>
      <c r="V2000">
        <v>44.75</v>
      </c>
      <c r="W2000">
        <v>1.44</v>
      </c>
    </row>
    <row r="2001" spans="1:23" x14ac:dyDescent="0.3">
      <c r="A2001">
        <v>2001</v>
      </c>
      <c r="B2001" t="s">
        <v>2044</v>
      </c>
      <c r="C2001" t="s">
        <v>35</v>
      </c>
      <c r="D2001">
        <v>137</v>
      </c>
      <c r="E2001">
        <v>5057</v>
      </c>
      <c r="F2001" s="3">
        <v>194</v>
      </c>
      <c r="G2001">
        <v>11</v>
      </c>
      <c r="H2001">
        <v>6</v>
      </c>
      <c r="I2001" s="5">
        <v>4.3795620437956199E-2</v>
      </c>
      <c r="J2001" s="3">
        <v>246</v>
      </c>
      <c r="K2001" s="1">
        <v>45605</v>
      </c>
      <c r="L2001" t="s">
        <v>25</v>
      </c>
      <c r="M2001" t="s">
        <v>26</v>
      </c>
      <c r="N2001" t="s">
        <v>32</v>
      </c>
      <c r="O2001" t="s">
        <v>28</v>
      </c>
      <c r="P2001" t="s">
        <v>29</v>
      </c>
      <c r="Q2001" s="6">
        <v>1.4168613138686099</v>
      </c>
      <c r="R2001">
        <v>2.71</v>
      </c>
      <c r="S2001">
        <v>17.649999999999999</v>
      </c>
      <c r="T2001">
        <v>32.35</v>
      </c>
      <c r="U2001">
        <v>26.73</v>
      </c>
      <c r="V2001">
        <v>41</v>
      </c>
      <c r="W2001">
        <v>1.27</v>
      </c>
    </row>
    <row r="2002" spans="1:23" x14ac:dyDescent="0.3">
      <c r="A2002">
        <v>2002</v>
      </c>
      <c r="B2002" t="s">
        <v>2045</v>
      </c>
      <c r="C2002" t="s">
        <v>43</v>
      </c>
      <c r="D2002">
        <v>93</v>
      </c>
      <c r="E2002">
        <v>5346</v>
      </c>
      <c r="F2002" s="3">
        <v>198</v>
      </c>
      <c r="G2002">
        <v>15</v>
      </c>
      <c r="H2002">
        <v>8</v>
      </c>
      <c r="I2002" s="5">
        <v>8.6021505376343996E-2</v>
      </c>
      <c r="J2002" s="3">
        <v>211</v>
      </c>
      <c r="K2002" s="1">
        <v>45611</v>
      </c>
      <c r="L2002" t="s">
        <v>25</v>
      </c>
      <c r="M2002" t="s">
        <v>39</v>
      </c>
      <c r="N2002" t="s">
        <v>36</v>
      </c>
      <c r="O2002" t="s">
        <v>28</v>
      </c>
      <c r="P2002" t="s">
        <v>45</v>
      </c>
      <c r="Q2002" s="6">
        <v>2.1266666666666598</v>
      </c>
      <c r="R2002">
        <v>1.74</v>
      </c>
      <c r="S2002">
        <v>13.19</v>
      </c>
      <c r="T2002">
        <v>24.72</v>
      </c>
      <c r="U2002">
        <v>6.68</v>
      </c>
      <c r="V2002">
        <v>26.38</v>
      </c>
      <c r="W2002">
        <v>1.07</v>
      </c>
    </row>
    <row r="2003" spans="1:23" x14ac:dyDescent="0.3">
      <c r="A2003">
        <v>2003</v>
      </c>
      <c r="B2003" t="s">
        <v>2046</v>
      </c>
      <c r="C2003" t="s">
        <v>35</v>
      </c>
      <c r="D2003">
        <v>150</v>
      </c>
      <c r="E2003">
        <v>5580</v>
      </c>
      <c r="F2003" s="3">
        <v>205</v>
      </c>
      <c r="G2003">
        <v>24</v>
      </c>
      <c r="H2003">
        <v>10</v>
      </c>
      <c r="I2003" s="5">
        <v>6.6666666666666596E-2</v>
      </c>
      <c r="J2003" s="3">
        <v>467.142857142857</v>
      </c>
      <c r="K2003" s="1">
        <v>45613</v>
      </c>
      <c r="L2003" t="s">
        <v>25</v>
      </c>
      <c r="M2003" t="s">
        <v>39</v>
      </c>
      <c r="N2003" t="s">
        <v>32</v>
      </c>
      <c r="O2003" t="s">
        <v>28</v>
      </c>
      <c r="P2003" t="s">
        <v>50</v>
      </c>
      <c r="Q2003" s="6">
        <v>1.36486666666666</v>
      </c>
      <c r="R2003">
        <v>2.69</v>
      </c>
      <c r="S2003">
        <v>8.5299999999999994</v>
      </c>
      <c r="T2003">
        <v>20.47</v>
      </c>
      <c r="U2003">
        <v>128.18</v>
      </c>
      <c r="V2003">
        <v>46.71</v>
      </c>
      <c r="W2003">
        <v>2.2799999999999998</v>
      </c>
    </row>
    <row r="2004" spans="1:23" x14ac:dyDescent="0.3">
      <c r="A2004">
        <v>2004</v>
      </c>
      <c r="B2004" t="s">
        <v>2047</v>
      </c>
      <c r="C2004" t="s">
        <v>35</v>
      </c>
      <c r="D2004">
        <v>122</v>
      </c>
      <c r="E2004">
        <v>3351</v>
      </c>
      <c r="F2004" s="3">
        <v>196</v>
      </c>
      <c r="G2004">
        <v>13</v>
      </c>
      <c r="H2004">
        <v>3</v>
      </c>
      <c r="I2004" s="5">
        <v>2.4590163934426201E-2</v>
      </c>
      <c r="J2004" s="3">
        <v>278</v>
      </c>
      <c r="K2004" s="1">
        <v>45626</v>
      </c>
      <c r="L2004" t="s">
        <v>25</v>
      </c>
      <c r="M2004" t="s">
        <v>26</v>
      </c>
      <c r="N2004" t="s">
        <v>32</v>
      </c>
      <c r="O2004" t="s">
        <v>28</v>
      </c>
      <c r="P2004" t="s">
        <v>29</v>
      </c>
      <c r="Q2004" s="6">
        <v>1.6105737704917999</v>
      </c>
      <c r="R2004">
        <v>3.64</v>
      </c>
      <c r="S2004">
        <v>15.11</v>
      </c>
      <c r="T2004">
        <v>65.5</v>
      </c>
      <c r="U2004">
        <v>41.48</v>
      </c>
      <c r="V2004">
        <v>92.67</v>
      </c>
      <c r="W2004">
        <v>1.41</v>
      </c>
    </row>
    <row r="2005" spans="1:23" x14ac:dyDescent="0.3">
      <c r="A2005">
        <v>2005</v>
      </c>
      <c r="B2005" t="s">
        <v>2048</v>
      </c>
      <c r="C2005" t="s">
        <v>35</v>
      </c>
      <c r="D2005">
        <v>168</v>
      </c>
      <c r="E2005">
        <v>3128</v>
      </c>
      <c r="F2005" s="3">
        <v>184</v>
      </c>
      <c r="G2005">
        <v>30</v>
      </c>
      <c r="H2005">
        <v>7</v>
      </c>
      <c r="I2005" s="5">
        <v>4.1666666666666602E-2</v>
      </c>
      <c r="J2005" s="3">
        <v>399</v>
      </c>
      <c r="K2005" s="1">
        <v>45597</v>
      </c>
      <c r="L2005" t="s">
        <v>25</v>
      </c>
      <c r="M2005" t="s">
        <v>39</v>
      </c>
      <c r="N2005" t="s">
        <v>32</v>
      </c>
      <c r="O2005" t="s">
        <v>28</v>
      </c>
      <c r="P2005" t="s">
        <v>45</v>
      </c>
      <c r="Q2005" s="6">
        <v>1.09684523809523</v>
      </c>
      <c r="R2005">
        <v>5.37</v>
      </c>
      <c r="S2005">
        <v>6.14</v>
      </c>
      <c r="T2005">
        <v>26.32</v>
      </c>
      <c r="U2005">
        <v>116.53</v>
      </c>
      <c r="V2005">
        <v>57</v>
      </c>
      <c r="W2005">
        <v>2.17</v>
      </c>
    </row>
    <row r="2006" spans="1:23" x14ac:dyDescent="0.3">
      <c r="A2006">
        <v>2006</v>
      </c>
      <c r="B2006" t="s">
        <v>2049</v>
      </c>
      <c r="C2006" t="s">
        <v>38</v>
      </c>
      <c r="D2006">
        <v>113</v>
      </c>
      <c r="E2006">
        <v>3726</v>
      </c>
      <c r="F2006" s="3">
        <v>172</v>
      </c>
      <c r="G2006">
        <v>26</v>
      </c>
      <c r="H2006">
        <v>8</v>
      </c>
      <c r="I2006" s="5">
        <v>7.0796460176991094E-2</v>
      </c>
      <c r="J2006" s="3">
        <v>262</v>
      </c>
      <c r="K2006" s="1">
        <v>45608</v>
      </c>
      <c r="L2006" t="s">
        <v>25</v>
      </c>
      <c r="M2006" t="s">
        <v>31</v>
      </c>
      <c r="N2006" t="s">
        <v>32</v>
      </c>
      <c r="O2006" t="s">
        <v>28</v>
      </c>
      <c r="P2006" t="s">
        <v>41</v>
      </c>
      <c r="Q2006" s="6">
        <v>1.5243795620437901</v>
      </c>
      <c r="R2006">
        <v>3.03</v>
      </c>
      <c r="S2006">
        <v>6.63</v>
      </c>
      <c r="T2006">
        <v>21.53</v>
      </c>
      <c r="U2006">
        <v>52.1</v>
      </c>
      <c r="V2006">
        <v>32.75</v>
      </c>
      <c r="W2006">
        <v>1.52</v>
      </c>
    </row>
    <row r="2007" spans="1:23" x14ac:dyDescent="0.3">
      <c r="A2007">
        <v>2007</v>
      </c>
      <c r="B2007" t="s">
        <v>2050</v>
      </c>
      <c r="C2007" t="s">
        <v>24</v>
      </c>
      <c r="D2007">
        <v>124</v>
      </c>
      <c r="E2007">
        <v>5402</v>
      </c>
      <c r="F2007" s="3">
        <v>222</v>
      </c>
      <c r="G2007">
        <v>21</v>
      </c>
      <c r="H2007">
        <v>7</v>
      </c>
      <c r="I2007" s="5">
        <v>5.6451612903225798E-2</v>
      </c>
      <c r="J2007" s="3">
        <v>223</v>
      </c>
      <c r="K2007" s="1">
        <v>45623</v>
      </c>
      <c r="L2007" t="s">
        <v>25</v>
      </c>
      <c r="M2007" t="s">
        <v>26</v>
      </c>
      <c r="N2007" t="s">
        <v>40</v>
      </c>
      <c r="O2007" t="s">
        <v>28</v>
      </c>
      <c r="P2007" t="s">
        <v>33</v>
      </c>
      <c r="Q2007" s="6">
        <v>1.7916129032257999</v>
      </c>
      <c r="R2007">
        <v>2.2999999999999998</v>
      </c>
      <c r="S2007">
        <v>10.58</v>
      </c>
      <c r="T2007">
        <v>31.74</v>
      </c>
      <c r="U2007">
        <v>0.38</v>
      </c>
      <c r="V2007">
        <v>31.86</v>
      </c>
      <c r="W2007">
        <v>1</v>
      </c>
    </row>
    <row r="2008" spans="1:23" x14ac:dyDescent="0.3">
      <c r="A2008">
        <v>2008</v>
      </c>
      <c r="B2008" t="s">
        <v>2051</v>
      </c>
      <c r="C2008" t="s">
        <v>35</v>
      </c>
      <c r="D2008">
        <v>95</v>
      </c>
      <c r="E2008">
        <v>4653</v>
      </c>
      <c r="F2008" s="3">
        <v>194</v>
      </c>
      <c r="G2008">
        <v>17</v>
      </c>
      <c r="H2008">
        <v>4</v>
      </c>
      <c r="I2008" s="5">
        <v>4.2105263157894701E-2</v>
      </c>
      <c r="J2008" s="3">
        <v>344</v>
      </c>
      <c r="K2008" s="1">
        <v>45623</v>
      </c>
      <c r="L2008" t="s">
        <v>25</v>
      </c>
      <c r="M2008" t="s">
        <v>26</v>
      </c>
      <c r="N2008" t="s">
        <v>32</v>
      </c>
      <c r="O2008" t="s">
        <v>28</v>
      </c>
      <c r="P2008" t="s">
        <v>33</v>
      </c>
      <c r="Q2008" s="6">
        <v>2.0382105263157801</v>
      </c>
      <c r="R2008">
        <v>2.04</v>
      </c>
      <c r="S2008">
        <v>11.39</v>
      </c>
      <c r="T2008">
        <v>48.41</v>
      </c>
      <c r="U2008">
        <v>77.66</v>
      </c>
      <c r="V2008">
        <v>86</v>
      </c>
      <c r="W2008">
        <v>1.78</v>
      </c>
    </row>
    <row r="2009" spans="1:23" x14ac:dyDescent="0.3">
      <c r="A2009">
        <v>2009</v>
      </c>
      <c r="B2009" t="s">
        <v>2052</v>
      </c>
      <c r="C2009" t="s">
        <v>35</v>
      </c>
      <c r="D2009">
        <v>185</v>
      </c>
      <c r="E2009">
        <v>4599</v>
      </c>
      <c r="F2009" s="3">
        <v>248</v>
      </c>
      <c r="G2009">
        <v>15</v>
      </c>
      <c r="H2009">
        <v>5</v>
      </c>
      <c r="I2009" s="5">
        <v>2.7027027027027001E-2</v>
      </c>
      <c r="J2009" s="3">
        <v>341</v>
      </c>
      <c r="K2009" s="1">
        <v>45602</v>
      </c>
      <c r="L2009" t="s">
        <v>25</v>
      </c>
      <c r="M2009" t="s">
        <v>26</v>
      </c>
      <c r="N2009" t="s">
        <v>36</v>
      </c>
      <c r="O2009" t="s">
        <v>28</v>
      </c>
      <c r="P2009" t="s">
        <v>33</v>
      </c>
      <c r="Q2009" s="6">
        <v>1.34205405405405</v>
      </c>
      <c r="R2009">
        <v>4.0199999999999996</v>
      </c>
      <c r="S2009">
        <v>16.55</v>
      </c>
      <c r="T2009">
        <v>49.66</v>
      </c>
      <c r="U2009">
        <v>37.340000000000003</v>
      </c>
      <c r="V2009">
        <v>68.2</v>
      </c>
      <c r="W2009">
        <v>1.37</v>
      </c>
    </row>
    <row r="2010" spans="1:23" x14ac:dyDescent="0.3">
      <c r="A2010">
        <v>2010</v>
      </c>
      <c r="B2010" t="s">
        <v>2053</v>
      </c>
      <c r="C2010" t="s">
        <v>43</v>
      </c>
      <c r="D2010">
        <v>144</v>
      </c>
      <c r="E2010">
        <v>3120</v>
      </c>
      <c r="F2010" s="3">
        <v>222</v>
      </c>
      <c r="G2010">
        <v>24</v>
      </c>
      <c r="H2010">
        <v>7</v>
      </c>
      <c r="I2010" s="5">
        <v>4.8611111111111098E-2</v>
      </c>
      <c r="J2010" s="3">
        <v>217</v>
      </c>
      <c r="K2010" s="1">
        <v>45609</v>
      </c>
      <c r="L2010" t="s">
        <v>25</v>
      </c>
      <c r="M2010" t="s">
        <v>31</v>
      </c>
      <c r="N2010" t="s">
        <v>40</v>
      </c>
      <c r="O2010" t="s">
        <v>28</v>
      </c>
      <c r="P2010" t="s">
        <v>33</v>
      </c>
      <c r="Q2010" s="6">
        <v>1.5393055555555499</v>
      </c>
      <c r="R2010">
        <v>4.62</v>
      </c>
      <c r="S2010">
        <v>9.24</v>
      </c>
      <c r="T2010">
        <v>31.67</v>
      </c>
      <c r="U2010">
        <v>-2.1</v>
      </c>
      <c r="V2010">
        <v>31</v>
      </c>
      <c r="W2010">
        <v>0.98</v>
      </c>
    </row>
    <row r="2011" spans="1:23" x14ac:dyDescent="0.3">
      <c r="A2011">
        <v>2011</v>
      </c>
      <c r="B2011" t="s">
        <v>2054</v>
      </c>
      <c r="C2011" t="s">
        <v>38</v>
      </c>
      <c r="D2011">
        <v>175</v>
      </c>
      <c r="E2011">
        <v>3521</v>
      </c>
      <c r="F2011" s="3">
        <v>210</v>
      </c>
      <c r="G2011">
        <v>14</v>
      </c>
      <c r="H2011">
        <v>9</v>
      </c>
      <c r="I2011" s="5">
        <v>5.14285714285714E-2</v>
      </c>
      <c r="J2011" s="3">
        <v>233</v>
      </c>
      <c r="K2011" s="1">
        <v>45624</v>
      </c>
      <c r="L2011" t="s">
        <v>25</v>
      </c>
      <c r="M2011" t="s">
        <v>31</v>
      </c>
      <c r="N2011" t="s">
        <v>49</v>
      </c>
      <c r="O2011" t="s">
        <v>28</v>
      </c>
      <c r="P2011" t="s">
        <v>54</v>
      </c>
      <c r="Q2011" s="6">
        <v>1.20062857142857</v>
      </c>
      <c r="R2011">
        <v>4.97</v>
      </c>
      <c r="S2011">
        <v>15.01</v>
      </c>
      <c r="T2011">
        <v>23.35</v>
      </c>
      <c r="U2011">
        <v>10.89</v>
      </c>
      <c r="V2011">
        <v>25.89</v>
      </c>
      <c r="W2011">
        <v>1.1100000000000001</v>
      </c>
    </row>
    <row r="2012" spans="1:23" x14ac:dyDescent="0.3">
      <c r="A2012">
        <v>2012</v>
      </c>
      <c r="B2012" t="s">
        <v>2055</v>
      </c>
      <c r="C2012" t="s">
        <v>35</v>
      </c>
      <c r="D2012">
        <v>88</v>
      </c>
      <c r="E2012">
        <v>5823</v>
      </c>
      <c r="F2012" s="3">
        <v>247</v>
      </c>
      <c r="G2012">
        <v>12</v>
      </c>
      <c r="H2012">
        <v>9</v>
      </c>
      <c r="I2012" s="5">
        <v>0.102272727272727</v>
      </c>
      <c r="J2012" s="3">
        <v>309</v>
      </c>
      <c r="K2012" s="1">
        <v>45597</v>
      </c>
      <c r="L2012" t="s">
        <v>25</v>
      </c>
      <c r="M2012" t="s">
        <v>31</v>
      </c>
      <c r="N2012" t="s">
        <v>32</v>
      </c>
      <c r="O2012" t="s">
        <v>28</v>
      </c>
      <c r="P2012" t="s">
        <v>45</v>
      </c>
      <c r="Q2012" s="6">
        <v>2.8030681818181802</v>
      </c>
      <c r="R2012">
        <v>1.51</v>
      </c>
      <c r="S2012">
        <v>20.56</v>
      </c>
      <c r="T2012">
        <v>27.41</v>
      </c>
      <c r="U2012">
        <v>25.27</v>
      </c>
      <c r="V2012">
        <v>34.33</v>
      </c>
      <c r="W2012">
        <v>1.25</v>
      </c>
    </row>
    <row r="2013" spans="1:23" x14ac:dyDescent="0.3">
      <c r="A2013">
        <v>2013</v>
      </c>
      <c r="B2013" t="s">
        <v>2056</v>
      </c>
      <c r="C2013" t="s">
        <v>38</v>
      </c>
      <c r="D2013">
        <v>90</v>
      </c>
      <c r="E2013">
        <v>5569</v>
      </c>
      <c r="F2013" s="3">
        <v>197</v>
      </c>
      <c r="G2013">
        <v>27</v>
      </c>
      <c r="H2013">
        <v>4</v>
      </c>
      <c r="I2013" s="5">
        <v>4.4444444444444398E-2</v>
      </c>
      <c r="J2013" s="3">
        <v>309</v>
      </c>
      <c r="K2013" s="1">
        <v>45616</v>
      </c>
      <c r="L2013" t="s">
        <v>25</v>
      </c>
      <c r="M2013" t="s">
        <v>26</v>
      </c>
      <c r="N2013" t="s">
        <v>36</v>
      </c>
      <c r="O2013" t="s">
        <v>28</v>
      </c>
      <c r="P2013" t="s">
        <v>33</v>
      </c>
      <c r="Q2013" s="6">
        <v>2.18444444444444</v>
      </c>
      <c r="R2013">
        <v>1.62</v>
      </c>
      <c r="S2013">
        <v>7.28</v>
      </c>
      <c r="T2013">
        <v>49.15</v>
      </c>
      <c r="U2013">
        <v>57.17</v>
      </c>
      <c r="V2013">
        <v>77.25</v>
      </c>
      <c r="W2013">
        <v>1.57</v>
      </c>
    </row>
    <row r="2014" spans="1:23" x14ac:dyDescent="0.3">
      <c r="A2014">
        <v>2014</v>
      </c>
      <c r="B2014" t="s">
        <v>2057</v>
      </c>
      <c r="C2014" t="s">
        <v>35</v>
      </c>
      <c r="D2014">
        <v>94</v>
      </c>
      <c r="E2014">
        <v>4255</v>
      </c>
      <c r="F2014" s="3">
        <v>221</v>
      </c>
      <c r="G2014">
        <v>13</v>
      </c>
      <c r="H2014">
        <v>5</v>
      </c>
      <c r="I2014" s="5">
        <v>5.31914893617021E-2</v>
      </c>
      <c r="J2014" s="3">
        <v>331</v>
      </c>
      <c r="K2014" s="1">
        <v>45616</v>
      </c>
      <c r="L2014" t="s">
        <v>25</v>
      </c>
      <c r="M2014" t="s">
        <v>26</v>
      </c>
      <c r="N2014" t="s">
        <v>27</v>
      </c>
      <c r="O2014" t="s">
        <v>28</v>
      </c>
      <c r="P2014" t="s">
        <v>33</v>
      </c>
      <c r="Q2014" s="6">
        <v>2.35170212765957</v>
      </c>
      <c r="R2014">
        <v>2.21</v>
      </c>
      <c r="S2014">
        <v>17</v>
      </c>
      <c r="T2014">
        <v>44.21</v>
      </c>
      <c r="U2014">
        <v>49.73</v>
      </c>
      <c r="V2014">
        <v>66.2</v>
      </c>
      <c r="W2014">
        <v>1.5</v>
      </c>
    </row>
    <row r="2015" spans="1:23" x14ac:dyDescent="0.3">
      <c r="A2015">
        <v>2015</v>
      </c>
      <c r="B2015" t="s">
        <v>2058</v>
      </c>
      <c r="C2015" t="s">
        <v>24</v>
      </c>
      <c r="D2015">
        <v>191</v>
      </c>
      <c r="E2015">
        <v>4910</v>
      </c>
      <c r="F2015" s="3">
        <v>233</v>
      </c>
      <c r="G2015">
        <v>14</v>
      </c>
      <c r="H2015">
        <v>10</v>
      </c>
      <c r="I2015" s="5">
        <v>5.23560209424083E-2</v>
      </c>
      <c r="J2015" s="3">
        <v>220</v>
      </c>
      <c r="K2015" s="1">
        <v>45599</v>
      </c>
      <c r="L2015" t="s">
        <v>25</v>
      </c>
      <c r="M2015" t="s">
        <v>39</v>
      </c>
      <c r="N2015" t="s">
        <v>49</v>
      </c>
      <c r="O2015" t="s">
        <v>28</v>
      </c>
      <c r="P2015" t="s">
        <v>50</v>
      </c>
      <c r="Q2015" s="6">
        <v>1.2183246073298399</v>
      </c>
      <c r="R2015">
        <v>3.89</v>
      </c>
      <c r="S2015">
        <v>16.62</v>
      </c>
      <c r="T2015">
        <v>23.27</v>
      </c>
      <c r="U2015">
        <v>-5.46</v>
      </c>
      <c r="V2015">
        <v>22</v>
      </c>
      <c r="W2015">
        <v>0.95</v>
      </c>
    </row>
    <row r="2016" spans="1:23" x14ac:dyDescent="0.3">
      <c r="A2016">
        <v>2016</v>
      </c>
      <c r="B2016" t="s">
        <v>2059</v>
      </c>
      <c r="C2016" t="s">
        <v>43</v>
      </c>
      <c r="D2016">
        <v>167</v>
      </c>
      <c r="E2016">
        <v>5675</v>
      </c>
      <c r="F2016" s="3">
        <v>223</v>
      </c>
      <c r="G2016">
        <v>15</v>
      </c>
      <c r="H2016">
        <v>4</v>
      </c>
      <c r="I2016" s="5">
        <v>2.39520958083832E-2</v>
      </c>
      <c r="J2016" s="3">
        <v>380</v>
      </c>
      <c r="K2016" s="1">
        <v>45613</v>
      </c>
      <c r="L2016" t="s">
        <v>25</v>
      </c>
      <c r="M2016" t="s">
        <v>39</v>
      </c>
      <c r="N2016" t="s">
        <v>49</v>
      </c>
      <c r="O2016" t="s">
        <v>28</v>
      </c>
      <c r="P2016" t="s">
        <v>50</v>
      </c>
      <c r="Q2016" s="6">
        <v>1.3326946107784401</v>
      </c>
      <c r="R2016">
        <v>2.94</v>
      </c>
      <c r="S2016">
        <v>14.84</v>
      </c>
      <c r="T2016">
        <v>55.64</v>
      </c>
      <c r="U2016">
        <v>70.739999999999995</v>
      </c>
      <c r="V2016">
        <v>95</v>
      </c>
      <c r="W2016">
        <v>1.71</v>
      </c>
    </row>
    <row r="2017" spans="1:23" x14ac:dyDescent="0.3">
      <c r="A2017">
        <v>2017</v>
      </c>
      <c r="B2017" t="s">
        <v>2060</v>
      </c>
      <c r="C2017" t="s">
        <v>38</v>
      </c>
      <c r="D2017">
        <v>136</v>
      </c>
      <c r="E2017">
        <v>3777</v>
      </c>
      <c r="F2017" s="3">
        <v>186</v>
      </c>
      <c r="G2017">
        <v>11</v>
      </c>
      <c r="H2017">
        <v>4</v>
      </c>
      <c r="I2017" s="5">
        <v>2.94117647058823E-2</v>
      </c>
      <c r="J2017" s="3">
        <v>210</v>
      </c>
      <c r="K2017" s="1">
        <v>45601</v>
      </c>
      <c r="L2017" t="s">
        <v>25</v>
      </c>
      <c r="M2017" t="s">
        <v>31</v>
      </c>
      <c r="N2017" t="s">
        <v>27</v>
      </c>
      <c r="O2017" t="s">
        <v>28</v>
      </c>
      <c r="P2017" t="s">
        <v>41</v>
      </c>
      <c r="Q2017" s="6">
        <v>1.3713235294117601</v>
      </c>
      <c r="R2017">
        <v>3.6</v>
      </c>
      <c r="S2017">
        <v>16.95</v>
      </c>
      <c r="T2017">
        <v>46.62</v>
      </c>
      <c r="U2017">
        <v>12.6</v>
      </c>
      <c r="V2017">
        <v>52.5</v>
      </c>
      <c r="W2017">
        <v>1.1299999999999999</v>
      </c>
    </row>
    <row r="2018" spans="1:23" x14ac:dyDescent="0.3">
      <c r="A2018">
        <v>2018</v>
      </c>
      <c r="B2018" t="s">
        <v>2061</v>
      </c>
      <c r="C2018" t="s">
        <v>43</v>
      </c>
      <c r="D2018">
        <v>110</v>
      </c>
      <c r="E2018">
        <v>5790</v>
      </c>
      <c r="F2018" s="3">
        <v>170</v>
      </c>
      <c r="G2018">
        <v>23</v>
      </c>
      <c r="H2018">
        <v>9</v>
      </c>
      <c r="I2018" s="5">
        <v>8.1818181818181804E-2</v>
      </c>
      <c r="J2018" s="3">
        <v>299</v>
      </c>
      <c r="K2018" s="1">
        <v>45604</v>
      </c>
      <c r="L2018" t="s">
        <v>25</v>
      </c>
      <c r="M2018" t="s">
        <v>39</v>
      </c>
      <c r="N2018" t="s">
        <v>36</v>
      </c>
      <c r="O2018" t="s">
        <v>28</v>
      </c>
      <c r="P2018" t="s">
        <v>45</v>
      </c>
      <c r="Q2018" s="6">
        <v>1.5454545454545401</v>
      </c>
      <c r="R2018">
        <v>1.9</v>
      </c>
      <c r="S2018">
        <v>7.39</v>
      </c>
      <c r="T2018">
        <v>18.89</v>
      </c>
      <c r="U2018">
        <v>75.88</v>
      </c>
      <c r="V2018">
        <v>33.22</v>
      </c>
      <c r="W2018">
        <v>1.76</v>
      </c>
    </row>
    <row r="2019" spans="1:23" x14ac:dyDescent="0.3">
      <c r="A2019">
        <v>2019</v>
      </c>
      <c r="B2019" t="s">
        <v>2062</v>
      </c>
      <c r="C2019" t="s">
        <v>24</v>
      </c>
      <c r="D2019">
        <v>171</v>
      </c>
      <c r="E2019">
        <v>3055</v>
      </c>
      <c r="F2019" s="3">
        <v>261</v>
      </c>
      <c r="G2019">
        <v>26</v>
      </c>
      <c r="H2019">
        <v>5</v>
      </c>
      <c r="I2019" s="5">
        <v>2.9239766081871298E-2</v>
      </c>
      <c r="J2019" s="3">
        <v>347</v>
      </c>
      <c r="K2019" s="1">
        <v>45614</v>
      </c>
      <c r="L2019" t="s">
        <v>25</v>
      </c>
      <c r="M2019" t="s">
        <v>31</v>
      </c>
      <c r="N2019" t="s">
        <v>40</v>
      </c>
      <c r="O2019" t="s">
        <v>28</v>
      </c>
      <c r="P2019" t="s">
        <v>59</v>
      </c>
      <c r="Q2019" s="6">
        <v>1.5243795620437901</v>
      </c>
      <c r="R2019">
        <v>5.6</v>
      </c>
      <c r="S2019">
        <v>10.029999999999999</v>
      </c>
      <c r="T2019">
        <v>52.13</v>
      </c>
      <c r="U2019">
        <v>33.119999999999997</v>
      </c>
      <c r="V2019">
        <v>69.400000000000006</v>
      </c>
      <c r="W2019">
        <v>1.33</v>
      </c>
    </row>
    <row r="2020" spans="1:23" x14ac:dyDescent="0.3">
      <c r="A2020">
        <v>2020</v>
      </c>
      <c r="B2020" t="s">
        <v>2063</v>
      </c>
      <c r="C2020" t="s">
        <v>38</v>
      </c>
      <c r="D2020">
        <v>134</v>
      </c>
      <c r="E2020">
        <v>5620</v>
      </c>
      <c r="F2020" s="3">
        <v>231</v>
      </c>
      <c r="G2020">
        <v>28</v>
      </c>
      <c r="H2020">
        <v>7</v>
      </c>
      <c r="I2020" s="5">
        <v>5.2238805970149203E-2</v>
      </c>
      <c r="J2020" s="3">
        <v>306</v>
      </c>
      <c r="K2020" s="1">
        <v>45625</v>
      </c>
      <c r="L2020" t="s">
        <v>25</v>
      </c>
      <c r="M2020" t="s">
        <v>26</v>
      </c>
      <c r="N2020" t="s">
        <v>40</v>
      </c>
      <c r="O2020" t="s">
        <v>28</v>
      </c>
      <c r="P2020" t="s">
        <v>45</v>
      </c>
      <c r="Q2020" s="6">
        <v>1.7268656716417901</v>
      </c>
      <c r="R2020">
        <v>2.38</v>
      </c>
      <c r="S2020">
        <v>8.26</v>
      </c>
      <c r="T2020">
        <v>33.06</v>
      </c>
      <c r="U2020">
        <v>32.24</v>
      </c>
      <c r="V2020">
        <v>43.71</v>
      </c>
      <c r="W2020">
        <v>1.32</v>
      </c>
    </row>
    <row r="2021" spans="1:23" x14ac:dyDescent="0.3">
      <c r="A2021">
        <v>2021</v>
      </c>
      <c r="B2021" t="s">
        <v>2064</v>
      </c>
      <c r="C2021" t="s">
        <v>38</v>
      </c>
      <c r="D2021">
        <v>170</v>
      </c>
      <c r="E2021">
        <v>4594</v>
      </c>
      <c r="F2021" s="3">
        <v>193</v>
      </c>
      <c r="G2021">
        <v>27</v>
      </c>
      <c r="H2021">
        <v>9</v>
      </c>
      <c r="I2021" s="5">
        <v>5.29411764705882E-2</v>
      </c>
      <c r="J2021" s="3">
        <v>269</v>
      </c>
      <c r="K2021" s="1">
        <v>45623</v>
      </c>
      <c r="L2021" t="s">
        <v>25</v>
      </c>
      <c r="M2021" t="s">
        <v>31</v>
      </c>
      <c r="N2021" t="s">
        <v>49</v>
      </c>
      <c r="O2021" t="s">
        <v>28</v>
      </c>
      <c r="P2021" t="s">
        <v>33</v>
      </c>
      <c r="Q2021" s="6">
        <v>1.1364705882352899</v>
      </c>
      <c r="R2021">
        <v>3.7</v>
      </c>
      <c r="S2021">
        <v>7.16</v>
      </c>
      <c r="T2021">
        <v>21.47</v>
      </c>
      <c r="U2021">
        <v>39.229999999999997</v>
      </c>
      <c r="V2021">
        <v>29.89</v>
      </c>
      <c r="W2021">
        <v>1.39</v>
      </c>
    </row>
    <row r="2022" spans="1:23" x14ac:dyDescent="0.3">
      <c r="A2022">
        <v>2022</v>
      </c>
      <c r="B2022" t="s">
        <v>2065</v>
      </c>
      <c r="C2022" t="s">
        <v>38</v>
      </c>
      <c r="D2022">
        <v>151</v>
      </c>
      <c r="E2022">
        <v>4907</v>
      </c>
      <c r="F2022" s="3">
        <v>248</v>
      </c>
      <c r="G2022">
        <v>10</v>
      </c>
      <c r="H2022">
        <v>4</v>
      </c>
      <c r="I2022" s="5">
        <v>2.64900662251655E-2</v>
      </c>
      <c r="J2022" s="3">
        <v>398</v>
      </c>
      <c r="K2022" s="1">
        <v>45619</v>
      </c>
      <c r="L2022" t="s">
        <v>25</v>
      </c>
      <c r="M2022" t="s">
        <v>26</v>
      </c>
      <c r="N2022" t="s">
        <v>32</v>
      </c>
      <c r="O2022" t="s">
        <v>28</v>
      </c>
      <c r="P2022" t="s">
        <v>29</v>
      </c>
      <c r="Q2022" s="6">
        <v>1.6445033112582701</v>
      </c>
      <c r="R2022">
        <v>3.08</v>
      </c>
      <c r="S2022">
        <v>24.83</v>
      </c>
      <c r="T2022">
        <v>62.08</v>
      </c>
      <c r="U2022">
        <v>60.28</v>
      </c>
      <c r="V2022">
        <v>99.5</v>
      </c>
      <c r="W2022">
        <v>1.6</v>
      </c>
    </row>
    <row r="2023" spans="1:23" x14ac:dyDescent="0.3">
      <c r="A2023">
        <v>2023</v>
      </c>
      <c r="B2023" t="s">
        <v>2066</v>
      </c>
      <c r="C2023" t="s">
        <v>35</v>
      </c>
      <c r="D2023">
        <v>124</v>
      </c>
      <c r="E2023">
        <v>5437</v>
      </c>
      <c r="F2023" s="3">
        <v>181</v>
      </c>
      <c r="G2023">
        <v>29</v>
      </c>
      <c r="H2023">
        <v>7</v>
      </c>
      <c r="I2023" s="5">
        <v>5.6451612903225798E-2</v>
      </c>
      <c r="J2023" s="3">
        <v>319</v>
      </c>
      <c r="K2023" s="1">
        <v>45605</v>
      </c>
      <c r="L2023" t="s">
        <v>25</v>
      </c>
      <c r="M2023" t="s">
        <v>26</v>
      </c>
      <c r="N2023" t="s">
        <v>49</v>
      </c>
      <c r="O2023" t="s">
        <v>28</v>
      </c>
      <c r="P2023" t="s">
        <v>29</v>
      </c>
      <c r="Q2023" s="6">
        <v>1.45596774193548</v>
      </c>
      <c r="R2023">
        <v>2.2799999999999998</v>
      </c>
      <c r="S2023">
        <v>6.23</v>
      </c>
      <c r="T2023">
        <v>25.79</v>
      </c>
      <c r="U2023">
        <v>76.69</v>
      </c>
      <c r="V2023">
        <v>45.57</v>
      </c>
      <c r="W2023">
        <v>1.77</v>
      </c>
    </row>
    <row r="2024" spans="1:23" x14ac:dyDescent="0.3">
      <c r="A2024">
        <v>2024</v>
      </c>
      <c r="B2024" t="s">
        <v>2067</v>
      </c>
      <c r="C2024" t="s">
        <v>38</v>
      </c>
      <c r="D2024">
        <v>88</v>
      </c>
      <c r="E2024">
        <v>4794</v>
      </c>
      <c r="F2024" s="3">
        <v>242</v>
      </c>
      <c r="G2024">
        <v>11</v>
      </c>
      <c r="H2024">
        <v>3</v>
      </c>
      <c r="I2024" s="5">
        <v>3.4090909090908998E-2</v>
      </c>
      <c r="J2024" s="3">
        <v>247</v>
      </c>
      <c r="K2024" s="1">
        <v>45603</v>
      </c>
      <c r="L2024" t="s">
        <v>25</v>
      </c>
      <c r="M2024" t="s">
        <v>31</v>
      </c>
      <c r="N2024" t="s">
        <v>40</v>
      </c>
      <c r="O2024" t="s">
        <v>28</v>
      </c>
      <c r="P2024" t="s">
        <v>54</v>
      </c>
      <c r="Q2024" s="6">
        <v>2.75318181818181</v>
      </c>
      <c r="R2024">
        <v>1.84</v>
      </c>
      <c r="S2024">
        <v>22.03</v>
      </c>
      <c r="T2024">
        <v>80.760000000000005</v>
      </c>
      <c r="U2024">
        <v>1.95</v>
      </c>
      <c r="V2024">
        <v>82.33</v>
      </c>
      <c r="W2024">
        <v>1.02</v>
      </c>
    </row>
    <row r="2025" spans="1:23" x14ac:dyDescent="0.3">
      <c r="A2025">
        <v>2025</v>
      </c>
      <c r="B2025" t="s">
        <v>2068</v>
      </c>
      <c r="C2025" t="s">
        <v>24</v>
      </c>
      <c r="D2025">
        <v>118</v>
      </c>
      <c r="E2025">
        <v>5326</v>
      </c>
      <c r="F2025" s="3">
        <v>200</v>
      </c>
      <c r="G2025">
        <v>19</v>
      </c>
      <c r="H2025">
        <v>8</v>
      </c>
      <c r="I2025" s="5">
        <v>6.7796610169491497E-2</v>
      </c>
      <c r="J2025" s="3">
        <v>244</v>
      </c>
      <c r="K2025" s="1">
        <v>45620</v>
      </c>
      <c r="L2025" t="s">
        <v>25</v>
      </c>
      <c r="M2025" t="s">
        <v>39</v>
      </c>
      <c r="N2025" t="s">
        <v>49</v>
      </c>
      <c r="O2025" t="s">
        <v>28</v>
      </c>
      <c r="P2025" t="s">
        <v>50</v>
      </c>
      <c r="Q2025" s="6">
        <v>1.6928813559322</v>
      </c>
      <c r="R2025">
        <v>2.2200000000000002</v>
      </c>
      <c r="S2025">
        <v>10.51</v>
      </c>
      <c r="T2025">
        <v>24.97</v>
      </c>
      <c r="U2025">
        <v>22.15</v>
      </c>
      <c r="V2025">
        <v>30.5</v>
      </c>
      <c r="W2025">
        <v>1.22</v>
      </c>
    </row>
    <row r="2026" spans="1:23" x14ac:dyDescent="0.3">
      <c r="A2026">
        <v>2026</v>
      </c>
      <c r="B2026" t="s">
        <v>2069</v>
      </c>
      <c r="C2026" t="s">
        <v>24</v>
      </c>
      <c r="D2026">
        <v>160</v>
      </c>
      <c r="E2026">
        <v>5642</v>
      </c>
      <c r="F2026" s="3">
        <v>201</v>
      </c>
      <c r="G2026">
        <v>25</v>
      </c>
      <c r="H2026">
        <v>8</v>
      </c>
      <c r="I2026" s="5">
        <v>0.05</v>
      </c>
      <c r="J2026" s="3">
        <v>350.35714285714198</v>
      </c>
      <c r="K2026" s="1">
        <v>45625</v>
      </c>
      <c r="L2026" t="s">
        <v>25</v>
      </c>
      <c r="M2026" t="s">
        <v>31</v>
      </c>
      <c r="N2026" t="s">
        <v>27</v>
      </c>
      <c r="O2026" t="s">
        <v>28</v>
      </c>
      <c r="P2026" t="s">
        <v>45</v>
      </c>
      <c r="Q2026" s="6">
        <v>1.255125</v>
      </c>
      <c r="R2026">
        <v>2.84</v>
      </c>
      <c r="S2026">
        <v>8.0299999999999994</v>
      </c>
      <c r="T2026">
        <v>25.1</v>
      </c>
      <c r="U2026">
        <v>74.459999999999994</v>
      </c>
      <c r="V2026">
        <v>43.79</v>
      </c>
      <c r="W2026">
        <v>1.74</v>
      </c>
    </row>
    <row r="2027" spans="1:23" x14ac:dyDescent="0.3">
      <c r="A2027">
        <v>2027</v>
      </c>
      <c r="B2027" t="s">
        <v>2070</v>
      </c>
      <c r="C2027" t="s">
        <v>24</v>
      </c>
      <c r="D2027">
        <v>112</v>
      </c>
      <c r="E2027">
        <v>4594</v>
      </c>
      <c r="F2027" s="3">
        <v>236</v>
      </c>
      <c r="G2027">
        <v>29</v>
      </c>
      <c r="H2027">
        <v>8</v>
      </c>
      <c r="I2027" s="5">
        <v>7.1428571428571397E-2</v>
      </c>
      <c r="J2027" s="3">
        <v>320</v>
      </c>
      <c r="K2027" s="1">
        <v>45619</v>
      </c>
      <c r="L2027" t="s">
        <v>25</v>
      </c>
      <c r="M2027" t="s">
        <v>31</v>
      </c>
      <c r="N2027" t="s">
        <v>40</v>
      </c>
      <c r="O2027" t="s">
        <v>28</v>
      </c>
      <c r="P2027" t="s">
        <v>29</v>
      </c>
      <c r="Q2027" s="6">
        <v>2.10821428571428</v>
      </c>
      <c r="R2027">
        <v>2.44</v>
      </c>
      <c r="S2027">
        <v>8.14</v>
      </c>
      <c r="T2027">
        <v>29.52</v>
      </c>
      <c r="U2027">
        <v>35.520000000000003</v>
      </c>
      <c r="V2027">
        <v>40</v>
      </c>
      <c r="W2027">
        <v>1.36</v>
      </c>
    </row>
    <row r="2028" spans="1:23" x14ac:dyDescent="0.3">
      <c r="A2028">
        <v>2028</v>
      </c>
      <c r="B2028" t="s">
        <v>2071</v>
      </c>
      <c r="C2028" t="s">
        <v>43</v>
      </c>
      <c r="D2028">
        <v>186</v>
      </c>
      <c r="E2028">
        <v>4352</v>
      </c>
      <c r="F2028" s="3">
        <v>224</v>
      </c>
      <c r="G2028">
        <v>29</v>
      </c>
      <c r="H2028">
        <v>3</v>
      </c>
      <c r="I2028" s="5">
        <v>1.6129032258064498E-2</v>
      </c>
      <c r="J2028" s="3">
        <v>263</v>
      </c>
      <c r="K2028" s="1">
        <v>45602</v>
      </c>
      <c r="L2028" t="s">
        <v>25</v>
      </c>
      <c r="M2028" t="s">
        <v>31</v>
      </c>
      <c r="N2028" t="s">
        <v>40</v>
      </c>
      <c r="O2028" t="s">
        <v>28</v>
      </c>
      <c r="P2028" t="s">
        <v>33</v>
      </c>
      <c r="Q2028" s="6">
        <v>1.20403225806451</v>
      </c>
      <c r="R2028">
        <v>4.2699999999999996</v>
      </c>
      <c r="S2028">
        <v>7.72</v>
      </c>
      <c r="T2028">
        <v>74.650000000000006</v>
      </c>
      <c r="U2028">
        <v>17.440000000000001</v>
      </c>
      <c r="V2028">
        <v>87.67</v>
      </c>
      <c r="W2028">
        <v>1.17</v>
      </c>
    </row>
    <row r="2029" spans="1:23" x14ac:dyDescent="0.3">
      <c r="A2029">
        <v>2029</v>
      </c>
      <c r="B2029" t="s">
        <v>2072</v>
      </c>
      <c r="C2029" t="s">
        <v>35</v>
      </c>
      <c r="D2029">
        <v>139</v>
      </c>
      <c r="E2029">
        <v>4220</v>
      </c>
      <c r="F2029" s="3">
        <v>206</v>
      </c>
      <c r="G2029">
        <v>21</v>
      </c>
      <c r="H2029">
        <v>5</v>
      </c>
      <c r="I2029" s="5">
        <v>3.5971223021582698E-2</v>
      </c>
      <c r="J2029" s="3">
        <v>341</v>
      </c>
      <c r="K2029" s="1">
        <v>45617</v>
      </c>
      <c r="L2029" t="s">
        <v>25</v>
      </c>
      <c r="M2029" t="s">
        <v>26</v>
      </c>
      <c r="N2029" t="s">
        <v>27</v>
      </c>
      <c r="O2029" t="s">
        <v>28</v>
      </c>
      <c r="P2029" t="s">
        <v>54</v>
      </c>
      <c r="Q2029" s="6">
        <v>1.4821582733812899</v>
      </c>
      <c r="R2029">
        <v>3.29</v>
      </c>
      <c r="S2029">
        <v>9.81</v>
      </c>
      <c r="T2029">
        <v>41.2</v>
      </c>
      <c r="U2029">
        <v>65.52</v>
      </c>
      <c r="V2029">
        <v>68.2</v>
      </c>
      <c r="W2029">
        <v>1.66</v>
      </c>
    </row>
    <row r="2030" spans="1:23" x14ac:dyDescent="0.3">
      <c r="A2030">
        <v>2030</v>
      </c>
      <c r="B2030" t="s">
        <v>2073</v>
      </c>
      <c r="C2030" t="s">
        <v>38</v>
      </c>
      <c r="D2030">
        <v>164</v>
      </c>
      <c r="E2030">
        <v>4909</v>
      </c>
      <c r="F2030" s="3">
        <v>245</v>
      </c>
      <c r="G2030">
        <v>13</v>
      </c>
      <c r="H2030">
        <v>3</v>
      </c>
      <c r="I2030" s="5">
        <v>1.8292682926829201E-2</v>
      </c>
      <c r="J2030" s="3">
        <v>327</v>
      </c>
      <c r="K2030" s="1">
        <v>45600</v>
      </c>
      <c r="L2030" t="s">
        <v>25</v>
      </c>
      <c r="M2030" t="s">
        <v>31</v>
      </c>
      <c r="N2030" t="s">
        <v>27</v>
      </c>
      <c r="O2030" t="s">
        <v>28</v>
      </c>
      <c r="P2030" t="s">
        <v>59</v>
      </c>
      <c r="Q2030" s="6">
        <v>1.4942682926829201</v>
      </c>
      <c r="R2030">
        <v>3.34</v>
      </c>
      <c r="S2030">
        <v>18.850000000000001</v>
      </c>
      <c r="T2030">
        <v>81.69</v>
      </c>
      <c r="U2030">
        <v>33.44</v>
      </c>
      <c r="V2030">
        <v>109</v>
      </c>
      <c r="W2030">
        <v>1.33</v>
      </c>
    </row>
    <row r="2031" spans="1:23" x14ac:dyDescent="0.3">
      <c r="A2031">
        <v>2031</v>
      </c>
      <c r="B2031" t="s">
        <v>2074</v>
      </c>
      <c r="C2031" t="s">
        <v>35</v>
      </c>
      <c r="D2031">
        <v>89</v>
      </c>
      <c r="E2031">
        <v>3148</v>
      </c>
      <c r="F2031" s="3">
        <v>219</v>
      </c>
      <c r="G2031">
        <v>13</v>
      </c>
      <c r="H2031">
        <v>4</v>
      </c>
      <c r="I2031" s="5">
        <v>4.49438202247191E-2</v>
      </c>
      <c r="J2031" s="3">
        <v>313</v>
      </c>
      <c r="K2031" s="1">
        <v>45602</v>
      </c>
      <c r="L2031" t="s">
        <v>25</v>
      </c>
      <c r="M2031" t="s">
        <v>26</v>
      </c>
      <c r="N2031" t="s">
        <v>36</v>
      </c>
      <c r="O2031" t="s">
        <v>28</v>
      </c>
      <c r="P2031" t="s">
        <v>33</v>
      </c>
      <c r="Q2031" s="6">
        <v>2.4634831460674098</v>
      </c>
      <c r="R2031">
        <v>2.83</v>
      </c>
      <c r="S2031">
        <v>16.87</v>
      </c>
      <c r="T2031">
        <v>54.81</v>
      </c>
      <c r="U2031">
        <v>42.76</v>
      </c>
      <c r="V2031">
        <v>78.25</v>
      </c>
      <c r="W2031">
        <v>1.43</v>
      </c>
    </row>
    <row r="2032" spans="1:23" x14ac:dyDescent="0.3">
      <c r="A2032">
        <v>2032</v>
      </c>
      <c r="B2032" t="s">
        <v>2075</v>
      </c>
      <c r="C2032" t="s">
        <v>24</v>
      </c>
      <c r="D2032">
        <v>107</v>
      </c>
      <c r="E2032">
        <v>3105</v>
      </c>
      <c r="F2032" s="3">
        <v>195</v>
      </c>
      <c r="G2032">
        <v>20</v>
      </c>
      <c r="H2032">
        <v>10</v>
      </c>
      <c r="I2032" s="5">
        <v>9.34579439252336E-2</v>
      </c>
      <c r="J2032" s="3">
        <v>297</v>
      </c>
      <c r="K2032" s="1">
        <v>45615</v>
      </c>
      <c r="L2032" t="s">
        <v>25</v>
      </c>
      <c r="M2032" t="s">
        <v>31</v>
      </c>
      <c r="N2032" t="s">
        <v>36</v>
      </c>
      <c r="O2032" t="s">
        <v>28</v>
      </c>
      <c r="P2032" t="s">
        <v>41</v>
      </c>
      <c r="Q2032" s="6">
        <v>1.8267289719626101</v>
      </c>
      <c r="R2032">
        <v>3.45</v>
      </c>
      <c r="S2032">
        <v>9.77</v>
      </c>
      <c r="T2032">
        <v>19.55</v>
      </c>
      <c r="U2032">
        <v>51.95</v>
      </c>
      <c r="V2032">
        <v>29.7</v>
      </c>
      <c r="W2032">
        <v>1.52</v>
      </c>
    </row>
    <row r="2033" spans="1:23" x14ac:dyDescent="0.3">
      <c r="A2033">
        <v>2033</v>
      </c>
      <c r="B2033" t="s">
        <v>2076</v>
      </c>
      <c r="C2033" t="s">
        <v>35</v>
      </c>
      <c r="D2033">
        <v>179</v>
      </c>
      <c r="E2033">
        <v>5062</v>
      </c>
      <c r="F2033" s="3">
        <v>215</v>
      </c>
      <c r="G2033">
        <v>18</v>
      </c>
      <c r="H2033">
        <v>4</v>
      </c>
      <c r="I2033" s="5">
        <v>2.23463687150838E-2</v>
      </c>
      <c r="J2033" s="3">
        <v>370</v>
      </c>
      <c r="K2033" s="1">
        <v>45620</v>
      </c>
      <c r="L2033" t="s">
        <v>25</v>
      </c>
      <c r="M2033" t="s">
        <v>31</v>
      </c>
      <c r="N2033" t="s">
        <v>32</v>
      </c>
      <c r="O2033" t="s">
        <v>28</v>
      </c>
      <c r="P2033" t="s">
        <v>50</v>
      </c>
      <c r="Q2033" s="6">
        <v>1.19921787709497</v>
      </c>
      <c r="R2033">
        <v>3.54</v>
      </c>
      <c r="S2033">
        <v>11.93</v>
      </c>
      <c r="T2033">
        <v>53.66</v>
      </c>
      <c r="U2033">
        <v>72.37</v>
      </c>
      <c r="V2033">
        <v>92.5</v>
      </c>
      <c r="W2033">
        <v>1.72</v>
      </c>
    </row>
    <row r="2034" spans="1:23" x14ac:dyDescent="0.3">
      <c r="A2034">
        <v>2034</v>
      </c>
      <c r="B2034" t="s">
        <v>2077</v>
      </c>
      <c r="C2034" t="s">
        <v>24</v>
      </c>
      <c r="D2034">
        <v>136</v>
      </c>
      <c r="E2034">
        <v>4096</v>
      </c>
      <c r="F2034" s="3">
        <v>229</v>
      </c>
      <c r="G2034">
        <v>19</v>
      </c>
      <c r="H2034">
        <v>10</v>
      </c>
      <c r="I2034" s="5">
        <v>7.3529411764705802E-2</v>
      </c>
      <c r="J2034" s="3">
        <v>215</v>
      </c>
      <c r="K2034" s="1">
        <v>45622</v>
      </c>
      <c r="L2034" t="s">
        <v>25</v>
      </c>
      <c r="M2034" t="s">
        <v>26</v>
      </c>
      <c r="N2034" t="s">
        <v>40</v>
      </c>
      <c r="O2034" t="s">
        <v>28</v>
      </c>
      <c r="P2034" t="s">
        <v>41</v>
      </c>
      <c r="Q2034" s="6">
        <v>1.6822794117647</v>
      </c>
      <c r="R2034">
        <v>3.32</v>
      </c>
      <c r="S2034">
        <v>12.04</v>
      </c>
      <c r="T2034">
        <v>22.88</v>
      </c>
      <c r="U2034">
        <v>-6.03</v>
      </c>
      <c r="V2034">
        <v>21.5</v>
      </c>
      <c r="W2034">
        <v>0.94</v>
      </c>
    </row>
    <row r="2035" spans="1:23" x14ac:dyDescent="0.3">
      <c r="A2035">
        <v>2035</v>
      </c>
      <c r="B2035" t="s">
        <v>2078</v>
      </c>
      <c r="C2035" t="s">
        <v>35</v>
      </c>
      <c r="D2035">
        <v>140</v>
      </c>
      <c r="E2035">
        <v>4283</v>
      </c>
      <c r="F2035" s="3">
        <v>205</v>
      </c>
      <c r="G2035">
        <v>22</v>
      </c>
      <c r="H2035">
        <v>7</v>
      </c>
      <c r="I2035" s="5">
        <v>0.05</v>
      </c>
      <c r="J2035" s="3">
        <v>342</v>
      </c>
      <c r="K2035" s="1">
        <v>45607</v>
      </c>
      <c r="L2035" t="s">
        <v>25</v>
      </c>
      <c r="M2035" t="s">
        <v>31</v>
      </c>
      <c r="N2035" t="s">
        <v>32</v>
      </c>
      <c r="O2035" t="s">
        <v>28</v>
      </c>
      <c r="P2035" t="s">
        <v>59</v>
      </c>
      <c r="Q2035" s="6">
        <v>1.4644285714285701</v>
      </c>
      <c r="R2035">
        <v>3.27</v>
      </c>
      <c r="S2035">
        <v>9.32</v>
      </c>
      <c r="T2035">
        <v>29.29</v>
      </c>
      <c r="U2035">
        <v>66.81</v>
      </c>
      <c r="V2035">
        <v>48.86</v>
      </c>
      <c r="W2035">
        <v>1.67</v>
      </c>
    </row>
    <row r="2036" spans="1:23" x14ac:dyDescent="0.3">
      <c r="A2036">
        <v>2036</v>
      </c>
      <c r="B2036" t="s">
        <v>2079</v>
      </c>
      <c r="C2036" t="s">
        <v>24</v>
      </c>
      <c r="D2036">
        <v>137</v>
      </c>
      <c r="E2036">
        <v>4189</v>
      </c>
      <c r="F2036" s="3">
        <v>209</v>
      </c>
      <c r="G2036">
        <v>17</v>
      </c>
      <c r="H2036">
        <v>6</v>
      </c>
      <c r="I2036" s="5">
        <v>4.3795620437956199E-2</v>
      </c>
      <c r="J2036" s="3">
        <v>247</v>
      </c>
      <c r="K2036" s="1">
        <v>45605</v>
      </c>
      <c r="L2036" t="s">
        <v>25</v>
      </c>
      <c r="M2036" t="s">
        <v>31</v>
      </c>
      <c r="N2036" t="s">
        <v>44</v>
      </c>
      <c r="O2036" t="s">
        <v>28</v>
      </c>
      <c r="P2036" t="s">
        <v>29</v>
      </c>
      <c r="Q2036" s="6">
        <v>1.5243795620437901</v>
      </c>
      <c r="R2036">
        <v>3.27</v>
      </c>
      <c r="S2036">
        <v>12.28</v>
      </c>
      <c r="T2036">
        <v>34.81</v>
      </c>
      <c r="U2036">
        <v>18.27</v>
      </c>
      <c r="V2036">
        <v>41.17</v>
      </c>
      <c r="W2036">
        <v>1.18</v>
      </c>
    </row>
    <row r="2037" spans="1:23" x14ac:dyDescent="0.3">
      <c r="A2037">
        <v>2037</v>
      </c>
      <c r="B2037" t="s">
        <v>2080</v>
      </c>
      <c r="C2037" t="s">
        <v>38</v>
      </c>
      <c r="D2037">
        <v>199</v>
      </c>
      <c r="E2037">
        <v>4818</v>
      </c>
      <c r="F2037" s="3">
        <v>230</v>
      </c>
      <c r="G2037">
        <v>11</v>
      </c>
      <c r="H2037">
        <v>7</v>
      </c>
      <c r="I2037" s="5">
        <v>3.5175879396984903E-2</v>
      </c>
      <c r="J2037" s="3">
        <v>350</v>
      </c>
      <c r="K2037" s="1">
        <v>45604</v>
      </c>
      <c r="L2037" t="s">
        <v>25</v>
      </c>
      <c r="M2037" t="s">
        <v>26</v>
      </c>
      <c r="N2037" t="s">
        <v>44</v>
      </c>
      <c r="O2037" t="s">
        <v>28</v>
      </c>
      <c r="P2037" t="s">
        <v>45</v>
      </c>
      <c r="Q2037" s="6">
        <v>1.1567336683417</v>
      </c>
      <c r="R2037">
        <v>4.13</v>
      </c>
      <c r="S2037">
        <v>20.93</v>
      </c>
      <c r="T2037">
        <v>32.880000000000003</v>
      </c>
      <c r="U2037">
        <v>52.05</v>
      </c>
      <c r="V2037">
        <v>50</v>
      </c>
      <c r="W2037">
        <v>1.52</v>
      </c>
    </row>
    <row r="2038" spans="1:23" x14ac:dyDescent="0.3">
      <c r="A2038">
        <v>2038</v>
      </c>
      <c r="B2038" t="s">
        <v>2081</v>
      </c>
      <c r="C2038" t="s">
        <v>38</v>
      </c>
      <c r="D2038">
        <v>95</v>
      </c>
      <c r="E2038">
        <v>5256</v>
      </c>
      <c r="F2038" s="3">
        <v>236</v>
      </c>
      <c r="G2038">
        <v>12</v>
      </c>
      <c r="H2038">
        <v>8</v>
      </c>
      <c r="I2038" s="5">
        <v>8.4210526315789402E-2</v>
      </c>
      <c r="J2038" s="3">
        <v>270</v>
      </c>
      <c r="K2038" s="1">
        <v>45620</v>
      </c>
      <c r="L2038" t="s">
        <v>25</v>
      </c>
      <c r="M2038" t="s">
        <v>31</v>
      </c>
      <c r="N2038" t="s">
        <v>40</v>
      </c>
      <c r="O2038" t="s">
        <v>28</v>
      </c>
      <c r="P2038" t="s">
        <v>50</v>
      </c>
      <c r="Q2038" s="6">
        <v>2.4825263157894701</v>
      </c>
      <c r="R2038">
        <v>1.81</v>
      </c>
      <c r="S2038">
        <v>19.649999999999999</v>
      </c>
      <c r="T2038">
        <v>29.48</v>
      </c>
      <c r="U2038">
        <v>14.48</v>
      </c>
      <c r="V2038">
        <v>33.75</v>
      </c>
      <c r="W2038">
        <v>1.1399999999999999</v>
      </c>
    </row>
    <row r="2039" spans="1:23" x14ac:dyDescent="0.3">
      <c r="A2039">
        <v>2039</v>
      </c>
      <c r="B2039" t="s">
        <v>2082</v>
      </c>
      <c r="C2039" t="s">
        <v>43</v>
      </c>
      <c r="D2039">
        <v>182</v>
      </c>
      <c r="E2039">
        <v>3980</v>
      </c>
      <c r="F2039" s="3">
        <v>192</v>
      </c>
      <c r="G2039">
        <v>16</v>
      </c>
      <c r="H2039">
        <v>5</v>
      </c>
      <c r="I2039" s="5">
        <v>2.7472527472527399E-2</v>
      </c>
      <c r="J2039" s="3">
        <v>214</v>
      </c>
      <c r="K2039" s="1">
        <v>45604</v>
      </c>
      <c r="L2039" t="s">
        <v>25</v>
      </c>
      <c r="M2039" t="s">
        <v>39</v>
      </c>
      <c r="N2039" t="s">
        <v>44</v>
      </c>
      <c r="O2039" t="s">
        <v>28</v>
      </c>
      <c r="P2039" t="s">
        <v>45</v>
      </c>
      <c r="Q2039" s="6">
        <v>1.0535714285714199</v>
      </c>
      <c r="R2039">
        <v>4.57</v>
      </c>
      <c r="S2039">
        <v>11.98</v>
      </c>
      <c r="T2039">
        <v>38.35</v>
      </c>
      <c r="U2039">
        <v>11.6</v>
      </c>
      <c r="V2039">
        <v>42.8</v>
      </c>
      <c r="W2039">
        <v>1.1200000000000001</v>
      </c>
    </row>
    <row r="2040" spans="1:23" x14ac:dyDescent="0.3">
      <c r="A2040">
        <v>2040</v>
      </c>
      <c r="B2040" t="s">
        <v>2083</v>
      </c>
      <c r="C2040" t="s">
        <v>38</v>
      </c>
      <c r="D2040">
        <v>132</v>
      </c>
      <c r="E2040">
        <v>4359</v>
      </c>
      <c r="F2040" s="3">
        <v>237</v>
      </c>
      <c r="G2040">
        <v>29</v>
      </c>
      <c r="H2040">
        <v>3</v>
      </c>
      <c r="I2040" s="5">
        <v>2.27272727272727E-2</v>
      </c>
      <c r="J2040" s="3">
        <v>382</v>
      </c>
      <c r="K2040" s="1">
        <v>45597</v>
      </c>
      <c r="L2040" t="s">
        <v>25</v>
      </c>
      <c r="M2040" t="s">
        <v>31</v>
      </c>
      <c r="N2040" t="s">
        <v>44</v>
      </c>
      <c r="O2040" t="s">
        <v>28</v>
      </c>
      <c r="P2040" t="s">
        <v>45</v>
      </c>
      <c r="Q2040" s="6">
        <v>1.7963636363636299</v>
      </c>
      <c r="R2040">
        <v>3.03</v>
      </c>
      <c r="S2040">
        <v>8.18</v>
      </c>
      <c r="T2040">
        <v>79.040000000000006</v>
      </c>
      <c r="U2040">
        <v>61.1</v>
      </c>
      <c r="V2040">
        <v>127.33</v>
      </c>
      <c r="W2040">
        <v>1.61</v>
      </c>
    </row>
    <row r="2041" spans="1:23" x14ac:dyDescent="0.3">
      <c r="A2041">
        <v>2041</v>
      </c>
      <c r="B2041" t="s">
        <v>2084</v>
      </c>
      <c r="C2041" t="s">
        <v>35</v>
      </c>
      <c r="D2041">
        <v>139</v>
      </c>
      <c r="E2041">
        <v>5326</v>
      </c>
      <c r="F2041" s="3">
        <v>242</v>
      </c>
      <c r="G2041">
        <v>29</v>
      </c>
      <c r="H2041">
        <v>5</v>
      </c>
      <c r="I2041" s="5">
        <v>3.5971223021582698E-2</v>
      </c>
      <c r="J2041" s="3">
        <v>290</v>
      </c>
      <c r="K2041" s="1">
        <v>45604</v>
      </c>
      <c r="L2041" t="s">
        <v>25</v>
      </c>
      <c r="M2041" t="s">
        <v>31</v>
      </c>
      <c r="N2041" t="s">
        <v>49</v>
      </c>
      <c r="O2041" t="s">
        <v>28</v>
      </c>
      <c r="P2041" t="s">
        <v>45</v>
      </c>
      <c r="Q2041" s="6">
        <v>1.7388489208633</v>
      </c>
      <c r="R2041">
        <v>2.61</v>
      </c>
      <c r="S2041">
        <v>8.33</v>
      </c>
      <c r="T2041">
        <v>48.34</v>
      </c>
      <c r="U2041">
        <v>19.98</v>
      </c>
      <c r="V2041">
        <v>58</v>
      </c>
      <c r="W2041">
        <v>1.2</v>
      </c>
    </row>
    <row r="2042" spans="1:23" x14ac:dyDescent="0.3">
      <c r="A2042">
        <v>2042</v>
      </c>
      <c r="B2042" t="s">
        <v>2085</v>
      </c>
      <c r="C2042" t="s">
        <v>43</v>
      </c>
      <c r="D2042">
        <v>134</v>
      </c>
      <c r="E2042">
        <v>5614</v>
      </c>
      <c r="F2042" s="3">
        <v>221</v>
      </c>
      <c r="G2042">
        <v>14</v>
      </c>
      <c r="H2042">
        <v>6</v>
      </c>
      <c r="I2042" s="5">
        <v>4.4776119402985003E-2</v>
      </c>
      <c r="J2042" s="3">
        <v>280.28571428571399</v>
      </c>
      <c r="K2042" s="1">
        <v>45611</v>
      </c>
      <c r="L2042" t="s">
        <v>25</v>
      </c>
      <c r="M2042" t="s">
        <v>26</v>
      </c>
      <c r="N2042" t="s">
        <v>36</v>
      </c>
      <c r="O2042" t="s">
        <v>28</v>
      </c>
      <c r="P2042" t="s">
        <v>45</v>
      </c>
      <c r="Q2042" s="6">
        <v>1.64567164179104</v>
      </c>
      <c r="R2042">
        <v>2.39</v>
      </c>
      <c r="S2042">
        <v>15.75</v>
      </c>
      <c r="T2042">
        <v>36.75</v>
      </c>
      <c r="U2042">
        <v>27.1</v>
      </c>
      <c r="V2042">
        <v>46.71</v>
      </c>
      <c r="W2042">
        <v>1.27</v>
      </c>
    </row>
    <row r="2043" spans="1:23" x14ac:dyDescent="0.3">
      <c r="A2043">
        <v>2043</v>
      </c>
      <c r="B2043" t="s">
        <v>2086</v>
      </c>
      <c r="C2043" t="s">
        <v>43</v>
      </c>
      <c r="D2043">
        <v>166</v>
      </c>
      <c r="E2043">
        <v>3746</v>
      </c>
      <c r="F2043" s="3">
        <v>214</v>
      </c>
      <c r="G2043">
        <v>16</v>
      </c>
      <c r="H2043">
        <v>5</v>
      </c>
      <c r="I2043" s="5">
        <v>3.0120481927710802E-2</v>
      </c>
      <c r="J2043" s="3">
        <v>357</v>
      </c>
      <c r="K2043" s="1">
        <v>45604</v>
      </c>
      <c r="L2043" t="s">
        <v>25</v>
      </c>
      <c r="M2043" t="s">
        <v>31</v>
      </c>
      <c r="N2043" t="s">
        <v>36</v>
      </c>
      <c r="O2043" t="s">
        <v>28</v>
      </c>
      <c r="P2043" t="s">
        <v>45</v>
      </c>
      <c r="Q2043" s="6">
        <v>1.2880120481927699</v>
      </c>
      <c r="R2043">
        <v>4.43</v>
      </c>
      <c r="S2043">
        <v>13.36</v>
      </c>
      <c r="T2043">
        <v>42.76</v>
      </c>
      <c r="U2043">
        <v>66.97</v>
      </c>
      <c r="V2043">
        <v>71.400000000000006</v>
      </c>
      <c r="W2043">
        <v>1.67</v>
      </c>
    </row>
    <row r="2044" spans="1:23" x14ac:dyDescent="0.3">
      <c r="A2044">
        <v>2044</v>
      </c>
      <c r="B2044" t="s">
        <v>2087</v>
      </c>
      <c r="C2044" t="s">
        <v>43</v>
      </c>
      <c r="D2044">
        <v>121</v>
      </c>
      <c r="E2044">
        <v>5608</v>
      </c>
      <c r="F2044" s="3">
        <v>220</v>
      </c>
      <c r="G2044">
        <v>19</v>
      </c>
      <c r="H2044">
        <v>4</v>
      </c>
      <c r="I2044" s="5">
        <v>3.3057851239669402E-2</v>
      </c>
      <c r="J2044" s="3">
        <v>247</v>
      </c>
      <c r="K2044" s="1">
        <v>45610</v>
      </c>
      <c r="L2044" t="s">
        <v>25</v>
      </c>
      <c r="M2044" t="s">
        <v>39</v>
      </c>
      <c r="N2044" t="s">
        <v>40</v>
      </c>
      <c r="O2044" t="s">
        <v>28</v>
      </c>
      <c r="P2044" t="s">
        <v>54</v>
      </c>
      <c r="Q2044" s="6">
        <v>1.81752066115702</v>
      </c>
      <c r="R2044">
        <v>2.16</v>
      </c>
      <c r="S2044">
        <v>11.57</v>
      </c>
      <c r="T2044">
        <v>54.98</v>
      </c>
      <c r="U2044">
        <v>12.31</v>
      </c>
      <c r="V2044">
        <v>61.75</v>
      </c>
      <c r="W2044">
        <v>1.1200000000000001</v>
      </c>
    </row>
    <row r="2045" spans="1:23" x14ac:dyDescent="0.3">
      <c r="A2045">
        <v>2045</v>
      </c>
      <c r="B2045" t="s">
        <v>2088</v>
      </c>
      <c r="C2045" t="s">
        <v>38</v>
      </c>
      <c r="D2045">
        <v>173</v>
      </c>
      <c r="E2045">
        <v>4582</v>
      </c>
      <c r="F2045" s="3">
        <v>205</v>
      </c>
      <c r="G2045">
        <v>17</v>
      </c>
      <c r="H2045">
        <v>5</v>
      </c>
      <c r="I2045" s="5">
        <v>2.8901734104046201E-2</v>
      </c>
      <c r="J2045" s="3">
        <v>348</v>
      </c>
      <c r="K2045" s="1">
        <v>45617</v>
      </c>
      <c r="L2045" t="s">
        <v>25</v>
      </c>
      <c r="M2045" t="s">
        <v>26</v>
      </c>
      <c r="N2045" t="s">
        <v>40</v>
      </c>
      <c r="O2045" t="s">
        <v>28</v>
      </c>
      <c r="P2045" t="s">
        <v>54</v>
      </c>
      <c r="Q2045" s="6">
        <v>1.1849132947976799</v>
      </c>
      <c r="R2045">
        <v>3.78</v>
      </c>
      <c r="S2045">
        <v>12.06</v>
      </c>
      <c r="T2045">
        <v>41</v>
      </c>
      <c r="U2045">
        <v>69.760000000000005</v>
      </c>
      <c r="V2045">
        <v>69.599999999999994</v>
      </c>
      <c r="W2045">
        <v>1.7</v>
      </c>
    </row>
    <row r="2046" spans="1:23" x14ac:dyDescent="0.3">
      <c r="A2046">
        <v>2046</v>
      </c>
      <c r="B2046" t="s">
        <v>2089</v>
      </c>
      <c r="C2046" t="s">
        <v>35</v>
      </c>
      <c r="D2046">
        <v>132</v>
      </c>
      <c r="E2046">
        <v>4438</v>
      </c>
      <c r="F2046" s="3">
        <v>233</v>
      </c>
      <c r="G2046">
        <v>24</v>
      </c>
      <c r="H2046">
        <v>7</v>
      </c>
      <c r="I2046" s="5">
        <v>5.3030303030302997E-2</v>
      </c>
      <c r="J2046" s="3">
        <v>400</v>
      </c>
      <c r="K2046" s="1">
        <v>45605</v>
      </c>
      <c r="L2046" t="s">
        <v>25</v>
      </c>
      <c r="M2046" t="s">
        <v>26</v>
      </c>
      <c r="N2046" t="s">
        <v>49</v>
      </c>
      <c r="O2046" t="s">
        <v>28</v>
      </c>
      <c r="P2046" t="s">
        <v>29</v>
      </c>
      <c r="Q2046" s="6">
        <v>1.76272727272727</v>
      </c>
      <c r="R2046">
        <v>2.97</v>
      </c>
      <c r="S2046">
        <v>9.6999999999999993</v>
      </c>
      <c r="T2046">
        <v>33.24</v>
      </c>
      <c r="U2046">
        <v>71.91</v>
      </c>
      <c r="V2046">
        <v>57.14</v>
      </c>
      <c r="W2046">
        <v>1.72</v>
      </c>
    </row>
    <row r="2047" spans="1:23" x14ac:dyDescent="0.3">
      <c r="A2047">
        <v>2047</v>
      </c>
      <c r="B2047" t="s">
        <v>2090</v>
      </c>
      <c r="C2047" t="s">
        <v>24</v>
      </c>
      <c r="D2047">
        <v>136</v>
      </c>
      <c r="E2047">
        <v>5011</v>
      </c>
      <c r="F2047" s="3">
        <v>237</v>
      </c>
      <c r="G2047">
        <v>25</v>
      </c>
      <c r="H2047">
        <v>5</v>
      </c>
      <c r="I2047" s="5">
        <v>3.6764705882352901E-2</v>
      </c>
      <c r="J2047" s="3">
        <v>323</v>
      </c>
      <c r="K2047" s="1">
        <v>45599</v>
      </c>
      <c r="L2047" t="s">
        <v>25</v>
      </c>
      <c r="M2047" t="s">
        <v>31</v>
      </c>
      <c r="N2047" t="s">
        <v>32</v>
      </c>
      <c r="O2047" t="s">
        <v>28</v>
      </c>
      <c r="P2047" t="s">
        <v>50</v>
      </c>
      <c r="Q2047" s="6">
        <v>1.73985294117647</v>
      </c>
      <c r="R2047">
        <v>2.71</v>
      </c>
      <c r="S2047">
        <v>9.4600000000000009</v>
      </c>
      <c r="T2047">
        <v>47.32</v>
      </c>
      <c r="U2047">
        <v>36.51</v>
      </c>
      <c r="V2047">
        <v>64.599999999999994</v>
      </c>
      <c r="W2047">
        <v>1.37</v>
      </c>
    </row>
    <row r="2048" spans="1:23" x14ac:dyDescent="0.3">
      <c r="A2048">
        <v>2048</v>
      </c>
      <c r="B2048" t="s">
        <v>2091</v>
      </c>
      <c r="C2048" t="s">
        <v>35</v>
      </c>
      <c r="D2048">
        <v>174</v>
      </c>
      <c r="E2048">
        <v>5864</v>
      </c>
      <c r="F2048" s="3">
        <v>190</v>
      </c>
      <c r="G2048">
        <v>26</v>
      </c>
      <c r="H2048">
        <v>5</v>
      </c>
      <c r="I2048" s="5">
        <v>2.8735632183908E-2</v>
      </c>
      <c r="J2048" s="3">
        <v>308</v>
      </c>
      <c r="K2048" s="1">
        <v>45623</v>
      </c>
      <c r="L2048" t="s">
        <v>25</v>
      </c>
      <c r="M2048" t="s">
        <v>31</v>
      </c>
      <c r="N2048" t="s">
        <v>40</v>
      </c>
      <c r="O2048" t="s">
        <v>28</v>
      </c>
      <c r="P2048" t="s">
        <v>33</v>
      </c>
      <c r="Q2048" s="6">
        <v>1.09454022988505</v>
      </c>
      <c r="R2048">
        <v>2.97</v>
      </c>
      <c r="S2048">
        <v>7.32</v>
      </c>
      <c r="T2048">
        <v>38.090000000000003</v>
      </c>
      <c r="U2048">
        <v>61.72</v>
      </c>
      <c r="V2048">
        <v>61.6</v>
      </c>
      <c r="W2048">
        <v>1.62</v>
      </c>
    </row>
    <row r="2049" spans="1:23" x14ac:dyDescent="0.3">
      <c r="A2049">
        <v>2049</v>
      </c>
      <c r="B2049" t="s">
        <v>2092</v>
      </c>
      <c r="C2049" t="s">
        <v>43</v>
      </c>
      <c r="D2049">
        <v>168</v>
      </c>
      <c r="E2049">
        <v>5114</v>
      </c>
      <c r="F2049" s="3">
        <v>187</v>
      </c>
      <c r="G2049">
        <v>10</v>
      </c>
      <c r="H2049">
        <v>3</v>
      </c>
      <c r="I2049" s="5">
        <v>1.7857142857142801E-2</v>
      </c>
      <c r="J2049" s="3">
        <v>312</v>
      </c>
      <c r="K2049" s="1">
        <v>45614</v>
      </c>
      <c r="L2049" t="s">
        <v>25</v>
      </c>
      <c r="M2049" t="s">
        <v>26</v>
      </c>
      <c r="N2049" t="s">
        <v>44</v>
      </c>
      <c r="O2049" t="s">
        <v>28</v>
      </c>
      <c r="P2049" t="s">
        <v>59</v>
      </c>
      <c r="Q2049" s="6">
        <v>1.1116071428571399</v>
      </c>
      <c r="R2049">
        <v>3.29</v>
      </c>
      <c r="S2049">
        <v>18.68</v>
      </c>
      <c r="T2049">
        <v>62.25</v>
      </c>
      <c r="U2049">
        <v>67.069999999999993</v>
      </c>
      <c r="V2049">
        <v>104</v>
      </c>
      <c r="W2049">
        <v>1.67</v>
      </c>
    </row>
    <row r="2050" spans="1:23" x14ac:dyDescent="0.3">
      <c r="A2050">
        <v>2050</v>
      </c>
      <c r="B2050" t="s">
        <v>2093</v>
      </c>
      <c r="C2050" t="s">
        <v>43</v>
      </c>
      <c r="D2050">
        <v>117</v>
      </c>
      <c r="E2050">
        <v>5658</v>
      </c>
      <c r="F2050" s="3">
        <v>191</v>
      </c>
      <c r="G2050">
        <v>13</v>
      </c>
      <c r="H2050">
        <v>3</v>
      </c>
      <c r="I2050" s="5">
        <v>2.5641025641025599E-2</v>
      </c>
      <c r="J2050" s="3">
        <v>363</v>
      </c>
      <c r="K2050" s="1">
        <v>45621</v>
      </c>
      <c r="L2050" t="s">
        <v>25</v>
      </c>
      <c r="M2050" t="s">
        <v>31</v>
      </c>
      <c r="N2050" t="s">
        <v>27</v>
      </c>
      <c r="O2050" t="s">
        <v>28</v>
      </c>
      <c r="P2050" t="s">
        <v>59</v>
      </c>
      <c r="Q2050" s="6">
        <v>1.6365811965811901</v>
      </c>
      <c r="R2050">
        <v>2.0699999999999998</v>
      </c>
      <c r="S2050">
        <v>14.73</v>
      </c>
      <c r="T2050">
        <v>63.83</v>
      </c>
      <c r="U2050">
        <v>89.58</v>
      </c>
      <c r="V2050">
        <v>121</v>
      </c>
      <c r="W2050">
        <v>1.9</v>
      </c>
    </row>
    <row r="2051" spans="1:23" x14ac:dyDescent="0.3">
      <c r="A2051">
        <v>2051</v>
      </c>
      <c r="B2051" t="s">
        <v>2094</v>
      </c>
      <c r="C2051" t="s">
        <v>43</v>
      </c>
      <c r="D2051">
        <v>187</v>
      </c>
      <c r="E2051">
        <v>4876</v>
      </c>
      <c r="F2051" s="3">
        <v>192</v>
      </c>
      <c r="G2051">
        <v>16</v>
      </c>
      <c r="H2051">
        <v>5</v>
      </c>
      <c r="I2051" s="5">
        <v>2.6737967914438499E-2</v>
      </c>
      <c r="J2051" s="3">
        <v>285</v>
      </c>
      <c r="K2051" s="1">
        <v>45605</v>
      </c>
      <c r="L2051" t="s">
        <v>25</v>
      </c>
      <c r="M2051" t="s">
        <v>39</v>
      </c>
      <c r="N2051" t="s">
        <v>49</v>
      </c>
      <c r="O2051" t="s">
        <v>28</v>
      </c>
      <c r="P2051" t="s">
        <v>29</v>
      </c>
      <c r="Q2051" s="6">
        <v>1.0278074866310101</v>
      </c>
      <c r="R2051">
        <v>3.84</v>
      </c>
      <c r="S2051">
        <v>12.01</v>
      </c>
      <c r="T2051">
        <v>38.44</v>
      </c>
      <c r="U2051">
        <v>48.28</v>
      </c>
      <c r="V2051">
        <v>57</v>
      </c>
      <c r="W2051">
        <v>1.48</v>
      </c>
    </row>
    <row r="2052" spans="1:23" x14ac:dyDescent="0.3">
      <c r="A2052">
        <v>2052</v>
      </c>
      <c r="B2052" t="s">
        <v>2095</v>
      </c>
      <c r="C2052" t="s">
        <v>35</v>
      </c>
      <c r="D2052">
        <v>156</v>
      </c>
      <c r="E2052">
        <v>5139</v>
      </c>
      <c r="F2052" s="3">
        <v>212</v>
      </c>
      <c r="G2052">
        <v>20</v>
      </c>
      <c r="H2052">
        <v>10</v>
      </c>
      <c r="I2052" s="5">
        <v>6.4102564102564097E-2</v>
      </c>
      <c r="J2052" s="3">
        <v>329</v>
      </c>
      <c r="K2052" s="1">
        <v>45614</v>
      </c>
      <c r="L2052" t="s">
        <v>25</v>
      </c>
      <c r="M2052" t="s">
        <v>39</v>
      </c>
      <c r="N2052" t="s">
        <v>44</v>
      </c>
      <c r="O2052" t="s">
        <v>28</v>
      </c>
      <c r="P2052" t="s">
        <v>59</v>
      </c>
      <c r="Q2052" s="6">
        <v>1.3602564102564101</v>
      </c>
      <c r="R2052">
        <v>3.04</v>
      </c>
      <c r="S2052">
        <v>10.61</v>
      </c>
      <c r="T2052">
        <v>21.22</v>
      </c>
      <c r="U2052">
        <v>55.04</v>
      </c>
      <c r="V2052">
        <v>32.9</v>
      </c>
      <c r="W2052">
        <v>1.55</v>
      </c>
    </row>
    <row r="2053" spans="1:23" x14ac:dyDescent="0.3">
      <c r="A2053">
        <v>2053</v>
      </c>
      <c r="B2053" t="s">
        <v>2096</v>
      </c>
      <c r="C2053" t="s">
        <v>43</v>
      </c>
      <c r="D2053">
        <v>166</v>
      </c>
      <c r="E2053">
        <v>5470</v>
      </c>
      <c r="F2053" s="3">
        <v>211</v>
      </c>
      <c r="G2053">
        <v>24</v>
      </c>
      <c r="H2053">
        <v>7</v>
      </c>
      <c r="I2053" s="5">
        <v>4.2168674698795101E-2</v>
      </c>
      <c r="J2053" s="3">
        <v>393</v>
      </c>
      <c r="K2053" s="1">
        <v>45617</v>
      </c>
      <c r="L2053" t="s">
        <v>25</v>
      </c>
      <c r="M2053" t="s">
        <v>26</v>
      </c>
      <c r="N2053" t="s">
        <v>36</v>
      </c>
      <c r="O2053" t="s">
        <v>28</v>
      </c>
      <c r="P2053" t="s">
        <v>54</v>
      </c>
      <c r="Q2053" s="6">
        <v>1.2709036144578301</v>
      </c>
      <c r="R2053">
        <v>3.03</v>
      </c>
      <c r="S2053">
        <v>8.7899999999999991</v>
      </c>
      <c r="T2053">
        <v>30.14</v>
      </c>
      <c r="U2053">
        <v>86.28</v>
      </c>
      <c r="V2053">
        <v>56.14</v>
      </c>
      <c r="W2053">
        <v>1.86</v>
      </c>
    </row>
    <row r="2054" spans="1:23" x14ac:dyDescent="0.3">
      <c r="A2054">
        <v>2054</v>
      </c>
      <c r="B2054" t="s">
        <v>2097</v>
      </c>
      <c r="C2054" t="s">
        <v>24</v>
      </c>
      <c r="D2054">
        <v>112</v>
      </c>
      <c r="E2054">
        <v>5143</v>
      </c>
      <c r="F2054" s="3">
        <v>243</v>
      </c>
      <c r="G2054">
        <v>18</v>
      </c>
      <c r="H2054">
        <v>3</v>
      </c>
      <c r="I2054" s="5">
        <v>2.6785714285714201E-2</v>
      </c>
      <c r="J2054" s="3">
        <v>210</v>
      </c>
      <c r="K2054" s="1">
        <v>45603</v>
      </c>
      <c r="L2054" t="s">
        <v>25</v>
      </c>
      <c r="M2054" t="s">
        <v>31</v>
      </c>
      <c r="N2054" t="s">
        <v>40</v>
      </c>
      <c r="O2054" t="s">
        <v>28</v>
      </c>
      <c r="P2054" t="s">
        <v>54</v>
      </c>
      <c r="Q2054" s="6">
        <v>2.16928571428571</v>
      </c>
      <c r="R2054">
        <v>2.1800000000000002</v>
      </c>
      <c r="S2054">
        <v>13.5</v>
      </c>
      <c r="T2054">
        <v>80.989999999999995</v>
      </c>
      <c r="U2054">
        <v>-13.57</v>
      </c>
      <c r="V2054">
        <v>70</v>
      </c>
      <c r="W2054">
        <v>0.86</v>
      </c>
    </row>
    <row r="2055" spans="1:23" x14ac:dyDescent="0.3">
      <c r="A2055">
        <v>2055</v>
      </c>
      <c r="B2055" t="s">
        <v>2098</v>
      </c>
      <c r="C2055" t="s">
        <v>38</v>
      </c>
      <c r="D2055">
        <v>124</v>
      </c>
      <c r="E2055">
        <v>4089</v>
      </c>
      <c r="F2055" s="3">
        <v>210</v>
      </c>
      <c r="G2055">
        <v>15</v>
      </c>
      <c r="H2055">
        <v>4</v>
      </c>
      <c r="I2055" s="5">
        <v>3.2258064516128997E-2</v>
      </c>
      <c r="J2055" s="3">
        <v>186.85714285714201</v>
      </c>
      <c r="K2055" s="1">
        <v>45621</v>
      </c>
      <c r="L2055" t="s">
        <v>25</v>
      </c>
      <c r="M2055" t="s">
        <v>26</v>
      </c>
      <c r="N2055" t="s">
        <v>36</v>
      </c>
      <c r="O2055" t="s">
        <v>28</v>
      </c>
      <c r="P2055" t="s">
        <v>59</v>
      </c>
      <c r="Q2055" s="6">
        <v>1.69290322580645</v>
      </c>
      <c r="R2055">
        <v>3.03</v>
      </c>
      <c r="S2055">
        <v>13.99</v>
      </c>
      <c r="T2055">
        <v>52.48</v>
      </c>
      <c r="U2055">
        <v>-10.99</v>
      </c>
      <c r="V2055">
        <v>46.71</v>
      </c>
      <c r="W2055">
        <v>0.89</v>
      </c>
    </row>
    <row r="2056" spans="1:23" x14ac:dyDescent="0.3">
      <c r="A2056">
        <v>2056</v>
      </c>
      <c r="B2056" t="s">
        <v>2099</v>
      </c>
      <c r="C2056" t="s">
        <v>43</v>
      </c>
      <c r="D2056">
        <v>132</v>
      </c>
      <c r="E2056">
        <v>4769</v>
      </c>
      <c r="F2056" s="3">
        <v>236</v>
      </c>
      <c r="G2056">
        <v>15</v>
      </c>
      <c r="H2056">
        <v>4</v>
      </c>
      <c r="I2056" s="5">
        <v>3.03030303030303E-2</v>
      </c>
      <c r="J2056" s="3">
        <v>186.85714285714201</v>
      </c>
      <c r="K2056" s="1">
        <v>45622</v>
      </c>
      <c r="L2056" t="s">
        <v>25</v>
      </c>
      <c r="M2056" t="s">
        <v>39</v>
      </c>
      <c r="N2056" t="s">
        <v>49</v>
      </c>
      <c r="O2056" t="s">
        <v>28</v>
      </c>
      <c r="P2056" t="s">
        <v>41</v>
      </c>
      <c r="Q2056" s="6">
        <v>1.7909848484848401</v>
      </c>
      <c r="R2056">
        <v>2.77</v>
      </c>
      <c r="S2056">
        <v>15.76</v>
      </c>
      <c r="T2056">
        <v>59.1</v>
      </c>
      <c r="U2056">
        <v>-20.96</v>
      </c>
      <c r="V2056">
        <v>46.71</v>
      </c>
      <c r="W2056">
        <v>0.79</v>
      </c>
    </row>
    <row r="2057" spans="1:23" x14ac:dyDescent="0.3">
      <c r="A2057">
        <v>2057</v>
      </c>
      <c r="B2057" t="s">
        <v>2100</v>
      </c>
      <c r="C2057" t="s">
        <v>38</v>
      </c>
      <c r="D2057">
        <v>167</v>
      </c>
      <c r="E2057">
        <v>3366</v>
      </c>
      <c r="F2057" s="3">
        <v>213</v>
      </c>
      <c r="G2057">
        <v>28</v>
      </c>
      <c r="H2057">
        <v>4</v>
      </c>
      <c r="I2057" s="5">
        <v>2.39520958083832E-2</v>
      </c>
      <c r="J2057" s="3">
        <v>237</v>
      </c>
      <c r="K2057" s="1">
        <v>45610</v>
      </c>
      <c r="L2057" t="s">
        <v>25</v>
      </c>
      <c r="M2057" t="s">
        <v>31</v>
      </c>
      <c r="N2057" t="s">
        <v>32</v>
      </c>
      <c r="O2057" t="s">
        <v>28</v>
      </c>
      <c r="P2057" t="s">
        <v>54</v>
      </c>
      <c r="Q2057" s="6">
        <v>1.27556886227544</v>
      </c>
      <c r="R2057">
        <v>4.96</v>
      </c>
      <c r="S2057">
        <v>7.61</v>
      </c>
      <c r="T2057">
        <v>53.26</v>
      </c>
      <c r="U2057">
        <v>11.26</v>
      </c>
      <c r="V2057">
        <v>59.25</v>
      </c>
      <c r="W2057">
        <v>1.1100000000000001</v>
      </c>
    </row>
    <row r="2058" spans="1:23" x14ac:dyDescent="0.3">
      <c r="A2058">
        <v>2058</v>
      </c>
      <c r="B2058" t="s">
        <v>2101</v>
      </c>
      <c r="C2058" t="s">
        <v>24</v>
      </c>
      <c r="D2058">
        <v>165</v>
      </c>
      <c r="E2058">
        <v>5228</v>
      </c>
      <c r="F2058" s="3">
        <v>200</v>
      </c>
      <c r="G2058">
        <v>27</v>
      </c>
      <c r="H2058">
        <v>3</v>
      </c>
      <c r="I2058" s="5">
        <v>1.8181818181818101E-2</v>
      </c>
      <c r="J2058" s="3">
        <v>373</v>
      </c>
      <c r="K2058" s="1">
        <v>45601</v>
      </c>
      <c r="L2058" t="s">
        <v>25</v>
      </c>
      <c r="M2058" t="s">
        <v>31</v>
      </c>
      <c r="N2058" t="s">
        <v>49</v>
      </c>
      <c r="O2058" t="s">
        <v>28</v>
      </c>
      <c r="P2058" t="s">
        <v>41</v>
      </c>
      <c r="Q2058" s="6">
        <v>1.2104848484848401</v>
      </c>
      <c r="R2058">
        <v>3.16</v>
      </c>
      <c r="S2058">
        <v>7.4</v>
      </c>
      <c r="T2058">
        <v>66.58</v>
      </c>
      <c r="U2058">
        <v>86.75</v>
      </c>
      <c r="V2058">
        <v>124.33</v>
      </c>
      <c r="W2058">
        <v>1.87</v>
      </c>
    </row>
    <row r="2059" spans="1:23" x14ac:dyDescent="0.3">
      <c r="A2059">
        <v>2059</v>
      </c>
      <c r="B2059" t="s">
        <v>2102</v>
      </c>
      <c r="C2059" t="s">
        <v>24</v>
      </c>
      <c r="D2059">
        <v>108</v>
      </c>
      <c r="E2059">
        <v>4266</v>
      </c>
      <c r="F2059" s="3">
        <v>220</v>
      </c>
      <c r="G2059">
        <v>24</v>
      </c>
      <c r="H2059">
        <v>5</v>
      </c>
      <c r="I2059" s="5">
        <v>4.6296296296296197E-2</v>
      </c>
      <c r="J2059" s="3">
        <v>262</v>
      </c>
      <c r="K2059" s="1">
        <v>45619</v>
      </c>
      <c r="L2059" t="s">
        <v>25</v>
      </c>
      <c r="M2059" t="s">
        <v>31</v>
      </c>
      <c r="N2059" t="s">
        <v>40</v>
      </c>
      <c r="O2059" t="s">
        <v>28</v>
      </c>
      <c r="P2059" t="s">
        <v>29</v>
      </c>
      <c r="Q2059" s="6">
        <v>2.03722222222222</v>
      </c>
      <c r="R2059">
        <v>2.5299999999999998</v>
      </c>
      <c r="S2059">
        <v>9.17</v>
      </c>
      <c r="T2059">
        <v>44</v>
      </c>
      <c r="U2059">
        <v>19.079999999999998</v>
      </c>
      <c r="V2059">
        <v>52.4</v>
      </c>
      <c r="W2059">
        <v>1.19</v>
      </c>
    </row>
    <row r="2060" spans="1:23" x14ac:dyDescent="0.3">
      <c r="A2060">
        <v>2060</v>
      </c>
      <c r="B2060" t="s">
        <v>2103</v>
      </c>
      <c r="C2060" t="s">
        <v>38</v>
      </c>
      <c r="D2060">
        <v>182</v>
      </c>
      <c r="E2060">
        <v>5102</v>
      </c>
      <c r="F2060" s="3">
        <v>226</v>
      </c>
      <c r="G2060">
        <v>16</v>
      </c>
      <c r="H2060">
        <v>10</v>
      </c>
      <c r="I2060" s="5">
        <v>5.4945054945054903E-2</v>
      </c>
      <c r="J2060" s="3">
        <v>327</v>
      </c>
      <c r="K2060" s="1">
        <v>45603</v>
      </c>
      <c r="L2060" t="s">
        <v>25</v>
      </c>
      <c r="M2060" t="s">
        <v>31</v>
      </c>
      <c r="N2060" t="s">
        <v>32</v>
      </c>
      <c r="O2060" t="s">
        <v>28</v>
      </c>
      <c r="P2060" t="s">
        <v>54</v>
      </c>
      <c r="Q2060" s="6">
        <v>1.2429670329670299</v>
      </c>
      <c r="R2060">
        <v>3.57</v>
      </c>
      <c r="S2060">
        <v>14.14</v>
      </c>
      <c r="T2060">
        <v>22.62</v>
      </c>
      <c r="U2060">
        <v>44.55</v>
      </c>
      <c r="V2060">
        <v>32.700000000000003</v>
      </c>
      <c r="W2060">
        <v>1.45</v>
      </c>
    </row>
    <row r="2061" spans="1:23" x14ac:dyDescent="0.3">
      <c r="A2061">
        <v>2061</v>
      </c>
      <c r="B2061" t="s">
        <v>2104</v>
      </c>
      <c r="C2061" t="s">
        <v>35</v>
      </c>
      <c r="D2061">
        <v>91</v>
      </c>
      <c r="E2061">
        <v>3787</v>
      </c>
      <c r="F2061" s="3">
        <v>226</v>
      </c>
      <c r="G2061">
        <v>26</v>
      </c>
      <c r="H2061">
        <v>8</v>
      </c>
      <c r="I2061" s="5">
        <v>8.7912087912087905E-2</v>
      </c>
      <c r="J2061" s="3">
        <v>305</v>
      </c>
      <c r="K2061" s="1">
        <v>45606</v>
      </c>
      <c r="L2061" t="s">
        <v>25</v>
      </c>
      <c r="M2061" t="s">
        <v>39</v>
      </c>
      <c r="N2061" t="s">
        <v>32</v>
      </c>
      <c r="O2061" t="s">
        <v>28</v>
      </c>
      <c r="P2061" t="s">
        <v>50</v>
      </c>
      <c r="Q2061" s="6">
        <v>2.4853846153846102</v>
      </c>
      <c r="R2061">
        <v>2.4</v>
      </c>
      <c r="S2061">
        <v>8.6999999999999993</v>
      </c>
      <c r="T2061">
        <v>28.27</v>
      </c>
      <c r="U2061">
        <v>34.85</v>
      </c>
      <c r="V2061">
        <v>38.119999999999997</v>
      </c>
      <c r="W2061">
        <v>1.35</v>
      </c>
    </row>
    <row r="2062" spans="1:23" x14ac:dyDescent="0.3">
      <c r="A2062">
        <v>2062</v>
      </c>
      <c r="B2062" t="s">
        <v>2105</v>
      </c>
      <c r="C2062" t="s">
        <v>43</v>
      </c>
      <c r="D2062">
        <v>194</v>
      </c>
      <c r="E2062">
        <v>4598</v>
      </c>
      <c r="F2062" s="3">
        <v>234</v>
      </c>
      <c r="G2062">
        <v>25</v>
      </c>
      <c r="H2062">
        <v>4</v>
      </c>
      <c r="I2062" s="5">
        <v>2.06185567010309E-2</v>
      </c>
      <c r="J2062" s="3">
        <v>319</v>
      </c>
      <c r="K2062" s="1">
        <v>45601</v>
      </c>
      <c r="L2062" t="s">
        <v>25</v>
      </c>
      <c r="M2062" t="s">
        <v>39</v>
      </c>
      <c r="N2062" t="s">
        <v>36</v>
      </c>
      <c r="O2062" t="s">
        <v>28</v>
      </c>
      <c r="P2062" t="s">
        <v>41</v>
      </c>
      <c r="Q2062" s="6">
        <v>1.20546391752577</v>
      </c>
      <c r="R2062">
        <v>4.22</v>
      </c>
      <c r="S2062">
        <v>9.35</v>
      </c>
      <c r="T2062">
        <v>58.46</v>
      </c>
      <c r="U2062">
        <v>36.409999999999997</v>
      </c>
      <c r="V2062">
        <v>79.75</v>
      </c>
      <c r="W2062">
        <v>1.36</v>
      </c>
    </row>
    <row r="2063" spans="1:23" x14ac:dyDescent="0.3">
      <c r="A2063">
        <v>2063</v>
      </c>
      <c r="B2063" t="s">
        <v>2106</v>
      </c>
      <c r="C2063" t="s">
        <v>43</v>
      </c>
      <c r="D2063">
        <v>189</v>
      </c>
      <c r="E2063">
        <v>5404</v>
      </c>
      <c r="F2063" s="3">
        <v>218</v>
      </c>
      <c r="G2063">
        <v>17</v>
      </c>
      <c r="H2063">
        <v>10</v>
      </c>
      <c r="I2063" s="5">
        <v>5.29100529100529E-2</v>
      </c>
      <c r="J2063" s="3">
        <v>289</v>
      </c>
      <c r="K2063" s="1">
        <v>45620</v>
      </c>
      <c r="L2063" t="s">
        <v>25</v>
      </c>
      <c r="M2063" t="s">
        <v>31</v>
      </c>
      <c r="N2063" t="s">
        <v>27</v>
      </c>
      <c r="O2063" t="s">
        <v>28</v>
      </c>
      <c r="P2063" t="s">
        <v>50</v>
      </c>
      <c r="Q2063" s="6">
        <v>1.15560846560846</v>
      </c>
      <c r="R2063">
        <v>3.5</v>
      </c>
      <c r="S2063">
        <v>12.85</v>
      </c>
      <c r="T2063">
        <v>21.84</v>
      </c>
      <c r="U2063">
        <v>32.32</v>
      </c>
      <c r="V2063">
        <v>28.9</v>
      </c>
      <c r="W2063">
        <v>1.32</v>
      </c>
    </row>
    <row r="2064" spans="1:23" x14ac:dyDescent="0.3">
      <c r="A2064">
        <v>2064</v>
      </c>
      <c r="B2064" t="s">
        <v>2107</v>
      </c>
      <c r="C2064" t="s">
        <v>35</v>
      </c>
      <c r="D2064">
        <v>85</v>
      </c>
      <c r="E2064">
        <v>4432</v>
      </c>
      <c r="F2064" s="3">
        <v>215</v>
      </c>
      <c r="G2064">
        <v>22</v>
      </c>
      <c r="H2064">
        <v>7</v>
      </c>
      <c r="I2064" s="5">
        <v>8.2352941176470504E-2</v>
      </c>
      <c r="J2064" s="3">
        <v>258</v>
      </c>
      <c r="K2064" s="1">
        <v>45619</v>
      </c>
      <c r="L2064" t="s">
        <v>25</v>
      </c>
      <c r="M2064" t="s">
        <v>39</v>
      </c>
      <c r="N2064" t="s">
        <v>36</v>
      </c>
      <c r="O2064" t="s">
        <v>28</v>
      </c>
      <c r="P2064" t="s">
        <v>29</v>
      </c>
      <c r="Q2064" s="6">
        <v>2.5269411764705798</v>
      </c>
      <c r="R2064">
        <v>1.92</v>
      </c>
      <c r="S2064">
        <v>9.76</v>
      </c>
      <c r="T2064">
        <v>30.68</v>
      </c>
      <c r="U2064">
        <v>20.12</v>
      </c>
      <c r="V2064">
        <v>36.86</v>
      </c>
      <c r="W2064">
        <v>1.2</v>
      </c>
    </row>
    <row r="2065" spans="1:23" x14ac:dyDescent="0.3">
      <c r="A2065">
        <v>2065</v>
      </c>
      <c r="B2065" t="s">
        <v>2108</v>
      </c>
      <c r="C2065" t="s">
        <v>24</v>
      </c>
      <c r="D2065">
        <v>162</v>
      </c>
      <c r="E2065">
        <v>4016</v>
      </c>
      <c r="F2065" s="3">
        <v>224</v>
      </c>
      <c r="G2065">
        <v>28</v>
      </c>
      <c r="H2065">
        <v>10</v>
      </c>
      <c r="I2065" s="5">
        <v>6.1728395061728301E-2</v>
      </c>
      <c r="J2065" s="3">
        <v>216</v>
      </c>
      <c r="K2065" s="1">
        <v>45615</v>
      </c>
      <c r="L2065" t="s">
        <v>25</v>
      </c>
      <c r="M2065" t="s">
        <v>31</v>
      </c>
      <c r="N2065" t="s">
        <v>40</v>
      </c>
      <c r="O2065" t="s">
        <v>28</v>
      </c>
      <c r="P2065" t="s">
        <v>41</v>
      </c>
      <c r="Q2065" s="6">
        <v>1.3856790123456699</v>
      </c>
      <c r="R2065">
        <v>4.03</v>
      </c>
      <c r="S2065">
        <v>8.02</v>
      </c>
      <c r="T2065">
        <v>22.45</v>
      </c>
      <c r="U2065">
        <v>-3.78</v>
      </c>
      <c r="V2065">
        <v>21.6</v>
      </c>
      <c r="W2065">
        <v>0.96</v>
      </c>
    </row>
    <row r="2066" spans="1:23" x14ac:dyDescent="0.3">
      <c r="A2066">
        <v>2066</v>
      </c>
      <c r="B2066" t="s">
        <v>2109</v>
      </c>
      <c r="C2066" t="s">
        <v>38</v>
      </c>
      <c r="D2066">
        <v>163</v>
      </c>
      <c r="E2066">
        <v>5379</v>
      </c>
      <c r="F2066" s="3">
        <v>248</v>
      </c>
      <c r="G2066">
        <v>28</v>
      </c>
      <c r="H2066">
        <v>5</v>
      </c>
      <c r="I2066" s="5">
        <v>3.0674846625766802E-2</v>
      </c>
      <c r="J2066" s="3">
        <v>384</v>
      </c>
      <c r="K2066" s="1">
        <v>45623</v>
      </c>
      <c r="L2066" t="s">
        <v>25</v>
      </c>
      <c r="M2066" t="s">
        <v>26</v>
      </c>
      <c r="N2066" t="s">
        <v>44</v>
      </c>
      <c r="O2066" t="s">
        <v>28</v>
      </c>
      <c r="P2066" t="s">
        <v>33</v>
      </c>
      <c r="Q2066" s="6">
        <v>1.5242944785276</v>
      </c>
      <c r="R2066">
        <v>3.03</v>
      </c>
      <c r="S2066">
        <v>8.8699999999999992</v>
      </c>
      <c r="T2066">
        <v>49.69</v>
      </c>
      <c r="U2066">
        <v>54.55</v>
      </c>
      <c r="V2066">
        <v>76.8</v>
      </c>
      <c r="W2066">
        <v>1.55</v>
      </c>
    </row>
    <row r="2067" spans="1:23" x14ac:dyDescent="0.3">
      <c r="A2067">
        <v>2067</v>
      </c>
      <c r="B2067" t="s">
        <v>2110</v>
      </c>
      <c r="C2067" t="s">
        <v>38</v>
      </c>
      <c r="D2067">
        <v>88</v>
      </c>
      <c r="E2067">
        <v>5093</v>
      </c>
      <c r="F2067" s="3">
        <v>222</v>
      </c>
      <c r="G2067">
        <v>13</v>
      </c>
      <c r="H2067">
        <v>9</v>
      </c>
      <c r="I2067" s="5">
        <v>0.102272727272727</v>
      </c>
      <c r="J2067" s="3">
        <v>242</v>
      </c>
      <c r="K2067" s="1">
        <v>45605</v>
      </c>
      <c r="L2067" t="s">
        <v>25</v>
      </c>
      <c r="M2067" t="s">
        <v>26</v>
      </c>
      <c r="N2067" t="s">
        <v>44</v>
      </c>
      <c r="O2067" t="s">
        <v>28</v>
      </c>
      <c r="P2067" t="s">
        <v>29</v>
      </c>
      <c r="Q2067" s="6">
        <v>2.52590909090909</v>
      </c>
      <c r="R2067">
        <v>1.73</v>
      </c>
      <c r="S2067">
        <v>17.100000000000001</v>
      </c>
      <c r="T2067">
        <v>24.7</v>
      </c>
      <c r="U2067">
        <v>8.8699999999999992</v>
      </c>
      <c r="V2067">
        <v>26.89</v>
      </c>
      <c r="W2067">
        <v>1.0900000000000001</v>
      </c>
    </row>
    <row r="2068" spans="1:23" x14ac:dyDescent="0.3">
      <c r="A2068">
        <v>2068</v>
      </c>
      <c r="B2068" t="s">
        <v>2111</v>
      </c>
      <c r="C2068" t="s">
        <v>43</v>
      </c>
      <c r="D2068">
        <v>121</v>
      </c>
      <c r="E2068">
        <v>5092</v>
      </c>
      <c r="F2068" s="3">
        <v>219</v>
      </c>
      <c r="G2068">
        <v>21</v>
      </c>
      <c r="H2068">
        <v>6</v>
      </c>
      <c r="I2068" s="5">
        <v>4.9586776859504099E-2</v>
      </c>
      <c r="J2068" s="3">
        <v>380</v>
      </c>
      <c r="K2068" s="1">
        <v>45600</v>
      </c>
      <c r="L2068" t="s">
        <v>25</v>
      </c>
      <c r="M2068" t="s">
        <v>26</v>
      </c>
      <c r="N2068" t="s">
        <v>49</v>
      </c>
      <c r="O2068" t="s">
        <v>28</v>
      </c>
      <c r="P2068" t="s">
        <v>59</v>
      </c>
      <c r="Q2068" s="6">
        <v>1.8111570247933799</v>
      </c>
      <c r="R2068">
        <v>2.38</v>
      </c>
      <c r="S2068">
        <v>10.44</v>
      </c>
      <c r="T2068">
        <v>36.520000000000003</v>
      </c>
      <c r="U2068">
        <v>73.400000000000006</v>
      </c>
      <c r="V2068">
        <v>63.33</v>
      </c>
      <c r="W2068">
        <v>1.73</v>
      </c>
    </row>
    <row r="2069" spans="1:23" x14ac:dyDescent="0.3">
      <c r="A2069">
        <v>2069</v>
      </c>
      <c r="B2069" t="s">
        <v>2112</v>
      </c>
      <c r="C2069" t="s">
        <v>43</v>
      </c>
      <c r="D2069">
        <v>81</v>
      </c>
      <c r="E2069">
        <v>3015</v>
      </c>
      <c r="F2069" s="3">
        <v>219</v>
      </c>
      <c r="G2069">
        <v>10</v>
      </c>
      <c r="H2069">
        <v>7</v>
      </c>
      <c r="I2069" s="5">
        <v>8.6419753086419707E-2</v>
      </c>
      <c r="J2069" s="3">
        <v>316</v>
      </c>
      <c r="K2069" s="1">
        <v>45623</v>
      </c>
      <c r="L2069" t="s">
        <v>25</v>
      </c>
      <c r="M2069" t="s">
        <v>26</v>
      </c>
      <c r="N2069" t="s">
        <v>27</v>
      </c>
      <c r="O2069" t="s">
        <v>28</v>
      </c>
      <c r="P2069" t="s">
        <v>33</v>
      </c>
      <c r="Q2069" s="6">
        <v>2.6998765432098701</v>
      </c>
      <c r="R2069">
        <v>2.69</v>
      </c>
      <c r="S2069">
        <v>21.87</v>
      </c>
      <c r="T2069">
        <v>31.24</v>
      </c>
      <c r="U2069">
        <v>44.5</v>
      </c>
      <c r="V2069">
        <v>45.14</v>
      </c>
      <c r="W2069">
        <v>1.44</v>
      </c>
    </row>
    <row r="2070" spans="1:23" x14ac:dyDescent="0.3">
      <c r="A2070">
        <v>2070</v>
      </c>
      <c r="B2070" t="s">
        <v>2113</v>
      </c>
      <c r="C2070" t="s">
        <v>38</v>
      </c>
      <c r="D2070">
        <v>125</v>
      </c>
      <c r="E2070">
        <v>3745</v>
      </c>
      <c r="F2070" s="3">
        <v>207</v>
      </c>
      <c r="G2070">
        <v>24</v>
      </c>
      <c r="H2070">
        <v>3</v>
      </c>
      <c r="I2070" s="5">
        <v>2.4E-2</v>
      </c>
      <c r="J2070" s="3">
        <v>330</v>
      </c>
      <c r="K2070" s="1">
        <v>45604</v>
      </c>
      <c r="L2070" t="s">
        <v>25</v>
      </c>
      <c r="M2070" t="s">
        <v>39</v>
      </c>
      <c r="N2070" t="s">
        <v>32</v>
      </c>
      <c r="O2070" t="s">
        <v>28</v>
      </c>
      <c r="P2070" t="s">
        <v>45</v>
      </c>
      <c r="Q2070" s="6">
        <v>1.65544</v>
      </c>
      <c r="R2070">
        <v>3.34</v>
      </c>
      <c r="S2070">
        <v>8.6199999999999992</v>
      </c>
      <c r="T2070">
        <v>68.98</v>
      </c>
      <c r="U2070">
        <v>59.47</v>
      </c>
      <c r="V2070">
        <v>110</v>
      </c>
      <c r="W2070">
        <v>1.59</v>
      </c>
    </row>
    <row r="2071" spans="1:23" x14ac:dyDescent="0.3">
      <c r="A2071">
        <v>2071</v>
      </c>
      <c r="B2071" t="s">
        <v>2114</v>
      </c>
      <c r="C2071" t="s">
        <v>43</v>
      </c>
      <c r="D2071">
        <v>188</v>
      </c>
      <c r="E2071">
        <v>5046</v>
      </c>
      <c r="F2071" s="3">
        <v>203</v>
      </c>
      <c r="G2071">
        <v>18</v>
      </c>
      <c r="H2071">
        <v>10</v>
      </c>
      <c r="I2071" s="5">
        <v>5.31914893617021E-2</v>
      </c>
      <c r="J2071" s="3">
        <v>332</v>
      </c>
      <c r="K2071" s="1">
        <v>45601</v>
      </c>
      <c r="L2071" t="s">
        <v>25</v>
      </c>
      <c r="M2071" t="s">
        <v>39</v>
      </c>
      <c r="N2071" t="s">
        <v>44</v>
      </c>
      <c r="O2071" t="s">
        <v>28</v>
      </c>
      <c r="P2071" t="s">
        <v>41</v>
      </c>
      <c r="Q2071" s="6">
        <v>1.0772340425531901</v>
      </c>
      <c r="R2071">
        <v>3.73</v>
      </c>
      <c r="S2071">
        <v>11.25</v>
      </c>
      <c r="T2071">
        <v>20.25</v>
      </c>
      <c r="U2071">
        <v>63.93</v>
      </c>
      <c r="V2071">
        <v>33.200000000000003</v>
      </c>
      <c r="W2071">
        <v>1.64</v>
      </c>
    </row>
    <row r="2072" spans="1:23" x14ac:dyDescent="0.3">
      <c r="A2072">
        <v>2072</v>
      </c>
      <c r="B2072" t="s">
        <v>2115</v>
      </c>
      <c r="C2072" t="s">
        <v>35</v>
      </c>
      <c r="D2072">
        <v>99</v>
      </c>
      <c r="E2072">
        <v>4032</v>
      </c>
      <c r="F2072" s="3">
        <v>186</v>
      </c>
      <c r="G2072">
        <v>19</v>
      </c>
      <c r="H2072">
        <v>5</v>
      </c>
      <c r="I2072" s="5">
        <v>5.0505050505050497E-2</v>
      </c>
      <c r="J2072" s="3">
        <v>219</v>
      </c>
      <c r="K2072" s="1">
        <v>45599</v>
      </c>
      <c r="L2072" t="s">
        <v>25</v>
      </c>
      <c r="M2072" t="s">
        <v>26</v>
      </c>
      <c r="N2072" t="s">
        <v>32</v>
      </c>
      <c r="O2072" t="s">
        <v>28</v>
      </c>
      <c r="P2072" t="s">
        <v>50</v>
      </c>
      <c r="Q2072" s="6">
        <v>1.88333333333333</v>
      </c>
      <c r="R2072">
        <v>2.46</v>
      </c>
      <c r="S2072">
        <v>9.81</v>
      </c>
      <c r="T2072">
        <v>37.29</v>
      </c>
      <c r="U2072">
        <v>17.46</v>
      </c>
      <c r="V2072">
        <v>43.8</v>
      </c>
      <c r="W2072">
        <v>1.17</v>
      </c>
    </row>
    <row r="2073" spans="1:23" x14ac:dyDescent="0.3">
      <c r="A2073">
        <v>2073</v>
      </c>
      <c r="B2073" t="s">
        <v>2116</v>
      </c>
      <c r="C2073" t="s">
        <v>38</v>
      </c>
      <c r="D2073">
        <v>170</v>
      </c>
      <c r="E2073">
        <v>3879</v>
      </c>
      <c r="F2073" s="3">
        <v>245</v>
      </c>
      <c r="G2073">
        <v>29</v>
      </c>
      <c r="H2073">
        <v>8</v>
      </c>
      <c r="I2073" s="5">
        <v>4.7058823529411702E-2</v>
      </c>
      <c r="J2073" s="3">
        <v>245</v>
      </c>
      <c r="K2073" s="1">
        <v>45622</v>
      </c>
      <c r="L2073" t="s">
        <v>25</v>
      </c>
      <c r="M2073" t="s">
        <v>39</v>
      </c>
      <c r="N2073" t="s">
        <v>32</v>
      </c>
      <c r="O2073" t="s">
        <v>28</v>
      </c>
      <c r="P2073" t="s">
        <v>41</v>
      </c>
      <c r="Q2073" s="6">
        <v>1.44117647058823</v>
      </c>
      <c r="R2073">
        <v>4.38</v>
      </c>
      <c r="S2073">
        <v>8.4499999999999993</v>
      </c>
      <c r="T2073">
        <v>30.62</v>
      </c>
      <c r="U2073">
        <v>0</v>
      </c>
      <c r="V2073">
        <v>30.62</v>
      </c>
      <c r="W2073">
        <v>1</v>
      </c>
    </row>
    <row r="2074" spans="1:23" x14ac:dyDescent="0.3">
      <c r="A2074">
        <v>2074</v>
      </c>
      <c r="B2074" t="s">
        <v>2117</v>
      </c>
      <c r="C2074" t="s">
        <v>35</v>
      </c>
      <c r="D2074">
        <v>105</v>
      </c>
      <c r="E2074">
        <v>4968</v>
      </c>
      <c r="F2074" s="3">
        <v>188</v>
      </c>
      <c r="G2074">
        <v>14</v>
      </c>
      <c r="H2074">
        <v>5</v>
      </c>
      <c r="I2074" s="5">
        <v>4.7619047619047603E-2</v>
      </c>
      <c r="J2074" s="3">
        <v>232</v>
      </c>
      <c r="K2074" s="1">
        <v>45617</v>
      </c>
      <c r="L2074" t="s">
        <v>25</v>
      </c>
      <c r="M2074" t="s">
        <v>39</v>
      </c>
      <c r="N2074" t="s">
        <v>27</v>
      </c>
      <c r="O2074" t="s">
        <v>28</v>
      </c>
      <c r="P2074" t="s">
        <v>54</v>
      </c>
      <c r="Q2074" s="6">
        <v>1.79409523809523</v>
      </c>
      <c r="R2074">
        <v>2.11</v>
      </c>
      <c r="S2074">
        <v>13.46</v>
      </c>
      <c r="T2074">
        <v>37.68</v>
      </c>
      <c r="U2074">
        <v>23.16</v>
      </c>
      <c r="V2074">
        <v>46.4</v>
      </c>
      <c r="W2074">
        <v>1.23</v>
      </c>
    </row>
    <row r="2075" spans="1:23" x14ac:dyDescent="0.3">
      <c r="A2075">
        <v>2075</v>
      </c>
      <c r="B2075" t="s">
        <v>2118</v>
      </c>
      <c r="C2075" t="s">
        <v>43</v>
      </c>
      <c r="D2075">
        <v>173</v>
      </c>
      <c r="E2075">
        <v>5872</v>
      </c>
      <c r="F2075" s="3">
        <v>190</v>
      </c>
      <c r="G2075">
        <v>24</v>
      </c>
      <c r="H2075">
        <v>5</v>
      </c>
      <c r="I2075" s="5">
        <v>2.8901734104046201E-2</v>
      </c>
      <c r="J2075" s="3">
        <v>399</v>
      </c>
      <c r="K2075" s="1">
        <v>45622</v>
      </c>
      <c r="L2075" t="s">
        <v>25</v>
      </c>
      <c r="M2075" t="s">
        <v>39</v>
      </c>
      <c r="N2075" t="s">
        <v>36</v>
      </c>
      <c r="O2075" t="s">
        <v>28</v>
      </c>
      <c r="P2075" t="s">
        <v>41</v>
      </c>
      <c r="Q2075" s="6">
        <v>1.1000000000000001</v>
      </c>
      <c r="R2075">
        <v>2.95</v>
      </c>
      <c r="S2075">
        <v>7.93</v>
      </c>
      <c r="T2075">
        <v>38.06</v>
      </c>
      <c r="U2075">
        <v>109.67</v>
      </c>
      <c r="V2075">
        <v>79.8</v>
      </c>
      <c r="W2075">
        <v>2.1</v>
      </c>
    </row>
    <row r="2076" spans="1:23" x14ac:dyDescent="0.3">
      <c r="A2076">
        <v>2076</v>
      </c>
      <c r="B2076" t="s">
        <v>2119</v>
      </c>
      <c r="C2076" t="s">
        <v>24</v>
      </c>
      <c r="D2076">
        <v>186</v>
      </c>
      <c r="E2076">
        <v>3058</v>
      </c>
      <c r="F2076" s="3">
        <v>231</v>
      </c>
      <c r="G2076">
        <v>27</v>
      </c>
      <c r="H2076">
        <v>7</v>
      </c>
      <c r="I2076" s="5">
        <v>3.7634408602150497E-2</v>
      </c>
      <c r="J2076" s="3">
        <v>327</v>
      </c>
      <c r="K2076" s="1">
        <v>45619</v>
      </c>
      <c r="L2076" t="s">
        <v>25</v>
      </c>
      <c r="M2076" t="s">
        <v>31</v>
      </c>
      <c r="N2076" t="s">
        <v>49</v>
      </c>
      <c r="O2076" t="s">
        <v>28</v>
      </c>
      <c r="P2076" t="s">
        <v>29</v>
      </c>
      <c r="Q2076" s="6">
        <v>1.24037634408602</v>
      </c>
      <c r="R2076">
        <v>6.08</v>
      </c>
      <c r="S2076">
        <v>8.5399999999999991</v>
      </c>
      <c r="T2076">
        <v>32.96</v>
      </c>
      <c r="U2076">
        <v>41.74</v>
      </c>
      <c r="V2076">
        <v>46.71</v>
      </c>
      <c r="W2076">
        <v>1.42</v>
      </c>
    </row>
    <row r="2077" spans="1:23" x14ac:dyDescent="0.3">
      <c r="A2077">
        <v>2077</v>
      </c>
      <c r="B2077" t="s">
        <v>2120</v>
      </c>
      <c r="C2077" t="s">
        <v>35</v>
      </c>
      <c r="D2077">
        <v>143</v>
      </c>
      <c r="E2077">
        <v>3109</v>
      </c>
      <c r="F2077" s="3">
        <v>247</v>
      </c>
      <c r="G2077">
        <v>22</v>
      </c>
      <c r="H2077">
        <v>5</v>
      </c>
      <c r="I2077" s="5">
        <v>3.4965034965034898E-2</v>
      </c>
      <c r="J2077" s="3">
        <v>324</v>
      </c>
      <c r="K2077" s="1">
        <v>45609</v>
      </c>
      <c r="L2077" t="s">
        <v>25</v>
      </c>
      <c r="M2077" t="s">
        <v>39</v>
      </c>
      <c r="N2077" t="s">
        <v>27</v>
      </c>
      <c r="O2077" t="s">
        <v>28</v>
      </c>
      <c r="P2077" t="s">
        <v>33</v>
      </c>
      <c r="Q2077" s="6">
        <v>1.7267132867132799</v>
      </c>
      <c r="R2077">
        <v>4.5999999999999996</v>
      </c>
      <c r="S2077">
        <v>11.22</v>
      </c>
      <c r="T2077">
        <v>49.38</v>
      </c>
      <c r="U2077">
        <v>31.22</v>
      </c>
      <c r="V2077">
        <v>64.8</v>
      </c>
      <c r="W2077">
        <v>1.31</v>
      </c>
    </row>
    <row r="2078" spans="1:23" x14ac:dyDescent="0.3">
      <c r="A2078">
        <v>2078</v>
      </c>
      <c r="B2078" t="s">
        <v>2121</v>
      </c>
      <c r="C2078" t="s">
        <v>35</v>
      </c>
      <c r="D2078">
        <v>124</v>
      </c>
      <c r="E2078">
        <v>5415</v>
      </c>
      <c r="F2078" s="3">
        <v>218</v>
      </c>
      <c r="G2078">
        <v>18</v>
      </c>
      <c r="H2078">
        <v>4</v>
      </c>
      <c r="I2078" s="5">
        <v>3.2258064516128997E-2</v>
      </c>
      <c r="J2078" s="3">
        <v>257</v>
      </c>
      <c r="K2078" s="1">
        <v>45623</v>
      </c>
      <c r="L2078" t="s">
        <v>25</v>
      </c>
      <c r="M2078" t="s">
        <v>26</v>
      </c>
      <c r="N2078" t="s">
        <v>36</v>
      </c>
      <c r="O2078" t="s">
        <v>28</v>
      </c>
      <c r="P2078" t="s">
        <v>33</v>
      </c>
      <c r="Q2078" s="6">
        <v>1.7544354838709599</v>
      </c>
      <c r="R2078">
        <v>2.29</v>
      </c>
      <c r="S2078">
        <v>12.09</v>
      </c>
      <c r="T2078">
        <v>54.39</v>
      </c>
      <c r="U2078">
        <v>18.13</v>
      </c>
      <c r="V2078">
        <v>64.25</v>
      </c>
      <c r="W2078">
        <v>1.18</v>
      </c>
    </row>
    <row r="2079" spans="1:23" x14ac:dyDescent="0.3">
      <c r="A2079">
        <v>2079</v>
      </c>
      <c r="B2079" t="s">
        <v>2122</v>
      </c>
      <c r="C2079" t="s">
        <v>24</v>
      </c>
      <c r="D2079">
        <v>154</v>
      </c>
      <c r="E2079">
        <v>5633</v>
      </c>
      <c r="F2079" s="3">
        <v>246</v>
      </c>
      <c r="G2079">
        <v>29</v>
      </c>
      <c r="H2079">
        <v>7</v>
      </c>
      <c r="I2079" s="5">
        <v>4.54545454545454E-2</v>
      </c>
      <c r="J2079" s="3">
        <v>327</v>
      </c>
      <c r="K2079" s="1">
        <v>45599</v>
      </c>
      <c r="L2079" t="s">
        <v>25</v>
      </c>
      <c r="M2079" t="s">
        <v>39</v>
      </c>
      <c r="N2079" t="s">
        <v>27</v>
      </c>
      <c r="O2079" t="s">
        <v>28</v>
      </c>
      <c r="P2079" t="s">
        <v>50</v>
      </c>
      <c r="Q2079" s="6">
        <v>1.5970779220779201</v>
      </c>
      <c r="R2079">
        <v>2.73</v>
      </c>
      <c r="S2079">
        <v>8.48</v>
      </c>
      <c r="T2079">
        <v>35.14</v>
      </c>
      <c r="U2079">
        <v>32.950000000000003</v>
      </c>
      <c r="V2079">
        <v>46.71</v>
      </c>
      <c r="W2079">
        <v>1.33</v>
      </c>
    </row>
    <row r="2080" spans="1:23" x14ac:dyDescent="0.3">
      <c r="A2080">
        <v>2080</v>
      </c>
      <c r="B2080" t="s">
        <v>2123</v>
      </c>
      <c r="C2080" t="s">
        <v>24</v>
      </c>
      <c r="D2080">
        <v>85</v>
      </c>
      <c r="E2080">
        <v>5402</v>
      </c>
      <c r="F2080" s="3">
        <v>192</v>
      </c>
      <c r="G2080">
        <v>18</v>
      </c>
      <c r="H2080">
        <v>7</v>
      </c>
      <c r="I2080" s="5">
        <v>8.2352941176470504E-2</v>
      </c>
      <c r="J2080" s="3">
        <v>204</v>
      </c>
      <c r="K2080" s="1">
        <v>45622</v>
      </c>
      <c r="L2080" t="s">
        <v>25</v>
      </c>
      <c r="M2080" t="s">
        <v>26</v>
      </c>
      <c r="N2080" t="s">
        <v>40</v>
      </c>
      <c r="O2080" t="s">
        <v>28</v>
      </c>
      <c r="P2080" t="s">
        <v>41</v>
      </c>
      <c r="Q2080" s="6">
        <v>2.25823529411764</v>
      </c>
      <c r="R2080">
        <v>1.57</v>
      </c>
      <c r="S2080">
        <v>10.66</v>
      </c>
      <c r="T2080">
        <v>27.42</v>
      </c>
      <c r="U2080">
        <v>6.28</v>
      </c>
      <c r="V2080">
        <v>29.14</v>
      </c>
      <c r="W2080">
        <v>1.06</v>
      </c>
    </row>
    <row r="2081" spans="1:23" x14ac:dyDescent="0.3">
      <c r="A2081">
        <v>2081</v>
      </c>
      <c r="B2081" t="s">
        <v>2124</v>
      </c>
      <c r="C2081" t="s">
        <v>35</v>
      </c>
      <c r="D2081">
        <v>167</v>
      </c>
      <c r="E2081">
        <v>4059</v>
      </c>
      <c r="F2081" s="3">
        <v>209</v>
      </c>
      <c r="G2081">
        <v>17</v>
      </c>
      <c r="H2081">
        <v>4</v>
      </c>
      <c r="I2081" s="5">
        <v>2.39520958083832E-2</v>
      </c>
      <c r="J2081" s="3">
        <v>356</v>
      </c>
      <c r="K2081" s="1">
        <v>45612</v>
      </c>
      <c r="L2081" t="s">
        <v>25</v>
      </c>
      <c r="M2081" t="s">
        <v>39</v>
      </c>
      <c r="N2081" t="s">
        <v>27</v>
      </c>
      <c r="O2081" t="s">
        <v>28</v>
      </c>
      <c r="P2081" t="s">
        <v>29</v>
      </c>
      <c r="Q2081" s="6">
        <v>1.2525748502994001</v>
      </c>
      <c r="R2081">
        <v>4.1100000000000003</v>
      </c>
      <c r="S2081">
        <v>12.3</v>
      </c>
      <c r="T2081">
        <v>52.3</v>
      </c>
      <c r="U2081">
        <v>70.19</v>
      </c>
      <c r="V2081">
        <v>89</v>
      </c>
      <c r="W2081">
        <v>1.7</v>
      </c>
    </row>
    <row r="2082" spans="1:23" x14ac:dyDescent="0.3">
      <c r="A2082">
        <v>2082</v>
      </c>
      <c r="B2082" t="s">
        <v>2125</v>
      </c>
      <c r="C2082" t="s">
        <v>43</v>
      </c>
      <c r="D2082">
        <v>139</v>
      </c>
      <c r="E2082">
        <v>3172</v>
      </c>
      <c r="F2082" s="3">
        <v>228</v>
      </c>
      <c r="G2082">
        <v>20</v>
      </c>
      <c r="H2082">
        <v>10</v>
      </c>
      <c r="I2082" s="5">
        <v>7.1942446043165395E-2</v>
      </c>
      <c r="J2082" s="3">
        <v>231</v>
      </c>
      <c r="K2082" s="1">
        <v>45624</v>
      </c>
      <c r="L2082" t="s">
        <v>25</v>
      </c>
      <c r="M2082" t="s">
        <v>39</v>
      </c>
      <c r="N2082" t="s">
        <v>49</v>
      </c>
      <c r="O2082" t="s">
        <v>28</v>
      </c>
      <c r="P2082" t="s">
        <v>54</v>
      </c>
      <c r="Q2082" s="6">
        <v>1.63906474820143</v>
      </c>
      <c r="R2082">
        <v>4.38</v>
      </c>
      <c r="S2082">
        <v>11.39</v>
      </c>
      <c r="T2082">
        <v>22.78</v>
      </c>
      <c r="U2082">
        <v>1.39</v>
      </c>
      <c r="V2082">
        <v>23.1</v>
      </c>
      <c r="W2082">
        <v>1.01</v>
      </c>
    </row>
    <row r="2083" spans="1:23" x14ac:dyDescent="0.3">
      <c r="A2083">
        <v>2083</v>
      </c>
      <c r="B2083" t="s">
        <v>2126</v>
      </c>
      <c r="C2083" t="s">
        <v>24</v>
      </c>
      <c r="D2083">
        <v>193</v>
      </c>
      <c r="E2083">
        <v>5716</v>
      </c>
      <c r="F2083" s="3">
        <v>225</v>
      </c>
      <c r="G2083">
        <v>19</v>
      </c>
      <c r="H2083">
        <v>9</v>
      </c>
      <c r="I2083" s="5">
        <v>4.6632124352331598E-2</v>
      </c>
      <c r="J2083" s="3">
        <v>238</v>
      </c>
      <c r="K2083" s="1">
        <v>45609</v>
      </c>
      <c r="L2083" t="s">
        <v>25</v>
      </c>
      <c r="M2083" t="s">
        <v>26</v>
      </c>
      <c r="N2083" t="s">
        <v>44</v>
      </c>
      <c r="O2083" t="s">
        <v>28</v>
      </c>
      <c r="P2083" t="s">
        <v>33</v>
      </c>
      <c r="Q2083" s="6">
        <v>1.16336787564766</v>
      </c>
      <c r="R2083">
        <v>3.38</v>
      </c>
      <c r="S2083">
        <v>11.82</v>
      </c>
      <c r="T2083">
        <v>24.95</v>
      </c>
      <c r="U2083">
        <v>6</v>
      </c>
      <c r="V2083">
        <v>26.44</v>
      </c>
      <c r="W2083">
        <v>1.06</v>
      </c>
    </row>
    <row r="2084" spans="1:23" x14ac:dyDescent="0.3">
      <c r="A2084">
        <v>2084</v>
      </c>
      <c r="B2084" t="s">
        <v>2127</v>
      </c>
      <c r="C2084" t="s">
        <v>24</v>
      </c>
      <c r="D2084">
        <v>127</v>
      </c>
      <c r="E2084">
        <v>4816</v>
      </c>
      <c r="F2084" s="3">
        <v>245</v>
      </c>
      <c r="G2084">
        <v>23</v>
      </c>
      <c r="H2084">
        <v>3</v>
      </c>
      <c r="I2084" s="5">
        <v>2.3622047244094401E-2</v>
      </c>
      <c r="J2084" s="3">
        <v>405</v>
      </c>
      <c r="K2084" s="1">
        <v>45603</v>
      </c>
      <c r="L2084" t="s">
        <v>25</v>
      </c>
      <c r="M2084" t="s">
        <v>39</v>
      </c>
      <c r="N2084" t="s">
        <v>27</v>
      </c>
      <c r="O2084" t="s">
        <v>28</v>
      </c>
      <c r="P2084" t="s">
        <v>54</v>
      </c>
      <c r="Q2084" s="6">
        <v>1.9311023622047201</v>
      </c>
      <c r="R2084">
        <v>2.64</v>
      </c>
      <c r="S2084">
        <v>10.66</v>
      </c>
      <c r="T2084">
        <v>81.75</v>
      </c>
      <c r="U2084">
        <v>65.14</v>
      </c>
      <c r="V2084">
        <v>135</v>
      </c>
      <c r="W2084">
        <v>1.65</v>
      </c>
    </row>
    <row r="2085" spans="1:23" x14ac:dyDescent="0.3">
      <c r="A2085">
        <v>2085</v>
      </c>
      <c r="B2085" t="s">
        <v>2128</v>
      </c>
      <c r="C2085" t="s">
        <v>24</v>
      </c>
      <c r="D2085">
        <v>80</v>
      </c>
      <c r="E2085">
        <v>3742</v>
      </c>
      <c r="F2085" s="3">
        <v>247</v>
      </c>
      <c r="G2085">
        <v>11</v>
      </c>
      <c r="H2085">
        <v>10</v>
      </c>
      <c r="I2085" s="5">
        <v>0.125</v>
      </c>
      <c r="J2085" s="3">
        <v>344</v>
      </c>
      <c r="K2085" s="1">
        <v>45604</v>
      </c>
      <c r="L2085" t="s">
        <v>25</v>
      </c>
      <c r="M2085" t="s">
        <v>39</v>
      </c>
      <c r="N2085" t="s">
        <v>49</v>
      </c>
      <c r="O2085" t="s">
        <v>28</v>
      </c>
      <c r="P2085" t="s">
        <v>45</v>
      </c>
      <c r="Q2085" s="6">
        <v>3.0895000000000001</v>
      </c>
      <c r="R2085">
        <v>2.14</v>
      </c>
      <c r="S2085">
        <v>22.47</v>
      </c>
      <c r="T2085">
        <v>24.72</v>
      </c>
      <c r="U2085">
        <v>39.18</v>
      </c>
      <c r="V2085">
        <v>34.4</v>
      </c>
      <c r="W2085">
        <v>1.39</v>
      </c>
    </row>
    <row r="2086" spans="1:23" x14ac:dyDescent="0.3">
      <c r="A2086">
        <v>2086</v>
      </c>
      <c r="B2086" t="s">
        <v>2129</v>
      </c>
      <c r="C2086" t="s">
        <v>43</v>
      </c>
      <c r="D2086">
        <v>174</v>
      </c>
      <c r="E2086">
        <v>4469</v>
      </c>
      <c r="F2086" s="3">
        <v>216</v>
      </c>
      <c r="G2086">
        <v>14</v>
      </c>
      <c r="H2086">
        <v>8</v>
      </c>
      <c r="I2086" s="5">
        <v>4.5977011494252797E-2</v>
      </c>
      <c r="J2086" s="3">
        <v>330</v>
      </c>
      <c r="K2086" s="1">
        <v>45603</v>
      </c>
      <c r="L2086" t="s">
        <v>25</v>
      </c>
      <c r="M2086" t="s">
        <v>26</v>
      </c>
      <c r="N2086" t="s">
        <v>44</v>
      </c>
      <c r="O2086" t="s">
        <v>28</v>
      </c>
      <c r="P2086" t="s">
        <v>54</v>
      </c>
      <c r="Q2086" s="6">
        <v>1.24126436781609</v>
      </c>
      <c r="R2086">
        <v>3.89</v>
      </c>
      <c r="S2086">
        <v>15.43</v>
      </c>
      <c r="T2086">
        <v>27</v>
      </c>
      <c r="U2086">
        <v>52.79</v>
      </c>
      <c r="V2086">
        <v>41.25</v>
      </c>
      <c r="W2086">
        <v>1.53</v>
      </c>
    </row>
    <row r="2087" spans="1:23" x14ac:dyDescent="0.3">
      <c r="A2087">
        <v>2087</v>
      </c>
      <c r="B2087" t="s">
        <v>2130</v>
      </c>
      <c r="C2087" t="s">
        <v>24</v>
      </c>
      <c r="D2087">
        <v>127</v>
      </c>
      <c r="E2087">
        <v>3454</v>
      </c>
      <c r="F2087" s="3">
        <v>209</v>
      </c>
      <c r="G2087">
        <v>19</v>
      </c>
      <c r="H2087">
        <v>10</v>
      </c>
      <c r="I2087" s="5">
        <v>7.8740157480314904E-2</v>
      </c>
      <c r="J2087" s="3">
        <v>395</v>
      </c>
      <c r="K2087" s="1">
        <v>45601</v>
      </c>
      <c r="L2087" t="s">
        <v>25</v>
      </c>
      <c r="M2087" t="s">
        <v>26</v>
      </c>
      <c r="N2087" t="s">
        <v>40</v>
      </c>
      <c r="O2087" t="s">
        <v>28</v>
      </c>
      <c r="P2087" t="s">
        <v>41</v>
      </c>
      <c r="Q2087" s="6">
        <v>1.6471653543307001</v>
      </c>
      <c r="R2087">
        <v>3.68</v>
      </c>
      <c r="S2087">
        <v>11.01</v>
      </c>
      <c r="T2087">
        <v>20.92</v>
      </c>
      <c r="U2087">
        <v>88.82</v>
      </c>
      <c r="V2087">
        <v>39.5</v>
      </c>
      <c r="W2087">
        <v>1.89</v>
      </c>
    </row>
    <row r="2088" spans="1:23" x14ac:dyDescent="0.3">
      <c r="A2088">
        <v>2088</v>
      </c>
      <c r="B2088" t="s">
        <v>2131</v>
      </c>
      <c r="C2088" t="s">
        <v>38</v>
      </c>
      <c r="D2088">
        <v>151</v>
      </c>
      <c r="E2088">
        <v>3702</v>
      </c>
      <c r="F2088" s="3">
        <v>245</v>
      </c>
      <c r="G2088">
        <v>22</v>
      </c>
      <c r="H2088">
        <v>9</v>
      </c>
      <c r="I2088" s="5">
        <v>5.9602649006622502E-2</v>
      </c>
      <c r="J2088" s="3">
        <v>405</v>
      </c>
      <c r="K2088" s="1">
        <v>45600</v>
      </c>
      <c r="L2088" t="s">
        <v>25</v>
      </c>
      <c r="M2088" t="s">
        <v>39</v>
      </c>
      <c r="N2088" t="s">
        <v>27</v>
      </c>
      <c r="O2088" t="s">
        <v>28</v>
      </c>
      <c r="P2088" t="s">
        <v>59</v>
      </c>
      <c r="Q2088" s="6">
        <v>1.6226490066225101</v>
      </c>
      <c r="R2088">
        <v>4.08</v>
      </c>
      <c r="S2088">
        <v>11.14</v>
      </c>
      <c r="T2088">
        <v>27.22</v>
      </c>
      <c r="U2088">
        <v>65.290000000000006</v>
      </c>
      <c r="V2088">
        <v>45</v>
      </c>
      <c r="W2088">
        <v>1.65</v>
      </c>
    </row>
    <row r="2089" spans="1:23" x14ac:dyDescent="0.3">
      <c r="A2089">
        <v>2089</v>
      </c>
      <c r="B2089" t="s">
        <v>2132</v>
      </c>
      <c r="C2089" t="s">
        <v>43</v>
      </c>
      <c r="D2089">
        <v>113</v>
      </c>
      <c r="E2089">
        <v>4258</v>
      </c>
      <c r="F2089" s="3">
        <v>232</v>
      </c>
      <c r="G2089">
        <v>16</v>
      </c>
      <c r="H2089">
        <v>10</v>
      </c>
      <c r="I2089" s="5">
        <v>8.8495575221238895E-2</v>
      </c>
      <c r="J2089" s="3">
        <v>280</v>
      </c>
      <c r="K2089" s="1">
        <v>45620</v>
      </c>
      <c r="L2089" t="s">
        <v>25</v>
      </c>
      <c r="M2089" t="s">
        <v>31</v>
      </c>
      <c r="N2089" t="s">
        <v>44</v>
      </c>
      <c r="O2089" t="s">
        <v>28</v>
      </c>
      <c r="P2089" t="s">
        <v>50</v>
      </c>
      <c r="Q2089" s="6">
        <v>2.05530973451327</v>
      </c>
      <c r="R2089">
        <v>2.65</v>
      </c>
      <c r="S2089">
        <v>14.52</v>
      </c>
      <c r="T2089">
        <v>23.22</v>
      </c>
      <c r="U2089">
        <v>20.56</v>
      </c>
      <c r="V2089">
        <v>28</v>
      </c>
      <c r="W2089">
        <v>1.21</v>
      </c>
    </row>
    <row r="2090" spans="1:23" x14ac:dyDescent="0.3">
      <c r="A2090">
        <v>2090</v>
      </c>
      <c r="B2090" t="s">
        <v>2133</v>
      </c>
      <c r="C2090" t="s">
        <v>24</v>
      </c>
      <c r="D2090">
        <v>159</v>
      </c>
      <c r="E2090">
        <v>4047</v>
      </c>
      <c r="F2090" s="3">
        <v>206</v>
      </c>
      <c r="G2090">
        <v>24</v>
      </c>
      <c r="H2090">
        <v>3</v>
      </c>
      <c r="I2090" s="5">
        <v>1.8867924528301799E-2</v>
      </c>
      <c r="J2090" s="3">
        <v>240</v>
      </c>
      <c r="K2090" s="1">
        <v>45605</v>
      </c>
      <c r="L2090" t="s">
        <v>25</v>
      </c>
      <c r="M2090" t="s">
        <v>39</v>
      </c>
      <c r="N2090" t="s">
        <v>49</v>
      </c>
      <c r="O2090" t="s">
        <v>28</v>
      </c>
      <c r="P2090" t="s">
        <v>29</v>
      </c>
      <c r="Q2090" s="6">
        <v>1.2932075471698099</v>
      </c>
      <c r="R2090">
        <v>3.93</v>
      </c>
      <c r="S2090">
        <v>8.57</v>
      </c>
      <c r="T2090">
        <v>68.540000000000006</v>
      </c>
      <c r="U2090">
        <v>16.72</v>
      </c>
      <c r="V2090">
        <v>80</v>
      </c>
      <c r="W2090">
        <v>1.17</v>
      </c>
    </row>
    <row r="2091" spans="1:23" x14ac:dyDescent="0.3">
      <c r="A2091">
        <v>2091</v>
      </c>
      <c r="B2091" t="s">
        <v>2134</v>
      </c>
      <c r="C2091" t="s">
        <v>43</v>
      </c>
      <c r="D2091">
        <v>197</v>
      </c>
      <c r="E2091">
        <v>3319</v>
      </c>
      <c r="F2091" s="3">
        <v>216</v>
      </c>
      <c r="G2091">
        <v>26</v>
      </c>
      <c r="H2091">
        <v>10</v>
      </c>
      <c r="I2091" s="5">
        <v>5.0761421319796898E-2</v>
      </c>
      <c r="J2091" s="3">
        <v>274</v>
      </c>
      <c r="K2091" s="1">
        <v>45614</v>
      </c>
      <c r="L2091" t="s">
        <v>25</v>
      </c>
      <c r="M2091" t="s">
        <v>26</v>
      </c>
      <c r="N2091" t="s">
        <v>49</v>
      </c>
      <c r="O2091" t="s">
        <v>28</v>
      </c>
      <c r="P2091" t="s">
        <v>59</v>
      </c>
      <c r="Q2091" s="6">
        <v>1.09558375634517</v>
      </c>
      <c r="R2091">
        <v>5.94</v>
      </c>
      <c r="S2091">
        <v>8.3000000000000007</v>
      </c>
      <c r="T2091">
        <v>21.58</v>
      </c>
      <c r="U2091">
        <v>26.95</v>
      </c>
      <c r="V2091">
        <v>27.4</v>
      </c>
      <c r="W2091">
        <v>1.27</v>
      </c>
    </row>
    <row r="2092" spans="1:23" x14ac:dyDescent="0.3">
      <c r="A2092">
        <v>2092</v>
      </c>
      <c r="B2092" t="s">
        <v>2135</v>
      </c>
      <c r="C2092" t="s">
        <v>38</v>
      </c>
      <c r="D2092">
        <v>106</v>
      </c>
      <c r="E2092">
        <v>5661</v>
      </c>
      <c r="F2092" s="3">
        <v>182</v>
      </c>
      <c r="G2092">
        <v>17</v>
      </c>
      <c r="H2092">
        <v>3</v>
      </c>
      <c r="I2092" s="5">
        <v>2.83018867924528E-2</v>
      </c>
      <c r="J2092" s="3">
        <v>255</v>
      </c>
      <c r="K2092" s="1">
        <v>45607</v>
      </c>
      <c r="L2092" t="s">
        <v>25</v>
      </c>
      <c r="M2092" t="s">
        <v>26</v>
      </c>
      <c r="N2092" t="s">
        <v>36</v>
      </c>
      <c r="O2092" t="s">
        <v>28</v>
      </c>
      <c r="P2092" t="s">
        <v>59</v>
      </c>
      <c r="Q2092" s="6">
        <v>1.7166037735849</v>
      </c>
      <c r="R2092">
        <v>1.87</v>
      </c>
      <c r="S2092">
        <v>10.7</v>
      </c>
      <c r="T2092">
        <v>60.65</v>
      </c>
      <c r="U2092">
        <v>40.14</v>
      </c>
      <c r="V2092">
        <v>85</v>
      </c>
      <c r="W2092">
        <v>1.4</v>
      </c>
    </row>
    <row r="2093" spans="1:23" x14ac:dyDescent="0.3">
      <c r="A2093">
        <v>2093</v>
      </c>
      <c r="B2093" t="s">
        <v>2136</v>
      </c>
      <c r="C2093" t="s">
        <v>43</v>
      </c>
      <c r="D2093">
        <v>143</v>
      </c>
      <c r="E2093">
        <v>4914</v>
      </c>
      <c r="F2093" s="3">
        <v>223</v>
      </c>
      <c r="G2093">
        <v>12</v>
      </c>
      <c r="H2093">
        <v>7</v>
      </c>
      <c r="I2093" s="5">
        <v>4.8951048951048903E-2</v>
      </c>
      <c r="J2093" s="3">
        <v>261</v>
      </c>
      <c r="K2093" s="1">
        <v>45608</v>
      </c>
      <c r="L2093" t="s">
        <v>25</v>
      </c>
      <c r="M2093" t="s">
        <v>26</v>
      </c>
      <c r="N2093" t="s">
        <v>49</v>
      </c>
      <c r="O2093" t="s">
        <v>28</v>
      </c>
      <c r="P2093" t="s">
        <v>41</v>
      </c>
      <c r="Q2093" s="6">
        <v>1.55727272727272</v>
      </c>
      <c r="R2093">
        <v>2.91</v>
      </c>
      <c r="S2093">
        <v>18.559999999999999</v>
      </c>
      <c r="T2093">
        <v>31.81</v>
      </c>
      <c r="U2093">
        <v>17.2</v>
      </c>
      <c r="V2093">
        <v>37.29</v>
      </c>
      <c r="W2093">
        <v>1.17</v>
      </c>
    </row>
    <row r="2094" spans="1:23" x14ac:dyDescent="0.3">
      <c r="A2094">
        <v>2094</v>
      </c>
      <c r="B2094" t="s">
        <v>2137</v>
      </c>
      <c r="C2094" t="s">
        <v>43</v>
      </c>
      <c r="D2094">
        <v>111</v>
      </c>
      <c r="E2094">
        <v>5382</v>
      </c>
      <c r="F2094" s="3">
        <v>220</v>
      </c>
      <c r="G2094">
        <v>29</v>
      </c>
      <c r="H2094">
        <v>5</v>
      </c>
      <c r="I2094" s="5">
        <v>4.5045045045045001E-2</v>
      </c>
      <c r="J2094" s="3">
        <v>299</v>
      </c>
      <c r="K2094" s="1">
        <v>45621</v>
      </c>
      <c r="L2094" t="s">
        <v>25</v>
      </c>
      <c r="M2094" t="s">
        <v>26</v>
      </c>
      <c r="N2094" t="s">
        <v>49</v>
      </c>
      <c r="O2094" t="s">
        <v>28</v>
      </c>
      <c r="P2094" t="s">
        <v>59</v>
      </c>
      <c r="Q2094" s="6">
        <v>1.97828828828828</v>
      </c>
      <c r="R2094">
        <v>2.06</v>
      </c>
      <c r="S2094">
        <v>7.57</v>
      </c>
      <c r="T2094">
        <v>43.92</v>
      </c>
      <c r="U2094">
        <v>36.159999999999997</v>
      </c>
      <c r="V2094">
        <v>59.8</v>
      </c>
      <c r="W2094">
        <v>1.36</v>
      </c>
    </row>
    <row r="2095" spans="1:23" x14ac:dyDescent="0.3">
      <c r="A2095">
        <v>2095</v>
      </c>
      <c r="B2095" t="s">
        <v>2138</v>
      </c>
      <c r="C2095" t="s">
        <v>38</v>
      </c>
      <c r="D2095">
        <v>98</v>
      </c>
      <c r="E2095">
        <v>5898</v>
      </c>
      <c r="F2095" s="3">
        <v>186</v>
      </c>
      <c r="G2095">
        <v>20</v>
      </c>
      <c r="H2095">
        <v>6</v>
      </c>
      <c r="I2095" s="5">
        <v>6.1224489795918297E-2</v>
      </c>
      <c r="J2095" s="3">
        <v>280.28571428571399</v>
      </c>
      <c r="K2095" s="1">
        <v>45605</v>
      </c>
      <c r="L2095" t="s">
        <v>25</v>
      </c>
      <c r="M2095" t="s">
        <v>31</v>
      </c>
      <c r="N2095" t="s">
        <v>36</v>
      </c>
      <c r="O2095" t="s">
        <v>28</v>
      </c>
      <c r="P2095" t="s">
        <v>29</v>
      </c>
      <c r="Q2095" s="6">
        <v>1.9026530612244801</v>
      </c>
      <c r="R2095">
        <v>1.66</v>
      </c>
      <c r="S2095">
        <v>9.32</v>
      </c>
      <c r="T2095">
        <v>31.08</v>
      </c>
      <c r="U2095">
        <v>50.32</v>
      </c>
      <c r="V2095">
        <v>46.71</v>
      </c>
      <c r="W2095">
        <v>1.5</v>
      </c>
    </row>
    <row r="2096" spans="1:23" x14ac:dyDescent="0.3">
      <c r="A2096">
        <v>2096</v>
      </c>
      <c r="B2096" t="s">
        <v>2139</v>
      </c>
      <c r="C2096" t="s">
        <v>43</v>
      </c>
      <c r="D2096">
        <v>98</v>
      </c>
      <c r="E2096">
        <v>3967</v>
      </c>
      <c r="F2096" s="3">
        <v>215</v>
      </c>
      <c r="G2096">
        <v>12</v>
      </c>
      <c r="H2096">
        <v>5</v>
      </c>
      <c r="I2096" s="5">
        <v>5.10204081632653E-2</v>
      </c>
      <c r="J2096" s="3">
        <v>241</v>
      </c>
      <c r="K2096" s="1">
        <v>45604</v>
      </c>
      <c r="L2096" t="s">
        <v>25</v>
      </c>
      <c r="M2096" t="s">
        <v>26</v>
      </c>
      <c r="N2096" t="s">
        <v>49</v>
      </c>
      <c r="O2096" t="s">
        <v>28</v>
      </c>
      <c r="P2096" t="s">
        <v>45</v>
      </c>
      <c r="Q2096" s="6">
        <v>2.1888775510204002</v>
      </c>
      <c r="R2096">
        <v>2.4700000000000002</v>
      </c>
      <c r="S2096">
        <v>17.88</v>
      </c>
      <c r="T2096">
        <v>42.9</v>
      </c>
      <c r="U2096">
        <v>12.35</v>
      </c>
      <c r="V2096">
        <v>48.2</v>
      </c>
      <c r="W2096">
        <v>1.1200000000000001</v>
      </c>
    </row>
    <row r="2097" spans="1:23" x14ac:dyDescent="0.3">
      <c r="A2097">
        <v>2097</v>
      </c>
      <c r="B2097" t="s">
        <v>2140</v>
      </c>
      <c r="C2097" t="s">
        <v>43</v>
      </c>
      <c r="D2097">
        <v>109</v>
      </c>
      <c r="E2097">
        <v>3089</v>
      </c>
      <c r="F2097" s="3">
        <v>190</v>
      </c>
      <c r="G2097">
        <v>16</v>
      </c>
      <c r="H2097">
        <v>7</v>
      </c>
      <c r="I2097" s="5">
        <v>6.4220183486238494E-2</v>
      </c>
      <c r="J2097" s="3">
        <v>363</v>
      </c>
      <c r="K2097" s="1">
        <v>45597</v>
      </c>
      <c r="L2097" t="s">
        <v>25</v>
      </c>
      <c r="M2097" t="s">
        <v>39</v>
      </c>
      <c r="N2097" t="s">
        <v>36</v>
      </c>
      <c r="O2097" t="s">
        <v>28</v>
      </c>
      <c r="P2097" t="s">
        <v>45</v>
      </c>
      <c r="Q2097" s="6">
        <v>1.7431192660550401</v>
      </c>
      <c r="R2097">
        <v>3.53</v>
      </c>
      <c r="S2097">
        <v>11.88</v>
      </c>
      <c r="T2097">
        <v>27.14</v>
      </c>
      <c r="U2097">
        <v>91.05</v>
      </c>
      <c r="V2097">
        <v>51.86</v>
      </c>
      <c r="W2097">
        <v>1.91</v>
      </c>
    </row>
    <row r="2098" spans="1:23" x14ac:dyDescent="0.3">
      <c r="A2098">
        <v>2098</v>
      </c>
      <c r="B2098" t="s">
        <v>2141</v>
      </c>
      <c r="C2098" t="s">
        <v>38</v>
      </c>
      <c r="D2098">
        <v>168</v>
      </c>
      <c r="E2098">
        <v>3219</v>
      </c>
      <c r="F2098" s="3">
        <v>193</v>
      </c>
      <c r="G2098">
        <v>12</v>
      </c>
      <c r="H2098">
        <v>7</v>
      </c>
      <c r="I2098" s="5">
        <v>4.1666666666666602E-2</v>
      </c>
      <c r="J2098" s="3">
        <v>285</v>
      </c>
      <c r="K2098" s="1">
        <v>45619</v>
      </c>
      <c r="L2098" t="s">
        <v>25</v>
      </c>
      <c r="M2098" t="s">
        <v>31</v>
      </c>
      <c r="N2098" t="s">
        <v>44</v>
      </c>
      <c r="O2098" t="s">
        <v>28</v>
      </c>
      <c r="P2098" t="s">
        <v>29</v>
      </c>
      <c r="Q2098" s="6">
        <v>1.1497619047619001</v>
      </c>
      <c r="R2098">
        <v>5.22</v>
      </c>
      <c r="S2098">
        <v>16.100000000000001</v>
      </c>
      <c r="T2098">
        <v>27.59</v>
      </c>
      <c r="U2098">
        <v>47.55</v>
      </c>
      <c r="V2098">
        <v>40.71</v>
      </c>
      <c r="W2098">
        <v>1.48</v>
      </c>
    </row>
    <row r="2099" spans="1:23" x14ac:dyDescent="0.3">
      <c r="A2099">
        <v>2099</v>
      </c>
      <c r="B2099" t="s">
        <v>2142</v>
      </c>
      <c r="C2099" t="s">
        <v>38</v>
      </c>
      <c r="D2099">
        <v>127</v>
      </c>
      <c r="E2099">
        <v>4039</v>
      </c>
      <c r="F2099" s="3">
        <v>248</v>
      </c>
      <c r="G2099">
        <v>20</v>
      </c>
      <c r="H2099">
        <v>8</v>
      </c>
      <c r="I2099" s="5">
        <v>6.2992125984251898E-2</v>
      </c>
      <c r="J2099" s="3">
        <v>373.71428571428498</v>
      </c>
      <c r="K2099" s="1">
        <v>45623</v>
      </c>
      <c r="L2099" t="s">
        <v>25</v>
      </c>
      <c r="M2099" t="s">
        <v>31</v>
      </c>
      <c r="N2099" t="s">
        <v>27</v>
      </c>
      <c r="O2099" t="s">
        <v>28</v>
      </c>
      <c r="P2099" t="s">
        <v>33</v>
      </c>
      <c r="Q2099" s="6">
        <v>1.95212598425196</v>
      </c>
      <c r="R2099">
        <v>3.14</v>
      </c>
      <c r="S2099">
        <v>12.4</v>
      </c>
      <c r="T2099">
        <v>30.99</v>
      </c>
      <c r="U2099">
        <v>50.74</v>
      </c>
      <c r="V2099">
        <v>46.71</v>
      </c>
      <c r="W2099">
        <v>1.51</v>
      </c>
    </row>
    <row r="2100" spans="1:23" x14ac:dyDescent="0.3">
      <c r="A2100">
        <v>2100</v>
      </c>
      <c r="B2100" t="s">
        <v>2143</v>
      </c>
      <c r="C2100" t="s">
        <v>35</v>
      </c>
      <c r="D2100">
        <v>136</v>
      </c>
      <c r="E2100">
        <v>4051</v>
      </c>
      <c r="F2100" s="3">
        <v>194</v>
      </c>
      <c r="G2100">
        <v>25</v>
      </c>
      <c r="H2100">
        <v>5</v>
      </c>
      <c r="I2100" s="5">
        <v>3.6764705882352901E-2</v>
      </c>
      <c r="J2100" s="3">
        <v>233.57142857142799</v>
      </c>
      <c r="K2100" s="1">
        <v>45624</v>
      </c>
      <c r="L2100" t="s">
        <v>25</v>
      </c>
      <c r="M2100" t="s">
        <v>39</v>
      </c>
      <c r="N2100" t="s">
        <v>27</v>
      </c>
      <c r="O2100" t="s">
        <v>28</v>
      </c>
      <c r="P2100" t="s">
        <v>54</v>
      </c>
      <c r="Q2100" s="6">
        <v>1.42860294117647</v>
      </c>
      <c r="R2100">
        <v>3.36</v>
      </c>
      <c r="S2100">
        <v>7.77</v>
      </c>
      <c r="T2100">
        <v>38.86</v>
      </c>
      <c r="U2100">
        <v>20.22</v>
      </c>
      <c r="V2100">
        <v>46.71</v>
      </c>
      <c r="W2100">
        <v>1.2</v>
      </c>
    </row>
    <row r="2101" spans="1:23" x14ac:dyDescent="0.3">
      <c r="A2101">
        <v>2101</v>
      </c>
      <c r="B2101" t="s">
        <v>2144</v>
      </c>
      <c r="C2101" t="s">
        <v>43</v>
      </c>
      <c r="D2101">
        <v>173</v>
      </c>
      <c r="E2101">
        <v>5270</v>
      </c>
      <c r="F2101" s="3">
        <v>233</v>
      </c>
      <c r="G2101">
        <v>11</v>
      </c>
      <c r="H2101">
        <v>7</v>
      </c>
      <c r="I2101" s="5">
        <v>4.0462427745664699E-2</v>
      </c>
      <c r="J2101" s="3">
        <v>364</v>
      </c>
      <c r="K2101" s="1">
        <v>45612</v>
      </c>
      <c r="L2101" t="s">
        <v>25</v>
      </c>
      <c r="M2101" t="s">
        <v>26</v>
      </c>
      <c r="N2101" t="s">
        <v>49</v>
      </c>
      <c r="O2101" t="s">
        <v>28</v>
      </c>
      <c r="P2101" t="s">
        <v>29</v>
      </c>
      <c r="Q2101" s="6">
        <v>1.3487283236994201</v>
      </c>
      <c r="R2101">
        <v>3.28</v>
      </c>
      <c r="S2101">
        <v>21.21</v>
      </c>
      <c r="T2101">
        <v>33.33</v>
      </c>
      <c r="U2101">
        <v>56</v>
      </c>
      <c r="V2101">
        <v>52</v>
      </c>
      <c r="W2101">
        <v>1.56</v>
      </c>
    </row>
    <row r="2102" spans="1:23" x14ac:dyDescent="0.3">
      <c r="A2102">
        <v>2102</v>
      </c>
      <c r="B2102" t="s">
        <v>2145</v>
      </c>
      <c r="C2102" t="s">
        <v>43</v>
      </c>
      <c r="D2102">
        <v>184</v>
      </c>
      <c r="E2102">
        <v>3239</v>
      </c>
      <c r="F2102" s="3">
        <v>221</v>
      </c>
      <c r="G2102">
        <v>25</v>
      </c>
      <c r="H2102">
        <v>10</v>
      </c>
      <c r="I2102" s="5">
        <v>5.4347826086956499E-2</v>
      </c>
      <c r="J2102" s="3">
        <v>318</v>
      </c>
      <c r="K2102" s="1">
        <v>45600</v>
      </c>
      <c r="L2102" t="s">
        <v>25</v>
      </c>
      <c r="M2102" t="s">
        <v>26</v>
      </c>
      <c r="N2102" t="s">
        <v>44</v>
      </c>
      <c r="O2102" t="s">
        <v>28</v>
      </c>
      <c r="P2102" t="s">
        <v>59</v>
      </c>
      <c r="Q2102" s="6">
        <v>1.2028804347826001</v>
      </c>
      <c r="R2102">
        <v>5.68</v>
      </c>
      <c r="S2102">
        <v>8.85</v>
      </c>
      <c r="T2102">
        <v>22.13</v>
      </c>
      <c r="U2102">
        <v>43.68</v>
      </c>
      <c r="V2102">
        <v>31.8</v>
      </c>
      <c r="W2102">
        <v>1.44</v>
      </c>
    </row>
    <row r="2103" spans="1:23" x14ac:dyDescent="0.3">
      <c r="A2103">
        <v>2103</v>
      </c>
      <c r="B2103" t="s">
        <v>2146</v>
      </c>
      <c r="C2103" t="s">
        <v>24</v>
      </c>
      <c r="D2103">
        <v>174</v>
      </c>
      <c r="E2103">
        <v>4054</v>
      </c>
      <c r="F2103" s="3">
        <v>201</v>
      </c>
      <c r="G2103">
        <v>15</v>
      </c>
      <c r="H2103">
        <v>7</v>
      </c>
      <c r="I2103" s="5">
        <v>4.0229885057471201E-2</v>
      </c>
      <c r="J2103" s="3">
        <v>309</v>
      </c>
      <c r="K2103" s="1">
        <v>45619</v>
      </c>
      <c r="L2103" t="s">
        <v>25</v>
      </c>
      <c r="M2103" t="s">
        <v>31</v>
      </c>
      <c r="N2103" t="s">
        <v>27</v>
      </c>
      <c r="O2103" t="s">
        <v>28</v>
      </c>
      <c r="P2103" t="s">
        <v>29</v>
      </c>
      <c r="Q2103" s="6">
        <v>1.1566091954022899</v>
      </c>
      <c r="R2103">
        <v>4.29</v>
      </c>
      <c r="S2103">
        <v>13.42</v>
      </c>
      <c r="T2103">
        <v>28.75</v>
      </c>
      <c r="U2103">
        <v>53.54</v>
      </c>
      <c r="V2103">
        <v>44.14</v>
      </c>
      <c r="W2103">
        <v>1.54</v>
      </c>
    </row>
    <row r="2104" spans="1:23" x14ac:dyDescent="0.3">
      <c r="A2104">
        <v>2104</v>
      </c>
      <c r="B2104" t="s">
        <v>2147</v>
      </c>
      <c r="C2104" t="s">
        <v>38</v>
      </c>
      <c r="D2104">
        <v>196</v>
      </c>
      <c r="E2104">
        <v>5448</v>
      </c>
      <c r="F2104" s="3">
        <v>233</v>
      </c>
      <c r="G2104">
        <v>30</v>
      </c>
      <c r="H2104">
        <v>8</v>
      </c>
      <c r="I2104" s="5">
        <v>4.08163265306122E-2</v>
      </c>
      <c r="J2104" s="3">
        <v>346</v>
      </c>
      <c r="K2104" s="1">
        <v>45610</v>
      </c>
      <c r="L2104" t="s">
        <v>25</v>
      </c>
      <c r="M2104" t="s">
        <v>26</v>
      </c>
      <c r="N2104" t="s">
        <v>27</v>
      </c>
      <c r="O2104" t="s">
        <v>28</v>
      </c>
      <c r="P2104" t="s">
        <v>54</v>
      </c>
      <c r="Q2104" s="6">
        <v>1.1864795918367299</v>
      </c>
      <c r="R2104">
        <v>3.6</v>
      </c>
      <c r="S2104">
        <v>7.75</v>
      </c>
      <c r="T2104">
        <v>29.07</v>
      </c>
      <c r="U2104">
        <v>48.79</v>
      </c>
      <c r="V2104">
        <v>43.25</v>
      </c>
      <c r="W2104">
        <v>1.49</v>
      </c>
    </row>
    <row r="2105" spans="1:23" x14ac:dyDescent="0.3">
      <c r="A2105">
        <v>2105</v>
      </c>
      <c r="B2105" t="s">
        <v>2148</v>
      </c>
      <c r="C2105" t="s">
        <v>43</v>
      </c>
      <c r="D2105">
        <v>193</v>
      </c>
      <c r="E2105">
        <v>6365</v>
      </c>
      <c r="F2105" s="3">
        <v>239</v>
      </c>
      <c r="G2105">
        <v>20</v>
      </c>
      <c r="H2105">
        <v>5</v>
      </c>
      <c r="I2105" s="5">
        <v>2.59067357512953E-2</v>
      </c>
      <c r="J2105" s="3">
        <v>271</v>
      </c>
      <c r="K2105" s="1">
        <v>45598</v>
      </c>
      <c r="L2105" t="s">
        <v>25</v>
      </c>
      <c r="M2105" t="s">
        <v>31</v>
      </c>
      <c r="N2105" t="s">
        <v>40</v>
      </c>
      <c r="O2105" t="s">
        <v>28</v>
      </c>
      <c r="P2105" t="s">
        <v>29</v>
      </c>
      <c r="Q2105" s="6">
        <v>1.2373056994818601</v>
      </c>
      <c r="R2105">
        <v>3.03</v>
      </c>
      <c r="S2105">
        <v>11.94</v>
      </c>
      <c r="T2105">
        <v>47.76</v>
      </c>
      <c r="U2105">
        <v>13.48</v>
      </c>
      <c r="V2105">
        <v>54.2</v>
      </c>
      <c r="W2105">
        <v>1.1299999999999999</v>
      </c>
    </row>
    <row r="2106" spans="1:23" x14ac:dyDescent="0.3">
      <c r="A2106">
        <v>2106</v>
      </c>
      <c r="B2106" t="s">
        <v>2149</v>
      </c>
      <c r="C2106" t="s">
        <v>38</v>
      </c>
      <c r="D2106">
        <v>97</v>
      </c>
      <c r="E2106">
        <v>3937</v>
      </c>
      <c r="F2106" s="3">
        <v>197</v>
      </c>
      <c r="G2106">
        <v>14</v>
      </c>
      <c r="H2106">
        <v>10</v>
      </c>
      <c r="I2106" s="5">
        <v>0.103092783505154</v>
      </c>
      <c r="J2106" s="3">
        <v>237</v>
      </c>
      <c r="K2106" s="1">
        <v>45618</v>
      </c>
      <c r="L2106" t="s">
        <v>25</v>
      </c>
      <c r="M2106" t="s">
        <v>39</v>
      </c>
      <c r="N2106" t="s">
        <v>27</v>
      </c>
      <c r="O2106" t="s">
        <v>28</v>
      </c>
      <c r="P2106" t="s">
        <v>45</v>
      </c>
      <c r="Q2106" s="6">
        <v>2.0347422680412302</v>
      </c>
      <c r="R2106">
        <v>2.46</v>
      </c>
      <c r="S2106">
        <v>14.1</v>
      </c>
      <c r="T2106">
        <v>19.739999999999998</v>
      </c>
      <c r="U2106">
        <v>20.079999999999998</v>
      </c>
      <c r="V2106">
        <v>23.7</v>
      </c>
      <c r="W2106">
        <v>1.2</v>
      </c>
    </row>
    <row r="2107" spans="1:23" x14ac:dyDescent="0.3">
      <c r="A2107">
        <v>2107</v>
      </c>
      <c r="B2107" t="s">
        <v>2150</v>
      </c>
      <c r="C2107" t="s">
        <v>35</v>
      </c>
      <c r="D2107">
        <v>128</v>
      </c>
      <c r="E2107">
        <v>4175</v>
      </c>
      <c r="F2107" s="3">
        <v>200</v>
      </c>
      <c r="G2107">
        <v>12</v>
      </c>
      <c r="H2107">
        <v>10</v>
      </c>
      <c r="I2107" s="5">
        <v>7.8125E-2</v>
      </c>
      <c r="J2107" s="3">
        <v>326</v>
      </c>
      <c r="K2107" s="1">
        <v>45616</v>
      </c>
      <c r="L2107" t="s">
        <v>25</v>
      </c>
      <c r="M2107" t="s">
        <v>26</v>
      </c>
      <c r="N2107" t="s">
        <v>36</v>
      </c>
      <c r="O2107" t="s">
        <v>28</v>
      </c>
      <c r="P2107" t="s">
        <v>33</v>
      </c>
      <c r="Q2107" s="6">
        <v>1.5633593750000001</v>
      </c>
      <c r="R2107">
        <v>3.07</v>
      </c>
      <c r="S2107">
        <v>16.68</v>
      </c>
      <c r="T2107">
        <v>20.010000000000002</v>
      </c>
      <c r="U2107">
        <v>62.91</v>
      </c>
      <c r="V2107">
        <v>32.6</v>
      </c>
      <c r="W2107">
        <v>1.63</v>
      </c>
    </row>
    <row r="2108" spans="1:23" x14ac:dyDescent="0.3">
      <c r="A2108">
        <v>2108</v>
      </c>
      <c r="B2108" t="s">
        <v>2151</v>
      </c>
      <c r="C2108" t="s">
        <v>24</v>
      </c>
      <c r="D2108">
        <v>143</v>
      </c>
      <c r="E2108">
        <v>5780</v>
      </c>
      <c r="F2108" s="3">
        <v>238</v>
      </c>
      <c r="G2108">
        <v>24</v>
      </c>
      <c r="H2108">
        <v>4</v>
      </c>
      <c r="I2108" s="5">
        <v>2.7972027972027899E-2</v>
      </c>
      <c r="J2108" s="3">
        <v>294</v>
      </c>
      <c r="K2108" s="1">
        <v>45611</v>
      </c>
      <c r="L2108" t="s">
        <v>25</v>
      </c>
      <c r="M2108" t="s">
        <v>31</v>
      </c>
      <c r="N2108" t="s">
        <v>36</v>
      </c>
      <c r="O2108" t="s">
        <v>28</v>
      </c>
      <c r="P2108" t="s">
        <v>45</v>
      </c>
      <c r="Q2108" s="6">
        <v>1.66090909090909</v>
      </c>
      <c r="R2108">
        <v>2.4700000000000002</v>
      </c>
      <c r="S2108">
        <v>9.9</v>
      </c>
      <c r="T2108">
        <v>59.38</v>
      </c>
      <c r="U2108">
        <v>23.78</v>
      </c>
      <c r="V2108">
        <v>73.5</v>
      </c>
      <c r="W2108">
        <v>1.24</v>
      </c>
    </row>
    <row r="2109" spans="1:23" x14ac:dyDescent="0.3">
      <c r="A2109">
        <v>2109</v>
      </c>
      <c r="B2109" t="s">
        <v>2152</v>
      </c>
      <c r="C2109" t="s">
        <v>38</v>
      </c>
      <c r="D2109">
        <v>116</v>
      </c>
      <c r="E2109">
        <v>3809</v>
      </c>
      <c r="F2109" s="3">
        <v>202</v>
      </c>
      <c r="G2109">
        <v>17</v>
      </c>
      <c r="H2109">
        <v>9</v>
      </c>
      <c r="I2109" s="5">
        <v>7.7586206896551699E-2</v>
      </c>
      <c r="J2109" s="3">
        <v>210</v>
      </c>
      <c r="K2109" s="1">
        <v>45613</v>
      </c>
      <c r="L2109" t="s">
        <v>25</v>
      </c>
      <c r="M2109" t="s">
        <v>26</v>
      </c>
      <c r="N2109" t="s">
        <v>32</v>
      </c>
      <c r="O2109" t="s">
        <v>28</v>
      </c>
      <c r="P2109" t="s">
        <v>50</v>
      </c>
      <c r="Q2109" s="6">
        <v>1.7437931034482701</v>
      </c>
      <c r="R2109">
        <v>3.05</v>
      </c>
      <c r="S2109">
        <v>11.9</v>
      </c>
      <c r="T2109">
        <v>22.48</v>
      </c>
      <c r="U2109">
        <v>3.82</v>
      </c>
      <c r="V2109">
        <v>23.33</v>
      </c>
      <c r="W2109">
        <v>1.04</v>
      </c>
    </row>
    <row r="2110" spans="1:23" x14ac:dyDescent="0.3">
      <c r="A2110">
        <v>2110</v>
      </c>
      <c r="B2110" t="s">
        <v>2153</v>
      </c>
      <c r="C2110" t="s">
        <v>35</v>
      </c>
      <c r="D2110">
        <v>83</v>
      </c>
      <c r="E2110">
        <v>3684</v>
      </c>
      <c r="F2110" s="3">
        <v>203</v>
      </c>
      <c r="G2110">
        <v>12</v>
      </c>
      <c r="H2110">
        <v>4</v>
      </c>
      <c r="I2110" s="5">
        <v>4.8192771084337303E-2</v>
      </c>
      <c r="J2110" s="3">
        <v>368</v>
      </c>
      <c r="K2110" s="1">
        <v>45613</v>
      </c>
      <c r="L2110" t="s">
        <v>25</v>
      </c>
      <c r="M2110" t="s">
        <v>39</v>
      </c>
      <c r="N2110" t="s">
        <v>32</v>
      </c>
      <c r="O2110" t="s">
        <v>28</v>
      </c>
      <c r="P2110" t="s">
        <v>50</v>
      </c>
      <c r="Q2110" s="6">
        <v>2.45144578313253</v>
      </c>
      <c r="R2110">
        <v>2.25</v>
      </c>
      <c r="S2110">
        <v>16.96</v>
      </c>
      <c r="T2110">
        <v>50.87</v>
      </c>
      <c r="U2110">
        <v>80.86</v>
      </c>
      <c r="V2110">
        <v>92</v>
      </c>
      <c r="W2110">
        <v>1.81</v>
      </c>
    </row>
    <row r="2111" spans="1:23" x14ac:dyDescent="0.3">
      <c r="A2111">
        <v>2111</v>
      </c>
      <c r="B2111" t="s">
        <v>2154</v>
      </c>
      <c r="C2111" t="s">
        <v>24</v>
      </c>
      <c r="D2111">
        <v>189</v>
      </c>
      <c r="E2111">
        <v>3226</v>
      </c>
      <c r="F2111" s="3">
        <v>237</v>
      </c>
      <c r="G2111">
        <v>14</v>
      </c>
      <c r="H2111">
        <v>6</v>
      </c>
      <c r="I2111" s="5">
        <v>3.1746031746031703E-2</v>
      </c>
      <c r="J2111" s="3">
        <v>278</v>
      </c>
      <c r="K2111" s="1">
        <v>45602</v>
      </c>
      <c r="L2111" t="s">
        <v>25</v>
      </c>
      <c r="M2111" t="s">
        <v>39</v>
      </c>
      <c r="N2111" t="s">
        <v>49</v>
      </c>
      <c r="O2111" t="s">
        <v>28</v>
      </c>
      <c r="P2111" t="s">
        <v>33</v>
      </c>
      <c r="Q2111" s="6">
        <v>1.25227513227513</v>
      </c>
      <c r="R2111">
        <v>5.86</v>
      </c>
      <c r="S2111">
        <v>16.91</v>
      </c>
      <c r="T2111">
        <v>39.450000000000003</v>
      </c>
      <c r="U2111">
        <v>17.46</v>
      </c>
      <c r="V2111">
        <v>46.33</v>
      </c>
      <c r="W2111">
        <v>1.17</v>
      </c>
    </row>
    <row r="2112" spans="1:23" x14ac:dyDescent="0.3">
      <c r="A2112">
        <v>2112</v>
      </c>
      <c r="B2112" t="s">
        <v>2155</v>
      </c>
      <c r="C2112" t="s">
        <v>24</v>
      </c>
      <c r="D2112">
        <v>165</v>
      </c>
      <c r="E2112">
        <v>4978</v>
      </c>
      <c r="F2112" s="3">
        <v>180</v>
      </c>
      <c r="G2112">
        <v>12</v>
      </c>
      <c r="H2112">
        <v>4</v>
      </c>
      <c r="I2112" s="5">
        <v>2.4242424242424201E-2</v>
      </c>
      <c r="J2112" s="3">
        <v>229</v>
      </c>
      <c r="K2112" s="1">
        <v>45610</v>
      </c>
      <c r="L2112" t="s">
        <v>25</v>
      </c>
      <c r="M2112" t="s">
        <v>39</v>
      </c>
      <c r="N2112" t="s">
        <v>44</v>
      </c>
      <c r="O2112" t="s">
        <v>28</v>
      </c>
      <c r="P2112" t="s">
        <v>54</v>
      </c>
      <c r="Q2112" s="6">
        <v>1.0924242424242401</v>
      </c>
      <c r="R2112">
        <v>3.31</v>
      </c>
      <c r="S2112">
        <v>15.02</v>
      </c>
      <c r="T2112">
        <v>45.06</v>
      </c>
      <c r="U2112">
        <v>27.05</v>
      </c>
      <c r="V2112">
        <v>57.25</v>
      </c>
      <c r="W2112">
        <v>1.27</v>
      </c>
    </row>
    <row r="2113" spans="1:23" x14ac:dyDescent="0.3">
      <c r="A2113">
        <v>2113</v>
      </c>
      <c r="B2113" t="s">
        <v>2156</v>
      </c>
      <c r="C2113" t="s">
        <v>38</v>
      </c>
      <c r="D2113">
        <v>172</v>
      </c>
      <c r="E2113">
        <v>5041</v>
      </c>
      <c r="F2113" s="3">
        <v>189</v>
      </c>
      <c r="G2113">
        <v>22</v>
      </c>
      <c r="H2113">
        <v>10</v>
      </c>
      <c r="I2113" s="5">
        <v>5.8139534883720902E-2</v>
      </c>
      <c r="J2113" s="3">
        <v>336</v>
      </c>
      <c r="K2113" s="1">
        <v>45603</v>
      </c>
      <c r="L2113" t="s">
        <v>25</v>
      </c>
      <c r="M2113" t="s">
        <v>31</v>
      </c>
      <c r="N2113" t="s">
        <v>40</v>
      </c>
      <c r="O2113" t="s">
        <v>28</v>
      </c>
      <c r="P2113" t="s">
        <v>54</v>
      </c>
      <c r="Q2113" s="6">
        <v>1.1006395348837199</v>
      </c>
      <c r="R2113">
        <v>3.41</v>
      </c>
      <c r="S2113">
        <v>8.6</v>
      </c>
      <c r="T2113">
        <v>18.93</v>
      </c>
      <c r="U2113">
        <v>77.489999999999995</v>
      </c>
      <c r="V2113">
        <v>33.6</v>
      </c>
      <c r="W2113">
        <v>1.77</v>
      </c>
    </row>
    <row r="2114" spans="1:23" x14ac:dyDescent="0.3">
      <c r="A2114">
        <v>2114</v>
      </c>
      <c r="B2114" t="s">
        <v>2157</v>
      </c>
      <c r="C2114" t="s">
        <v>24</v>
      </c>
      <c r="D2114">
        <v>183</v>
      </c>
      <c r="E2114">
        <v>4124</v>
      </c>
      <c r="F2114" s="3">
        <v>187</v>
      </c>
      <c r="G2114">
        <v>24</v>
      </c>
      <c r="H2114">
        <v>6</v>
      </c>
      <c r="I2114" s="5">
        <v>3.2786885245901599E-2</v>
      </c>
      <c r="J2114" s="3">
        <v>241</v>
      </c>
      <c r="K2114" s="1">
        <v>45624</v>
      </c>
      <c r="L2114" t="s">
        <v>25</v>
      </c>
      <c r="M2114" t="s">
        <v>39</v>
      </c>
      <c r="N2114" t="s">
        <v>32</v>
      </c>
      <c r="O2114" t="s">
        <v>28</v>
      </c>
      <c r="P2114" t="s">
        <v>54</v>
      </c>
      <c r="Q2114" s="6">
        <v>1.02</v>
      </c>
      <c r="R2114">
        <v>4.4400000000000004</v>
      </c>
      <c r="S2114">
        <v>7.78</v>
      </c>
      <c r="T2114">
        <v>31.11</v>
      </c>
      <c r="U2114">
        <v>29.11</v>
      </c>
      <c r="V2114">
        <v>40.17</v>
      </c>
      <c r="W2114">
        <v>1.29</v>
      </c>
    </row>
    <row r="2115" spans="1:23" x14ac:dyDescent="0.3">
      <c r="A2115">
        <v>2115</v>
      </c>
      <c r="B2115" t="s">
        <v>2158</v>
      </c>
      <c r="C2115" t="s">
        <v>43</v>
      </c>
      <c r="D2115">
        <v>196</v>
      </c>
      <c r="E2115">
        <v>3143</v>
      </c>
      <c r="F2115" s="3">
        <v>238</v>
      </c>
      <c r="G2115">
        <v>28</v>
      </c>
      <c r="H2115">
        <v>7</v>
      </c>
      <c r="I2115" s="5">
        <v>3.5714285714285698E-2</v>
      </c>
      <c r="J2115" s="3">
        <v>252</v>
      </c>
      <c r="K2115" s="1">
        <v>45604</v>
      </c>
      <c r="L2115" t="s">
        <v>25</v>
      </c>
      <c r="M2115" t="s">
        <v>31</v>
      </c>
      <c r="N2115" t="s">
        <v>36</v>
      </c>
      <c r="O2115" t="s">
        <v>28</v>
      </c>
      <c r="P2115" t="s">
        <v>45</v>
      </c>
      <c r="Q2115" s="6">
        <v>1.2154081632653</v>
      </c>
      <c r="R2115">
        <v>6.24</v>
      </c>
      <c r="S2115">
        <v>8.51</v>
      </c>
      <c r="T2115">
        <v>34.03</v>
      </c>
      <c r="U2115">
        <v>5.78</v>
      </c>
      <c r="V2115">
        <v>36</v>
      </c>
      <c r="W2115">
        <v>1.06</v>
      </c>
    </row>
    <row r="2116" spans="1:23" x14ac:dyDescent="0.3">
      <c r="A2116">
        <v>2116</v>
      </c>
      <c r="B2116" t="s">
        <v>2159</v>
      </c>
      <c r="C2116" t="s">
        <v>43</v>
      </c>
      <c r="D2116">
        <v>98</v>
      </c>
      <c r="E2116">
        <v>4505</v>
      </c>
      <c r="F2116" s="3">
        <v>209</v>
      </c>
      <c r="G2116">
        <v>27</v>
      </c>
      <c r="H2116">
        <v>5</v>
      </c>
      <c r="I2116" s="5">
        <v>5.10204081632653E-2</v>
      </c>
      <c r="J2116" s="3">
        <v>242</v>
      </c>
      <c r="K2116" s="1">
        <v>45625</v>
      </c>
      <c r="L2116" t="s">
        <v>25</v>
      </c>
      <c r="M2116" t="s">
        <v>39</v>
      </c>
      <c r="N2116" t="s">
        <v>27</v>
      </c>
      <c r="O2116" t="s">
        <v>28</v>
      </c>
      <c r="P2116" t="s">
        <v>45</v>
      </c>
      <c r="Q2116" s="6">
        <v>2.1363265306122399</v>
      </c>
      <c r="R2116">
        <v>2.1800000000000002</v>
      </c>
      <c r="S2116">
        <v>7.75</v>
      </c>
      <c r="T2116">
        <v>41.87</v>
      </c>
      <c r="U2116">
        <v>15.59</v>
      </c>
      <c r="V2116">
        <v>48.4</v>
      </c>
      <c r="W2116">
        <v>1.1599999999999999</v>
      </c>
    </row>
    <row r="2117" spans="1:23" x14ac:dyDescent="0.3">
      <c r="A2117">
        <v>2117</v>
      </c>
      <c r="B2117" t="s">
        <v>2160</v>
      </c>
      <c r="C2117" t="s">
        <v>24</v>
      </c>
      <c r="D2117">
        <v>158</v>
      </c>
      <c r="E2117">
        <v>3736</v>
      </c>
      <c r="F2117" s="3">
        <v>227</v>
      </c>
      <c r="G2117">
        <v>11</v>
      </c>
      <c r="H2117">
        <v>8</v>
      </c>
      <c r="I2117" s="5">
        <v>5.0632911392405E-2</v>
      </c>
      <c r="J2117" s="3">
        <v>328</v>
      </c>
      <c r="K2117" s="1">
        <v>45625</v>
      </c>
      <c r="L2117" t="s">
        <v>25</v>
      </c>
      <c r="M2117" t="s">
        <v>39</v>
      </c>
      <c r="N2117" t="s">
        <v>40</v>
      </c>
      <c r="O2117" t="s">
        <v>28</v>
      </c>
      <c r="P2117" t="s">
        <v>45</v>
      </c>
      <c r="Q2117" s="6">
        <v>1.43664556962025</v>
      </c>
      <c r="R2117">
        <v>4.2300000000000004</v>
      </c>
      <c r="S2117">
        <v>20.64</v>
      </c>
      <c r="T2117">
        <v>28.37</v>
      </c>
      <c r="U2117">
        <v>44.5</v>
      </c>
      <c r="V2117">
        <v>41</v>
      </c>
      <c r="W2117">
        <v>1.44</v>
      </c>
    </row>
    <row r="2118" spans="1:23" x14ac:dyDescent="0.3">
      <c r="A2118">
        <v>2118</v>
      </c>
      <c r="B2118" t="s">
        <v>2161</v>
      </c>
      <c r="C2118" t="s">
        <v>38</v>
      </c>
      <c r="D2118">
        <v>104</v>
      </c>
      <c r="E2118">
        <v>5949</v>
      </c>
      <c r="F2118" s="3">
        <v>217</v>
      </c>
      <c r="G2118">
        <v>28</v>
      </c>
      <c r="H2118">
        <v>4</v>
      </c>
      <c r="I2118" s="5">
        <v>3.8461538461538401E-2</v>
      </c>
      <c r="J2118" s="3">
        <v>225</v>
      </c>
      <c r="K2118" s="1">
        <v>45606</v>
      </c>
      <c r="L2118" t="s">
        <v>25</v>
      </c>
      <c r="M2118" t="s">
        <v>31</v>
      </c>
      <c r="N2118" t="s">
        <v>49</v>
      </c>
      <c r="O2118" t="s">
        <v>28</v>
      </c>
      <c r="P2118" t="s">
        <v>50</v>
      </c>
      <c r="Q2118" s="6">
        <v>2.0826923076922998</v>
      </c>
      <c r="R2118">
        <v>1.75</v>
      </c>
      <c r="S2118">
        <v>7.74</v>
      </c>
      <c r="T2118">
        <v>54.15</v>
      </c>
      <c r="U2118">
        <v>3.88</v>
      </c>
      <c r="V2118">
        <v>56.25</v>
      </c>
      <c r="W2118">
        <v>1.04</v>
      </c>
    </row>
    <row r="2119" spans="1:23" x14ac:dyDescent="0.3">
      <c r="A2119">
        <v>2119</v>
      </c>
      <c r="B2119" t="s">
        <v>2162</v>
      </c>
      <c r="C2119" t="s">
        <v>35</v>
      </c>
      <c r="D2119">
        <v>84</v>
      </c>
      <c r="E2119">
        <v>4625</v>
      </c>
      <c r="F2119" s="3">
        <v>226</v>
      </c>
      <c r="G2119">
        <v>13</v>
      </c>
      <c r="H2119">
        <v>5</v>
      </c>
      <c r="I2119" s="5">
        <v>5.95238095238095E-2</v>
      </c>
      <c r="J2119" s="3">
        <v>402</v>
      </c>
      <c r="K2119" s="1">
        <v>45610</v>
      </c>
      <c r="L2119" t="s">
        <v>25</v>
      </c>
      <c r="M2119" t="s">
        <v>26</v>
      </c>
      <c r="N2119" t="s">
        <v>44</v>
      </c>
      <c r="O2119" t="s">
        <v>28</v>
      </c>
      <c r="P2119" t="s">
        <v>54</v>
      </c>
      <c r="Q2119" s="6">
        <v>2.6907142857142801</v>
      </c>
      <c r="R2119">
        <v>1.82</v>
      </c>
      <c r="S2119">
        <v>17.39</v>
      </c>
      <c r="T2119">
        <v>45.2</v>
      </c>
      <c r="U2119">
        <v>77.86</v>
      </c>
      <c r="V2119">
        <v>80.400000000000006</v>
      </c>
      <c r="W2119">
        <v>1.78</v>
      </c>
    </row>
    <row r="2120" spans="1:23" x14ac:dyDescent="0.3">
      <c r="A2120">
        <v>2120</v>
      </c>
      <c r="B2120" t="s">
        <v>2163</v>
      </c>
      <c r="C2120" t="s">
        <v>24</v>
      </c>
      <c r="D2120">
        <v>128</v>
      </c>
      <c r="E2120">
        <v>5022</v>
      </c>
      <c r="F2120" s="3">
        <v>189</v>
      </c>
      <c r="G2120">
        <v>26</v>
      </c>
      <c r="H2120">
        <v>6</v>
      </c>
      <c r="I2120" s="5">
        <v>4.6875E-2</v>
      </c>
      <c r="J2120" s="3">
        <v>226</v>
      </c>
      <c r="K2120" s="1">
        <v>45598</v>
      </c>
      <c r="L2120" t="s">
        <v>25</v>
      </c>
      <c r="M2120" t="s">
        <v>31</v>
      </c>
      <c r="N2120" t="s">
        <v>40</v>
      </c>
      <c r="O2120" t="s">
        <v>28</v>
      </c>
      <c r="P2120" t="s">
        <v>29</v>
      </c>
      <c r="Q2120" s="6">
        <v>1.4762500000000001</v>
      </c>
      <c r="R2120">
        <v>2.5499999999999998</v>
      </c>
      <c r="S2120">
        <v>7.27</v>
      </c>
      <c r="T2120">
        <v>31.49</v>
      </c>
      <c r="U2120">
        <v>19.600000000000001</v>
      </c>
      <c r="V2120">
        <v>37.67</v>
      </c>
      <c r="W2120">
        <v>1.2</v>
      </c>
    </row>
    <row r="2121" spans="1:23" x14ac:dyDescent="0.3">
      <c r="A2121">
        <v>2121</v>
      </c>
      <c r="B2121" t="s">
        <v>2164</v>
      </c>
      <c r="C2121" t="s">
        <v>24</v>
      </c>
      <c r="D2121">
        <v>99</v>
      </c>
      <c r="E2121">
        <v>5483</v>
      </c>
      <c r="F2121" s="3">
        <v>180</v>
      </c>
      <c r="G2121">
        <v>14</v>
      </c>
      <c r="H2121">
        <v>5</v>
      </c>
      <c r="I2121" s="5">
        <v>5.0505050505050497E-2</v>
      </c>
      <c r="J2121" s="3">
        <v>344</v>
      </c>
      <c r="K2121" s="1">
        <v>45600</v>
      </c>
      <c r="L2121" t="s">
        <v>25</v>
      </c>
      <c r="M2121" t="s">
        <v>26</v>
      </c>
      <c r="N2121" t="s">
        <v>49</v>
      </c>
      <c r="O2121" t="s">
        <v>28</v>
      </c>
      <c r="P2121" t="s">
        <v>59</v>
      </c>
      <c r="Q2121" s="6">
        <v>1.8185858585858501</v>
      </c>
      <c r="R2121">
        <v>1.81</v>
      </c>
      <c r="S2121">
        <v>12.86</v>
      </c>
      <c r="T2121">
        <v>36.01</v>
      </c>
      <c r="U2121">
        <v>91.07</v>
      </c>
      <c r="V2121">
        <v>68.8</v>
      </c>
      <c r="W2121">
        <v>1.91</v>
      </c>
    </row>
    <row r="2122" spans="1:23" x14ac:dyDescent="0.3">
      <c r="A2122">
        <v>2122</v>
      </c>
      <c r="B2122" t="s">
        <v>2165</v>
      </c>
      <c r="C2122" t="s">
        <v>38</v>
      </c>
      <c r="D2122">
        <v>107</v>
      </c>
      <c r="E2122">
        <v>5491</v>
      </c>
      <c r="F2122" s="3">
        <v>218</v>
      </c>
      <c r="G2122">
        <v>17</v>
      </c>
      <c r="H2122">
        <v>10</v>
      </c>
      <c r="I2122" s="5">
        <v>9.34579439252336E-2</v>
      </c>
      <c r="J2122" s="3">
        <v>302</v>
      </c>
      <c r="K2122" s="1">
        <v>45607</v>
      </c>
      <c r="L2122" t="s">
        <v>25</v>
      </c>
      <c r="M2122" t="s">
        <v>31</v>
      </c>
      <c r="N2122" t="s">
        <v>44</v>
      </c>
      <c r="O2122" t="s">
        <v>28</v>
      </c>
      <c r="P2122" t="s">
        <v>59</v>
      </c>
      <c r="Q2122" s="6">
        <v>2.0371962616822401</v>
      </c>
      <c r="R2122">
        <v>1.95</v>
      </c>
      <c r="S2122">
        <v>12.82</v>
      </c>
      <c r="T2122">
        <v>21.8</v>
      </c>
      <c r="U2122">
        <v>38.54</v>
      </c>
      <c r="V2122">
        <v>30.2</v>
      </c>
      <c r="W2122">
        <v>1.39</v>
      </c>
    </row>
    <row r="2123" spans="1:23" x14ac:dyDescent="0.3">
      <c r="A2123">
        <v>2123</v>
      </c>
      <c r="B2123" t="s">
        <v>2166</v>
      </c>
      <c r="C2123" t="s">
        <v>24</v>
      </c>
      <c r="D2123">
        <v>86</v>
      </c>
      <c r="E2123">
        <v>4078</v>
      </c>
      <c r="F2123" s="3">
        <v>209</v>
      </c>
      <c r="G2123">
        <v>26</v>
      </c>
      <c r="H2123">
        <v>3</v>
      </c>
      <c r="I2123" s="5">
        <v>3.4883720930232502E-2</v>
      </c>
      <c r="J2123" s="3">
        <v>347</v>
      </c>
      <c r="K2123" s="1">
        <v>45602</v>
      </c>
      <c r="L2123" t="s">
        <v>25</v>
      </c>
      <c r="M2123" t="s">
        <v>31</v>
      </c>
      <c r="N2123" t="s">
        <v>32</v>
      </c>
      <c r="O2123" t="s">
        <v>28</v>
      </c>
      <c r="P2123" t="s">
        <v>33</v>
      </c>
      <c r="Q2123" s="6">
        <v>2.4293023255813901</v>
      </c>
      <c r="R2123">
        <v>2.11</v>
      </c>
      <c r="S2123">
        <v>8.0399999999999991</v>
      </c>
      <c r="T2123">
        <v>69.64</v>
      </c>
      <c r="U2123">
        <v>66.09</v>
      </c>
      <c r="V2123">
        <v>115.67</v>
      </c>
      <c r="W2123">
        <v>1.66</v>
      </c>
    </row>
    <row r="2124" spans="1:23" x14ac:dyDescent="0.3">
      <c r="A2124">
        <v>2124</v>
      </c>
      <c r="B2124" t="s">
        <v>2167</v>
      </c>
      <c r="C2124" t="s">
        <v>38</v>
      </c>
      <c r="D2124">
        <v>93</v>
      </c>
      <c r="E2124">
        <v>3052</v>
      </c>
      <c r="F2124" s="3">
        <v>245</v>
      </c>
      <c r="G2124">
        <v>24</v>
      </c>
      <c r="H2124">
        <v>6</v>
      </c>
      <c r="I2124" s="5">
        <v>6.4516129032257993E-2</v>
      </c>
      <c r="J2124" s="3">
        <v>361</v>
      </c>
      <c r="K2124" s="1">
        <v>45624</v>
      </c>
      <c r="L2124" t="s">
        <v>25</v>
      </c>
      <c r="M2124" t="s">
        <v>26</v>
      </c>
      <c r="N2124" t="s">
        <v>36</v>
      </c>
      <c r="O2124" t="s">
        <v>28</v>
      </c>
      <c r="P2124" t="s">
        <v>54</v>
      </c>
      <c r="Q2124" s="6">
        <v>2.6392473118279498</v>
      </c>
      <c r="R2124">
        <v>3.05</v>
      </c>
      <c r="S2124">
        <v>10.23</v>
      </c>
      <c r="T2124">
        <v>40.909999999999997</v>
      </c>
      <c r="U2124">
        <v>47.08</v>
      </c>
      <c r="V2124">
        <v>60.17</v>
      </c>
      <c r="W2124">
        <v>1.47</v>
      </c>
    </row>
    <row r="2125" spans="1:23" x14ac:dyDescent="0.3">
      <c r="A2125">
        <v>2125</v>
      </c>
      <c r="B2125" t="s">
        <v>2168</v>
      </c>
      <c r="C2125" t="s">
        <v>24</v>
      </c>
      <c r="D2125">
        <v>88</v>
      </c>
      <c r="E2125">
        <v>3708</v>
      </c>
      <c r="F2125" s="3">
        <v>226</v>
      </c>
      <c r="G2125">
        <v>10</v>
      </c>
      <c r="H2125">
        <v>5</v>
      </c>
      <c r="I2125" s="5">
        <v>5.6818181818181802E-2</v>
      </c>
      <c r="J2125" s="3">
        <v>340</v>
      </c>
      <c r="K2125" s="1">
        <v>45608</v>
      </c>
      <c r="L2125" t="s">
        <v>25</v>
      </c>
      <c r="M2125" t="s">
        <v>39</v>
      </c>
      <c r="N2125" t="s">
        <v>40</v>
      </c>
      <c r="O2125" t="s">
        <v>28</v>
      </c>
      <c r="P2125" t="s">
        <v>41</v>
      </c>
      <c r="Q2125" s="6">
        <v>2.5654545454545401</v>
      </c>
      <c r="R2125">
        <v>2.37</v>
      </c>
      <c r="S2125">
        <v>22.58</v>
      </c>
      <c r="T2125">
        <v>45.15</v>
      </c>
      <c r="U2125">
        <v>50.6</v>
      </c>
      <c r="V2125">
        <v>68</v>
      </c>
      <c r="W2125">
        <v>1.51</v>
      </c>
    </row>
    <row r="2126" spans="1:23" x14ac:dyDescent="0.3">
      <c r="A2126">
        <v>2126</v>
      </c>
      <c r="B2126" t="s">
        <v>2169</v>
      </c>
      <c r="C2126" t="s">
        <v>35</v>
      </c>
      <c r="D2126">
        <v>141</v>
      </c>
      <c r="E2126">
        <v>5314</v>
      </c>
      <c r="F2126" s="3">
        <v>184</v>
      </c>
      <c r="G2126">
        <v>29</v>
      </c>
      <c r="H2126">
        <v>10</v>
      </c>
      <c r="I2126" s="5">
        <v>7.09219858156028E-2</v>
      </c>
      <c r="J2126" s="3">
        <v>259</v>
      </c>
      <c r="K2126" s="1">
        <v>45615</v>
      </c>
      <c r="L2126" t="s">
        <v>25</v>
      </c>
      <c r="M2126" t="s">
        <v>31</v>
      </c>
      <c r="N2126" t="s">
        <v>44</v>
      </c>
      <c r="O2126" t="s">
        <v>28</v>
      </c>
      <c r="P2126" t="s">
        <v>41</v>
      </c>
      <c r="Q2126" s="6">
        <v>1.30737588652482</v>
      </c>
      <c r="R2126">
        <v>2.65</v>
      </c>
      <c r="S2126">
        <v>6.36</v>
      </c>
      <c r="T2126">
        <v>18.43</v>
      </c>
      <c r="U2126">
        <v>40.5</v>
      </c>
      <c r="V2126">
        <v>25.9</v>
      </c>
      <c r="W2126">
        <v>1.41</v>
      </c>
    </row>
    <row r="2127" spans="1:23" x14ac:dyDescent="0.3">
      <c r="A2127">
        <v>2127</v>
      </c>
      <c r="B2127" t="s">
        <v>2170</v>
      </c>
      <c r="C2127" t="s">
        <v>43</v>
      </c>
      <c r="D2127">
        <v>193</v>
      </c>
      <c r="E2127">
        <v>3566</v>
      </c>
      <c r="F2127" s="3">
        <v>213</v>
      </c>
      <c r="G2127">
        <v>19</v>
      </c>
      <c r="H2127">
        <v>7</v>
      </c>
      <c r="I2127" s="5">
        <v>3.6269430051813399E-2</v>
      </c>
      <c r="J2127" s="3">
        <v>268</v>
      </c>
      <c r="K2127" s="1">
        <v>45600</v>
      </c>
      <c r="L2127" t="s">
        <v>25</v>
      </c>
      <c r="M2127" t="s">
        <v>26</v>
      </c>
      <c r="N2127" t="s">
        <v>36</v>
      </c>
      <c r="O2127" t="s">
        <v>28</v>
      </c>
      <c r="P2127" t="s">
        <v>59</v>
      </c>
      <c r="Q2127" s="6">
        <v>1.1022279792746099</v>
      </c>
      <c r="R2127">
        <v>5.41</v>
      </c>
      <c r="S2127">
        <v>11.2</v>
      </c>
      <c r="T2127">
        <v>30.39</v>
      </c>
      <c r="U2127">
        <v>25.98</v>
      </c>
      <c r="V2127">
        <v>38.29</v>
      </c>
      <c r="W2127">
        <v>1.26</v>
      </c>
    </row>
    <row r="2128" spans="1:23" x14ac:dyDescent="0.3">
      <c r="A2128">
        <v>2128</v>
      </c>
      <c r="B2128" t="s">
        <v>2171</v>
      </c>
      <c r="C2128" t="s">
        <v>43</v>
      </c>
      <c r="D2128">
        <v>185</v>
      </c>
      <c r="E2128">
        <v>4839</v>
      </c>
      <c r="F2128" s="3">
        <v>194</v>
      </c>
      <c r="G2128">
        <v>26</v>
      </c>
      <c r="H2128">
        <v>6</v>
      </c>
      <c r="I2128" s="5">
        <v>3.24324324324324E-2</v>
      </c>
      <c r="J2128" s="3">
        <v>304</v>
      </c>
      <c r="K2128" s="1">
        <v>45600</v>
      </c>
      <c r="L2128" t="s">
        <v>25</v>
      </c>
      <c r="M2128" t="s">
        <v>26</v>
      </c>
      <c r="N2128" t="s">
        <v>40</v>
      </c>
      <c r="O2128" t="s">
        <v>28</v>
      </c>
      <c r="P2128" t="s">
        <v>59</v>
      </c>
      <c r="Q2128" s="6">
        <v>1.04859459459459</v>
      </c>
      <c r="R2128">
        <v>3.82</v>
      </c>
      <c r="S2128">
        <v>7.46</v>
      </c>
      <c r="T2128">
        <v>32.33</v>
      </c>
      <c r="U2128">
        <v>56.71</v>
      </c>
      <c r="V2128">
        <v>50.67</v>
      </c>
      <c r="W2128">
        <v>1.57</v>
      </c>
    </row>
    <row r="2129" spans="1:23" x14ac:dyDescent="0.3">
      <c r="A2129">
        <v>2129</v>
      </c>
      <c r="B2129" t="s">
        <v>2172</v>
      </c>
      <c r="C2129" t="s">
        <v>38</v>
      </c>
      <c r="D2129">
        <v>117</v>
      </c>
      <c r="E2129">
        <v>5145</v>
      </c>
      <c r="F2129" s="3">
        <v>244</v>
      </c>
      <c r="G2129">
        <v>12</v>
      </c>
      <c r="H2129">
        <v>8</v>
      </c>
      <c r="I2129" s="5">
        <v>6.83760683760683E-2</v>
      </c>
      <c r="J2129" s="3">
        <v>373.71428571428498</v>
      </c>
      <c r="K2129" s="1">
        <v>45606</v>
      </c>
      <c r="L2129" t="s">
        <v>25</v>
      </c>
      <c r="M2129" t="s">
        <v>31</v>
      </c>
      <c r="N2129" t="s">
        <v>36</v>
      </c>
      <c r="O2129" t="s">
        <v>28</v>
      </c>
      <c r="P2129" t="s">
        <v>50</v>
      </c>
      <c r="Q2129" s="6">
        <v>2.0892307692307601</v>
      </c>
      <c r="R2129">
        <v>2.27</v>
      </c>
      <c r="S2129">
        <v>20.37</v>
      </c>
      <c r="T2129">
        <v>30.56</v>
      </c>
      <c r="U2129">
        <v>52.89</v>
      </c>
      <c r="V2129">
        <v>46.71</v>
      </c>
      <c r="W2129">
        <v>1.53</v>
      </c>
    </row>
    <row r="2130" spans="1:23" x14ac:dyDescent="0.3">
      <c r="A2130">
        <v>2130</v>
      </c>
      <c r="B2130" t="s">
        <v>2173</v>
      </c>
      <c r="C2130" t="s">
        <v>43</v>
      </c>
      <c r="D2130">
        <v>147</v>
      </c>
      <c r="E2130">
        <v>4371</v>
      </c>
      <c r="F2130" s="3">
        <v>243</v>
      </c>
      <c r="G2130">
        <v>26</v>
      </c>
      <c r="H2130">
        <v>9</v>
      </c>
      <c r="I2130" s="5">
        <v>6.1224489795918297E-2</v>
      </c>
      <c r="J2130" s="3">
        <v>362</v>
      </c>
      <c r="K2130" s="1">
        <v>45614</v>
      </c>
      <c r="L2130" t="s">
        <v>25</v>
      </c>
      <c r="M2130" t="s">
        <v>26</v>
      </c>
      <c r="N2130" t="s">
        <v>44</v>
      </c>
      <c r="O2130" t="s">
        <v>28</v>
      </c>
      <c r="P2130" t="s">
        <v>59</v>
      </c>
      <c r="Q2130" s="6">
        <v>1.65333333333333</v>
      </c>
      <c r="R2130">
        <v>3.36</v>
      </c>
      <c r="S2130">
        <v>9.35</v>
      </c>
      <c r="T2130">
        <v>27</v>
      </c>
      <c r="U2130">
        <v>48.95</v>
      </c>
      <c r="V2130">
        <v>40.22</v>
      </c>
      <c r="W2130">
        <v>1.49</v>
      </c>
    </row>
    <row r="2131" spans="1:23" x14ac:dyDescent="0.3">
      <c r="A2131">
        <v>2131</v>
      </c>
      <c r="B2131" t="s">
        <v>2174</v>
      </c>
      <c r="C2131" t="s">
        <v>24</v>
      </c>
      <c r="D2131">
        <v>197</v>
      </c>
      <c r="E2131">
        <v>5697</v>
      </c>
      <c r="F2131" s="3">
        <v>244</v>
      </c>
      <c r="G2131">
        <v>13</v>
      </c>
      <c r="H2131">
        <v>3</v>
      </c>
      <c r="I2131" s="5">
        <v>1.5228426395939E-2</v>
      </c>
      <c r="J2131" s="3">
        <v>236</v>
      </c>
      <c r="K2131" s="1">
        <v>45602</v>
      </c>
      <c r="L2131" t="s">
        <v>25</v>
      </c>
      <c r="M2131" t="s">
        <v>31</v>
      </c>
      <c r="N2131" t="s">
        <v>27</v>
      </c>
      <c r="O2131" t="s">
        <v>28</v>
      </c>
      <c r="P2131" t="s">
        <v>33</v>
      </c>
      <c r="Q2131" s="6">
        <v>1.2371573604060899</v>
      </c>
      <c r="R2131">
        <v>3.46</v>
      </c>
      <c r="S2131">
        <v>18.75</v>
      </c>
      <c r="T2131">
        <v>81.239999999999995</v>
      </c>
      <c r="U2131">
        <v>-3.17</v>
      </c>
      <c r="V2131">
        <v>78.67</v>
      </c>
      <c r="W2131">
        <v>0.97</v>
      </c>
    </row>
    <row r="2132" spans="1:23" x14ac:dyDescent="0.3">
      <c r="A2132">
        <v>2132</v>
      </c>
      <c r="B2132" t="s">
        <v>2175</v>
      </c>
      <c r="C2132" t="s">
        <v>24</v>
      </c>
      <c r="D2132">
        <v>81</v>
      </c>
      <c r="E2132">
        <v>3096</v>
      </c>
      <c r="F2132" s="3">
        <v>228</v>
      </c>
      <c r="G2132">
        <v>22</v>
      </c>
      <c r="H2132">
        <v>3</v>
      </c>
      <c r="I2132" s="5">
        <v>3.7037037037037E-2</v>
      </c>
      <c r="J2132" s="3">
        <v>283</v>
      </c>
      <c r="K2132" s="1">
        <v>45618</v>
      </c>
      <c r="L2132" t="s">
        <v>25</v>
      </c>
      <c r="M2132" t="s">
        <v>39</v>
      </c>
      <c r="N2132" t="s">
        <v>49</v>
      </c>
      <c r="O2132" t="s">
        <v>28</v>
      </c>
      <c r="P2132" t="s">
        <v>45</v>
      </c>
      <c r="Q2132" s="6">
        <v>2.8206172839506101</v>
      </c>
      <c r="R2132">
        <v>2.62</v>
      </c>
      <c r="S2132">
        <v>10.38</v>
      </c>
      <c r="T2132">
        <v>76.16</v>
      </c>
      <c r="U2132">
        <v>23.87</v>
      </c>
      <c r="V2132">
        <v>94.33</v>
      </c>
      <c r="W2132">
        <v>1.24</v>
      </c>
    </row>
    <row r="2133" spans="1:23" x14ac:dyDescent="0.3">
      <c r="A2133">
        <v>2133</v>
      </c>
      <c r="B2133" t="s">
        <v>2176</v>
      </c>
      <c r="C2133" t="s">
        <v>38</v>
      </c>
      <c r="D2133">
        <v>198</v>
      </c>
      <c r="E2133">
        <v>4163</v>
      </c>
      <c r="F2133" s="3">
        <v>219</v>
      </c>
      <c r="G2133">
        <v>11</v>
      </c>
      <c r="H2133">
        <v>6</v>
      </c>
      <c r="I2133" s="5">
        <v>3.03030303030303E-2</v>
      </c>
      <c r="J2133" s="3">
        <v>389</v>
      </c>
      <c r="K2133" s="1">
        <v>45626</v>
      </c>
      <c r="L2133" t="s">
        <v>25</v>
      </c>
      <c r="M2133" t="s">
        <v>39</v>
      </c>
      <c r="N2133" t="s">
        <v>27</v>
      </c>
      <c r="O2133" t="s">
        <v>28</v>
      </c>
      <c r="P2133" t="s">
        <v>29</v>
      </c>
      <c r="Q2133" s="6">
        <v>1.10424242424242</v>
      </c>
      <c r="R2133">
        <v>4.76</v>
      </c>
      <c r="S2133">
        <v>19.88</v>
      </c>
      <c r="T2133">
        <v>36.44</v>
      </c>
      <c r="U2133">
        <v>77.92</v>
      </c>
      <c r="V2133">
        <v>64.83</v>
      </c>
      <c r="W2133">
        <v>1.78</v>
      </c>
    </row>
    <row r="2134" spans="1:23" x14ac:dyDescent="0.3">
      <c r="A2134">
        <v>2134</v>
      </c>
      <c r="B2134" t="s">
        <v>2177</v>
      </c>
      <c r="C2134" t="s">
        <v>35</v>
      </c>
      <c r="D2134">
        <v>155</v>
      </c>
      <c r="E2134">
        <v>5150</v>
      </c>
      <c r="F2134" s="3">
        <v>225</v>
      </c>
      <c r="G2134">
        <v>24</v>
      </c>
      <c r="H2134">
        <v>7</v>
      </c>
      <c r="I2134" s="5">
        <v>4.5161290322580601E-2</v>
      </c>
      <c r="J2134" s="3">
        <v>234</v>
      </c>
      <c r="K2134" s="1">
        <v>45600</v>
      </c>
      <c r="L2134" t="s">
        <v>25</v>
      </c>
      <c r="M2134" t="s">
        <v>39</v>
      </c>
      <c r="N2134" t="s">
        <v>32</v>
      </c>
      <c r="O2134" t="s">
        <v>28</v>
      </c>
      <c r="P2134" t="s">
        <v>59</v>
      </c>
      <c r="Q2134" s="6">
        <v>1.4490322580645101</v>
      </c>
      <c r="R2134">
        <v>3.01</v>
      </c>
      <c r="S2134">
        <v>9.36</v>
      </c>
      <c r="T2134">
        <v>32.090000000000003</v>
      </c>
      <c r="U2134">
        <v>4.1900000000000004</v>
      </c>
      <c r="V2134">
        <v>33.43</v>
      </c>
      <c r="W2134">
        <v>1.04</v>
      </c>
    </row>
    <row r="2135" spans="1:23" x14ac:dyDescent="0.3">
      <c r="A2135">
        <v>2135</v>
      </c>
      <c r="B2135" t="s">
        <v>2178</v>
      </c>
      <c r="C2135" t="s">
        <v>43</v>
      </c>
      <c r="D2135">
        <v>181</v>
      </c>
      <c r="E2135">
        <v>3948</v>
      </c>
      <c r="F2135" s="3">
        <v>224</v>
      </c>
      <c r="G2135">
        <v>17</v>
      </c>
      <c r="H2135">
        <v>4</v>
      </c>
      <c r="I2135" s="5">
        <v>2.2099447513812098E-2</v>
      </c>
      <c r="J2135" s="3">
        <v>219</v>
      </c>
      <c r="K2135" s="1">
        <v>45606</v>
      </c>
      <c r="L2135" t="s">
        <v>25</v>
      </c>
      <c r="M2135" t="s">
        <v>31</v>
      </c>
      <c r="N2135" t="s">
        <v>49</v>
      </c>
      <c r="O2135" t="s">
        <v>28</v>
      </c>
      <c r="P2135" t="s">
        <v>50</v>
      </c>
      <c r="Q2135" s="6">
        <v>1.2348618784530301</v>
      </c>
      <c r="R2135">
        <v>4.58</v>
      </c>
      <c r="S2135">
        <v>13.15</v>
      </c>
      <c r="T2135">
        <v>55.88</v>
      </c>
      <c r="U2135">
        <v>-2.02</v>
      </c>
      <c r="V2135">
        <v>54.75</v>
      </c>
      <c r="W2135">
        <v>0.98</v>
      </c>
    </row>
    <row r="2136" spans="1:23" x14ac:dyDescent="0.3">
      <c r="A2136">
        <v>2136</v>
      </c>
      <c r="B2136" t="s">
        <v>2179</v>
      </c>
      <c r="C2136" t="s">
        <v>38</v>
      </c>
      <c r="D2136">
        <v>108</v>
      </c>
      <c r="E2136">
        <v>3126</v>
      </c>
      <c r="F2136" s="3">
        <v>249</v>
      </c>
      <c r="G2136">
        <v>12</v>
      </c>
      <c r="H2136">
        <v>3</v>
      </c>
      <c r="I2136" s="5">
        <v>2.77777777777777E-2</v>
      </c>
      <c r="J2136" s="3">
        <v>396</v>
      </c>
      <c r="K2136" s="1">
        <v>45612</v>
      </c>
      <c r="L2136" t="s">
        <v>25</v>
      </c>
      <c r="M2136" t="s">
        <v>39</v>
      </c>
      <c r="N2136" t="s">
        <v>49</v>
      </c>
      <c r="O2136" t="s">
        <v>28</v>
      </c>
      <c r="P2136" t="s">
        <v>29</v>
      </c>
      <c r="Q2136" s="6">
        <v>2.3050000000000002</v>
      </c>
      <c r="R2136">
        <v>3.45</v>
      </c>
      <c r="S2136">
        <v>20.74</v>
      </c>
      <c r="T2136">
        <v>82.98</v>
      </c>
      <c r="U2136">
        <v>59.07</v>
      </c>
      <c r="V2136">
        <v>132</v>
      </c>
      <c r="W2136">
        <v>1.59</v>
      </c>
    </row>
    <row r="2137" spans="1:23" x14ac:dyDescent="0.3">
      <c r="A2137">
        <v>2137</v>
      </c>
      <c r="B2137" t="s">
        <v>2180</v>
      </c>
      <c r="C2137" t="s">
        <v>43</v>
      </c>
      <c r="D2137">
        <v>114</v>
      </c>
      <c r="E2137">
        <v>5551</v>
      </c>
      <c r="F2137" s="3">
        <v>195</v>
      </c>
      <c r="G2137">
        <v>30</v>
      </c>
      <c r="H2137">
        <v>5</v>
      </c>
      <c r="I2137" s="5">
        <v>4.3859649122807001E-2</v>
      </c>
      <c r="J2137" s="3">
        <v>256</v>
      </c>
      <c r="K2137" s="1">
        <v>45611</v>
      </c>
      <c r="L2137" t="s">
        <v>25</v>
      </c>
      <c r="M2137" t="s">
        <v>39</v>
      </c>
      <c r="N2137" t="s">
        <v>49</v>
      </c>
      <c r="O2137" t="s">
        <v>28</v>
      </c>
      <c r="P2137" t="s">
        <v>45</v>
      </c>
      <c r="Q2137" s="6">
        <v>1.7143859649122799</v>
      </c>
      <c r="R2137">
        <v>2.0499999999999998</v>
      </c>
      <c r="S2137">
        <v>6.51</v>
      </c>
      <c r="T2137">
        <v>39.090000000000003</v>
      </c>
      <c r="U2137">
        <v>30.99</v>
      </c>
      <c r="V2137">
        <v>51.2</v>
      </c>
      <c r="W2137">
        <v>1.31</v>
      </c>
    </row>
    <row r="2138" spans="1:23" x14ac:dyDescent="0.3">
      <c r="A2138">
        <v>2138</v>
      </c>
      <c r="B2138" t="s">
        <v>2181</v>
      </c>
      <c r="C2138" t="s">
        <v>38</v>
      </c>
      <c r="D2138">
        <v>146</v>
      </c>
      <c r="E2138">
        <v>5712</v>
      </c>
      <c r="F2138" s="3">
        <v>222</v>
      </c>
      <c r="G2138">
        <v>26</v>
      </c>
      <c r="H2138">
        <v>5</v>
      </c>
      <c r="I2138" s="5">
        <v>3.4246575342465703E-2</v>
      </c>
      <c r="J2138" s="3">
        <v>245</v>
      </c>
      <c r="K2138" s="1">
        <v>45608</v>
      </c>
      <c r="L2138" t="s">
        <v>25</v>
      </c>
      <c r="M2138" t="s">
        <v>31</v>
      </c>
      <c r="N2138" t="s">
        <v>49</v>
      </c>
      <c r="O2138" t="s">
        <v>28</v>
      </c>
      <c r="P2138" t="s">
        <v>41</v>
      </c>
      <c r="Q2138" s="6">
        <v>1.51869863013698</v>
      </c>
      <c r="R2138">
        <v>2.56</v>
      </c>
      <c r="S2138">
        <v>8.5299999999999994</v>
      </c>
      <c r="T2138">
        <v>44.35</v>
      </c>
      <c r="U2138">
        <v>10.49</v>
      </c>
      <c r="V2138">
        <v>49</v>
      </c>
      <c r="W2138">
        <v>1.1000000000000001</v>
      </c>
    </row>
    <row r="2139" spans="1:23" x14ac:dyDescent="0.3">
      <c r="A2139">
        <v>2139</v>
      </c>
      <c r="B2139" t="s">
        <v>2182</v>
      </c>
      <c r="C2139" t="s">
        <v>24</v>
      </c>
      <c r="D2139">
        <v>89</v>
      </c>
      <c r="E2139">
        <v>4175</v>
      </c>
      <c r="F2139" s="3">
        <v>194</v>
      </c>
      <c r="G2139">
        <v>11</v>
      </c>
      <c r="H2139">
        <v>3</v>
      </c>
      <c r="I2139" s="5">
        <v>3.3707865168539297E-2</v>
      </c>
      <c r="J2139" s="3">
        <v>280</v>
      </c>
      <c r="K2139" s="1">
        <v>45618</v>
      </c>
      <c r="L2139" t="s">
        <v>25</v>
      </c>
      <c r="M2139" t="s">
        <v>26</v>
      </c>
      <c r="N2139" t="s">
        <v>40</v>
      </c>
      <c r="O2139" t="s">
        <v>28</v>
      </c>
      <c r="P2139" t="s">
        <v>45</v>
      </c>
      <c r="Q2139" s="6">
        <v>2.1822471910112302</v>
      </c>
      <c r="R2139">
        <v>2.13</v>
      </c>
      <c r="S2139">
        <v>17.66</v>
      </c>
      <c r="T2139">
        <v>64.739999999999995</v>
      </c>
      <c r="U2139">
        <v>44.17</v>
      </c>
      <c r="V2139">
        <v>93.33</v>
      </c>
      <c r="W2139">
        <v>1.44</v>
      </c>
    </row>
    <row r="2140" spans="1:23" x14ac:dyDescent="0.3">
      <c r="A2140">
        <v>2140</v>
      </c>
      <c r="B2140" t="s">
        <v>2183</v>
      </c>
      <c r="C2140" t="s">
        <v>24</v>
      </c>
      <c r="D2140">
        <v>82</v>
      </c>
      <c r="E2140">
        <v>2704</v>
      </c>
      <c r="F2140" s="3">
        <v>129</v>
      </c>
      <c r="G2140">
        <v>30</v>
      </c>
      <c r="H2140">
        <v>8</v>
      </c>
      <c r="I2140" s="5">
        <v>9.7560975609756101E-2</v>
      </c>
      <c r="J2140" s="3">
        <v>308</v>
      </c>
      <c r="K2140" s="1">
        <v>45613</v>
      </c>
      <c r="L2140" t="s">
        <v>25</v>
      </c>
      <c r="M2140" t="s">
        <v>26</v>
      </c>
      <c r="N2140" t="s">
        <v>27</v>
      </c>
      <c r="O2140" t="s">
        <v>28</v>
      </c>
      <c r="P2140" t="s">
        <v>50</v>
      </c>
      <c r="Q2140" s="6">
        <v>1.56753061615001</v>
      </c>
      <c r="R2140">
        <v>3.03</v>
      </c>
      <c r="S2140">
        <v>4.28</v>
      </c>
      <c r="T2140">
        <v>16.07</v>
      </c>
      <c r="U2140">
        <v>139.62</v>
      </c>
      <c r="V2140">
        <v>38.5</v>
      </c>
      <c r="W2140">
        <v>2.4</v>
      </c>
    </row>
    <row r="2141" spans="1:23" x14ac:dyDescent="0.3">
      <c r="A2141">
        <v>2141</v>
      </c>
      <c r="B2141" t="s">
        <v>2184</v>
      </c>
      <c r="C2141" t="s">
        <v>24</v>
      </c>
      <c r="D2141">
        <v>98</v>
      </c>
      <c r="E2141">
        <v>5728</v>
      </c>
      <c r="F2141" s="3">
        <v>231</v>
      </c>
      <c r="G2141">
        <v>14</v>
      </c>
      <c r="H2141">
        <v>10</v>
      </c>
      <c r="I2141" s="5">
        <v>0.10204081632653</v>
      </c>
      <c r="J2141" s="3">
        <v>270</v>
      </c>
      <c r="K2141" s="1">
        <v>45603</v>
      </c>
      <c r="L2141" t="s">
        <v>25</v>
      </c>
      <c r="M2141" t="s">
        <v>31</v>
      </c>
      <c r="N2141" t="s">
        <v>40</v>
      </c>
      <c r="O2141" t="s">
        <v>28</v>
      </c>
      <c r="P2141" t="s">
        <v>54</v>
      </c>
      <c r="Q2141" s="6">
        <v>2.3522448979591801</v>
      </c>
      <c r="R2141">
        <v>1.71</v>
      </c>
      <c r="S2141">
        <v>16.47</v>
      </c>
      <c r="T2141">
        <v>23.05</v>
      </c>
      <c r="U2141">
        <v>17.13</v>
      </c>
      <c r="V2141">
        <v>27</v>
      </c>
      <c r="W2141">
        <v>1.17</v>
      </c>
    </row>
    <row r="2142" spans="1:23" x14ac:dyDescent="0.3">
      <c r="A2142">
        <v>2142</v>
      </c>
      <c r="B2142" t="s">
        <v>2185</v>
      </c>
      <c r="C2142" t="s">
        <v>24</v>
      </c>
      <c r="D2142">
        <v>87</v>
      </c>
      <c r="E2142">
        <v>3161</v>
      </c>
      <c r="F2142" s="3">
        <v>244</v>
      </c>
      <c r="G2142">
        <v>24</v>
      </c>
      <c r="H2142">
        <v>8</v>
      </c>
      <c r="I2142" s="5">
        <v>9.1954022988505704E-2</v>
      </c>
      <c r="J2142" s="3">
        <v>237</v>
      </c>
      <c r="K2142" s="1">
        <v>45602</v>
      </c>
      <c r="L2142" t="s">
        <v>25</v>
      </c>
      <c r="M2142" t="s">
        <v>39</v>
      </c>
      <c r="N2142" t="s">
        <v>36</v>
      </c>
      <c r="O2142" t="s">
        <v>28</v>
      </c>
      <c r="P2142" t="s">
        <v>33</v>
      </c>
      <c r="Q2142" s="6">
        <v>2.8102298850574701</v>
      </c>
      <c r="R2142">
        <v>2.75</v>
      </c>
      <c r="S2142">
        <v>10.19</v>
      </c>
      <c r="T2142">
        <v>30.56</v>
      </c>
      <c r="U2142">
        <v>-3.06</v>
      </c>
      <c r="V2142">
        <v>29.62</v>
      </c>
      <c r="W2142">
        <v>0.97</v>
      </c>
    </row>
    <row r="2143" spans="1:23" x14ac:dyDescent="0.3">
      <c r="A2143">
        <v>2143</v>
      </c>
      <c r="B2143" t="s">
        <v>2186</v>
      </c>
      <c r="C2143" t="s">
        <v>43</v>
      </c>
      <c r="D2143">
        <v>146</v>
      </c>
      <c r="E2143">
        <v>4773</v>
      </c>
      <c r="F2143" s="3">
        <v>248</v>
      </c>
      <c r="G2143">
        <v>30</v>
      </c>
      <c r="H2143">
        <v>6</v>
      </c>
      <c r="I2143" s="5">
        <v>4.1095890410958902E-2</v>
      </c>
      <c r="J2143" s="3">
        <v>266</v>
      </c>
      <c r="K2143" s="1">
        <v>45597</v>
      </c>
      <c r="L2143" t="s">
        <v>25</v>
      </c>
      <c r="M2143" t="s">
        <v>39</v>
      </c>
      <c r="N2143" t="s">
        <v>44</v>
      </c>
      <c r="O2143" t="s">
        <v>28</v>
      </c>
      <c r="P2143" t="s">
        <v>45</v>
      </c>
      <c r="Q2143" s="6">
        <v>1.7004794520547899</v>
      </c>
      <c r="R2143">
        <v>3.06</v>
      </c>
      <c r="S2143">
        <v>8.2799999999999994</v>
      </c>
      <c r="T2143">
        <v>41.38</v>
      </c>
      <c r="U2143">
        <v>7.14</v>
      </c>
      <c r="V2143">
        <v>44.33</v>
      </c>
      <c r="W2143">
        <v>1.07</v>
      </c>
    </row>
    <row r="2144" spans="1:23" x14ac:dyDescent="0.3">
      <c r="A2144">
        <v>2144</v>
      </c>
      <c r="B2144" t="s">
        <v>2187</v>
      </c>
      <c r="C2144" t="s">
        <v>35</v>
      </c>
      <c r="D2144">
        <v>103</v>
      </c>
      <c r="E2144">
        <v>3385</v>
      </c>
      <c r="F2144" s="3">
        <v>208</v>
      </c>
      <c r="G2144">
        <v>25</v>
      </c>
      <c r="H2144">
        <v>10</v>
      </c>
      <c r="I2144" s="5">
        <v>9.7087378640776698E-2</v>
      </c>
      <c r="J2144" s="3">
        <v>402</v>
      </c>
      <c r="K2144" s="1">
        <v>45612</v>
      </c>
      <c r="L2144" t="s">
        <v>25</v>
      </c>
      <c r="M2144" t="s">
        <v>31</v>
      </c>
      <c r="N2144" t="s">
        <v>49</v>
      </c>
      <c r="O2144" t="s">
        <v>28</v>
      </c>
      <c r="P2144" t="s">
        <v>29</v>
      </c>
      <c r="Q2144" s="6">
        <v>2.02242718446601</v>
      </c>
      <c r="R2144">
        <v>3.04</v>
      </c>
      <c r="S2144">
        <v>8.33</v>
      </c>
      <c r="T2144">
        <v>20.83</v>
      </c>
      <c r="U2144">
        <v>92.98</v>
      </c>
      <c r="V2144">
        <v>40.200000000000003</v>
      </c>
      <c r="W2144">
        <v>1.93</v>
      </c>
    </row>
    <row r="2145" spans="1:23" x14ac:dyDescent="0.3">
      <c r="A2145">
        <v>2145</v>
      </c>
      <c r="B2145" t="s">
        <v>2188</v>
      </c>
      <c r="C2145" t="s">
        <v>38</v>
      </c>
      <c r="D2145">
        <v>122</v>
      </c>
      <c r="E2145">
        <v>5600</v>
      </c>
      <c r="F2145" s="3">
        <v>223</v>
      </c>
      <c r="G2145">
        <v>12</v>
      </c>
      <c r="H2145">
        <v>3</v>
      </c>
      <c r="I2145" s="5">
        <v>2.4590163934426201E-2</v>
      </c>
      <c r="J2145" s="3">
        <v>217</v>
      </c>
      <c r="K2145" s="1">
        <v>45614</v>
      </c>
      <c r="L2145" t="s">
        <v>25</v>
      </c>
      <c r="M2145" t="s">
        <v>39</v>
      </c>
      <c r="N2145" t="s">
        <v>27</v>
      </c>
      <c r="O2145" t="s">
        <v>28</v>
      </c>
      <c r="P2145" t="s">
        <v>59</v>
      </c>
      <c r="Q2145" s="6">
        <v>1.8283606557376999</v>
      </c>
      <c r="R2145">
        <v>2.1800000000000002</v>
      </c>
      <c r="S2145">
        <v>18.59</v>
      </c>
      <c r="T2145">
        <v>74.349999999999994</v>
      </c>
      <c r="U2145">
        <v>-2.72</v>
      </c>
      <c r="V2145">
        <v>72.33</v>
      </c>
      <c r="W2145">
        <v>0.97</v>
      </c>
    </row>
    <row r="2146" spans="1:23" x14ac:dyDescent="0.3">
      <c r="A2146">
        <v>2146</v>
      </c>
      <c r="B2146" t="s">
        <v>2189</v>
      </c>
      <c r="C2146" t="s">
        <v>43</v>
      </c>
      <c r="D2146">
        <v>153</v>
      </c>
      <c r="E2146">
        <v>4218</v>
      </c>
      <c r="F2146" s="3">
        <v>228</v>
      </c>
      <c r="G2146">
        <v>16</v>
      </c>
      <c r="H2146">
        <v>7</v>
      </c>
      <c r="I2146" s="5">
        <v>4.5751633986928102E-2</v>
      </c>
      <c r="J2146" s="3">
        <v>240</v>
      </c>
      <c r="K2146" s="1">
        <v>45599</v>
      </c>
      <c r="L2146" t="s">
        <v>25</v>
      </c>
      <c r="M2146" t="s">
        <v>31</v>
      </c>
      <c r="N2146" t="s">
        <v>36</v>
      </c>
      <c r="O2146" t="s">
        <v>28</v>
      </c>
      <c r="P2146" t="s">
        <v>50</v>
      </c>
      <c r="Q2146" s="6">
        <v>1.4925490196078399</v>
      </c>
      <c r="R2146">
        <v>3.63</v>
      </c>
      <c r="S2146">
        <v>14.27</v>
      </c>
      <c r="T2146">
        <v>32.619999999999997</v>
      </c>
      <c r="U2146">
        <v>5.0999999999999996</v>
      </c>
      <c r="V2146">
        <v>34.29</v>
      </c>
      <c r="W2146">
        <v>1.05</v>
      </c>
    </row>
    <row r="2147" spans="1:23" x14ac:dyDescent="0.3">
      <c r="A2147">
        <v>2147</v>
      </c>
      <c r="B2147" t="s">
        <v>2190</v>
      </c>
      <c r="C2147" t="s">
        <v>35</v>
      </c>
      <c r="D2147">
        <v>108</v>
      </c>
      <c r="E2147">
        <v>3358</v>
      </c>
      <c r="F2147" s="3">
        <v>184</v>
      </c>
      <c r="G2147">
        <v>28</v>
      </c>
      <c r="H2147">
        <v>4</v>
      </c>
      <c r="I2147" s="5">
        <v>3.7037037037037E-2</v>
      </c>
      <c r="J2147" s="3">
        <v>385</v>
      </c>
      <c r="K2147" s="1">
        <v>45612</v>
      </c>
      <c r="L2147" t="s">
        <v>25</v>
      </c>
      <c r="M2147" t="s">
        <v>26</v>
      </c>
      <c r="N2147" t="s">
        <v>49</v>
      </c>
      <c r="O2147" t="s">
        <v>28</v>
      </c>
      <c r="P2147" t="s">
        <v>29</v>
      </c>
      <c r="Q2147" s="6">
        <v>1.7046296296296199</v>
      </c>
      <c r="R2147">
        <v>3.22</v>
      </c>
      <c r="S2147">
        <v>6.58</v>
      </c>
      <c r="T2147">
        <v>46.02</v>
      </c>
      <c r="U2147">
        <v>109.13</v>
      </c>
      <c r="V2147">
        <v>96.25</v>
      </c>
      <c r="W2147">
        <v>2.09</v>
      </c>
    </row>
    <row r="2148" spans="1:23" x14ac:dyDescent="0.3">
      <c r="A2148">
        <v>2148</v>
      </c>
      <c r="B2148" t="s">
        <v>2191</v>
      </c>
      <c r="C2148" t="s">
        <v>38</v>
      </c>
      <c r="D2148">
        <v>147</v>
      </c>
      <c r="E2148">
        <v>3021</v>
      </c>
      <c r="F2148" s="3">
        <v>200</v>
      </c>
      <c r="G2148">
        <v>20</v>
      </c>
      <c r="H2148">
        <v>4</v>
      </c>
      <c r="I2148" s="5">
        <v>2.7210884353741398E-2</v>
      </c>
      <c r="J2148" s="3">
        <v>351</v>
      </c>
      <c r="K2148" s="1">
        <v>45614</v>
      </c>
      <c r="L2148" t="s">
        <v>25</v>
      </c>
      <c r="M2148" t="s">
        <v>31</v>
      </c>
      <c r="N2148" t="s">
        <v>49</v>
      </c>
      <c r="O2148" t="s">
        <v>28</v>
      </c>
      <c r="P2148" t="s">
        <v>59</v>
      </c>
      <c r="Q2148" s="6">
        <v>1.3617006802720999</v>
      </c>
      <c r="R2148">
        <v>4.87</v>
      </c>
      <c r="S2148">
        <v>10.01</v>
      </c>
      <c r="T2148">
        <v>50.04</v>
      </c>
      <c r="U2148">
        <v>75.349999999999994</v>
      </c>
      <c r="V2148">
        <v>87.75</v>
      </c>
      <c r="W2148">
        <v>1.75</v>
      </c>
    </row>
    <row r="2149" spans="1:23" x14ac:dyDescent="0.3">
      <c r="A2149">
        <v>2149</v>
      </c>
      <c r="B2149" t="s">
        <v>2192</v>
      </c>
      <c r="C2149" t="s">
        <v>38</v>
      </c>
      <c r="D2149">
        <v>121</v>
      </c>
      <c r="E2149">
        <v>4477</v>
      </c>
      <c r="F2149" s="3">
        <v>225</v>
      </c>
      <c r="G2149">
        <v>28</v>
      </c>
      <c r="H2149">
        <v>10</v>
      </c>
      <c r="I2149" s="5">
        <v>8.2644628099173501E-2</v>
      </c>
      <c r="J2149" s="3">
        <v>327</v>
      </c>
      <c r="K2149" s="1">
        <v>45613</v>
      </c>
      <c r="L2149" t="s">
        <v>25</v>
      </c>
      <c r="M2149" t="s">
        <v>39</v>
      </c>
      <c r="N2149" t="s">
        <v>36</v>
      </c>
      <c r="O2149" t="s">
        <v>28</v>
      </c>
      <c r="P2149" t="s">
        <v>50</v>
      </c>
      <c r="Q2149" s="6">
        <v>1.85760330578512</v>
      </c>
      <c r="R2149">
        <v>2.7</v>
      </c>
      <c r="S2149">
        <v>8.0299999999999994</v>
      </c>
      <c r="T2149">
        <v>22.48</v>
      </c>
      <c r="U2149">
        <v>45.48</v>
      </c>
      <c r="V2149">
        <v>32.700000000000003</v>
      </c>
      <c r="W2149">
        <v>1.45</v>
      </c>
    </row>
    <row r="2150" spans="1:23" x14ac:dyDescent="0.3">
      <c r="A2150">
        <v>2150</v>
      </c>
      <c r="B2150" t="s">
        <v>2193</v>
      </c>
      <c r="C2150" t="s">
        <v>35</v>
      </c>
      <c r="D2150">
        <v>112</v>
      </c>
      <c r="E2150">
        <v>4073</v>
      </c>
      <c r="F2150" s="3">
        <v>180</v>
      </c>
      <c r="G2150">
        <v>30</v>
      </c>
      <c r="H2150">
        <v>4</v>
      </c>
      <c r="I2150" s="5">
        <v>3.5714285714285698E-2</v>
      </c>
      <c r="J2150" s="3">
        <v>332</v>
      </c>
      <c r="K2150" s="1">
        <v>45608</v>
      </c>
      <c r="L2150" t="s">
        <v>25</v>
      </c>
      <c r="M2150" t="s">
        <v>39</v>
      </c>
      <c r="N2150" t="s">
        <v>40</v>
      </c>
      <c r="O2150" t="s">
        <v>28</v>
      </c>
      <c r="P2150" t="s">
        <v>41</v>
      </c>
      <c r="Q2150" s="6">
        <v>1.60928571428571</v>
      </c>
      <c r="R2150">
        <v>2.75</v>
      </c>
      <c r="S2150">
        <v>6.01</v>
      </c>
      <c r="T2150">
        <v>45.06</v>
      </c>
      <c r="U2150">
        <v>84.2</v>
      </c>
      <c r="V2150">
        <v>83</v>
      </c>
      <c r="W2150">
        <v>1.84</v>
      </c>
    </row>
    <row r="2151" spans="1:23" x14ac:dyDescent="0.3">
      <c r="A2151">
        <v>2151</v>
      </c>
      <c r="B2151" t="s">
        <v>2194</v>
      </c>
      <c r="C2151" t="s">
        <v>35</v>
      </c>
      <c r="D2151">
        <v>127</v>
      </c>
      <c r="E2151">
        <v>5172</v>
      </c>
      <c r="F2151" s="3">
        <v>204</v>
      </c>
      <c r="G2151">
        <v>10</v>
      </c>
      <c r="H2151">
        <v>4</v>
      </c>
      <c r="I2151" s="5">
        <v>3.1496062992125901E-2</v>
      </c>
      <c r="J2151" s="3">
        <v>241</v>
      </c>
      <c r="K2151" s="1">
        <v>45616</v>
      </c>
      <c r="L2151" t="s">
        <v>25</v>
      </c>
      <c r="M2151" t="s">
        <v>31</v>
      </c>
      <c r="N2151" t="s">
        <v>36</v>
      </c>
      <c r="O2151" t="s">
        <v>28</v>
      </c>
      <c r="P2151" t="s">
        <v>33</v>
      </c>
      <c r="Q2151" s="6">
        <v>1.60779527559055</v>
      </c>
      <c r="R2151">
        <v>2.46</v>
      </c>
      <c r="S2151">
        <v>20.420000000000002</v>
      </c>
      <c r="T2151">
        <v>51.05</v>
      </c>
      <c r="U2151">
        <v>18.03</v>
      </c>
      <c r="V2151">
        <v>60.25</v>
      </c>
      <c r="W2151">
        <v>1.18</v>
      </c>
    </row>
    <row r="2152" spans="1:23" x14ac:dyDescent="0.3">
      <c r="A2152">
        <v>2152</v>
      </c>
      <c r="B2152" t="s">
        <v>2195</v>
      </c>
      <c r="C2152" t="s">
        <v>38</v>
      </c>
      <c r="D2152">
        <v>192</v>
      </c>
      <c r="E2152">
        <v>5896</v>
      </c>
      <c r="F2152" s="3">
        <v>201</v>
      </c>
      <c r="G2152">
        <v>30</v>
      </c>
      <c r="H2152">
        <v>9</v>
      </c>
      <c r="I2152" s="5">
        <v>4.6875E-2</v>
      </c>
      <c r="J2152" s="3">
        <v>324</v>
      </c>
      <c r="K2152" s="1">
        <v>45626</v>
      </c>
      <c r="L2152" t="s">
        <v>25</v>
      </c>
      <c r="M2152" t="s">
        <v>26</v>
      </c>
      <c r="N2152" t="s">
        <v>32</v>
      </c>
      <c r="O2152" t="s">
        <v>28</v>
      </c>
      <c r="P2152" t="s">
        <v>29</v>
      </c>
      <c r="Q2152" s="6">
        <v>1.0478125</v>
      </c>
      <c r="R2152">
        <v>3.26</v>
      </c>
      <c r="S2152">
        <v>6.71</v>
      </c>
      <c r="T2152">
        <v>22.35</v>
      </c>
      <c r="U2152">
        <v>61.05</v>
      </c>
      <c r="V2152">
        <v>36</v>
      </c>
      <c r="W2152">
        <v>1.61</v>
      </c>
    </row>
    <row r="2153" spans="1:23" x14ac:dyDescent="0.3">
      <c r="A2153">
        <v>2153</v>
      </c>
      <c r="B2153" t="s">
        <v>2196</v>
      </c>
      <c r="C2153" t="s">
        <v>38</v>
      </c>
      <c r="D2153">
        <v>174</v>
      </c>
      <c r="E2153">
        <v>3427</v>
      </c>
      <c r="F2153" s="3">
        <v>224</v>
      </c>
      <c r="G2153">
        <v>20</v>
      </c>
      <c r="H2153">
        <v>7</v>
      </c>
      <c r="I2153" s="5">
        <v>4.0229885057471201E-2</v>
      </c>
      <c r="J2153" s="3">
        <v>264</v>
      </c>
      <c r="K2153" s="1">
        <v>45611</v>
      </c>
      <c r="L2153" t="s">
        <v>25</v>
      </c>
      <c r="M2153" t="s">
        <v>26</v>
      </c>
      <c r="N2153" t="s">
        <v>49</v>
      </c>
      <c r="O2153" t="s">
        <v>28</v>
      </c>
      <c r="P2153" t="s">
        <v>45</v>
      </c>
      <c r="Q2153" s="6">
        <v>1.2860344827586201</v>
      </c>
      <c r="R2153">
        <v>5.08</v>
      </c>
      <c r="S2153">
        <v>11.19</v>
      </c>
      <c r="T2153">
        <v>31.97</v>
      </c>
      <c r="U2153">
        <v>17.98</v>
      </c>
      <c r="V2153">
        <v>37.71</v>
      </c>
      <c r="W2153">
        <v>1.18</v>
      </c>
    </row>
    <row r="2154" spans="1:23" x14ac:dyDescent="0.3">
      <c r="A2154">
        <v>2154</v>
      </c>
      <c r="B2154" t="s">
        <v>2197</v>
      </c>
      <c r="C2154" t="s">
        <v>43</v>
      </c>
      <c r="D2154">
        <v>166</v>
      </c>
      <c r="E2154">
        <v>4176</v>
      </c>
      <c r="F2154" s="3">
        <v>243</v>
      </c>
      <c r="G2154">
        <v>16</v>
      </c>
      <c r="H2154">
        <v>9</v>
      </c>
      <c r="I2154" s="5">
        <v>5.4216867469879498E-2</v>
      </c>
      <c r="J2154" s="3">
        <v>234</v>
      </c>
      <c r="K2154" s="1">
        <v>45620</v>
      </c>
      <c r="L2154" t="s">
        <v>25</v>
      </c>
      <c r="M2154" t="s">
        <v>26</v>
      </c>
      <c r="N2154" t="s">
        <v>27</v>
      </c>
      <c r="O2154" t="s">
        <v>28</v>
      </c>
      <c r="P2154" t="s">
        <v>50</v>
      </c>
      <c r="Q2154" s="6">
        <v>1.4644578313253001</v>
      </c>
      <c r="R2154">
        <v>3.98</v>
      </c>
      <c r="S2154">
        <v>15.19</v>
      </c>
      <c r="T2154">
        <v>27.01</v>
      </c>
      <c r="U2154">
        <v>-3.74</v>
      </c>
      <c r="V2154">
        <v>26</v>
      </c>
      <c r="W2154">
        <v>0.96</v>
      </c>
    </row>
    <row r="2155" spans="1:23" x14ac:dyDescent="0.3">
      <c r="A2155">
        <v>2155</v>
      </c>
      <c r="B2155" t="s">
        <v>2198</v>
      </c>
      <c r="C2155" t="s">
        <v>24</v>
      </c>
      <c r="D2155">
        <v>98</v>
      </c>
      <c r="E2155">
        <v>5835</v>
      </c>
      <c r="F2155" s="3">
        <v>233</v>
      </c>
      <c r="G2155">
        <v>19</v>
      </c>
      <c r="H2155">
        <v>6</v>
      </c>
      <c r="I2155" s="5">
        <v>6.1224489795918297E-2</v>
      </c>
      <c r="J2155" s="3">
        <v>406</v>
      </c>
      <c r="K2155" s="1">
        <v>45598</v>
      </c>
      <c r="L2155" t="s">
        <v>25</v>
      </c>
      <c r="M2155" t="s">
        <v>31</v>
      </c>
      <c r="N2155" t="s">
        <v>36</v>
      </c>
      <c r="O2155" t="s">
        <v>28</v>
      </c>
      <c r="P2155" t="s">
        <v>29</v>
      </c>
      <c r="Q2155" s="6">
        <v>2.3757142857142801</v>
      </c>
      <c r="R2155">
        <v>1.68</v>
      </c>
      <c r="S2155">
        <v>12.25</v>
      </c>
      <c r="T2155">
        <v>38.799999999999997</v>
      </c>
      <c r="U2155">
        <v>74.38</v>
      </c>
      <c r="V2155">
        <v>67.67</v>
      </c>
      <c r="W2155">
        <v>1.74</v>
      </c>
    </row>
    <row r="2156" spans="1:23" x14ac:dyDescent="0.3">
      <c r="A2156">
        <v>2156</v>
      </c>
      <c r="B2156" t="s">
        <v>2199</v>
      </c>
      <c r="C2156" t="s">
        <v>24</v>
      </c>
      <c r="D2156">
        <v>191</v>
      </c>
      <c r="E2156">
        <v>5438</v>
      </c>
      <c r="F2156" s="3">
        <v>244</v>
      </c>
      <c r="G2156">
        <v>19</v>
      </c>
      <c r="H2156">
        <v>5</v>
      </c>
      <c r="I2156" s="5">
        <v>2.6178010471204102E-2</v>
      </c>
      <c r="J2156" s="3">
        <v>246</v>
      </c>
      <c r="K2156" s="1">
        <v>45604</v>
      </c>
      <c r="L2156" t="s">
        <v>25</v>
      </c>
      <c r="M2156" t="s">
        <v>39</v>
      </c>
      <c r="N2156" t="s">
        <v>27</v>
      </c>
      <c r="O2156" t="s">
        <v>28</v>
      </c>
      <c r="P2156" t="s">
        <v>45</v>
      </c>
      <c r="Q2156" s="6">
        <v>1.27801047120418</v>
      </c>
      <c r="R2156">
        <v>3.51</v>
      </c>
      <c r="S2156">
        <v>12.85</v>
      </c>
      <c r="T2156">
        <v>48.82</v>
      </c>
      <c r="U2156">
        <v>0.78</v>
      </c>
      <c r="V2156">
        <v>49.2</v>
      </c>
      <c r="W2156">
        <v>1.01</v>
      </c>
    </row>
    <row r="2157" spans="1:23" x14ac:dyDescent="0.3">
      <c r="A2157">
        <v>2157</v>
      </c>
      <c r="B2157" t="s">
        <v>2200</v>
      </c>
      <c r="C2157" t="s">
        <v>38</v>
      </c>
      <c r="D2157">
        <v>89</v>
      </c>
      <c r="E2157">
        <v>4936</v>
      </c>
      <c r="F2157" s="3">
        <v>200</v>
      </c>
      <c r="G2157">
        <v>16</v>
      </c>
      <c r="H2157">
        <v>4</v>
      </c>
      <c r="I2157" s="5">
        <v>4.49438202247191E-2</v>
      </c>
      <c r="J2157" s="3">
        <v>315</v>
      </c>
      <c r="K2157" s="1">
        <v>45610</v>
      </c>
      <c r="L2157" t="s">
        <v>25</v>
      </c>
      <c r="M2157" t="s">
        <v>26</v>
      </c>
      <c r="N2157" t="s">
        <v>32</v>
      </c>
      <c r="O2157" t="s">
        <v>28</v>
      </c>
      <c r="P2157" t="s">
        <v>54</v>
      </c>
      <c r="Q2157" s="6">
        <v>2.2461797752808899</v>
      </c>
      <c r="R2157">
        <v>1.8</v>
      </c>
      <c r="S2157">
        <v>12.49</v>
      </c>
      <c r="T2157">
        <v>49.98</v>
      </c>
      <c r="U2157">
        <v>57.57</v>
      </c>
      <c r="V2157">
        <v>78.75</v>
      </c>
      <c r="W2157">
        <v>1.58</v>
      </c>
    </row>
    <row r="2158" spans="1:23" x14ac:dyDescent="0.3">
      <c r="A2158">
        <v>2158</v>
      </c>
      <c r="B2158" t="s">
        <v>2201</v>
      </c>
      <c r="C2158" t="s">
        <v>24</v>
      </c>
      <c r="D2158">
        <v>180</v>
      </c>
      <c r="E2158">
        <v>3526</v>
      </c>
      <c r="F2158" s="3">
        <v>274</v>
      </c>
      <c r="G2158">
        <v>15</v>
      </c>
      <c r="H2158">
        <v>7</v>
      </c>
      <c r="I2158" s="5">
        <v>3.8888888888888799E-2</v>
      </c>
      <c r="J2158" s="3">
        <v>273</v>
      </c>
      <c r="K2158" s="1">
        <v>45612</v>
      </c>
      <c r="L2158" t="s">
        <v>25</v>
      </c>
      <c r="M2158" t="s">
        <v>31</v>
      </c>
      <c r="N2158" t="s">
        <v>44</v>
      </c>
      <c r="O2158" t="s">
        <v>28</v>
      </c>
      <c r="P2158" t="s">
        <v>29</v>
      </c>
      <c r="Q2158" s="6">
        <v>1.5243795620437901</v>
      </c>
      <c r="R2158">
        <v>5.0999999999999996</v>
      </c>
      <c r="S2158">
        <v>18.29</v>
      </c>
      <c r="T2158">
        <v>39.200000000000003</v>
      </c>
      <c r="U2158">
        <v>-0.51</v>
      </c>
      <c r="V2158">
        <v>39</v>
      </c>
      <c r="W2158">
        <v>0.99</v>
      </c>
    </row>
    <row r="2159" spans="1:23" x14ac:dyDescent="0.3">
      <c r="A2159">
        <v>2159</v>
      </c>
      <c r="B2159" t="s">
        <v>2202</v>
      </c>
      <c r="C2159" t="s">
        <v>35</v>
      </c>
      <c r="D2159">
        <v>91</v>
      </c>
      <c r="E2159">
        <v>5509</v>
      </c>
      <c r="F2159" s="3">
        <v>186</v>
      </c>
      <c r="G2159">
        <v>29</v>
      </c>
      <c r="H2159">
        <v>5</v>
      </c>
      <c r="I2159" s="5">
        <v>5.4945054945054903E-2</v>
      </c>
      <c r="J2159" s="3">
        <v>393</v>
      </c>
      <c r="K2159" s="1">
        <v>45598</v>
      </c>
      <c r="L2159" t="s">
        <v>25</v>
      </c>
      <c r="M2159" t="s">
        <v>31</v>
      </c>
      <c r="N2159" t="s">
        <v>27</v>
      </c>
      <c r="O2159" t="s">
        <v>28</v>
      </c>
      <c r="P2159" t="s">
        <v>29</v>
      </c>
      <c r="Q2159" s="6">
        <v>2.0463736263736201</v>
      </c>
      <c r="R2159">
        <v>1.65</v>
      </c>
      <c r="S2159">
        <v>6.42</v>
      </c>
      <c r="T2159">
        <v>37.24</v>
      </c>
      <c r="U2159">
        <v>111.04</v>
      </c>
      <c r="V2159">
        <v>78.599999999999994</v>
      </c>
      <c r="W2159">
        <v>2.11</v>
      </c>
    </row>
    <row r="2160" spans="1:23" x14ac:dyDescent="0.3">
      <c r="A2160">
        <v>2160</v>
      </c>
      <c r="B2160" t="s">
        <v>2203</v>
      </c>
      <c r="C2160" t="s">
        <v>38</v>
      </c>
      <c r="D2160">
        <v>114</v>
      </c>
      <c r="E2160">
        <v>5748</v>
      </c>
      <c r="F2160" s="3">
        <v>185</v>
      </c>
      <c r="G2160">
        <v>16</v>
      </c>
      <c r="H2160">
        <v>8</v>
      </c>
      <c r="I2160" s="5">
        <v>7.0175438596491196E-2</v>
      </c>
      <c r="J2160" s="3">
        <v>304</v>
      </c>
      <c r="K2160" s="1">
        <v>45617</v>
      </c>
      <c r="L2160" t="s">
        <v>25</v>
      </c>
      <c r="M2160" t="s">
        <v>26</v>
      </c>
      <c r="N2160" t="s">
        <v>36</v>
      </c>
      <c r="O2160" t="s">
        <v>28</v>
      </c>
      <c r="P2160" t="s">
        <v>54</v>
      </c>
      <c r="Q2160" s="6">
        <v>1.6207017543859601</v>
      </c>
      <c r="R2160">
        <v>1.98</v>
      </c>
      <c r="S2160">
        <v>11.55</v>
      </c>
      <c r="T2160">
        <v>23.1</v>
      </c>
      <c r="U2160">
        <v>64.540000000000006</v>
      </c>
      <c r="V2160">
        <v>38</v>
      </c>
      <c r="W2160">
        <v>1.65</v>
      </c>
    </row>
    <row r="2161" spans="1:23" x14ac:dyDescent="0.3">
      <c r="A2161">
        <v>2161</v>
      </c>
      <c r="B2161" t="s">
        <v>2204</v>
      </c>
      <c r="C2161" t="s">
        <v>24</v>
      </c>
      <c r="D2161">
        <v>80</v>
      </c>
      <c r="E2161">
        <v>5155</v>
      </c>
      <c r="F2161" s="3">
        <v>217</v>
      </c>
      <c r="G2161">
        <v>28</v>
      </c>
      <c r="H2161">
        <v>5</v>
      </c>
      <c r="I2161" s="5">
        <v>6.25E-2</v>
      </c>
      <c r="J2161" s="3">
        <v>269</v>
      </c>
      <c r="K2161" s="1">
        <v>45608</v>
      </c>
      <c r="L2161" t="s">
        <v>25</v>
      </c>
      <c r="M2161" t="s">
        <v>39</v>
      </c>
      <c r="N2161" t="s">
        <v>32</v>
      </c>
      <c r="O2161" t="s">
        <v>28</v>
      </c>
      <c r="P2161" t="s">
        <v>41</v>
      </c>
      <c r="Q2161" s="6">
        <v>2.7162500000000001</v>
      </c>
      <c r="R2161">
        <v>1.55</v>
      </c>
      <c r="S2161">
        <v>7.76</v>
      </c>
      <c r="T2161">
        <v>43.46</v>
      </c>
      <c r="U2161">
        <v>23.79</v>
      </c>
      <c r="V2161">
        <v>53.8</v>
      </c>
      <c r="W2161">
        <v>1.24</v>
      </c>
    </row>
    <row r="2162" spans="1:23" x14ac:dyDescent="0.3">
      <c r="A2162">
        <v>2162</v>
      </c>
      <c r="B2162" t="s">
        <v>2205</v>
      </c>
      <c r="C2162" t="s">
        <v>43</v>
      </c>
      <c r="D2162">
        <v>127</v>
      </c>
      <c r="E2162">
        <v>4537</v>
      </c>
      <c r="F2162" s="3">
        <v>247</v>
      </c>
      <c r="G2162">
        <v>17</v>
      </c>
      <c r="H2162">
        <v>7</v>
      </c>
      <c r="I2162" s="5">
        <v>5.5118110236220402E-2</v>
      </c>
      <c r="J2162" s="3">
        <v>296</v>
      </c>
      <c r="K2162" s="1">
        <v>45614</v>
      </c>
      <c r="L2162" t="s">
        <v>25</v>
      </c>
      <c r="M2162" t="s">
        <v>39</v>
      </c>
      <c r="N2162" t="s">
        <v>49</v>
      </c>
      <c r="O2162" t="s">
        <v>28</v>
      </c>
      <c r="P2162" t="s">
        <v>59</v>
      </c>
      <c r="Q2162" s="6">
        <v>1.94574803149606</v>
      </c>
      <c r="R2162">
        <v>2.8</v>
      </c>
      <c r="S2162">
        <v>14.54</v>
      </c>
      <c r="T2162">
        <v>35.299999999999997</v>
      </c>
      <c r="U2162">
        <v>19.78</v>
      </c>
      <c r="V2162">
        <v>42.29</v>
      </c>
      <c r="W2162">
        <v>1.2</v>
      </c>
    </row>
    <row r="2163" spans="1:23" x14ac:dyDescent="0.3">
      <c r="A2163">
        <v>2163</v>
      </c>
      <c r="B2163" t="s">
        <v>2206</v>
      </c>
      <c r="C2163" t="s">
        <v>24</v>
      </c>
      <c r="D2163">
        <v>84</v>
      </c>
      <c r="E2163">
        <v>5468</v>
      </c>
      <c r="F2163" s="3">
        <v>227</v>
      </c>
      <c r="G2163">
        <v>13</v>
      </c>
      <c r="H2163">
        <v>4</v>
      </c>
      <c r="I2163" s="5">
        <v>4.7619047619047603E-2</v>
      </c>
      <c r="J2163" s="3">
        <v>251</v>
      </c>
      <c r="K2163" s="1">
        <v>45622</v>
      </c>
      <c r="L2163" t="s">
        <v>25</v>
      </c>
      <c r="M2163" t="s">
        <v>39</v>
      </c>
      <c r="N2163" t="s">
        <v>32</v>
      </c>
      <c r="O2163" t="s">
        <v>28</v>
      </c>
      <c r="P2163" t="s">
        <v>41</v>
      </c>
      <c r="Q2163" s="6">
        <v>2.7066666666666599</v>
      </c>
      <c r="R2163">
        <v>1.54</v>
      </c>
      <c r="S2163">
        <v>17.489999999999998</v>
      </c>
      <c r="T2163">
        <v>56.84</v>
      </c>
      <c r="U2163">
        <v>10.4</v>
      </c>
      <c r="V2163">
        <v>62.75</v>
      </c>
      <c r="W2163">
        <v>1.1000000000000001</v>
      </c>
    </row>
    <row r="2164" spans="1:23" x14ac:dyDescent="0.3">
      <c r="A2164">
        <v>2164</v>
      </c>
      <c r="B2164" t="s">
        <v>2207</v>
      </c>
      <c r="C2164" t="s">
        <v>35</v>
      </c>
      <c r="D2164">
        <v>182</v>
      </c>
      <c r="E2164">
        <v>4390</v>
      </c>
      <c r="F2164" s="3">
        <v>239</v>
      </c>
      <c r="G2164">
        <v>11</v>
      </c>
      <c r="H2164">
        <v>7</v>
      </c>
      <c r="I2164" s="5">
        <v>3.8461538461538401E-2</v>
      </c>
      <c r="J2164" s="3">
        <v>367</v>
      </c>
      <c r="K2164" s="1">
        <v>45623</v>
      </c>
      <c r="L2164" t="s">
        <v>25</v>
      </c>
      <c r="M2164" t="s">
        <v>39</v>
      </c>
      <c r="N2164" t="s">
        <v>40</v>
      </c>
      <c r="O2164" t="s">
        <v>28</v>
      </c>
      <c r="P2164" t="s">
        <v>33</v>
      </c>
      <c r="Q2164" s="6">
        <v>1.3149999999999999</v>
      </c>
      <c r="R2164">
        <v>4.1500000000000004</v>
      </c>
      <c r="S2164">
        <v>21.76</v>
      </c>
      <c r="T2164">
        <v>34.19</v>
      </c>
      <c r="U2164">
        <v>53.34</v>
      </c>
      <c r="V2164">
        <v>52.43</v>
      </c>
      <c r="W2164">
        <v>1.53</v>
      </c>
    </row>
    <row r="2165" spans="1:23" x14ac:dyDescent="0.3">
      <c r="A2165">
        <v>2165</v>
      </c>
      <c r="B2165" t="s">
        <v>2208</v>
      </c>
      <c r="C2165" t="s">
        <v>24</v>
      </c>
      <c r="D2165">
        <v>105</v>
      </c>
      <c r="E2165">
        <v>5883</v>
      </c>
      <c r="F2165" s="3">
        <v>180</v>
      </c>
      <c r="G2165">
        <v>20</v>
      </c>
      <c r="H2165">
        <v>4</v>
      </c>
      <c r="I2165" s="5">
        <v>3.8095238095238099E-2</v>
      </c>
      <c r="J2165" s="3">
        <v>324</v>
      </c>
      <c r="K2165" s="1">
        <v>45601</v>
      </c>
      <c r="L2165" t="s">
        <v>25</v>
      </c>
      <c r="M2165" t="s">
        <v>31</v>
      </c>
      <c r="N2165" t="s">
        <v>32</v>
      </c>
      <c r="O2165" t="s">
        <v>28</v>
      </c>
      <c r="P2165" t="s">
        <v>41</v>
      </c>
      <c r="Q2165" s="6">
        <v>1.7149523809523799</v>
      </c>
      <c r="R2165">
        <v>1.78</v>
      </c>
      <c r="S2165">
        <v>9</v>
      </c>
      <c r="T2165">
        <v>45.02</v>
      </c>
      <c r="U2165">
        <v>79.930000000000007</v>
      </c>
      <c r="V2165">
        <v>81</v>
      </c>
      <c r="W2165">
        <v>1.8</v>
      </c>
    </row>
    <row r="2166" spans="1:23" x14ac:dyDescent="0.3">
      <c r="A2166">
        <v>2166</v>
      </c>
      <c r="B2166" t="s">
        <v>2209</v>
      </c>
      <c r="C2166" t="s">
        <v>35</v>
      </c>
      <c r="D2166">
        <v>162</v>
      </c>
      <c r="E2166">
        <v>3120</v>
      </c>
      <c r="F2166" s="3">
        <v>246</v>
      </c>
      <c r="G2166">
        <v>30</v>
      </c>
      <c r="H2166">
        <v>6</v>
      </c>
      <c r="I2166" s="5">
        <v>3.7037037037037E-2</v>
      </c>
      <c r="J2166" s="3">
        <v>398</v>
      </c>
      <c r="K2166" s="1">
        <v>45602</v>
      </c>
      <c r="L2166" t="s">
        <v>25</v>
      </c>
      <c r="M2166" t="s">
        <v>31</v>
      </c>
      <c r="N2166" t="s">
        <v>40</v>
      </c>
      <c r="O2166" t="s">
        <v>28</v>
      </c>
      <c r="P2166" t="s">
        <v>33</v>
      </c>
      <c r="Q2166" s="6">
        <v>1.5159259259259199</v>
      </c>
      <c r="R2166">
        <v>5.19</v>
      </c>
      <c r="S2166">
        <v>8.19</v>
      </c>
      <c r="T2166">
        <v>40.93</v>
      </c>
      <c r="U2166">
        <v>62.07</v>
      </c>
      <c r="V2166">
        <v>66.33</v>
      </c>
      <c r="W2166">
        <v>1.62</v>
      </c>
    </row>
    <row r="2167" spans="1:23" x14ac:dyDescent="0.3">
      <c r="A2167">
        <v>2167</v>
      </c>
      <c r="B2167" t="s">
        <v>2210</v>
      </c>
      <c r="C2167" t="s">
        <v>35</v>
      </c>
      <c r="D2167">
        <v>118</v>
      </c>
      <c r="E2167">
        <v>4377</v>
      </c>
      <c r="F2167" s="3">
        <v>220</v>
      </c>
      <c r="G2167">
        <v>21</v>
      </c>
      <c r="H2167">
        <v>4</v>
      </c>
      <c r="I2167" s="5">
        <v>3.38983050847457E-2</v>
      </c>
      <c r="J2167" s="3">
        <v>263</v>
      </c>
      <c r="K2167" s="1">
        <v>45610</v>
      </c>
      <c r="L2167" t="s">
        <v>25</v>
      </c>
      <c r="M2167" t="s">
        <v>26</v>
      </c>
      <c r="N2167" t="s">
        <v>49</v>
      </c>
      <c r="O2167" t="s">
        <v>28</v>
      </c>
      <c r="P2167" t="s">
        <v>54</v>
      </c>
      <c r="Q2167" s="6">
        <v>1.8627966101694899</v>
      </c>
      <c r="R2167">
        <v>2.7</v>
      </c>
      <c r="S2167">
        <v>10.47</v>
      </c>
      <c r="T2167">
        <v>54.95</v>
      </c>
      <c r="U2167">
        <v>19.649999999999999</v>
      </c>
      <c r="V2167">
        <v>65.75</v>
      </c>
      <c r="W2167">
        <v>1.2</v>
      </c>
    </row>
    <row r="2168" spans="1:23" x14ac:dyDescent="0.3">
      <c r="A2168">
        <v>2168</v>
      </c>
      <c r="B2168" t="s">
        <v>2211</v>
      </c>
      <c r="C2168" t="s">
        <v>38</v>
      </c>
      <c r="D2168">
        <v>131</v>
      </c>
      <c r="E2168">
        <v>5719</v>
      </c>
      <c r="F2168" s="3">
        <v>184</v>
      </c>
      <c r="G2168">
        <v>12</v>
      </c>
      <c r="H2168">
        <v>7</v>
      </c>
      <c r="I2168" s="5">
        <v>5.3435114503816702E-2</v>
      </c>
      <c r="J2168" s="3">
        <v>317</v>
      </c>
      <c r="K2168" s="1">
        <v>45619</v>
      </c>
      <c r="L2168" t="s">
        <v>25</v>
      </c>
      <c r="M2168" t="s">
        <v>31</v>
      </c>
      <c r="N2168" t="s">
        <v>40</v>
      </c>
      <c r="O2168" t="s">
        <v>28</v>
      </c>
      <c r="P2168" t="s">
        <v>29</v>
      </c>
      <c r="Q2168" s="6">
        <v>1.4022137404580099</v>
      </c>
      <c r="R2168">
        <v>2.29</v>
      </c>
      <c r="S2168">
        <v>15.31</v>
      </c>
      <c r="T2168">
        <v>26.24</v>
      </c>
      <c r="U2168">
        <v>72.569999999999993</v>
      </c>
      <c r="V2168">
        <v>45.29</v>
      </c>
      <c r="W2168">
        <v>1.73</v>
      </c>
    </row>
    <row r="2169" spans="1:23" x14ac:dyDescent="0.3">
      <c r="A2169">
        <v>2169</v>
      </c>
      <c r="B2169" t="s">
        <v>2212</v>
      </c>
      <c r="C2169" t="s">
        <v>35</v>
      </c>
      <c r="D2169">
        <v>116</v>
      </c>
      <c r="E2169">
        <v>4250</v>
      </c>
      <c r="F2169" s="3">
        <v>186</v>
      </c>
      <c r="G2169">
        <v>12</v>
      </c>
      <c r="H2169">
        <v>3</v>
      </c>
      <c r="I2169" s="5">
        <v>2.5862068965517199E-2</v>
      </c>
      <c r="J2169" s="3">
        <v>213</v>
      </c>
      <c r="K2169" s="1">
        <v>45626</v>
      </c>
      <c r="L2169" t="s">
        <v>25</v>
      </c>
      <c r="M2169" t="s">
        <v>26</v>
      </c>
      <c r="N2169" t="s">
        <v>49</v>
      </c>
      <c r="O2169" t="s">
        <v>28</v>
      </c>
      <c r="P2169" t="s">
        <v>29</v>
      </c>
      <c r="Q2169" s="6">
        <v>1.6063793103448201</v>
      </c>
      <c r="R2169">
        <v>2.73</v>
      </c>
      <c r="S2169">
        <v>15.53</v>
      </c>
      <c r="T2169">
        <v>62.11</v>
      </c>
      <c r="U2169">
        <v>14.31</v>
      </c>
      <c r="V2169">
        <v>71</v>
      </c>
      <c r="W2169">
        <v>1.1399999999999999</v>
      </c>
    </row>
    <row r="2170" spans="1:23" x14ac:dyDescent="0.3">
      <c r="A2170">
        <v>2170</v>
      </c>
      <c r="B2170" t="s">
        <v>2213</v>
      </c>
      <c r="C2170" t="s">
        <v>35</v>
      </c>
      <c r="D2170">
        <v>80</v>
      </c>
      <c r="E2170">
        <v>5648</v>
      </c>
      <c r="F2170" s="3">
        <v>239</v>
      </c>
      <c r="G2170">
        <v>10</v>
      </c>
      <c r="H2170">
        <v>6</v>
      </c>
      <c r="I2170" s="5">
        <v>7.4999999999999997E-2</v>
      </c>
      <c r="J2170" s="3">
        <v>205</v>
      </c>
      <c r="K2170" s="1">
        <v>45616</v>
      </c>
      <c r="L2170" t="s">
        <v>25</v>
      </c>
      <c r="M2170" t="s">
        <v>31</v>
      </c>
      <c r="N2170" t="s">
        <v>32</v>
      </c>
      <c r="O2170" t="s">
        <v>28</v>
      </c>
      <c r="P2170" t="s">
        <v>33</v>
      </c>
      <c r="Q2170" s="6">
        <v>2.9907499999999998</v>
      </c>
      <c r="R2170">
        <v>1.42</v>
      </c>
      <c r="S2170">
        <v>23.93</v>
      </c>
      <c r="T2170">
        <v>39.880000000000003</v>
      </c>
      <c r="U2170">
        <v>-14.32</v>
      </c>
      <c r="V2170">
        <v>34.17</v>
      </c>
      <c r="W2170">
        <v>0.86</v>
      </c>
    </row>
    <row r="2171" spans="1:23" x14ac:dyDescent="0.3">
      <c r="A2171">
        <v>2171</v>
      </c>
      <c r="B2171" t="s">
        <v>2214</v>
      </c>
      <c r="C2171" t="s">
        <v>35</v>
      </c>
      <c r="D2171">
        <v>81</v>
      </c>
      <c r="E2171">
        <v>3394</v>
      </c>
      <c r="F2171" s="3">
        <v>187</v>
      </c>
      <c r="G2171">
        <v>12</v>
      </c>
      <c r="H2171">
        <v>6</v>
      </c>
      <c r="I2171" s="5">
        <v>7.4074074074074001E-2</v>
      </c>
      <c r="J2171" s="3">
        <v>250</v>
      </c>
      <c r="K2171" s="1">
        <v>45608</v>
      </c>
      <c r="L2171" t="s">
        <v>25</v>
      </c>
      <c r="M2171" t="s">
        <v>39</v>
      </c>
      <c r="N2171" t="s">
        <v>32</v>
      </c>
      <c r="O2171" t="s">
        <v>28</v>
      </c>
      <c r="P2171" t="s">
        <v>41</v>
      </c>
      <c r="Q2171" s="6">
        <v>2.3116049382716</v>
      </c>
      <c r="R2171">
        <v>2.39</v>
      </c>
      <c r="S2171">
        <v>15.6</v>
      </c>
      <c r="T2171">
        <v>31.21</v>
      </c>
      <c r="U2171">
        <v>33.520000000000003</v>
      </c>
      <c r="V2171">
        <v>41.67</v>
      </c>
      <c r="W2171">
        <v>1.34</v>
      </c>
    </row>
    <row r="2172" spans="1:23" x14ac:dyDescent="0.3">
      <c r="A2172">
        <v>2172</v>
      </c>
      <c r="B2172" t="s">
        <v>2215</v>
      </c>
      <c r="C2172" t="s">
        <v>35</v>
      </c>
      <c r="D2172">
        <v>189</v>
      </c>
      <c r="E2172">
        <v>5117</v>
      </c>
      <c r="F2172" s="3">
        <v>198</v>
      </c>
      <c r="G2172">
        <v>20</v>
      </c>
      <c r="H2172">
        <v>8</v>
      </c>
      <c r="I2172" s="5">
        <v>4.2328042328042298E-2</v>
      </c>
      <c r="J2172" s="3">
        <v>349</v>
      </c>
      <c r="K2172" s="1">
        <v>45624</v>
      </c>
      <c r="L2172" t="s">
        <v>25</v>
      </c>
      <c r="M2172" t="s">
        <v>31</v>
      </c>
      <c r="N2172" t="s">
        <v>49</v>
      </c>
      <c r="O2172" t="s">
        <v>28</v>
      </c>
      <c r="P2172" t="s">
        <v>54</v>
      </c>
      <c r="Q2172" s="6">
        <v>1.04708994708994</v>
      </c>
      <c r="R2172">
        <v>3.69</v>
      </c>
      <c r="S2172">
        <v>9.9</v>
      </c>
      <c r="T2172">
        <v>24.74</v>
      </c>
      <c r="U2172">
        <v>76.349999999999994</v>
      </c>
      <c r="V2172">
        <v>43.62</v>
      </c>
      <c r="W2172">
        <v>1.76</v>
      </c>
    </row>
    <row r="2173" spans="1:23" x14ac:dyDescent="0.3">
      <c r="A2173">
        <v>2173</v>
      </c>
      <c r="B2173" t="s">
        <v>2216</v>
      </c>
      <c r="C2173" t="s">
        <v>35</v>
      </c>
      <c r="D2173">
        <v>128</v>
      </c>
      <c r="E2173">
        <v>3861</v>
      </c>
      <c r="F2173" s="3">
        <v>232</v>
      </c>
      <c r="G2173">
        <v>30</v>
      </c>
      <c r="H2173">
        <v>10</v>
      </c>
      <c r="I2173" s="5">
        <v>7.8125E-2</v>
      </c>
      <c r="J2173" s="3">
        <v>334</v>
      </c>
      <c r="K2173" s="1">
        <v>45614</v>
      </c>
      <c r="L2173" t="s">
        <v>25</v>
      </c>
      <c r="M2173" t="s">
        <v>39</v>
      </c>
      <c r="N2173" t="s">
        <v>32</v>
      </c>
      <c r="O2173" t="s">
        <v>28</v>
      </c>
      <c r="P2173" t="s">
        <v>59</v>
      </c>
      <c r="Q2173" s="6">
        <v>1.8133593750000001</v>
      </c>
      <c r="R2173">
        <v>3.32</v>
      </c>
      <c r="S2173">
        <v>7.74</v>
      </c>
      <c r="T2173">
        <v>23.21</v>
      </c>
      <c r="U2173">
        <v>43.9</v>
      </c>
      <c r="V2173">
        <v>33.4</v>
      </c>
      <c r="W2173">
        <v>1.44</v>
      </c>
    </row>
    <row r="2174" spans="1:23" x14ac:dyDescent="0.3">
      <c r="A2174">
        <v>2174</v>
      </c>
      <c r="B2174" t="s">
        <v>2217</v>
      </c>
      <c r="C2174" t="s">
        <v>38</v>
      </c>
      <c r="D2174">
        <v>182</v>
      </c>
      <c r="E2174">
        <v>3303</v>
      </c>
      <c r="F2174" s="3">
        <v>238</v>
      </c>
      <c r="G2174">
        <v>17</v>
      </c>
      <c r="H2174">
        <v>4</v>
      </c>
      <c r="I2174" s="5">
        <v>2.19780219780219E-2</v>
      </c>
      <c r="J2174" s="3">
        <v>346</v>
      </c>
      <c r="K2174" s="1">
        <v>45601</v>
      </c>
      <c r="L2174" t="s">
        <v>25</v>
      </c>
      <c r="M2174" t="s">
        <v>26</v>
      </c>
      <c r="N2174" t="s">
        <v>36</v>
      </c>
      <c r="O2174" t="s">
        <v>28</v>
      </c>
      <c r="P2174" t="s">
        <v>41</v>
      </c>
      <c r="Q2174" s="6">
        <v>1.3098901098901099</v>
      </c>
      <c r="R2174">
        <v>5.51</v>
      </c>
      <c r="S2174">
        <v>14.02</v>
      </c>
      <c r="T2174">
        <v>59.6</v>
      </c>
      <c r="U2174">
        <v>45.13</v>
      </c>
      <c r="V2174">
        <v>86.5</v>
      </c>
      <c r="W2174">
        <v>1.45</v>
      </c>
    </row>
    <row r="2175" spans="1:23" x14ac:dyDescent="0.3">
      <c r="A2175">
        <v>2175</v>
      </c>
      <c r="B2175" t="s">
        <v>2218</v>
      </c>
      <c r="C2175" t="s">
        <v>35</v>
      </c>
      <c r="D2175">
        <v>124</v>
      </c>
      <c r="E2175">
        <v>4192</v>
      </c>
      <c r="F2175" s="3">
        <v>184</v>
      </c>
      <c r="G2175">
        <v>12</v>
      </c>
      <c r="H2175">
        <v>6</v>
      </c>
      <c r="I2175" s="5">
        <v>4.8387096774193498E-2</v>
      </c>
      <c r="J2175" s="3">
        <v>280.28571428571399</v>
      </c>
      <c r="K2175" s="1">
        <v>45601</v>
      </c>
      <c r="L2175" t="s">
        <v>25</v>
      </c>
      <c r="M2175" t="s">
        <v>39</v>
      </c>
      <c r="N2175" t="s">
        <v>32</v>
      </c>
      <c r="O2175" t="s">
        <v>28</v>
      </c>
      <c r="P2175" t="s">
        <v>41</v>
      </c>
      <c r="Q2175" s="6">
        <v>1.48725806451612</v>
      </c>
      <c r="R2175">
        <v>2.96</v>
      </c>
      <c r="S2175">
        <v>15.37</v>
      </c>
      <c r="T2175">
        <v>30.74</v>
      </c>
      <c r="U2175">
        <v>51.98</v>
      </c>
      <c r="V2175">
        <v>46.71</v>
      </c>
      <c r="W2175">
        <v>1.52</v>
      </c>
    </row>
    <row r="2176" spans="1:23" x14ac:dyDescent="0.3">
      <c r="A2176">
        <v>2176</v>
      </c>
      <c r="B2176" t="s">
        <v>2219</v>
      </c>
      <c r="C2176" t="s">
        <v>35</v>
      </c>
      <c r="D2176">
        <v>137</v>
      </c>
      <c r="E2176">
        <v>3720</v>
      </c>
      <c r="F2176" s="3">
        <v>237</v>
      </c>
      <c r="G2176">
        <v>24</v>
      </c>
      <c r="H2176">
        <v>5</v>
      </c>
      <c r="I2176" s="5">
        <v>3.6496350364963501E-2</v>
      </c>
      <c r="J2176" s="3">
        <v>370</v>
      </c>
      <c r="K2176" s="1">
        <v>45606</v>
      </c>
      <c r="L2176" t="s">
        <v>25</v>
      </c>
      <c r="M2176" t="s">
        <v>31</v>
      </c>
      <c r="N2176" t="s">
        <v>44</v>
      </c>
      <c r="O2176" t="s">
        <v>28</v>
      </c>
      <c r="P2176" t="s">
        <v>50</v>
      </c>
      <c r="Q2176" s="6">
        <v>1.7315328467153199</v>
      </c>
      <c r="R2176">
        <v>3.68</v>
      </c>
      <c r="S2176">
        <v>9.8800000000000008</v>
      </c>
      <c r="T2176">
        <v>47.44</v>
      </c>
      <c r="U2176">
        <v>55.97</v>
      </c>
      <c r="V2176">
        <v>74</v>
      </c>
      <c r="W2176">
        <v>1.56</v>
      </c>
    </row>
    <row r="2177" spans="1:23" x14ac:dyDescent="0.3">
      <c r="A2177">
        <v>2177</v>
      </c>
      <c r="B2177" t="s">
        <v>2220</v>
      </c>
      <c r="C2177" t="s">
        <v>35</v>
      </c>
      <c r="D2177">
        <v>106</v>
      </c>
      <c r="E2177">
        <v>5789</v>
      </c>
      <c r="F2177" s="3">
        <v>184</v>
      </c>
      <c r="G2177">
        <v>19</v>
      </c>
      <c r="H2177">
        <v>3</v>
      </c>
      <c r="I2177" s="5">
        <v>2.83018867924528E-2</v>
      </c>
      <c r="J2177" s="3">
        <v>375</v>
      </c>
      <c r="K2177" s="1">
        <v>45612</v>
      </c>
      <c r="L2177" t="s">
        <v>25</v>
      </c>
      <c r="M2177" t="s">
        <v>26</v>
      </c>
      <c r="N2177" t="s">
        <v>36</v>
      </c>
      <c r="O2177" t="s">
        <v>28</v>
      </c>
      <c r="P2177" t="s">
        <v>29</v>
      </c>
      <c r="Q2177" s="6">
        <v>1.73226415094339</v>
      </c>
      <c r="R2177">
        <v>1.83</v>
      </c>
      <c r="S2177">
        <v>9.66</v>
      </c>
      <c r="T2177">
        <v>61.21</v>
      </c>
      <c r="U2177">
        <v>104.23</v>
      </c>
      <c r="V2177">
        <v>125</v>
      </c>
      <c r="W2177">
        <v>2.04</v>
      </c>
    </row>
    <row r="2178" spans="1:23" x14ac:dyDescent="0.3">
      <c r="A2178">
        <v>2178</v>
      </c>
      <c r="B2178" t="s">
        <v>2221</v>
      </c>
      <c r="C2178" t="s">
        <v>38</v>
      </c>
      <c r="D2178">
        <v>102</v>
      </c>
      <c r="E2178">
        <v>5113</v>
      </c>
      <c r="F2178" s="3">
        <v>207</v>
      </c>
      <c r="G2178">
        <v>27</v>
      </c>
      <c r="H2178">
        <v>6</v>
      </c>
      <c r="I2178" s="5">
        <v>5.8823529411764698E-2</v>
      </c>
      <c r="J2178" s="3">
        <v>299</v>
      </c>
      <c r="K2178" s="1">
        <v>45615</v>
      </c>
      <c r="L2178" t="s">
        <v>25</v>
      </c>
      <c r="M2178" t="s">
        <v>31</v>
      </c>
      <c r="N2178" t="s">
        <v>32</v>
      </c>
      <c r="O2178" t="s">
        <v>28</v>
      </c>
      <c r="P2178" t="s">
        <v>41</v>
      </c>
      <c r="Q2178" s="6">
        <v>2.02598039215686</v>
      </c>
      <c r="R2178">
        <v>1.99</v>
      </c>
      <c r="S2178">
        <v>7.65</v>
      </c>
      <c r="T2178">
        <v>34.44</v>
      </c>
      <c r="U2178">
        <v>44.69</v>
      </c>
      <c r="V2178">
        <v>49.83</v>
      </c>
      <c r="W2178">
        <v>1.45</v>
      </c>
    </row>
    <row r="2179" spans="1:23" x14ac:dyDescent="0.3">
      <c r="A2179">
        <v>2179</v>
      </c>
      <c r="B2179" t="s">
        <v>2222</v>
      </c>
      <c r="C2179" t="s">
        <v>24</v>
      </c>
      <c r="D2179">
        <v>155</v>
      </c>
      <c r="E2179">
        <v>3234</v>
      </c>
      <c r="F2179" s="3">
        <v>204</v>
      </c>
      <c r="G2179">
        <v>12</v>
      </c>
      <c r="H2179">
        <v>4</v>
      </c>
      <c r="I2179" s="5">
        <v>2.5806451612903201E-2</v>
      </c>
      <c r="J2179" s="3">
        <v>286</v>
      </c>
      <c r="K2179" s="1">
        <v>45612</v>
      </c>
      <c r="L2179" t="s">
        <v>25</v>
      </c>
      <c r="M2179" t="s">
        <v>26</v>
      </c>
      <c r="N2179" t="s">
        <v>27</v>
      </c>
      <c r="O2179" t="s">
        <v>28</v>
      </c>
      <c r="P2179" t="s">
        <v>29</v>
      </c>
      <c r="Q2179" s="6">
        <v>1.31916129032258</v>
      </c>
      <c r="R2179">
        <v>4.79</v>
      </c>
      <c r="S2179">
        <v>17.04</v>
      </c>
      <c r="T2179">
        <v>51.12</v>
      </c>
      <c r="U2179">
        <v>39.869999999999997</v>
      </c>
      <c r="V2179">
        <v>71.5</v>
      </c>
      <c r="W2179">
        <v>1.4</v>
      </c>
    </row>
    <row r="2180" spans="1:23" x14ac:dyDescent="0.3">
      <c r="A2180">
        <v>2180</v>
      </c>
      <c r="B2180" t="s">
        <v>2223</v>
      </c>
      <c r="C2180" t="s">
        <v>35</v>
      </c>
      <c r="D2180">
        <v>85</v>
      </c>
      <c r="E2180">
        <v>3088</v>
      </c>
      <c r="F2180" s="3">
        <v>234</v>
      </c>
      <c r="G2180">
        <v>24</v>
      </c>
      <c r="H2180">
        <v>4</v>
      </c>
      <c r="I2180" s="5">
        <v>4.7058823529411702E-2</v>
      </c>
      <c r="J2180" s="3">
        <v>247</v>
      </c>
      <c r="K2180" s="1">
        <v>45603</v>
      </c>
      <c r="L2180" t="s">
        <v>25</v>
      </c>
      <c r="M2180" t="s">
        <v>39</v>
      </c>
      <c r="N2180" t="s">
        <v>49</v>
      </c>
      <c r="O2180" t="s">
        <v>28</v>
      </c>
      <c r="P2180" t="s">
        <v>54</v>
      </c>
      <c r="Q2180" s="6">
        <v>2.75576470588235</v>
      </c>
      <c r="R2180">
        <v>2.75</v>
      </c>
      <c r="S2180">
        <v>9.76</v>
      </c>
      <c r="T2180">
        <v>58.56</v>
      </c>
      <c r="U2180">
        <v>5.45</v>
      </c>
      <c r="V2180">
        <v>61.75</v>
      </c>
      <c r="W2180">
        <v>1.05</v>
      </c>
    </row>
    <row r="2181" spans="1:23" x14ac:dyDescent="0.3">
      <c r="A2181">
        <v>2181</v>
      </c>
      <c r="B2181" t="s">
        <v>2224</v>
      </c>
      <c r="C2181" t="s">
        <v>24</v>
      </c>
      <c r="D2181">
        <v>126</v>
      </c>
      <c r="E2181">
        <v>5114</v>
      </c>
      <c r="F2181" s="3">
        <v>233</v>
      </c>
      <c r="G2181">
        <v>30</v>
      </c>
      <c r="H2181">
        <v>5</v>
      </c>
      <c r="I2181" s="5">
        <v>3.9682539682539597E-2</v>
      </c>
      <c r="J2181" s="3">
        <v>244</v>
      </c>
      <c r="K2181" s="1">
        <v>45611</v>
      </c>
      <c r="L2181" t="s">
        <v>25</v>
      </c>
      <c r="M2181" t="s">
        <v>39</v>
      </c>
      <c r="N2181" t="s">
        <v>36</v>
      </c>
      <c r="O2181" t="s">
        <v>28</v>
      </c>
      <c r="P2181" t="s">
        <v>45</v>
      </c>
      <c r="Q2181" s="6">
        <v>1.8513492063492001</v>
      </c>
      <c r="R2181">
        <v>2.46</v>
      </c>
      <c r="S2181">
        <v>7.78</v>
      </c>
      <c r="T2181">
        <v>46.65</v>
      </c>
      <c r="U2181">
        <v>4.5999999999999996</v>
      </c>
      <c r="V2181">
        <v>48.8</v>
      </c>
      <c r="W2181">
        <v>1.05</v>
      </c>
    </row>
    <row r="2182" spans="1:23" x14ac:dyDescent="0.3">
      <c r="A2182">
        <v>2182</v>
      </c>
      <c r="B2182" t="s">
        <v>2225</v>
      </c>
      <c r="C2182" t="s">
        <v>24</v>
      </c>
      <c r="D2182">
        <v>96</v>
      </c>
      <c r="E2182">
        <v>5070</v>
      </c>
      <c r="F2182" s="3">
        <v>211</v>
      </c>
      <c r="G2182">
        <v>27</v>
      </c>
      <c r="H2182">
        <v>10</v>
      </c>
      <c r="I2182" s="5">
        <v>0.10416666666666601</v>
      </c>
      <c r="J2182" s="3">
        <v>337</v>
      </c>
      <c r="K2182" s="1">
        <v>45614</v>
      </c>
      <c r="L2182" t="s">
        <v>25</v>
      </c>
      <c r="M2182" t="s">
        <v>39</v>
      </c>
      <c r="N2182" t="s">
        <v>44</v>
      </c>
      <c r="O2182" t="s">
        <v>28</v>
      </c>
      <c r="P2182" t="s">
        <v>59</v>
      </c>
      <c r="Q2182" s="6">
        <v>2.1940624999999998</v>
      </c>
      <c r="R2182">
        <v>1.89</v>
      </c>
      <c r="S2182">
        <v>7.8</v>
      </c>
      <c r="T2182">
        <v>21.06</v>
      </c>
      <c r="U2182">
        <v>60</v>
      </c>
      <c r="V2182">
        <v>33.700000000000003</v>
      </c>
      <c r="W2182">
        <v>1.6</v>
      </c>
    </row>
    <row r="2183" spans="1:23" x14ac:dyDescent="0.3">
      <c r="A2183">
        <v>2183</v>
      </c>
      <c r="B2183" t="s">
        <v>2226</v>
      </c>
      <c r="C2183" t="s">
        <v>43</v>
      </c>
      <c r="D2183">
        <v>128</v>
      </c>
      <c r="E2183">
        <v>4445</v>
      </c>
      <c r="F2183" s="3">
        <v>201</v>
      </c>
      <c r="G2183">
        <v>14</v>
      </c>
      <c r="H2183">
        <v>4</v>
      </c>
      <c r="I2183" s="5">
        <v>3.125E-2</v>
      </c>
      <c r="J2183" s="3">
        <v>380</v>
      </c>
      <c r="K2183" s="1">
        <v>45601</v>
      </c>
      <c r="L2183" t="s">
        <v>25</v>
      </c>
      <c r="M2183" t="s">
        <v>39</v>
      </c>
      <c r="N2183" t="s">
        <v>27</v>
      </c>
      <c r="O2183" t="s">
        <v>28</v>
      </c>
      <c r="P2183" t="s">
        <v>41</v>
      </c>
      <c r="Q2183" s="6">
        <v>1.5665625000000001</v>
      </c>
      <c r="R2183">
        <v>2.88</v>
      </c>
      <c r="S2183">
        <v>14.32</v>
      </c>
      <c r="T2183">
        <v>50.13</v>
      </c>
      <c r="U2183">
        <v>89.51</v>
      </c>
      <c r="V2183">
        <v>95</v>
      </c>
      <c r="W2183">
        <v>1.9</v>
      </c>
    </row>
    <row r="2184" spans="1:23" x14ac:dyDescent="0.3">
      <c r="A2184">
        <v>2184</v>
      </c>
      <c r="B2184" t="s">
        <v>2227</v>
      </c>
      <c r="C2184" t="s">
        <v>24</v>
      </c>
      <c r="D2184">
        <v>151</v>
      </c>
      <c r="E2184">
        <v>3656</v>
      </c>
      <c r="F2184" s="3">
        <v>200</v>
      </c>
      <c r="G2184">
        <v>26</v>
      </c>
      <c r="H2184">
        <v>7</v>
      </c>
      <c r="I2184" s="5">
        <v>4.6357615894039701E-2</v>
      </c>
      <c r="J2184" s="3">
        <v>320</v>
      </c>
      <c r="K2184" s="1">
        <v>45613</v>
      </c>
      <c r="L2184" t="s">
        <v>25</v>
      </c>
      <c r="M2184" t="s">
        <v>26</v>
      </c>
      <c r="N2184" t="s">
        <v>44</v>
      </c>
      <c r="O2184" t="s">
        <v>28</v>
      </c>
      <c r="P2184" t="s">
        <v>50</v>
      </c>
      <c r="Q2184" s="6">
        <v>1.3242384105960201</v>
      </c>
      <c r="R2184">
        <v>4.13</v>
      </c>
      <c r="S2184">
        <v>7.69</v>
      </c>
      <c r="T2184">
        <v>28.57</v>
      </c>
      <c r="U2184">
        <v>60.03</v>
      </c>
      <c r="V2184">
        <v>45.71</v>
      </c>
      <c r="W2184">
        <v>1.6</v>
      </c>
    </row>
    <row r="2185" spans="1:23" x14ac:dyDescent="0.3">
      <c r="A2185">
        <v>2185</v>
      </c>
      <c r="B2185" t="s">
        <v>2228</v>
      </c>
      <c r="C2185" t="s">
        <v>43</v>
      </c>
      <c r="D2185">
        <v>95</v>
      </c>
      <c r="E2185">
        <v>3583</v>
      </c>
      <c r="F2185" s="3">
        <v>223</v>
      </c>
      <c r="G2185">
        <v>22</v>
      </c>
      <c r="H2185">
        <v>9</v>
      </c>
      <c r="I2185" s="5">
        <v>9.4736842105263105E-2</v>
      </c>
      <c r="J2185" s="3">
        <v>372</v>
      </c>
      <c r="K2185" s="1">
        <v>45625</v>
      </c>
      <c r="L2185" t="s">
        <v>25</v>
      </c>
      <c r="M2185" t="s">
        <v>26</v>
      </c>
      <c r="N2185" t="s">
        <v>44</v>
      </c>
      <c r="O2185" t="s">
        <v>28</v>
      </c>
      <c r="P2185" t="s">
        <v>45</v>
      </c>
      <c r="Q2185" s="6">
        <v>2.3512631578947301</v>
      </c>
      <c r="R2185">
        <v>2.65</v>
      </c>
      <c r="S2185">
        <v>10.15</v>
      </c>
      <c r="T2185">
        <v>24.82</v>
      </c>
      <c r="U2185">
        <v>66.540000000000006</v>
      </c>
      <c r="V2185">
        <v>41.33</v>
      </c>
      <c r="W2185">
        <v>1.67</v>
      </c>
    </row>
    <row r="2186" spans="1:23" x14ac:dyDescent="0.3">
      <c r="A2186">
        <v>2186</v>
      </c>
      <c r="B2186" t="s">
        <v>2229</v>
      </c>
      <c r="C2186" t="s">
        <v>38</v>
      </c>
      <c r="D2186">
        <v>193</v>
      </c>
      <c r="E2186">
        <v>4790</v>
      </c>
      <c r="F2186" s="3">
        <v>248</v>
      </c>
      <c r="G2186">
        <v>23</v>
      </c>
      <c r="H2186">
        <v>5</v>
      </c>
      <c r="I2186" s="5">
        <v>2.59067357512953E-2</v>
      </c>
      <c r="J2186" s="3">
        <v>344</v>
      </c>
      <c r="K2186" s="1">
        <v>45620</v>
      </c>
      <c r="L2186" t="s">
        <v>25</v>
      </c>
      <c r="M2186" t="s">
        <v>31</v>
      </c>
      <c r="N2186" t="s">
        <v>36</v>
      </c>
      <c r="O2186" t="s">
        <v>28</v>
      </c>
      <c r="P2186" t="s">
        <v>50</v>
      </c>
      <c r="Q2186" s="6">
        <v>1.2833678756476601</v>
      </c>
      <c r="R2186">
        <v>4.03</v>
      </c>
      <c r="S2186">
        <v>10.77</v>
      </c>
      <c r="T2186">
        <v>49.54</v>
      </c>
      <c r="U2186">
        <v>38.880000000000003</v>
      </c>
      <c r="V2186">
        <v>68.8</v>
      </c>
      <c r="W2186">
        <v>1.39</v>
      </c>
    </row>
    <row r="2187" spans="1:23" x14ac:dyDescent="0.3">
      <c r="A2187">
        <v>2187</v>
      </c>
      <c r="B2187" t="s">
        <v>2230</v>
      </c>
      <c r="C2187" t="s">
        <v>38</v>
      </c>
      <c r="D2187">
        <v>90</v>
      </c>
      <c r="E2187">
        <v>3235</v>
      </c>
      <c r="F2187" s="3">
        <v>211</v>
      </c>
      <c r="G2187">
        <v>29</v>
      </c>
      <c r="H2187">
        <v>10</v>
      </c>
      <c r="I2187" s="5">
        <v>0.11111111111111099</v>
      </c>
      <c r="J2187" s="3">
        <v>263</v>
      </c>
      <c r="K2187" s="1">
        <v>45615</v>
      </c>
      <c r="L2187" t="s">
        <v>25</v>
      </c>
      <c r="M2187" t="s">
        <v>39</v>
      </c>
      <c r="N2187" t="s">
        <v>49</v>
      </c>
      <c r="O2187" t="s">
        <v>28</v>
      </c>
      <c r="P2187" t="s">
        <v>41</v>
      </c>
      <c r="Q2187" s="6">
        <v>2.3488888888888799</v>
      </c>
      <c r="R2187">
        <v>2.78</v>
      </c>
      <c r="S2187">
        <v>7.29</v>
      </c>
      <c r="T2187">
        <v>21.14</v>
      </c>
      <c r="U2187">
        <v>24.41</v>
      </c>
      <c r="V2187">
        <v>26.3</v>
      </c>
      <c r="W2187">
        <v>1.24</v>
      </c>
    </row>
    <row r="2188" spans="1:23" x14ac:dyDescent="0.3">
      <c r="A2188">
        <v>2188</v>
      </c>
      <c r="B2188" t="s">
        <v>2231</v>
      </c>
      <c r="C2188" t="s">
        <v>43</v>
      </c>
      <c r="D2188">
        <v>175</v>
      </c>
      <c r="E2188">
        <v>3832</v>
      </c>
      <c r="F2188" s="3">
        <v>246</v>
      </c>
      <c r="G2188">
        <v>27</v>
      </c>
      <c r="H2188">
        <v>5</v>
      </c>
      <c r="I2188" s="5">
        <v>2.8571428571428501E-2</v>
      </c>
      <c r="J2188" s="3">
        <v>283</v>
      </c>
      <c r="K2188" s="1">
        <v>45622</v>
      </c>
      <c r="L2188" t="s">
        <v>25</v>
      </c>
      <c r="M2188" t="s">
        <v>26</v>
      </c>
      <c r="N2188" t="s">
        <v>36</v>
      </c>
      <c r="O2188" t="s">
        <v>28</v>
      </c>
      <c r="P2188" t="s">
        <v>41</v>
      </c>
      <c r="Q2188" s="6">
        <v>1.40348571428571</v>
      </c>
      <c r="R2188">
        <v>4.57</v>
      </c>
      <c r="S2188">
        <v>9.1</v>
      </c>
      <c r="T2188">
        <v>49.12</v>
      </c>
      <c r="U2188">
        <v>15.22</v>
      </c>
      <c r="V2188">
        <v>56.6</v>
      </c>
      <c r="W2188">
        <v>1.1499999999999999</v>
      </c>
    </row>
    <row r="2189" spans="1:23" x14ac:dyDescent="0.3">
      <c r="A2189">
        <v>2189</v>
      </c>
      <c r="B2189" t="s">
        <v>2232</v>
      </c>
      <c r="C2189" t="s">
        <v>43</v>
      </c>
      <c r="D2189">
        <v>153</v>
      </c>
      <c r="E2189">
        <v>4261</v>
      </c>
      <c r="F2189" s="3">
        <v>230</v>
      </c>
      <c r="G2189">
        <v>27</v>
      </c>
      <c r="H2189">
        <v>7</v>
      </c>
      <c r="I2189" s="5">
        <v>4.5751633986928102E-2</v>
      </c>
      <c r="J2189" s="3">
        <v>210</v>
      </c>
      <c r="K2189" s="1">
        <v>45601</v>
      </c>
      <c r="L2189" t="s">
        <v>25</v>
      </c>
      <c r="M2189" t="s">
        <v>26</v>
      </c>
      <c r="N2189" t="s">
        <v>49</v>
      </c>
      <c r="O2189" t="s">
        <v>28</v>
      </c>
      <c r="P2189" t="s">
        <v>41</v>
      </c>
      <c r="Q2189" s="6">
        <v>1.5049019607843099</v>
      </c>
      <c r="R2189">
        <v>3.59</v>
      </c>
      <c r="S2189">
        <v>8.5299999999999994</v>
      </c>
      <c r="T2189">
        <v>32.89</v>
      </c>
      <c r="U2189">
        <v>-8.7899999999999991</v>
      </c>
      <c r="V2189">
        <v>30</v>
      </c>
      <c r="W2189">
        <v>0.91</v>
      </c>
    </row>
    <row r="2190" spans="1:23" x14ac:dyDescent="0.3">
      <c r="A2190">
        <v>2190</v>
      </c>
      <c r="B2190" t="s">
        <v>2233</v>
      </c>
      <c r="C2190" t="s">
        <v>38</v>
      </c>
      <c r="D2190">
        <v>103</v>
      </c>
      <c r="E2190">
        <v>4796</v>
      </c>
      <c r="F2190" s="3">
        <v>181</v>
      </c>
      <c r="G2190">
        <v>26</v>
      </c>
      <c r="H2190">
        <v>7</v>
      </c>
      <c r="I2190" s="5">
        <v>6.7961165048543604E-2</v>
      </c>
      <c r="J2190" s="3">
        <v>225</v>
      </c>
      <c r="K2190" s="1">
        <v>45599</v>
      </c>
      <c r="L2190" t="s">
        <v>25</v>
      </c>
      <c r="M2190" t="s">
        <v>31</v>
      </c>
      <c r="N2190" t="s">
        <v>40</v>
      </c>
      <c r="O2190" t="s">
        <v>28</v>
      </c>
      <c r="P2190" t="s">
        <v>50</v>
      </c>
      <c r="Q2190" s="6">
        <v>1.75378640776699</v>
      </c>
      <c r="R2190">
        <v>2.15</v>
      </c>
      <c r="S2190">
        <v>6.95</v>
      </c>
      <c r="T2190">
        <v>25.81</v>
      </c>
      <c r="U2190">
        <v>24.56</v>
      </c>
      <c r="V2190">
        <v>32.14</v>
      </c>
      <c r="W2190">
        <v>1.25</v>
      </c>
    </row>
    <row r="2191" spans="1:23" x14ac:dyDescent="0.3">
      <c r="A2191">
        <v>2191</v>
      </c>
      <c r="B2191" t="s">
        <v>2234</v>
      </c>
      <c r="C2191" t="s">
        <v>35</v>
      </c>
      <c r="D2191">
        <v>102</v>
      </c>
      <c r="E2191">
        <v>5229</v>
      </c>
      <c r="F2191" s="3">
        <v>209</v>
      </c>
      <c r="G2191">
        <v>30</v>
      </c>
      <c r="H2191">
        <v>5</v>
      </c>
      <c r="I2191" s="5">
        <v>4.9019607843137199E-2</v>
      </c>
      <c r="J2191" s="3">
        <v>217</v>
      </c>
      <c r="K2191" s="1">
        <v>45611</v>
      </c>
      <c r="L2191" t="s">
        <v>25</v>
      </c>
      <c r="M2191" t="s">
        <v>31</v>
      </c>
      <c r="N2191" t="s">
        <v>49</v>
      </c>
      <c r="O2191" t="s">
        <v>28</v>
      </c>
      <c r="P2191" t="s">
        <v>45</v>
      </c>
      <c r="Q2191" s="6">
        <v>2.0446078431372499</v>
      </c>
      <c r="R2191">
        <v>1.95</v>
      </c>
      <c r="S2191">
        <v>6.95</v>
      </c>
      <c r="T2191">
        <v>41.71</v>
      </c>
      <c r="U2191">
        <v>4.05</v>
      </c>
      <c r="V2191">
        <v>43.4</v>
      </c>
      <c r="W2191">
        <v>1.04</v>
      </c>
    </row>
    <row r="2192" spans="1:23" x14ac:dyDescent="0.3">
      <c r="A2192">
        <v>2192</v>
      </c>
      <c r="B2192" t="s">
        <v>2235</v>
      </c>
      <c r="C2192" t="s">
        <v>38</v>
      </c>
      <c r="D2192">
        <v>199</v>
      </c>
      <c r="E2192">
        <v>3754</v>
      </c>
      <c r="F2192" s="3">
        <v>220</v>
      </c>
      <c r="G2192">
        <v>26</v>
      </c>
      <c r="H2192">
        <v>9</v>
      </c>
      <c r="I2192" s="5">
        <v>4.5226130653266298E-2</v>
      </c>
      <c r="J2192" s="3">
        <v>258</v>
      </c>
      <c r="K2192" s="1">
        <v>45616</v>
      </c>
      <c r="L2192" t="s">
        <v>25</v>
      </c>
      <c r="M2192" t="s">
        <v>39</v>
      </c>
      <c r="N2192" t="s">
        <v>32</v>
      </c>
      <c r="O2192" t="s">
        <v>28</v>
      </c>
      <c r="P2192" t="s">
        <v>33</v>
      </c>
      <c r="Q2192" s="6">
        <v>1.10633165829145</v>
      </c>
      <c r="R2192">
        <v>5.3</v>
      </c>
      <c r="S2192">
        <v>8.4700000000000006</v>
      </c>
      <c r="T2192">
        <v>24.46</v>
      </c>
      <c r="U2192">
        <v>17.190000000000001</v>
      </c>
      <c r="V2192">
        <v>28.67</v>
      </c>
      <c r="W2192">
        <v>1.17</v>
      </c>
    </row>
    <row r="2193" spans="1:23" x14ac:dyDescent="0.3">
      <c r="A2193">
        <v>2193</v>
      </c>
      <c r="B2193" t="s">
        <v>2236</v>
      </c>
      <c r="C2193" t="s">
        <v>24</v>
      </c>
      <c r="D2193">
        <v>96</v>
      </c>
      <c r="E2193">
        <v>4851</v>
      </c>
      <c r="F2193" s="3">
        <v>229</v>
      </c>
      <c r="G2193">
        <v>27</v>
      </c>
      <c r="H2193">
        <v>6</v>
      </c>
      <c r="I2193" s="5">
        <v>6.25E-2</v>
      </c>
      <c r="J2193" s="3">
        <v>259</v>
      </c>
      <c r="K2193" s="1">
        <v>45599</v>
      </c>
      <c r="L2193" t="s">
        <v>25</v>
      </c>
      <c r="M2193" t="s">
        <v>39</v>
      </c>
      <c r="N2193" t="s">
        <v>40</v>
      </c>
      <c r="O2193" t="s">
        <v>28</v>
      </c>
      <c r="P2193" t="s">
        <v>50</v>
      </c>
      <c r="Q2193" s="6">
        <v>2.3866666666666601</v>
      </c>
      <c r="R2193">
        <v>1.98</v>
      </c>
      <c r="S2193">
        <v>8.49</v>
      </c>
      <c r="T2193">
        <v>38.19</v>
      </c>
      <c r="U2193">
        <v>13.04</v>
      </c>
      <c r="V2193">
        <v>43.17</v>
      </c>
      <c r="W2193">
        <v>1.1299999999999999</v>
      </c>
    </row>
    <row r="2194" spans="1:23" x14ac:dyDescent="0.3">
      <c r="A2194">
        <v>2194</v>
      </c>
      <c r="B2194" t="s">
        <v>2237</v>
      </c>
      <c r="C2194" t="s">
        <v>38</v>
      </c>
      <c r="D2194">
        <v>107</v>
      </c>
      <c r="E2194">
        <v>4816</v>
      </c>
      <c r="F2194" s="3">
        <v>243</v>
      </c>
      <c r="G2194">
        <v>20</v>
      </c>
      <c r="H2194">
        <v>5</v>
      </c>
      <c r="I2194" s="5">
        <v>4.67289719626168E-2</v>
      </c>
      <c r="J2194" s="3">
        <v>233.57142857142799</v>
      </c>
      <c r="K2194" s="1">
        <v>45621</v>
      </c>
      <c r="L2194" t="s">
        <v>25</v>
      </c>
      <c r="M2194" t="s">
        <v>39</v>
      </c>
      <c r="N2194" t="s">
        <v>32</v>
      </c>
      <c r="O2194" t="s">
        <v>28</v>
      </c>
      <c r="P2194" t="s">
        <v>59</v>
      </c>
      <c r="Q2194" s="6">
        <v>2.27485981308411</v>
      </c>
      <c r="R2194">
        <v>2.2200000000000002</v>
      </c>
      <c r="S2194">
        <v>12.17</v>
      </c>
      <c r="T2194">
        <v>48.68</v>
      </c>
      <c r="U2194">
        <v>-4.04</v>
      </c>
      <c r="V2194">
        <v>46.71</v>
      </c>
      <c r="W2194">
        <v>0.96</v>
      </c>
    </row>
    <row r="2195" spans="1:23" x14ac:dyDescent="0.3">
      <c r="A2195">
        <v>2195</v>
      </c>
      <c r="B2195" t="s">
        <v>2238</v>
      </c>
      <c r="C2195" t="s">
        <v>35</v>
      </c>
      <c r="D2195">
        <v>170</v>
      </c>
      <c r="E2195">
        <v>5404</v>
      </c>
      <c r="F2195" s="3">
        <v>218</v>
      </c>
      <c r="G2195">
        <v>24</v>
      </c>
      <c r="H2195">
        <v>5</v>
      </c>
      <c r="I2195" s="5">
        <v>2.94117647058823E-2</v>
      </c>
      <c r="J2195" s="3">
        <v>371</v>
      </c>
      <c r="K2195" s="1">
        <v>45625</v>
      </c>
      <c r="L2195" t="s">
        <v>25</v>
      </c>
      <c r="M2195" t="s">
        <v>26</v>
      </c>
      <c r="N2195" t="s">
        <v>36</v>
      </c>
      <c r="O2195" t="s">
        <v>28</v>
      </c>
      <c r="P2195" t="s">
        <v>45</v>
      </c>
      <c r="Q2195" s="6">
        <v>1.28376470588235</v>
      </c>
      <c r="R2195">
        <v>3.15</v>
      </c>
      <c r="S2195">
        <v>9.09</v>
      </c>
      <c r="T2195">
        <v>43.65</v>
      </c>
      <c r="U2195">
        <v>70</v>
      </c>
      <c r="V2195">
        <v>74.2</v>
      </c>
      <c r="W2195">
        <v>1.7</v>
      </c>
    </row>
    <row r="2196" spans="1:23" x14ac:dyDescent="0.3">
      <c r="A2196">
        <v>2196</v>
      </c>
      <c r="B2196" t="s">
        <v>2239</v>
      </c>
      <c r="C2196" t="s">
        <v>24</v>
      </c>
      <c r="D2196">
        <v>145</v>
      </c>
      <c r="E2196">
        <v>3068</v>
      </c>
      <c r="F2196" s="3">
        <v>238</v>
      </c>
      <c r="G2196">
        <v>24</v>
      </c>
      <c r="H2196">
        <v>7</v>
      </c>
      <c r="I2196" s="5">
        <v>4.8275862068965503E-2</v>
      </c>
      <c r="J2196" s="3">
        <v>305</v>
      </c>
      <c r="K2196" s="1">
        <v>45615</v>
      </c>
      <c r="L2196" t="s">
        <v>25</v>
      </c>
      <c r="M2196" t="s">
        <v>31</v>
      </c>
      <c r="N2196" t="s">
        <v>32</v>
      </c>
      <c r="O2196" t="s">
        <v>28</v>
      </c>
      <c r="P2196" t="s">
        <v>41</v>
      </c>
      <c r="Q2196" s="6">
        <v>1.6393103448275801</v>
      </c>
      <c r="R2196">
        <v>4.7300000000000004</v>
      </c>
      <c r="S2196">
        <v>9.9</v>
      </c>
      <c r="T2196">
        <v>33.96</v>
      </c>
      <c r="U2196">
        <v>28.31</v>
      </c>
      <c r="V2196">
        <v>43.57</v>
      </c>
      <c r="W2196">
        <v>1.28</v>
      </c>
    </row>
    <row r="2197" spans="1:23" x14ac:dyDescent="0.3">
      <c r="A2197">
        <v>2197</v>
      </c>
      <c r="B2197" t="s">
        <v>2240</v>
      </c>
      <c r="C2197" t="s">
        <v>24</v>
      </c>
      <c r="D2197">
        <v>148</v>
      </c>
      <c r="E2197">
        <v>5877</v>
      </c>
      <c r="F2197" s="3">
        <v>214</v>
      </c>
      <c r="G2197">
        <v>25</v>
      </c>
      <c r="H2197">
        <v>8</v>
      </c>
      <c r="I2197" s="5">
        <v>5.4054054054054002E-2</v>
      </c>
      <c r="J2197" s="3">
        <v>280</v>
      </c>
      <c r="K2197" s="1">
        <v>45614</v>
      </c>
      <c r="L2197" t="s">
        <v>25</v>
      </c>
      <c r="M2197" t="s">
        <v>26</v>
      </c>
      <c r="N2197" t="s">
        <v>27</v>
      </c>
      <c r="O2197" t="s">
        <v>28</v>
      </c>
      <c r="P2197" t="s">
        <v>59</v>
      </c>
      <c r="Q2197" s="6">
        <v>1.4448648648648601</v>
      </c>
      <c r="R2197">
        <v>2.52</v>
      </c>
      <c r="S2197">
        <v>8.5500000000000007</v>
      </c>
      <c r="T2197">
        <v>26.73</v>
      </c>
      <c r="U2197">
        <v>30.94</v>
      </c>
      <c r="V2197">
        <v>35</v>
      </c>
      <c r="W2197">
        <v>1.31</v>
      </c>
    </row>
    <row r="2198" spans="1:23" x14ac:dyDescent="0.3">
      <c r="A2198">
        <v>2198</v>
      </c>
      <c r="B2198" t="s">
        <v>2241</v>
      </c>
      <c r="C2198" t="s">
        <v>38</v>
      </c>
      <c r="D2198">
        <v>141</v>
      </c>
      <c r="E2198">
        <v>4188</v>
      </c>
      <c r="F2198" s="3">
        <v>228</v>
      </c>
      <c r="G2198">
        <v>16</v>
      </c>
      <c r="H2198">
        <v>9</v>
      </c>
      <c r="I2198" s="5">
        <v>6.3829787234042507E-2</v>
      </c>
      <c r="J2198" s="3">
        <v>246</v>
      </c>
      <c r="K2198" s="1">
        <v>45626</v>
      </c>
      <c r="L2198" t="s">
        <v>25</v>
      </c>
      <c r="M2198" t="s">
        <v>26</v>
      </c>
      <c r="N2198" t="s">
        <v>36</v>
      </c>
      <c r="O2198" t="s">
        <v>28</v>
      </c>
      <c r="P2198" t="s">
        <v>29</v>
      </c>
      <c r="Q2198" s="6">
        <v>1.61787234042553</v>
      </c>
      <c r="R2198">
        <v>3.37</v>
      </c>
      <c r="S2198">
        <v>14.26</v>
      </c>
      <c r="T2198">
        <v>25.35</v>
      </c>
      <c r="U2198">
        <v>7.84</v>
      </c>
      <c r="V2198">
        <v>27.33</v>
      </c>
      <c r="W2198">
        <v>1.08</v>
      </c>
    </row>
    <row r="2199" spans="1:23" x14ac:dyDescent="0.3">
      <c r="A2199">
        <v>2199</v>
      </c>
      <c r="B2199" t="s">
        <v>2242</v>
      </c>
      <c r="C2199" t="s">
        <v>43</v>
      </c>
      <c r="D2199">
        <v>89</v>
      </c>
      <c r="E2199">
        <v>5676</v>
      </c>
      <c r="F2199" s="3">
        <v>184</v>
      </c>
      <c r="G2199">
        <v>14</v>
      </c>
      <c r="H2199">
        <v>4</v>
      </c>
      <c r="I2199" s="5">
        <v>4.49438202247191E-2</v>
      </c>
      <c r="J2199" s="3">
        <v>256</v>
      </c>
      <c r="K2199" s="1">
        <v>45612</v>
      </c>
      <c r="L2199" t="s">
        <v>25</v>
      </c>
      <c r="M2199" t="s">
        <v>31</v>
      </c>
      <c r="N2199" t="s">
        <v>36</v>
      </c>
      <c r="O2199" t="s">
        <v>28</v>
      </c>
      <c r="P2199" t="s">
        <v>29</v>
      </c>
      <c r="Q2199" s="6">
        <v>2.0626966292134798</v>
      </c>
      <c r="R2199">
        <v>1.57</v>
      </c>
      <c r="S2199">
        <v>13.11</v>
      </c>
      <c r="T2199">
        <v>45.9</v>
      </c>
      <c r="U2199">
        <v>39.450000000000003</v>
      </c>
      <c r="V2199">
        <v>64</v>
      </c>
      <c r="W2199">
        <v>1.39</v>
      </c>
    </row>
    <row r="2200" spans="1:23" x14ac:dyDescent="0.3">
      <c r="A2200">
        <v>2200</v>
      </c>
      <c r="B2200" t="s">
        <v>2243</v>
      </c>
      <c r="C2200" t="s">
        <v>24</v>
      </c>
      <c r="D2200">
        <v>140</v>
      </c>
      <c r="E2200">
        <v>4677</v>
      </c>
      <c r="F2200" s="3">
        <v>224</v>
      </c>
      <c r="G2200">
        <v>20</v>
      </c>
      <c r="H2200">
        <v>9</v>
      </c>
      <c r="I2200" s="5">
        <v>6.4285714285714196E-2</v>
      </c>
      <c r="J2200" s="3">
        <v>329</v>
      </c>
      <c r="K2200" s="1">
        <v>45600</v>
      </c>
      <c r="L2200" t="s">
        <v>25</v>
      </c>
      <c r="M2200" t="s">
        <v>31</v>
      </c>
      <c r="N2200" t="s">
        <v>27</v>
      </c>
      <c r="O2200" t="s">
        <v>28</v>
      </c>
      <c r="P2200" t="s">
        <v>59</v>
      </c>
      <c r="Q2200" s="6">
        <v>1.59814285714285</v>
      </c>
      <c r="R2200">
        <v>2.99</v>
      </c>
      <c r="S2200">
        <v>11.19</v>
      </c>
      <c r="T2200">
        <v>24.86</v>
      </c>
      <c r="U2200">
        <v>47.05</v>
      </c>
      <c r="V2200">
        <v>36.56</v>
      </c>
      <c r="W2200">
        <v>1.47</v>
      </c>
    </row>
    <row r="2201" spans="1:23" x14ac:dyDescent="0.3">
      <c r="A2201">
        <v>2201</v>
      </c>
      <c r="B2201" t="s">
        <v>2244</v>
      </c>
      <c r="C2201" t="s">
        <v>24</v>
      </c>
      <c r="D2201">
        <v>135</v>
      </c>
      <c r="E2201">
        <v>3793</v>
      </c>
      <c r="F2201" s="3">
        <v>191</v>
      </c>
      <c r="G2201">
        <v>24</v>
      </c>
      <c r="H2201">
        <v>9</v>
      </c>
      <c r="I2201" s="5">
        <v>6.6666666666666596E-2</v>
      </c>
      <c r="J2201" s="3">
        <v>420.42857142857099</v>
      </c>
      <c r="K2201" s="1">
        <v>45615</v>
      </c>
      <c r="L2201" t="s">
        <v>25</v>
      </c>
      <c r="M2201" t="s">
        <v>26</v>
      </c>
      <c r="N2201" t="s">
        <v>36</v>
      </c>
      <c r="O2201" t="s">
        <v>28</v>
      </c>
      <c r="P2201" t="s">
        <v>41</v>
      </c>
      <c r="Q2201" s="6">
        <v>1.41392592592592</v>
      </c>
      <c r="R2201">
        <v>3.56</v>
      </c>
      <c r="S2201">
        <v>7.95</v>
      </c>
      <c r="T2201">
        <v>21.21</v>
      </c>
      <c r="U2201">
        <v>120.26</v>
      </c>
      <c r="V2201">
        <v>46.71</v>
      </c>
      <c r="W2201">
        <v>2.2000000000000002</v>
      </c>
    </row>
    <row r="2202" spans="1:23" x14ac:dyDescent="0.3">
      <c r="A2202">
        <v>2202</v>
      </c>
      <c r="B2202" t="s">
        <v>2245</v>
      </c>
      <c r="C2202" t="s">
        <v>24</v>
      </c>
      <c r="D2202">
        <v>105</v>
      </c>
      <c r="E2202">
        <v>3548</v>
      </c>
      <c r="F2202" s="3">
        <v>217</v>
      </c>
      <c r="G2202">
        <v>30</v>
      </c>
      <c r="H2202">
        <v>7</v>
      </c>
      <c r="I2202" s="5">
        <v>6.6666666666666596E-2</v>
      </c>
      <c r="J2202" s="3">
        <v>339</v>
      </c>
      <c r="K2202" s="1">
        <v>45610</v>
      </c>
      <c r="L2202" t="s">
        <v>25</v>
      </c>
      <c r="M2202" t="s">
        <v>39</v>
      </c>
      <c r="N2202" t="s">
        <v>27</v>
      </c>
      <c r="O2202" t="s">
        <v>28</v>
      </c>
      <c r="P2202" t="s">
        <v>54</v>
      </c>
      <c r="Q2202" s="6">
        <v>2.0647619047618999</v>
      </c>
      <c r="R2202">
        <v>2.96</v>
      </c>
      <c r="S2202">
        <v>7.23</v>
      </c>
      <c r="T2202">
        <v>30.97</v>
      </c>
      <c r="U2202">
        <v>56.37</v>
      </c>
      <c r="V2202">
        <v>48.43</v>
      </c>
      <c r="W2202">
        <v>1.56</v>
      </c>
    </row>
    <row r="2203" spans="1:23" x14ac:dyDescent="0.3">
      <c r="A2203">
        <v>2203</v>
      </c>
      <c r="B2203" t="s">
        <v>2246</v>
      </c>
      <c r="C2203" t="s">
        <v>43</v>
      </c>
      <c r="D2203">
        <v>119</v>
      </c>
      <c r="E2203">
        <v>5944</v>
      </c>
      <c r="F2203" s="3">
        <v>226</v>
      </c>
      <c r="G2203">
        <v>24</v>
      </c>
      <c r="H2203">
        <v>6</v>
      </c>
      <c r="I2203" s="5">
        <v>5.0420168067226802E-2</v>
      </c>
      <c r="J2203" s="3">
        <v>309</v>
      </c>
      <c r="K2203" s="1">
        <v>45609</v>
      </c>
      <c r="L2203" t="s">
        <v>25</v>
      </c>
      <c r="M2203" t="s">
        <v>39</v>
      </c>
      <c r="N2203" t="s">
        <v>49</v>
      </c>
      <c r="O2203" t="s">
        <v>28</v>
      </c>
      <c r="P2203" t="s">
        <v>33</v>
      </c>
      <c r="Q2203" s="6">
        <v>1.8970588235294099</v>
      </c>
      <c r="R2203">
        <v>2</v>
      </c>
      <c r="S2203">
        <v>9.41</v>
      </c>
      <c r="T2203">
        <v>37.619999999999997</v>
      </c>
      <c r="U2203">
        <v>36.880000000000003</v>
      </c>
      <c r="V2203">
        <v>51.5</v>
      </c>
      <c r="W2203">
        <v>1.37</v>
      </c>
    </row>
    <row r="2204" spans="1:23" x14ac:dyDescent="0.3">
      <c r="A2204">
        <v>2204</v>
      </c>
      <c r="B2204" t="s">
        <v>2247</v>
      </c>
      <c r="C2204" t="s">
        <v>43</v>
      </c>
      <c r="D2204">
        <v>128</v>
      </c>
      <c r="E2204">
        <v>4662</v>
      </c>
      <c r="F2204" s="3">
        <v>187</v>
      </c>
      <c r="G2204">
        <v>23</v>
      </c>
      <c r="H2204">
        <v>9</v>
      </c>
      <c r="I2204" s="5">
        <v>7.03125E-2</v>
      </c>
      <c r="J2204" s="3">
        <v>349</v>
      </c>
      <c r="K2204" s="1">
        <v>45609</v>
      </c>
      <c r="L2204" t="s">
        <v>25</v>
      </c>
      <c r="M2204" t="s">
        <v>26</v>
      </c>
      <c r="N2204" t="s">
        <v>40</v>
      </c>
      <c r="O2204" t="s">
        <v>28</v>
      </c>
      <c r="P2204" t="s">
        <v>33</v>
      </c>
      <c r="Q2204" s="6">
        <v>1.463125</v>
      </c>
      <c r="R2204">
        <v>2.75</v>
      </c>
      <c r="S2204">
        <v>8.14</v>
      </c>
      <c r="T2204">
        <v>20.81</v>
      </c>
      <c r="U2204">
        <v>86.35</v>
      </c>
      <c r="V2204">
        <v>38.78</v>
      </c>
      <c r="W2204">
        <v>1.86</v>
      </c>
    </row>
    <row r="2205" spans="1:23" x14ac:dyDescent="0.3">
      <c r="A2205">
        <v>2205</v>
      </c>
      <c r="B2205" t="s">
        <v>2248</v>
      </c>
      <c r="C2205" t="s">
        <v>38</v>
      </c>
      <c r="D2205">
        <v>120</v>
      </c>
      <c r="E2205">
        <v>4453</v>
      </c>
      <c r="F2205" s="3">
        <v>240</v>
      </c>
      <c r="G2205">
        <v>23</v>
      </c>
      <c r="H2205">
        <v>8</v>
      </c>
      <c r="I2205" s="5">
        <v>6.6666666666666596E-2</v>
      </c>
      <c r="J2205" s="3">
        <v>296</v>
      </c>
      <c r="K2205" s="1">
        <v>45622</v>
      </c>
      <c r="L2205" t="s">
        <v>25</v>
      </c>
      <c r="M2205" t="s">
        <v>39</v>
      </c>
      <c r="N2205" t="s">
        <v>44</v>
      </c>
      <c r="O2205" t="s">
        <v>28</v>
      </c>
      <c r="P2205" t="s">
        <v>41</v>
      </c>
      <c r="Q2205" s="6">
        <v>2.0028333333333301</v>
      </c>
      <c r="R2205">
        <v>2.69</v>
      </c>
      <c r="S2205">
        <v>10.45</v>
      </c>
      <c r="T2205">
        <v>30.04</v>
      </c>
      <c r="U2205">
        <v>23.16</v>
      </c>
      <c r="V2205">
        <v>37</v>
      </c>
      <c r="W2205">
        <v>1.23</v>
      </c>
    </row>
    <row r="2206" spans="1:23" x14ac:dyDescent="0.3">
      <c r="A2206">
        <v>2206</v>
      </c>
      <c r="B2206" t="s">
        <v>2249</v>
      </c>
      <c r="C2206" t="s">
        <v>24</v>
      </c>
      <c r="D2206">
        <v>163</v>
      </c>
      <c r="E2206">
        <v>5052</v>
      </c>
      <c r="F2206" s="3">
        <v>235</v>
      </c>
      <c r="G2206">
        <v>24</v>
      </c>
      <c r="H2206">
        <v>6</v>
      </c>
      <c r="I2206" s="5">
        <v>3.6809815950920199E-2</v>
      </c>
      <c r="J2206" s="3">
        <v>377</v>
      </c>
      <c r="K2206" s="1">
        <v>45613</v>
      </c>
      <c r="L2206" t="s">
        <v>25</v>
      </c>
      <c r="M2206" t="s">
        <v>31</v>
      </c>
      <c r="N2206" t="s">
        <v>44</v>
      </c>
      <c r="O2206" t="s">
        <v>28</v>
      </c>
      <c r="P2206" t="s">
        <v>50</v>
      </c>
      <c r="Q2206" s="6">
        <v>1.4400613496932499</v>
      </c>
      <c r="R2206">
        <v>3.23</v>
      </c>
      <c r="S2206">
        <v>9.7799999999999994</v>
      </c>
      <c r="T2206">
        <v>39.119999999999997</v>
      </c>
      <c r="U2206">
        <v>60.61</v>
      </c>
      <c r="V2206">
        <v>62.83</v>
      </c>
      <c r="W2206">
        <v>1.61</v>
      </c>
    </row>
    <row r="2207" spans="1:23" x14ac:dyDescent="0.3">
      <c r="A2207">
        <v>2207</v>
      </c>
      <c r="B2207" t="s">
        <v>2250</v>
      </c>
      <c r="C2207" t="s">
        <v>35</v>
      </c>
      <c r="D2207">
        <v>94</v>
      </c>
      <c r="E2207">
        <v>4457</v>
      </c>
      <c r="F2207" s="3">
        <v>246</v>
      </c>
      <c r="G2207">
        <v>14</v>
      </c>
      <c r="H2207">
        <v>6</v>
      </c>
      <c r="I2207" s="5">
        <v>6.3829787234042507E-2</v>
      </c>
      <c r="J2207" s="3">
        <v>304</v>
      </c>
      <c r="K2207" s="1">
        <v>45611</v>
      </c>
      <c r="L2207" t="s">
        <v>25</v>
      </c>
      <c r="M2207" t="s">
        <v>39</v>
      </c>
      <c r="N2207" t="s">
        <v>36</v>
      </c>
      <c r="O2207" t="s">
        <v>28</v>
      </c>
      <c r="P2207" t="s">
        <v>45</v>
      </c>
      <c r="Q2207" s="6">
        <v>2.61893617021276</v>
      </c>
      <c r="R2207">
        <v>2.11</v>
      </c>
      <c r="S2207">
        <v>17.579999999999998</v>
      </c>
      <c r="T2207">
        <v>41.03</v>
      </c>
      <c r="U2207">
        <v>23.49</v>
      </c>
      <c r="V2207">
        <v>50.67</v>
      </c>
      <c r="W2207">
        <v>1.23</v>
      </c>
    </row>
    <row r="2208" spans="1:23" x14ac:dyDescent="0.3">
      <c r="A2208">
        <v>2208</v>
      </c>
      <c r="B2208" t="s">
        <v>2251</v>
      </c>
      <c r="C2208" t="s">
        <v>24</v>
      </c>
      <c r="D2208">
        <v>168</v>
      </c>
      <c r="E2208">
        <v>5528</v>
      </c>
      <c r="F2208" s="3">
        <v>186</v>
      </c>
      <c r="G2208">
        <v>21</v>
      </c>
      <c r="H2208">
        <v>5</v>
      </c>
      <c r="I2208" s="5">
        <v>2.9761904761904701E-2</v>
      </c>
      <c r="J2208" s="3">
        <v>351</v>
      </c>
      <c r="K2208" s="1">
        <v>45611</v>
      </c>
      <c r="L2208" t="s">
        <v>25</v>
      </c>
      <c r="M2208" t="s">
        <v>31</v>
      </c>
      <c r="N2208" t="s">
        <v>40</v>
      </c>
      <c r="O2208" t="s">
        <v>28</v>
      </c>
      <c r="P2208" t="s">
        <v>45</v>
      </c>
      <c r="Q2208" s="6">
        <v>1.10672619047619</v>
      </c>
      <c r="R2208">
        <v>3.04</v>
      </c>
      <c r="S2208">
        <v>8.85</v>
      </c>
      <c r="T2208">
        <v>37.19</v>
      </c>
      <c r="U2208">
        <v>88.78</v>
      </c>
      <c r="V2208">
        <v>70.2</v>
      </c>
      <c r="W2208">
        <v>1.89</v>
      </c>
    </row>
    <row r="2209" spans="1:23" x14ac:dyDescent="0.3">
      <c r="A2209">
        <v>2209</v>
      </c>
      <c r="B2209" t="s">
        <v>2252</v>
      </c>
      <c r="C2209" t="s">
        <v>38</v>
      </c>
      <c r="D2209">
        <v>146</v>
      </c>
      <c r="E2209">
        <v>4474</v>
      </c>
      <c r="F2209" s="3">
        <v>191</v>
      </c>
      <c r="G2209">
        <v>18</v>
      </c>
      <c r="H2209">
        <v>10</v>
      </c>
      <c r="I2209" s="5">
        <v>6.8493150684931503E-2</v>
      </c>
      <c r="J2209" s="3">
        <v>382</v>
      </c>
      <c r="K2209" s="1">
        <v>45603</v>
      </c>
      <c r="L2209" t="s">
        <v>25</v>
      </c>
      <c r="M2209" t="s">
        <v>39</v>
      </c>
      <c r="N2209" t="s">
        <v>36</v>
      </c>
      <c r="O2209" t="s">
        <v>28</v>
      </c>
      <c r="P2209" t="s">
        <v>54</v>
      </c>
      <c r="Q2209" s="6">
        <v>1.30780821917808</v>
      </c>
      <c r="R2209">
        <v>3.26</v>
      </c>
      <c r="S2209">
        <v>10.61</v>
      </c>
      <c r="T2209">
        <v>19.09</v>
      </c>
      <c r="U2209">
        <v>100.06</v>
      </c>
      <c r="V2209">
        <v>38.200000000000003</v>
      </c>
      <c r="W2209">
        <v>2</v>
      </c>
    </row>
    <row r="2210" spans="1:23" x14ac:dyDescent="0.3">
      <c r="A2210">
        <v>2210</v>
      </c>
      <c r="B2210" t="s">
        <v>2253</v>
      </c>
      <c r="C2210" t="s">
        <v>38</v>
      </c>
      <c r="D2210">
        <v>193</v>
      </c>
      <c r="E2210">
        <v>5129</v>
      </c>
      <c r="F2210" s="3">
        <v>244</v>
      </c>
      <c r="G2210">
        <v>13</v>
      </c>
      <c r="H2210">
        <v>10</v>
      </c>
      <c r="I2210" s="5">
        <v>5.1813471502590601E-2</v>
      </c>
      <c r="J2210" s="3">
        <v>323</v>
      </c>
      <c r="K2210" s="1">
        <v>45602</v>
      </c>
      <c r="L2210" t="s">
        <v>25</v>
      </c>
      <c r="M2210" t="s">
        <v>39</v>
      </c>
      <c r="N2210" t="s">
        <v>32</v>
      </c>
      <c r="O2210" t="s">
        <v>28</v>
      </c>
      <c r="P2210" t="s">
        <v>33</v>
      </c>
      <c r="Q2210" s="6">
        <v>1.26310880829015</v>
      </c>
      <c r="R2210">
        <v>3.76</v>
      </c>
      <c r="S2210">
        <v>18.75</v>
      </c>
      <c r="T2210">
        <v>24.38</v>
      </c>
      <c r="U2210">
        <v>32.5</v>
      </c>
      <c r="V2210">
        <v>32.299999999999997</v>
      </c>
      <c r="W2210">
        <v>1.32</v>
      </c>
    </row>
    <row r="2211" spans="1:23" x14ac:dyDescent="0.3">
      <c r="A2211">
        <v>2211</v>
      </c>
      <c r="B2211" t="s">
        <v>2254</v>
      </c>
      <c r="C2211" t="s">
        <v>24</v>
      </c>
      <c r="D2211">
        <v>96</v>
      </c>
      <c r="E2211">
        <v>5210</v>
      </c>
      <c r="F2211" s="3">
        <v>223</v>
      </c>
      <c r="G2211">
        <v>10</v>
      </c>
      <c r="H2211">
        <v>8</v>
      </c>
      <c r="I2211" s="5">
        <v>8.3333333333333301E-2</v>
      </c>
      <c r="J2211" s="3">
        <v>303</v>
      </c>
      <c r="K2211" s="1">
        <v>45625</v>
      </c>
      <c r="L2211" t="s">
        <v>25</v>
      </c>
      <c r="M2211" t="s">
        <v>39</v>
      </c>
      <c r="N2211" t="s">
        <v>44</v>
      </c>
      <c r="O2211" t="s">
        <v>28</v>
      </c>
      <c r="P2211" t="s">
        <v>45</v>
      </c>
      <c r="Q2211" s="6">
        <v>2.3234374999999998</v>
      </c>
      <c r="R2211">
        <v>1.84</v>
      </c>
      <c r="S2211">
        <v>22.3</v>
      </c>
      <c r="T2211">
        <v>27.88</v>
      </c>
      <c r="U2211">
        <v>35.840000000000003</v>
      </c>
      <c r="V2211">
        <v>37.880000000000003</v>
      </c>
      <c r="W2211">
        <v>1.36</v>
      </c>
    </row>
    <row r="2212" spans="1:23" x14ac:dyDescent="0.3">
      <c r="A2212">
        <v>2212</v>
      </c>
      <c r="B2212" t="s">
        <v>2255</v>
      </c>
      <c r="C2212" t="s">
        <v>38</v>
      </c>
      <c r="D2212">
        <v>150</v>
      </c>
      <c r="E2212">
        <v>3456</v>
      </c>
      <c r="F2212" s="3">
        <v>242</v>
      </c>
      <c r="G2212">
        <v>16</v>
      </c>
      <c r="H2212">
        <v>7</v>
      </c>
      <c r="I2212" s="5">
        <v>4.6666666666666599E-2</v>
      </c>
      <c r="J2212" s="3">
        <v>248</v>
      </c>
      <c r="K2212" s="1">
        <v>45598</v>
      </c>
      <c r="L2212" t="s">
        <v>25</v>
      </c>
      <c r="M2212" t="s">
        <v>26</v>
      </c>
      <c r="N2212" t="s">
        <v>40</v>
      </c>
      <c r="O2212" t="s">
        <v>28</v>
      </c>
      <c r="P2212" t="s">
        <v>29</v>
      </c>
      <c r="Q2212" s="6">
        <v>1.6148</v>
      </c>
      <c r="R2212">
        <v>4.34</v>
      </c>
      <c r="S2212">
        <v>15.14</v>
      </c>
      <c r="T2212">
        <v>34.6</v>
      </c>
      <c r="U2212">
        <v>2.39</v>
      </c>
      <c r="V2212">
        <v>35.43</v>
      </c>
      <c r="W2212">
        <v>1.02</v>
      </c>
    </row>
    <row r="2213" spans="1:23" x14ac:dyDescent="0.3">
      <c r="A2213">
        <v>2213</v>
      </c>
      <c r="B2213" t="s">
        <v>2256</v>
      </c>
      <c r="C2213" t="s">
        <v>35</v>
      </c>
      <c r="D2213">
        <v>130</v>
      </c>
      <c r="E2213">
        <v>4109</v>
      </c>
      <c r="F2213" s="3">
        <v>207</v>
      </c>
      <c r="G2213">
        <v>19</v>
      </c>
      <c r="H2213">
        <v>6</v>
      </c>
      <c r="I2213" s="5">
        <v>4.6153846153846101E-2</v>
      </c>
      <c r="J2213" s="3">
        <v>310</v>
      </c>
      <c r="K2213" s="1">
        <v>45612</v>
      </c>
      <c r="L2213" t="s">
        <v>25</v>
      </c>
      <c r="M2213" t="s">
        <v>31</v>
      </c>
      <c r="N2213" t="s">
        <v>27</v>
      </c>
      <c r="O2213" t="s">
        <v>28</v>
      </c>
      <c r="P2213" t="s">
        <v>29</v>
      </c>
      <c r="Q2213" s="6">
        <v>1.5930769230769199</v>
      </c>
      <c r="R2213">
        <v>3.16</v>
      </c>
      <c r="S2213">
        <v>10.9</v>
      </c>
      <c r="T2213">
        <v>34.520000000000003</v>
      </c>
      <c r="U2213">
        <v>49.69</v>
      </c>
      <c r="V2213">
        <v>51.67</v>
      </c>
      <c r="W2213">
        <v>1.5</v>
      </c>
    </row>
    <row r="2214" spans="1:23" x14ac:dyDescent="0.3">
      <c r="A2214">
        <v>2214</v>
      </c>
      <c r="B2214" t="s">
        <v>2257</v>
      </c>
      <c r="C2214" t="s">
        <v>43</v>
      </c>
      <c r="D2214">
        <v>99</v>
      </c>
      <c r="E2214">
        <v>3522</v>
      </c>
      <c r="F2214" s="3">
        <v>210</v>
      </c>
      <c r="G2214">
        <v>28</v>
      </c>
      <c r="H2214">
        <v>9</v>
      </c>
      <c r="I2214" s="5">
        <v>9.0909090909090898E-2</v>
      </c>
      <c r="J2214" s="3">
        <v>394</v>
      </c>
      <c r="K2214" s="1">
        <v>45619</v>
      </c>
      <c r="L2214" t="s">
        <v>25</v>
      </c>
      <c r="M2214" t="s">
        <v>31</v>
      </c>
      <c r="N2214" t="s">
        <v>49</v>
      </c>
      <c r="O2214" t="s">
        <v>28</v>
      </c>
      <c r="P2214" t="s">
        <v>29</v>
      </c>
      <c r="Q2214" s="6">
        <v>2.1213131313131299</v>
      </c>
      <c r="R2214">
        <v>2.81</v>
      </c>
      <c r="S2214">
        <v>7.5</v>
      </c>
      <c r="T2214">
        <v>23.33</v>
      </c>
      <c r="U2214">
        <v>87.61</v>
      </c>
      <c r="V2214">
        <v>43.78</v>
      </c>
      <c r="W2214">
        <v>1.88</v>
      </c>
    </row>
    <row r="2215" spans="1:23" x14ac:dyDescent="0.3">
      <c r="A2215">
        <v>2215</v>
      </c>
      <c r="B2215" t="s">
        <v>2258</v>
      </c>
      <c r="C2215" t="s">
        <v>38</v>
      </c>
      <c r="D2215">
        <v>143</v>
      </c>
      <c r="E2215">
        <v>3600</v>
      </c>
      <c r="F2215" s="3">
        <v>238</v>
      </c>
      <c r="G2215">
        <v>26</v>
      </c>
      <c r="H2215">
        <v>7</v>
      </c>
      <c r="I2215" s="5">
        <v>4.8951048951048903E-2</v>
      </c>
      <c r="J2215" s="3">
        <v>386</v>
      </c>
      <c r="K2215" s="1">
        <v>45605</v>
      </c>
      <c r="L2215" t="s">
        <v>25</v>
      </c>
      <c r="M2215" t="s">
        <v>39</v>
      </c>
      <c r="N2215" t="s">
        <v>49</v>
      </c>
      <c r="O2215" t="s">
        <v>28</v>
      </c>
      <c r="P2215" t="s">
        <v>29</v>
      </c>
      <c r="Q2215" s="6">
        <v>1.6653146853146801</v>
      </c>
      <c r="R2215">
        <v>3.97</v>
      </c>
      <c r="S2215">
        <v>9.16</v>
      </c>
      <c r="T2215">
        <v>34.020000000000003</v>
      </c>
      <c r="U2215">
        <v>62.09</v>
      </c>
      <c r="V2215">
        <v>55.14</v>
      </c>
      <c r="W2215">
        <v>1.62</v>
      </c>
    </row>
    <row r="2216" spans="1:23" x14ac:dyDescent="0.3">
      <c r="A2216">
        <v>2216</v>
      </c>
      <c r="B2216" t="s">
        <v>2259</v>
      </c>
      <c r="C2216" t="s">
        <v>38</v>
      </c>
      <c r="D2216">
        <v>116</v>
      </c>
      <c r="E2216">
        <v>3026</v>
      </c>
      <c r="F2216" s="3">
        <v>209</v>
      </c>
      <c r="G2216">
        <v>24</v>
      </c>
      <c r="H2216">
        <v>9</v>
      </c>
      <c r="I2216" s="5">
        <v>7.7586206896551699E-2</v>
      </c>
      <c r="J2216" s="3">
        <v>371</v>
      </c>
      <c r="K2216" s="1">
        <v>45606</v>
      </c>
      <c r="L2216" t="s">
        <v>25</v>
      </c>
      <c r="M2216" t="s">
        <v>26</v>
      </c>
      <c r="N2216" t="s">
        <v>36</v>
      </c>
      <c r="O2216" t="s">
        <v>28</v>
      </c>
      <c r="P2216" t="s">
        <v>50</v>
      </c>
      <c r="Q2216" s="6">
        <v>1.80198275862068</v>
      </c>
      <c r="R2216">
        <v>3.83</v>
      </c>
      <c r="S2216">
        <v>8.7100000000000009</v>
      </c>
      <c r="T2216">
        <v>23.23</v>
      </c>
      <c r="U2216">
        <v>77.489999999999995</v>
      </c>
      <c r="V2216">
        <v>41.22</v>
      </c>
      <c r="W2216">
        <v>1.77</v>
      </c>
    </row>
    <row r="2217" spans="1:23" x14ac:dyDescent="0.3">
      <c r="A2217">
        <v>2217</v>
      </c>
      <c r="B2217" t="s">
        <v>2260</v>
      </c>
      <c r="C2217" t="s">
        <v>38</v>
      </c>
      <c r="D2217">
        <v>120</v>
      </c>
      <c r="E2217">
        <v>3957</v>
      </c>
      <c r="F2217" s="3">
        <v>215</v>
      </c>
      <c r="G2217">
        <v>29</v>
      </c>
      <c r="H2217">
        <v>5</v>
      </c>
      <c r="I2217" s="5">
        <v>4.1666666666666602E-2</v>
      </c>
      <c r="J2217" s="3">
        <v>393</v>
      </c>
      <c r="K2217" s="1">
        <v>45626</v>
      </c>
      <c r="L2217" t="s">
        <v>25</v>
      </c>
      <c r="M2217" t="s">
        <v>31</v>
      </c>
      <c r="N2217" t="s">
        <v>40</v>
      </c>
      <c r="O2217" t="s">
        <v>28</v>
      </c>
      <c r="P2217" t="s">
        <v>29</v>
      </c>
      <c r="Q2217" s="6">
        <v>1.7896666666666601</v>
      </c>
      <c r="R2217">
        <v>3.03</v>
      </c>
      <c r="S2217">
        <v>7.41</v>
      </c>
      <c r="T2217">
        <v>42.95</v>
      </c>
      <c r="U2217">
        <v>82.99</v>
      </c>
      <c r="V2217">
        <v>78.599999999999994</v>
      </c>
      <c r="W2217">
        <v>1.83</v>
      </c>
    </row>
    <row r="2218" spans="1:23" x14ac:dyDescent="0.3">
      <c r="A2218">
        <v>2218</v>
      </c>
      <c r="B2218" t="s">
        <v>2261</v>
      </c>
      <c r="C2218" t="s">
        <v>38</v>
      </c>
      <c r="D2218">
        <v>115</v>
      </c>
      <c r="E2218">
        <v>4857</v>
      </c>
      <c r="F2218" s="3">
        <v>195</v>
      </c>
      <c r="G2218">
        <v>29</v>
      </c>
      <c r="H2218">
        <v>9</v>
      </c>
      <c r="I2218" s="5">
        <v>7.8260869565217397E-2</v>
      </c>
      <c r="J2218" s="3">
        <v>336</v>
      </c>
      <c r="K2218" s="1">
        <v>45613</v>
      </c>
      <c r="L2218" t="s">
        <v>25</v>
      </c>
      <c r="M2218" t="s">
        <v>26</v>
      </c>
      <c r="N2218" t="s">
        <v>40</v>
      </c>
      <c r="O2218" t="s">
        <v>28</v>
      </c>
      <c r="P2218" t="s">
        <v>50</v>
      </c>
      <c r="Q2218" s="6">
        <v>1.69608695652173</v>
      </c>
      <c r="R2218">
        <v>2.37</v>
      </c>
      <c r="S2218">
        <v>6.73</v>
      </c>
      <c r="T2218">
        <v>21.67</v>
      </c>
      <c r="U2218">
        <v>72.260000000000005</v>
      </c>
      <c r="V2218">
        <v>37.33</v>
      </c>
      <c r="W2218">
        <v>1.72</v>
      </c>
    </row>
    <row r="2219" spans="1:23" x14ac:dyDescent="0.3">
      <c r="A2219">
        <v>2219</v>
      </c>
      <c r="B2219" t="s">
        <v>2262</v>
      </c>
      <c r="C2219" t="s">
        <v>35</v>
      </c>
      <c r="D2219">
        <v>175</v>
      </c>
      <c r="E2219">
        <v>5915</v>
      </c>
      <c r="F2219" s="3">
        <v>223</v>
      </c>
      <c r="G2219">
        <v>23</v>
      </c>
      <c r="H2219">
        <v>8</v>
      </c>
      <c r="I2219" s="5">
        <v>4.57142857142857E-2</v>
      </c>
      <c r="J2219" s="3">
        <v>326</v>
      </c>
      <c r="K2219" s="1">
        <v>45604</v>
      </c>
      <c r="L2219" t="s">
        <v>25</v>
      </c>
      <c r="M2219" t="s">
        <v>39</v>
      </c>
      <c r="N2219" t="s">
        <v>27</v>
      </c>
      <c r="O2219" t="s">
        <v>28</v>
      </c>
      <c r="P2219" t="s">
        <v>45</v>
      </c>
      <c r="Q2219" s="6">
        <v>1.2765142857142799</v>
      </c>
      <c r="R2219">
        <v>2.96</v>
      </c>
      <c r="S2219">
        <v>9.7100000000000009</v>
      </c>
      <c r="T2219">
        <v>27.92</v>
      </c>
      <c r="U2219">
        <v>45.93</v>
      </c>
      <c r="V2219">
        <v>40.75</v>
      </c>
      <c r="W2219">
        <v>1.46</v>
      </c>
    </row>
    <row r="2220" spans="1:23" x14ac:dyDescent="0.3">
      <c r="A2220">
        <v>2220</v>
      </c>
      <c r="B2220" t="s">
        <v>2263</v>
      </c>
      <c r="C2220" t="s">
        <v>43</v>
      </c>
      <c r="D2220">
        <v>100</v>
      </c>
      <c r="E2220">
        <v>3948</v>
      </c>
      <c r="F2220" s="3">
        <v>231</v>
      </c>
      <c r="G2220">
        <v>30</v>
      </c>
      <c r="H2220">
        <v>6</v>
      </c>
      <c r="I2220" s="5">
        <v>0.06</v>
      </c>
      <c r="J2220" s="3">
        <v>252</v>
      </c>
      <c r="K2220" s="1">
        <v>45608</v>
      </c>
      <c r="L2220" t="s">
        <v>25</v>
      </c>
      <c r="M2220" t="s">
        <v>39</v>
      </c>
      <c r="N2220" t="s">
        <v>49</v>
      </c>
      <c r="O2220" t="s">
        <v>28</v>
      </c>
      <c r="P2220" t="s">
        <v>41</v>
      </c>
      <c r="Q2220" s="6">
        <v>2.3056000000000001</v>
      </c>
      <c r="R2220">
        <v>2.5299999999999998</v>
      </c>
      <c r="S2220">
        <v>7.69</v>
      </c>
      <c r="T2220">
        <v>38.43</v>
      </c>
      <c r="U2220">
        <v>9.3000000000000007</v>
      </c>
      <c r="V2220">
        <v>42</v>
      </c>
      <c r="W2220">
        <v>1.0900000000000001</v>
      </c>
    </row>
    <row r="2221" spans="1:23" x14ac:dyDescent="0.3">
      <c r="A2221">
        <v>2221</v>
      </c>
      <c r="B2221" t="s">
        <v>2264</v>
      </c>
      <c r="C2221" t="s">
        <v>43</v>
      </c>
      <c r="D2221">
        <v>114</v>
      </c>
      <c r="E2221">
        <v>5446</v>
      </c>
      <c r="F2221" s="3">
        <v>208</v>
      </c>
      <c r="G2221">
        <v>11</v>
      </c>
      <c r="H2221">
        <v>8</v>
      </c>
      <c r="I2221" s="5">
        <v>7.0175438596491196E-2</v>
      </c>
      <c r="J2221" s="3">
        <v>277</v>
      </c>
      <c r="K2221" s="1">
        <v>45608</v>
      </c>
      <c r="L2221" t="s">
        <v>25</v>
      </c>
      <c r="M2221" t="s">
        <v>31</v>
      </c>
      <c r="N2221" t="s">
        <v>36</v>
      </c>
      <c r="O2221" t="s">
        <v>28</v>
      </c>
      <c r="P2221" t="s">
        <v>41</v>
      </c>
      <c r="Q2221" s="6">
        <v>1.82122807017543</v>
      </c>
      <c r="R2221">
        <v>2.09</v>
      </c>
      <c r="S2221">
        <v>18.87</v>
      </c>
      <c r="T2221">
        <v>25.95</v>
      </c>
      <c r="U2221">
        <v>33.42</v>
      </c>
      <c r="V2221">
        <v>34.619999999999997</v>
      </c>
      <c r="W2221">
        <v>1.33</v>
      </c>
    </row>
    <row r="2222" spans="1:23" x14ac:dyDescent="0.3">
      <c r="A2222">
        <v>2222</v>
      </c>
      <c r="B2222" t="s">
        <v>2265</v>
      </c>
      <c r="C2222" t="s">
        <v>35</v>
      </c>
      <c r="D2222">
        <v>109</v>
      </c>
      <c r="E2222">
        <v>5388</v>
      </c>
      <c r="F2222" s="3">
        <v>206</v>
      </c>
      <c r="G2222">
        <v>22</v>
      </c>
      <c r="H2222">
        <v>6</v>
      </c>
      <c r="I2222" s="5">
        <v>5.5045871559633003E-2</v>
      </c>
      <c r="J2222" s="3">
        <v>273</v>
      </c>
      <c r="K2222" s="1">
        <v>45615</v>
      </c>
      <c r="L2222" t="s">
        <v>25</v>
      </c>
      <c r="M2222" t="s">
        <v>26</v>
      </c>
      <c r="N2222" t="s">
        <v>40</v>
      </c>
      <c r="O2222" t="s">
        <v>28</v>
      </c>
      <c r="P2222" t="s">
        <v>41</v>
      </c>
      <c r="Q2222" s="6">
        <v>1.88697247706422</v>
      </c>
      <c r="R2222">
        <v>2.02</v>
      </c>
      <c r="S2222">
        <v>9.35</v>
      </c>
      <c r="T2222">
        <v>34.28</v>
      </c>
      <c r="U2222">
        <v>32.729999999999997</v>
      </c>
      <c r="V2222">
        <v>45.5</v>
      </c>
      <c r="W2222">
        <v>1.33</v>
      </c>
    </row>
    <row r="2223" spans="1:23" x14ac:dyDescent="0.3">
      <c r="A2223">
        <v>2223</v>
      </c>
      <c r="B2223" t="s">
        <v>2266</v>
      </c>
      <c r="C2223" t="s">
        <v>24</v>
      </c>
      <c r="D2223">
        <v>154</v>
      </c>
      <c r="E2223">
        <v>5138</v>
      </c>
      <c r="F2223" s="3">
        <v>194</v>
      </c>
      <c r="G2223">
        <v>17</v>
      </c>
      <c r="H2223">
        <v>7</v>
      </c>
      <c r="I2223" s="5">
        <v>4.54545454545454E-2</v>
      </c>
      <c r="J2223" s="3">
        <v>264</v>
      </c>
      <c r="K2223" s="1">
        <v>45613</v>
      </c>
      <c r="L2223" t="s">
        <v>25</v>
      </c>
      <c r="M2223" t="s">
        <v>31</v>
      </c>
      <c r="N2223" t="s">
        <v>32</v>
      </c>
      <c r="O2223" t="s">
        <v>28</v>
      </c>
      <c r="P2223" t="s">
        <v>50</v>
      </c>
      <c r="Q2223" s="6">
        <v>1.2607142857142799</v>
      </c>
      <c r="R2223">
        <v>3</v>
      </c>
      <c r="S2223">
        <v>11.42</v>
      </c>
      <c r="T2223">
        <v>27.74</v>
      </c>
      <c r="U2223">
        <v>35.979999999999997</v>
      </c>
      <c r="V2223">
        <v>37.71</v>
      </c>
      <c r="W2223">
        <v>1.36</v>
      </c>
    </row>
    <row r="2224" spans="1:23" x14ac:dyDescent="0.3">
      <c r="A2224">
        <v>2224</v>
      </c>
      <c r="B2224" t="s">
        <v>2267</v>
      </c>
      <c r="C2224" t="s">
        <v>38</v>
      </c>
      <c r="D2224">
        <v>199</v>
      </c>
      <c r="E2224">
        <v>3534</v>
      </c>
      <c r="F2224" s="3">
        <v>239</v>
      </c>
      <c r="G2224">
        <v>24</v>
      </c>
      <c r="H2224">
        <v>5</v>
      </c>
      <c r="I2224" s="5">
        <v>2.5125628140703501E-2</v>
      </c>
      <c r="J2224" s="3">
        <v>362</v>
      </c>
      <c r="K2224" s="1">
        <v>45617</v>
      </c>
      <c r="L2224" t="s">
        <v>25</v>
      </c>
      <c r="M2224" t="s">
        <v>31</v>
      </c>
      <c r="N2224" t="s">
        <v>40</v>
      </c>
      <c r="O2224" t="s">
        <v>28</v>
      </c>
      <c r="P2224" t="s">
        <v>54</v>
      </c>
      <c r="Q2224" s="6">
        <v>1.1993467336683401</v>
      </c>
      <c r="R2224">
        <v>5.63</v>
      </c>
      <c r="S2224">
        <v>9.94</v>
      </c>
      <c r="T2224">
        <v>47.73</v>
      </c>
      <c r="U2224">
        <v>51.67</v>
      </c>
      <c r="V2224">
        <v>72.400000000000006</v>
      </c>
      <c r="W2224">
        <v>1.52</v>
      </c>
    </row>
    <row r="2225" spans="1:23" x14ac:dyDescent="0.3">
      <c r="A2225">
        <v>2225</v>
      </c>
      <c r="B2225" t="s">
        <v>2268</v>
      </c>
      <c r="C2225" t="s">
        <v>35</v>
      </c>
      <c r="D2225">
        <v>98</v>
      </c>
      <c r="E2225">
        <v>4302</v>
      </c>
      <c r="F2225" s="3">
        <v>183</v>
      </c>
      <c r="G2225">
        <v>16</v>
      </c>
      <c r="H2225">
        <v>9</v>
      </c>
      <c r="I2225" s="5">
        <v>9.18367346938775E-2</v>
      </c>
      <c r="J2225" s="3">
        <v>360</v>
      </c>
      <c r="K2225" s="1">
        <v>45615</v>
      </c>
      <c r="L2225" t="s">
        <v>25</v>
      </c>
      <c r="M2225" t="s">
        <v>26</v>
      </c>
      <c r="N2225" t="s">
        <v>32</v>
      </c>
      <c r="O2225" t="s">
        <v>28</v>
      </c>
      <c r="P2225" t="s">
        <v>41</v>
      </c>
      <c r="Q2225" s="6">
        <v>1.8714285714285701</v>
      </c>
      <c r="R2225">
        <v>2.2799999999999998</v>
      </c>
      <c r="S2225">
        <v>11.46</v>
      </c>
      <c r="T2225">
        <v>20.38</v>
      </c>
      <c r="U2225">
        <v>96.29</v>
      </c>
      <c r="V2225">
        <v>40</v>
      </c>
      <c r="W2225">
        <v>1.96</v>
      </c>
    </row>
    <row r="2226" spans="1:23" x14ac:dyDescent="0.3">
      <c r="A2226">
        <v>2226</v>
      </c>
      <c r="B2226" t="s">
        <v>2269</v>
      </c>
      <c r="C2226" t="s">
        <v>38</v>
      </c>
      <c r="D2226">
        <v>196</v>
      </c>
      <c r="E2226">
        <v>4367</v>
      </c>
      <c r="F2226" s="3">
        <v>238</v>
      </c>
      <c r="G2226">
        <v>20</v>
      </c>
      <c r="H2226">
        <v>7</v>
      </c>
      <c r="I2226" s="5">
        <v>3.5714285714285698E-2</v>
      </c>
      <c r="J2226" s="3">
        <v>394</v>
      </c>
      <c r="K2226" s="1">
        <v>45623</v>
      </c>
      <c r="L2226" t="s">
        <v>25</v>
      </c>
      <c r="M2226" t="s">
        <v>26</v>
      </c>
      <c r="N2226" t="s">
        <v>36</v>
      </c>
      <c r="O2226" t="s">
        <v>28</v>
      </c>
      <c r="P2226" t="s">
        <v>33</v>
      </c>
      <c r="Q2226" s="6">
        <v>1.21653061224489</v>
      </c>
      <c r="R2226">
        <v>4.49</v>
      </c>
      <c r="S2226">
        <v>11.92</v>
      </c>
      <c r="T2226">
        <v>34.06</v>
      </c>
      <c r="U2226">
        <v>65.239999999999995</v>
      </c>
      <c r="V2226">
        <v>56.29</v>
      </c>
      <c r="W2226">
        <v>1.65</v>
      </c>
    </row>
    <row r="2227" spans="1:23" x14ac:dyDescent="0.3">
      <c r="A2227">
        <v>2227</v>
      </c>
      <c r="B2227" t="s">
        <v>2270</v>
      </c>
      <c r="C2227" t="s">
        <v>24</v>
      </c>
      <c r="D2227">
        <v>81</v>
      </c>
      <c r="E2227">
        <v>3721</v>
      </c>
      <c r="F2227" s="3">
        <v>223</v>
      </c>
      <c r="G2227">
        <v>17</v>
      </c>
      <c r="H2227">
        <v>4</v>
      </c>
      <c r="I2227" s="5">
        <v>4.9382716049382699E-2</v>
      </c>
      <c r="J2227" s="3">
        <v>345</v>
      </c>
      <c r="K2227" s="1">
        <v>45611</v>
      </c>
      <c r="L2227" t="s">
        <v>25</v>
      </c>
      <c r="M2227" t="s">
        <v>26</v>
      </c>
      <c r="N2227" t="s">
        <v>32</v>
      </c>
      <c r="O2227" t="s">
        <v>28</v>
      </c>
      <c r="P2227" t="s">
        <v>45</v>
      </c>
      <c r="Q2227" s="6">
        <v>2.7517283950617202</v>
      </c>
      <c r="R2227">
        <v>2.1800000000000002</v>
      </c>
      <c r="S2227">
        <v>13.11</v>
      </c>
      <c r="T2227">
        <v>55.72</v>
      </c>
      <c r="U2227">
        <v>54.78</v>
      </c>
      <c r="V2227">
        <v>86.25</v>
      </c>
      <c r="W2227">
        <v>1.55</v>
      </c>
    </row>
    <row r="2228" spans="1:23" x14ac:dyDescent="0.3">
      <c r="A2228">
        <v>2228</v>
      </c>
      <c r="B2228" t="s">
        <v>2271</v>
      </c>
      <c r="C2228" t="s">
        <v>24</v>
      </c>
      <c r="D2228">
        <v>150</v>
      </c>
      <c r="E2228">
        <v>4351</v>
      </c>
      <c r="F2228" s="3">
        <v>204</v>
      </c>
      <c r="G2228">
        <v>26</v>
      </c>
      <c r="H2228">
        <v>8</v>
      </c>
      <c r="I2228" s="5">
        <v>5.3333333333333302E-2</v>
      </c>
      <c r="J2228" s="3">
        <v>360</v>
      </c>
      <c r="K2228" s="1">
        <v>45614</v>
      </c>
      <c r="L2228" t="s">
        <v>25</v>
      </c>
      <c r="M2228" t="s">
        <v>26</v>
      </c>
      <c r="N2228" t="s">
        <v>40</v>
      </c>
      <c r="O2228" t="s">
        <v>28</v>
      </c>
      <c r="P2228" t="s">
        <v>59</v>
      </c>
      <c r="Q2228" s="6">
        <v>1.3579999999999901</v>
      </c>
      <c r="R2228">
        <v>3.45</v>
      </c>
      <c r="S2228">
        <v>7.83</v>
      </c>
      <c r="T2228">
        <v>25.46</v>
      </c>
      <c r="U2228">
        <v>76.73</v>
      </c>
      <c r="V2228">
        <v>45</v>
      </c>
      <c r="W2228">
        <v>1.77</v>
      </c>
    </row>
    <row r="2229" spans="1:23" x14ac:dyDescent="0.3">
      <c r="A2229">
        <v>2229</v>
      </c>
      <c r="B2229" t="s">
        <v>2272</v>
      </c>
      <c r="C2229" t="s">
        <v>35</v>
      </c>
      <c r="D2229">
        <v>121</v>
      </c>
      <c r="E2229">
        <v>3122</v>
      </c>
      <c r="F2229" s="3">
        <v>238</v>
      </c>
      <c r="G2229">
        <v>29</v>
      </c>
      <c r="H2229">
        <v>6</v>
      </c>
      <c r="I2229" s="5">
        <v>4.9586776859504099E-2</v>
      </c>
      <c r="J2229" s="3">
        <v>367</v>
      </c>
      <c r="K2229" s="1">
        <v>45603</v>
      </c>
      <c r="L2229" t="s">
        <v>25</v>
      </c>
      <c r="M2229" t="s">
        <v>31</v>
      </c>
      <c r="N2229" t="s">
        <v>27</v>
      </c>
      <c r="O2229" t="s">
        <v>28</v>
      </c>
      <c r="P2229" t="s">
        <v>54</v>
      </c>
      <c r="Q2229" s="6">
        <v>1.9633884297520601</v>
      </c>
      <c r="R2229">
        <v>3.88</v>
      </c>
      <c r="S2229">
        <v>8.19</v>
      </c>
      <c r="T2229">
        <v>39.6</v>
      </c>
      <c r="U2229">
        <v>54.48</v>
      </c>
      <c r="V2229">
        <v>61.17</v>
      </c>
      <c r="W2229">
        <v>1.54</v>
      </c>
    </row>
    <row r="2230" spans="1:23" x14ac:dyDescent="0.3">
      <c r="A2230">
        <v>2230</v>
      </c>
      <c r="B2230" t="s">
        <v>2273</v>
      </c>
      <c r="C2230" t="s">
        <v>43</v>
      </c>
      <c r="D2230">
        <v>124</v>
      </c>
      <c r="E2230">
        <v>3924</v>
      </c>
      <c r="F2230" s="3">
        <v>189</v>
      </c>
      <c r="G2230">
        <v>24</v>
      </c>
      <c r="H2230">
        <v>6</v>
      </c>
      <c r="I2230" s="5">
        <v>4.8387096774193498E-2</v>
      </c>
      <c r="J2230" s="3">
        <v>300</v>
      </c>
      <c r="K2230" s="1">
        <v>45600</v>
      </c>
      <c r="L2230" t="s">
        <v>25</v>
      </c>
      <c r="M2230" t="s">
        <v>39</v>
      </c>
      <c r="N2230" t="s">
        <v>40</v>
      </c>
      <c r="O2230" t="s">
        <v>28</v>
      </c>
      <c r="P2230" t="s">
        <v>59</v>
      </c>
      <c r="Q2230" s="6">
        <v>1.5214516129032201</v>
      </c>
      <c r="R2230">
        <v>3.16</v>
      </c>
      <c r="S2230">
        <v>7.86</v>
      </c>
      <c r="T2230">
        <v>31.44</v>
      </c>
      <c r="U2230">
        <v>59.02</v>
      </c>
      <c r="V2230">
        <v>50</v>
      </c>
      <c r="W2230">
        <v>1.59</v>
      </c>
    </row>
    <row r="2231" spans="1:23" x14ac:dyDescent="0.3">
      <c r="A2231">
        <v>2231</v>
      </c>
      <c r="B2231" t="s">
        <v>2274</v>
      </c>
      <c r="C2231" t="s">
        <v>38</v>
      </c>
      <c r="D2231">
        <v>108</v>
      </c>
      <c r="E2231">
        <v>4126</v>
      </c>
      <c r="F2231" s="3">
        <v>219</v>
      </c>
      <c r="G2231">
        <v>22</v>
      </c>
      <c r="H2231">
        <v>3</v>
      </c>
      <c r="I2231" s="5">
        <v>2.77777777777777E-2</v>
      </c>
      <c r="J2231" s="3">
        <v>260</v>
      </c>
      <c r="K2231" s="1">
        <v>45625</v>
      </c>
      <c r="L2231" t="s">
        <v>25</v>
      </c>
      <c r="M2231" t="s">
        <v>31</v>
      </c>
      <c r="N2231" t="s">
        <v>32</v>
      </c>
      <c r="O2231" t="s">
        <v>28</v>
      </c>
      <c r="P2231" t="s">
        <v>45</v>
      </c>
      <c r="Q2231" s="6">
        <v>2.0308333333333302</v>
      </c>
      <c r="R2231">
        <v>2.62</v>
      </c>
      <c r="S2231">
        <v>9.9700000000000006</v>
      </c>
      <c r="T2231">
        <v>73.11</v>
      </c>
      <c r="U2231">
        <v>18.54</v>
      </c>
      <c r="V2231">
        <v>86.67</v>
      </c>
      <c r="W2231">
        <v>1.19</v>
      </c>
    </row>
    <row r="2232" spans="1:23" x14ac:dyDescent="0.3">
      <c r="A2232">
        <v>2232</v>
      </c>
      <c r="B2232" t="s">
        <v>2275</v>
      </c>
      <c r="C2232" t="s">
        <v>43</v>
      </c>
      <c r="D2232">
        <v>192</v>
      </c>
      <c r="E2232">
        <v>3499</v>
      </c>
      <c r="F2232" s="3">
        <v>238</v>
      </c>
      <c r="G2232">
        <v>20</v>
      </c>
      <c r="H2232">
        <v>10</v>
      </c>
      <c r="I2232" s="5">
        <v>5.2083333333333301E-2</v>
      </c>
      <c r="J2232" s="3">
        <v>467.142857142857</v>
      </c>
      <c r="K2232" s="1">
        <v>45608</v>
      </c>
      <c r="L2232" t="s">
        <v>25</v>
      </c>
      <c r="M2232" t="s">
        <v>39</v>
      </c>
      <c r="N2232" t="s">
        <v>49</v>
      </c>
      <c r="O2232" t="s">
        <v>28</v>
      </c>
      <c r="P2232" t="s">
        <v>41</v>
      </c>
      <c r="Q2232" s="6">
        <v>1.2386979166666601</v>
      </c>
      <c r="R2232">
        <v>5.49</v>
      </c>
      <c r="S2232">
        <v>11.89</v>
      </c>
      <c r="T2232">
        <v>23.78</v>
      </c>
      <c r="U2232">
        <v>96.42</v>
      </c>
      <c r="V2232">
        <v>46.71</v>
      </c>
      <c r="W2232">
        <v>1.96</v>
      </c>
    </row>
    <row r="2233" spans="1:23" x14ac:dyDescent="0.3">
      <c r="A2233">
        <v>2233</v>
      </c>
      <c r="B2233" t="s">
        <v>2276</v>
      </c>
      <c r="C2233" t="s">
        <v>35</v>
      </c>
      <c r="D2233">
        <v>178</v>
      </c>
      <c r="E2233">
        <v>3708</v>
      </c>
      <c r="F2233" s="3">
        <v>193</v>
      </c>
      <c r="G2233">
        <v>20</v>
      </c>
      <c r="H2233">
        <v>10</v>
      </c>
      <c r="I2233" s="5">
        <v>5.6179775280898799E-2</v>
      </c>
      <c r="J2233" s="3">
        <v>264</v>
      </c>
      <c r="K2233" s="1">
        <v>45612</v>
      </c>
      <c r="L2233" t="s">
        <v>25</v>
      </c>
      <c r="M2233" t="s">
        <v>39</v>
      </c>
      <c r="N2233" t="s">
        <v>36</v>
      </c>
      <c r="O2233" t="s">
        <v>28</v>
      </c>
      <c r="P2233" t="s">
        <v>29</v>
      </c>
      <c r="Q2233" s="6">
        <v>1.0829775280898799</v>
      </c>
      <c r="R2233">
        <v>4.8</v>
      </c>
      <c r="S2233">
        <v>9.64</v>
      </c>
      <c r="T2233">
        <v>19.28</v>
      </c>
      <c r="U2233">
        <v>36.950000000000003</v>
      </c>
      <c r="V2233">
        <v>26.4</v>
      </c>
      <c r="W2233">
        <v>1.37</v>
      </c>
    </row>
    <row r="2234" spans="1:23" x14ac:dyDescent="0.3">
      <c r="A2234">
        <v>2234</v>
      </c>
      <c r="B2234" t="s">
        <v>2277</v>
      </c>
      <c r="C2234" t="s">
        <v>35</v>
      </c>
      <c r="D2234">
        <v>191</v>
      </c>
      <c r="E2234">
        <v>3302</v>
      </c>
      <c r="F2234" s="3">
        <v>208</v>
      </c>
      <c r="G2234">
        <v>18</v>
      </c>
      <c r="H2234">
        <v>9</v>
      </c>
      <c r="I2234" s="5">
        <v>4.7120418848167499E-2</v>
      </c>
      <c r="J2234" s="3">
        <v>420.42857142857099</v>
      </c>
      <c r="K2234" s="1">
        <v>45622</v>
      </c>
      <c r="L2234" t="s">
        <v>25</v>
      </c>
      <c r="M2234" t="s">
        <v>31</v>
      </c>
      <c r="N2234" t="s">
        <v>27</v>
      </c>
      <c r="O2234" t="s">
        <v>28</v>
      </c>
      <c r="P2234" t="s">
        <v>41</v>
      </c>
      <c r="Q2234" s="6">
        <v>1.08769633507853</v>
      </c>
      <c r="R2234">
        <v>5.78</v>
      </c>
      <c r="S2234">
        <v>11.54</v>
      </c>
      <c r="T2234">
        <v>23.08</v>
      </c>
      <c r="U2234">
        <v>102.37</v>
      </c>
      <c r="V2234">
        <v>46.71</v>
      </c>
      <c r="W2234">
        <v>2.02</v>
      </c>
    </row>
    <row r="2235" spans="1:23" x14ac:dyDescent="0.3">
      <c r="A2235">
        <v>2235</v>
      </c>
      <c r="B2235" t="s">
        <v>2278</v>
      </c>
      <c r="C2235" t="s">
        <v>35</v>
      </c>
      <c r="D2235">
        <v>147</v>
      </c>
      <c r="E2235">
        <v>3131</v>
      </c>
      <c r="F2235" s="3">
        <v>243</v>
      </c>
      <c r="G2235">
        <v>10</v>
      </c>
      <c r="H2235">
        <v>4</v>
      </c>
      <c r="I2235" s="5">
        <v>2.7210884353741398E-2</v>
      </c>
      <c r="J2235" s="3">
        <v>251</v>
      </c>
      <c r="K2235" s="1">
        <v>45614</v>
      </c>
      <c r="L2235" t="s">
        <v>25</v>
      </c>
      <c r="M2235" t="s">
        <v>26</v>
      </c>
      <c r="N2235" t="s">
        <v>32</v>
      </c>
      <c r="O2235" t="s">
        <v>28</v>
      </c>
      <c r="P2235" t="s">
        <v>59</v>
      </c>
      <c r="Q2235" s="6">
        <v>1.64986394557823</v>
      </c>
      <c r="R2235">
        <v>4.6900000000000004</v>
      </c>
      <c r="S2235">
        <v>24.25</v>
      </c>
      <c r="T2235">
        <v>60.63</v>
      </c>
      <c r="U2235">
        <v>3.49</v>
      </c>
      <c r="V2235">
        <v>62.75</v>
      </c>
      <c r="W2235">
        <v>1.03</v>
      </c>
    </row>
    <row r="2236" spans="1:23" x14ac:dyDescent="0.3">
      <c r="A2236">
        <v>2236</v>
      </c>
      <c r="B2236" t="s">
        <v>2279</v>
      </c>
      <c r="C2236" t="s">
        <v>35</v>
      </c>
      <c r="D2236">
        <v>88</v>
      </c>
      <c r="E2236">
        <v>5145</v>
      </c>
      <c r="F2236" s="3">
        <v>243</v>
      </c>
      <c r="G2236">
        <v>16</v>
      </c>
      <c r="H2236">
        <v>10</v>
      </c>
      <c r="I2236" s="5">
        <v>0.11363636363636299</v>
      </c>
      <c r="J2236" s="3">
        <v>401</v>
      </c>
      <c r="K2236" s="1">
        <v>45610</v>
      </c>
      <c r="L2236" t="s">
        <v>25</v>
      </c>
      <c r="M2236" t="s">
        <v>39</v>
      </c>
      <c r="N2236" t="s">
        <v>49</v>
      </c>
      <c r="O2236" t="s">
        <v>28</v>
      </c>
      <c r="P2236" t="s">
        <v>54</v>
      </c>
      <c r="Q2236" s="6">
        <v>2.7602272727272701</v>
      </c>
      <c r="R2236">
        <v>1.71</v>
      </c>
      <c r="S2236">
        <v>15.18</v>
      </c>
      <c r="T2236">
        <v>24.29</v>
      </c>
      <c r="U2236">
        <v>65.09</v>
      </c>
      <c r="V2236">
        <v>40.1</v>
      </c>
      <c r="W2236">
        <v>1.65</v>
      </c>
    </row>
    <row r="2237" spans="1:23" x14ac:dyDescent="0.3">
      <c r="A2237">
        <v>2237</v>
      </c>
      <c r="B2237" t="s">
        <v>2280</v>
      </c>
      <c r="C2237" t="s">
        <v>38</v>
      </c>
      <c r="D2237">
        <v>92</v>
      </c>
      <c r="E2237">
        <v>5241</v>
      </c>
      <c r="F2237" s="3">
        <v>223</v>
      </c>
      <c r="G2237">
        <v>23</v>
      </c>
      <c r="H2237">
        <v>9</v>
      </c>
      <c r="I2237" s="5">
        <v>9.7826086956521702E-2</v>
      </c>
      <c r="J2237" s="3">
        <v>214</v>
      </c>
      <c r="K2237" s="1">
        <v>45614</v>
      </c>
      <c r="L2237" t="s">
        <v>25</v>
      </c>
      <c r="M2237" t="s">
        <v>26</v>
      </c>
      <c r="N2237" t="s">
        <v>36</v>
      </c>
      <c r="O2237" t="s">
        <v>28</v>
      </c>
      <c r="P2237" t="s">
        <v>59</v>
      </c>
      <c r="Q2237" s="6">
        <v>2.4291304347825999</v>
      </c>
      <c r="R2237">
        <v>1.76</v>
      </c>
      <c r="S2237">
        <v>9.7200000000000006</v>
      </c>
      <c r="T2237">
        <v>24.83</v>
      </c>
      <c r="U2237">
        <v>-4.24</v>
      </c>
      <c r="V2237">
        <v>23.78</v>
      </c>
      <c r="W2237">
        <v>0.96</v>
      </c>
    </row>
    <row r="2238" spans="1:23" x14ac:dyDescent="0.3">
      <c r="A2238">
        <v>2238</v>
      </c>
      <c r="B2238" t="s">
        <v>2281</v>
      </c>
      <c r="C2238" t="s">
        <v>38</v>
      </c>
      <c r="D2238">
        <v>148</v>
      </c>
      <c r="E2238">
        <v>4149</v>
      </c>
      <c r="F2238" s="3">
        <v>223</v>
      </c>
      <c r="G2238">
        <v>30</v>
      </c>
      <c r="H2238">
        <v>6</v>
      </c>
      <c r="I2238" s="5">
        <v>4.0540540540540501E-2</v>
      </c>
      <c r="J2238" s="3">
        <v>269</v>
      </c>
      <c r="K2238" s="1">
        <v>45604</v>
      </c>
      <c r="L2238" t="s">
        <v>25</v>
      </c>
      <c r="M2238" t="s">
        <v>39</v>
      </c>
      <c r="N2238" t="s">
        <v>32</v>
      </c>
      <c r="O2238" t="s">
        <v>28</v>
      </c>
      <c r="P2238" t="s">
        <v>45</v>
      </c>
      <c r="Q2238" s="6">
        <v>1.5089864864864799</v>
      </c>
      <c r="R2238">
        <v>3.57</v>
      </c>
      <c r="S2238">
        <v>7.44</v>
      </c>
      <c r="T2238">
        <v>37.22</v>
      </c>
      <c r="U2238">
        <v>20.45</v>
      </c>
      <c r="V2238">
        <v>44.83</v>
      </c>
      <c r="W2238">
        <v>1.2</v>
      </c>
    </row>
    <row r="2239" spans="1:23" x14ac:dyDescent="0.3">
      <c r="A2239">
        <v>2239</v>
      </c>
      <c r="B2239" t="s">
        <v>2282</v>
      </c>
      <c r="C2239" t="s">
        <v>24</v>
      </c>
      <c r="D2239">
        <v>127</v>
      </c>
      <c r="E2239">
        <v>3791</v>
      </c>
      <c r="F2239" s="3">
        <v>231</v>
      </c>
      <c r="G2239">
        <v>11</v>
      </c>
      <c r="H2239">
        <v>6</v>
      </c>
      <c r="I2239" s="5">
        <v>4.7244094488188899E-2</v>
      </c>
      <c r="J2239" s="3">
        <v>276</v>
      </c>
      <c r="K2239" s="1">
        <v>45599</v>
      </c>
      <c r="L2239" t="s">
        <v>25</v>
      </c>
      <c r="M2239" t="s">
        <v>26</v>
      </c>
      <c r="N2239" t="s">
        <v>44</v>
      </c>
      <c r="O2239" t="s">
        <v>28</v>
      </c>
      <c r="P2239" t="s">
        <v>50</v>
      </c>
      <c r="Q2239" s="6">
        <v>1.8193700787401501</v>
      </c>
      <c r="R2239">
        <v>3.35</v>
      </c>
      <c r="S2239">
        <v>21.01</v>
      </c>
      <c r="T2239">
        <v>38.51</v>
      </c>
      <c r="U2239">
        <v>19.45</v>
      </c>
      <c r="V2239">
        <v>46</v>
      </c>
      <c r="W2239">
        <v>1.19</v>
      </c>
    </row>
    <row r="2240" spans="1:23" x14ac:dyDescent="0.3">
      <c r="A2240">
        <v>2240</v>
      </c>
      <c r="B2240" t="s">
        <v>2283</v>
      </c>
      <c r="C2240" t="s">
        <v>38</v>
      </c>
      <c r="D2240">
        <v>156</v>
      </c>
      <c r="E2240">
        <v>4375</v>
      </c>
      <c r="F2240" s="3">
        <v>249</v>
      </c>
      <c r="G2240">
        <v>26</v>
      </c>
      <c r="H2240">
        <v>6</v>
      </c>
      <c r="I2240" s="5">
        <v>3.8461538461538401E-2</v>
      </c>
      <c r="J2240" s="3">
        <v>339</v>
      </c>
      <c r="K2240" s="1">
        <v>45611</v>
      </c>
      <c r="L2240" t="s">
        <v>25</v>
      </c>
      <c r="M2240" t="s">
        <v>39</v>
      </c>
      <c r="N2240" t="s">
        <v>32</v>
      </c>
      <c r="O2240" t="s">
        <v>28</v>
      </c>
      <c r="P2240" t="s">
        <v>45</v>
      </c>
      <c r="Q2240" s="6">
        <v>1.5982692307692301</v>
      </c>
      <c r="R2240">
        <v>3.57</v>
      </c>
      <c r="S2240">
        <v>9.59</v>
      </c>
      <c r="T2240">
        <v>41.56</v>
      </c>
      <c r="U2240">
        <v>35.96</v>
      </c>
      <c r="V2240">
        <v>56.5</v>
      </c>
      <c r="W2240">
        <v>1.36</v>
      </c>
    </row>
    <row r="2241" spans="1:23" x14ac:dyDescent="0.3">
      <c r="A2241">
        <v>2241</v>
      </c>
      <c r="B2241" t="s">
        <v>2284</v>
      </c>
      <c r="C2241" t="s">
        <v>43</v>
      </c>
      <c r="D2241">
        <v>176</v>
      </c>
      <c r="E2241">
        <v>3753</v>
      </c>
      <c r="F2241" s="3">
        <v>202</v>
      </c>
      <c r="G2241">
        <v>11</v>
      </c>
      <c r="H2241">
        <v>4</v>
      </c>
      <c r="I2241" s="5">
        <v>2.27272727272727E-2</v>
      </c>
      <c r="J2241" s="3">
        <v>218</v>
      </c>
      <c r="K2241" s="1">
        <v>45603</v>
      </c>
      <c r="L2241" t="s">
        <v>25</v>
      </c>
      <c r="M2241" t="s">
        <v>31</v>
      </c>
      <c r="N2241" t="s">
        <v>40</v>
      </c>
      <c r="O2241" t="s">
        <v>28</v>
      </c>
      <c r="P2241" t="s">
        <v>54</v>
      </c>
      <c r="Q2241" s="6">
        <v>1.14636363636363</v>
      </c>
      <c r="R2241">
        <v>4.6900000000000004</v>
      </c>
      <c r="S2241">
        <v>18.34</v>
      </c>
      <c r="T2241">
        <v>50.44</v>
      </c>
      <c r="U2241">
        <v>8.0500000000000007</v>
      </c>
      <c r="V2241">
        <v>54.5</v>
      </c>
      <c r="W2241">
        <v>1.08</v>
      </c>
    </row>
    <row r="2242" spans="1:23" x14ac:dyDescent="0.3">
      <c r="A2242">
        <v>2242</v>
      </c>
      <c r="B2242" t="s">
        <v>2285</v>
      </c>
      <c r="C2242" t="s">
        <v>35</v>
      </c>
      <c r="D2242">
        <v>145</v>
      </c>
      <c r="E2242">
        <v>4275</v>
      </c>
      <c r="F2242" s="3">
        <v>185</v>
      </c>
      <c r="G2242">
        <v>25</v>
      </c>
      <c r="H2242">
        <v>7</v>
      </c>
      <c r="I2242" s="5">
        <v>4.8275862068965503E-2</v>
      </c>
      <c r="J2242" s="3">
        <v>321</v>
      </c>
      <c r="K2242" s="1">
        <v>45605</v>
      </c>
      <c r="L2242" t="s">
        <v>25</v>
      </c>
      <c r="M2242" t="s">
        <v>26</v>
      </c>
      <c r="N2242" t="s">
        <v>40</v>
      </c>
      <c r="O2242" t="s">
        <v>28</v>
      </c>
      <c r="P2242" t="s">
        <v>29</v>
      </c>
      <c r="Q2242" s="6">
        <v>1.2762068965517199</v>
      </c>
      <c r="R2242">
        <v>3.39</v>
      </c>
      <c r="S2242">
        <v>7.4</v>
      </c>
      <c r="T2242">
        <v>26.44</v>
      </c>
      <c r="U2242">
        <v>73.47</v>
      </c>
      <c r="V2242">
        <v>45.86</v>
      </c>
      <c r="W2242">
        <v>1.73</v>
      </c>
    </row>
    <row r="2243" spans="1:23" x14ac:dyDescent="0.3">
      <c r="A2243">
        <v>2243</v>
      </c>
      <c r="B2243" t="s">
        <v>2286</v>
      </c>
      <c r="C2243" t="s">
        <v>43</v>
      </c>
      <c r="D2243">
        <v>136</v>
      </c>
      <c r="E2243">
        <v>4332</v>
      </c>
      <c r="F2243" s="3">
        <v>235</v>
      </c>
      <c r="G2243">
        <v>19</v>
      </c>
      <c r="H2243">
        <v>6</v>
      </c>
      <c r="I2243" s="5">
        <v>4.4117647058823498E-2</v>
      </c>
      <c r="J2243" s="3">
        <v>237</v>
      </c>
      <c r="K2243" s="1">
        <v>45614</v>
      </c>
      <c r="L2243" t="s">
        <v>25</v>
      </c>
      <c r="M2243" t="s">
        <v>26</v>
      </c>
      <c r="N2243" t="s">
        <v>27</v>
      </c>
      <c r="O2243" t="s">
        <v>28</v>
      </c>
      <c r="P2243" t="s">
        <v>59</v>
      </c>
      <c r="Q2243" s="6">
        <v>1.7244117647058801</v>
      </c>
      <c r="R2243">
        <v>3.14</v>
      </c>
      <c r="S2243">
        <v>12.34</v>
      </c>
      <c r="T2243">
        <v>39.090000000000003</v>
      </c>
      <c r="U2243">
        <v>1.06</v>
      </c>
      <c r="V2243">
        <v>39.5</v>
      </c>
      <c r="W2243">
        <v>1.01</v>
      </c>
    </row>
    <row r="2244" spans="1:23" x14ac:dyDescent="0.3">
      <c r="A2244">
        <v>2244</v>
      </c>
      <c r="B2244" t="s">
        <v>2287</v>
      </c>
      <c r="C2244" t="s">
        <v>43</v>
      </c>
      <c r="D2244">
        <v>150</v>
      </c>
      <c r="E2244">
        <v>4001</v>
      </c>
      <c r="F2244" s="3">
        <v>219</v>
      </c>
      <c r="G2244">
        <v>25</v>
      </c>
      <c r="H2244">
        <v>6</v>
      </c>
      <c r="I2244" s="5">
        <v>0.04</v>
      </c>
      <c r="J2244" s="3">
        <v>279</v>
      </c>
      <c r="K2244" s="1">
        <v>45605</v>
      </c>
      <c r="L2244" t="s">
        <v>25</v>
      </c>
      <c r="M2244" t="s">
        <v>39</v>
      </c>
      <c r="N2244" t="s">
        <v>44</v>
      </c>
      <c r="O2244" t="s">
        <v>28</v>
      </c>
      <c r="P2244" t="s">
        <v>29</v>
      </c>
      <c r="Q2244" s="6">
        <v>1.4606666666666599</v>
      </c>
      <c r="R2244">
        <v>3.75</v>
      </c>
      <c r="S2244">
        <v>8.76</v>
      </c>
      <c r="T2244">
        <v>36.520000000000003</v>
      </c>
      <c r="U2244">
        <v>27.34</v>
      </c>
      <c r="V2244">
        <v>46.5</v>
      </c>
      <c r="W2244">
        <v>1.27</v>
      </c>
    </row>
    <row r="2245" spans="1:23" x14ac:dyDescent="0.3">
      <c r="A2245">
        <v>2245</v>
      </c>
      <c r="B2245" t="s">
        <v>2288</v>
      </c>
      <c r="C2245" t="s">
        <v>43</v>
      </c>
      <c r="D2245">
        <v>145</v>
      </c>
      <c r="E2245">
        <v>4436</v>
      </c>
      <c r="F2245" s="3">
        <v>191</v>
      </c>
      <c r="G2245">
        <v>13</v>
      </c>
      <c r="H2245">
        <v>10</v>
      </c>
      <c r="I2245" s="5">
        <v>6.8965517241379296E-2</v>
      </c>
      <c r="J2245" s="3">
        <v>307</v>
      </c>
      <c r="K2245" s="1">
        <v>45617</v>
      </c>
      <c r="L2245" t="s">
        <v>25</v>
      </c>
      <c r="M2245" t="s">
        <v>39</v>
      </c>
      <c r="N2245" t="s">
        <v>32</v>
      </c>
      <c r="O2245" t="s">
        <v>28</v>
      </c>
      <c r="P2245" t="s">
        <v>54</v>
      </c>
      <c r="Q2245" s="6">
        <v>1.3146896551724101</v>
      </c>
      <c r="R2245">
        <v>3.27</v>
      </c>
      <c r="S2245">
        <v>14.66</v>
      </c>
      <c r="T2245">
        <v>19.059999999999999</v>
      </c>
      <c r="U2245">
        <v>61.04</v>
      </c>
      <c r="V2245">
        <v>30.7</v>
      </c>
      <c r="W2245">
        <v>1.61</v>
      </c>
    </row>
    <row r="2246" spans="1:23" x14ac:dyDescent="0.3">
      <c r="A2246">
        <v>2246</v>
      </c>
      <c r="B2246" t="s">
        <v>2289</v>
      </c>
      <c r="C2246" t="s">
        <v>24</v>
      </c>
      <c r="D2246">
        <v>165</v>
      </c>
      <c r="E2246">
        <v>5661</v>
      </c>
      <c r="F2246" s="3">
        <v>259</v>
      </c>
      <c r="G2246">
        <v>28</v>
      </c>
      <c r="H2246">
        <v>6</v>
      </c>
      <c r="I2246" s="5">
        <v>3.6363636363636299E-2</v>
      </c>
      <c r="J2246" s="3">
        <v>377</v>
      </c>
      <c r="K2246" s="1">
        <v>45598</v>
      </c>
      <c r="L2246" t="s">
        <v>25</v>
      </c>
      <c r="M2246" t="s">
        <v>26</v>
      </c>
      <c r="N2246" t="s">
        <v>36</v>
      </c>
      <c r="O2246" t="s">
        <v>28</v>
      </c>
      <c r="P2246" t="s">
        <v>29</v>
      </c>
      <c r="Q2246" s="6">
        <v>1.56753061615001</v>
      </c>
      <c r="R2246">
        <v>2.91</v>
      </c>
      <c r="S2246">
        <v>9.24</v>
      </c>
      <c r="T2246">
        <v>43.11</v>
      </c>
      <c r="U2246">
        <v>45.76</v>
      </c>
      <c r="V2246">
        <v>62.83</v>
      </c>
      <c r="W2246">
        <v>1.46</v>
      </c>
    </row>
    <row r="2247" spans="1:23" x14ac:dyDescent="0.3">
      <c r="A2247">
        <v>2247</v>
      </c>
      <c r="B2247" t="s">
        <v>2290</v>
      </c>
      <c r="C2247" t="s">
        <v>38</v>
      </c>
      <c r="D2247">
        <v>183</v>
      </c>
      <c r="E2247">
        <v>5746</v>
      </c>
      <c r="F2247" s="3">
        <v>248</v>
      </c>
      <c r="G2247">
        <v>14</v>
      </c>
      <c r="H2247">
        <v>5</v>
      </c>
      <c r="I2247" s="5">
        <v>2.7322404371584699E-2</v>
      </c>
      <c r="J2247" s="3">
        <v>207</v>
      </c>
      <c r="K2247" s="1">
        <v>45621</v>
      </c>
      <c r="L2247" t="s">
        <v>25</v>
      </c>
      <c r="M2247" t="s">
        <v>39</v>
      </c>
      <c r="N2247" t="s">
        <v>32</v>
      </c>
      <c r="O2247" t="s">
        <v>28</v>
      </c>
      <c r="P2247" t="s">
        <v>59</v>
      </c>
      <c r="Q2247" s="6">
        <v>1.3560109289617399</v>
      </c>
      <c r="R2247">
        <v>3.18</v>
      </c>
      <c r="S2247">
        <v>17.73</v>
      </c>
      <c r="T2247">
        <v>49.63</v>
      </c>
      <c r="U2247">
        <v>-16.579999999999998</v>
      </c>
      <c r="V2247">
        <v>41.4</v>
      </c>
      <c r="W2247">
        <v>0.83</v>
      </c>
    </row>
    <row r="2248" spans="1:23" x14ac:dyDescent="0.3">
      <c r="A2248">
        <v>2248</v>
      </c>
      <c r="B2248" t="s">
        <v>2291</v>
      </c>
      <c r="C2248" t="s">
        <v>43</v>
      </c>
      <c r="D2248">
        <v>176</v>
      </c>
      <c r="E2248">
        <v>3906</v>
      </c>
      <c r="F2248" s="3">
        <v>214</v>
      </c>
      <c r="G2248">
        <v>29</v>
      </c>
      <c r="H2248">
        <v>4</v>
      </c>
      <c r="I2248" s="5">
        <v>2.27272727272727E-2</v>
      </c>
      <c r="J2248" s="3">
        <v>282</v>
      </c>
      <c r="K2248" s="1">
        <v>45621</v>
      </c>
      <c r="L2248" t="s">
        <v>25</v>
      </c>
      <c r="M2248" t="s">
        <v>39</v>
      </c>
      <c r="N2248" t="s">
        <v>44</v>
      </c>
      <c r="O2248" t="s">
        <v>28</v>
      </c>
      <c r="P2248" t="s">
        <v>59</v>
      </c>
      <c r="Q2248" s="6">
        <v>1.2159090909090899</v>
      </c>
      <c r="R2248">
        <v>4.51</v>
      </c>
      <c r="S2248">
        <v>7.38</v>
      </c>
      <c r="T2248">
        <v>53.5</v>
      </c>
      <c r="U2248">
        <v>31.78</v>
      </c>
      <c r="V2248">
        <v>70.5</v>
      </c>
      <c r="W2248">
        <v>1.32</v>
      </c>
    </row>
    <row r="2249" spans="1:23" x14ac:dyDescent="0.3">
      <c r="A2249">
        <v>2249</v>
      </c>
      <c r="B2249" t="s">
        <v>2292</v>
      </c>
      <c r="C2249" t="s">
        <v>24</v>
      </c>
      <c r="D2249">
        <v>164</v>
      </c>
      <c r="E2249">
        <v>5127</v>
      </c>
      <c r="F2249" s="3">
        <v>195</v>
      </c>
      <c r="G2249">
        <v>20</v>
      </c>
      <c r="H2249">
        <v>5</v>
      </c>
      <c r="I2249" s="5">
        <v>3.04878048780487E-2</v>
      </c>
      <c r="J2249" s="3">
        <v>233.57142857142799</v>
      </c>
      <c r="K2249" s="1">
        <v>45608</v>
      </c>
      <c r="L2249" t="s">
        <v>25</v>
      </c>
      <c r="M2249" t="s">
        <v>39</v>
      </c>
      <c r="N2249" t="s">
        <v>49</v>
      </c>
      <c r="O2249" t="s">
        <v>28</v>
      </c>
      <c r="P2249" t="s">
        <v>41</v>
      </c>
      <c r="Q2249" s="6">
        <v>1.18756097560975</v>
      </c>
      <c r="R2249">
        <v>3.2</v>
      </c>
      <c r="S2249">
        <v>9.74</v>
      </c>
      <c r="T2249">
        <v>38.950000000000003</v>
      </c>
      <c r="U2249">
        <v>19.93</v>
      </c>
      <c r="V2249">
        <v>46.71</v>
      </c>
      <c r="W2249">
        <v>1.2</v>
      </c>
    </row>
    <row r="2250" spans="1:23" x14ac:dyDescent="0.3">
      <c r="A2250">
        <v>2250</v>
      </c>
      <c r="B2250" t="s">
        <v>2293</v>
      </c>
      <c r="C2250" t="s">
        <v>24</v>
      </c>
      <c r="D2250">
        <v>124</v>
      </c>
      <c r="E2250">
        <v>4093</v>
      </c>
      <c r="F2250" s="3">
        <v>231</v>
      </c>
      <c r="G2250">
        <v>15</v>
      </c>
      <c r="H2250">
        <v>6</v>
      </c>
      <c r="I2250" s="5">
        <v>4.8387096774193498E-2</v>
      </c>
      <c r="J2250" s="3">
        <v>350</v>
      </c>
      <c r="K2250" s="1">
        <v>45598</v>
      </c>
      <c r="L2250" t="s">
        <v>25</v>
      </c>
      <c r="M2250" t="s">
        <v>26</v>
      </c>
      <c r="N2250" t="s">
        <v>32</v>
      </c>
      <c r="O2250" t="s">
        <v>28</v>
      </c>
      <c r="P2250" t="s">
        <v>29</v>
      </c>
      <c r="Q2250" s="6">
        <v>1.8613709677419299</v>
      </c>
      <c r="R2250">
        <v>3.03</v>
      </c>
      <c r="S2250">
        <v>15.39</v>
      </c>
      <c r="T2250">
        <v>38.47</v>
      </c>
      <c r="U2250">
        <v>51.64</v>
      </c>
      <c r="V2250">
        <v>58.33</v>
      </c>
      <c r="W2250">
        <v>1.52</v>
      </c>
    </row>
    <row r="2251" spans="1:23" x14ac:dyDescent="0.3">
      <c r="A2251">
        <v>2251</v>
      </c>
      <c r="B2251" t="s">
        <v>2294</v>
      </c>
      <c r="C2251" t="s">
        <v>38</v>
      </c>
      <c r="D2251">
        <v>95</v>
      </c>
      <c r="E2251">
        <v>4933</v>
      </c>
      <c r="F2251" s="3">
        <v>220</v>
      </c>
      <c r="G2251">
        <v>15</v>
      </c>
      <c r="H2251">
        <v>3</v>
      </c>
      <c r="I2251" s="5">
        <v>3.1578947368420998E-2</v>
      </c>
      <c r="J2251" s="3">
        <v>279</v>
      </c>
      <c r="K2251" s="1">
        <v>45600</v>
      </c>
      <c r="L2251" t="s">
        <v>25</v>
      </c>
      <c r="M2251" t="s">
        <v>31</v>
      </c>
      <c r="N2251" t="s">
        <v>40</v>
      </c>
      <c r="O2251" t="s">
        <v>28</v>
      </c>
      <c r="P2251" t="s">
        <v>59</v>
      </c>
      <c r="Q2251" s="6">
        <v>2.3162105263157802</v>
      </c>
      <c r="R2251">
        <v>1.93</v>
      </c>
      <c r="S2251">
        <v>14.67</v>
      </c>
      <c r="T2251">
        <v>73.349999999999994</v>
      </c>
      <c r="U2251">
        <v>26.8</v>
      </c>
      <c r="V2251">
        <v>93</v>
      </c>
      <c r="W2251">
        <v>1.27</v>
      </c>
    </row>
    <row r="2252" spans="1:23" x14ac:dyDescent="0.3">
      <c r="A2252">
        <v>2252</v>
      </c>
      <c r="B2252" t="s">
        <v>2295</v>
      </c>
      <c r="C2252" t="s">
        <v>38</v>
      </c>
      <c r="D2252">
        <v>83</v>
      </c>
      <c r="E2252">
        <v>5180</v>
      </c>
      <c r="F2252" s="3">
        <v>210</v>
      </c>
      <c r="G2252">
        <v>30</v>
      </c>
      <c r="H2252">
        <v>4</v>
      </c>
      <c r="I2252" s="5">
        <v>4.8192771084337303E-2</v>
      </c>
      <c r="J2252" s="3">
        <v>402</v>
      </c>
      <c r="K2252" s="1">
        <v>45609</v>
      </c>
      <c r="L2252" t="s">
        <v>25</v>
      </c>
      <c r="M2252" t="s">
        <v>26</v>
      </c>
      <c r="N2252" t="s">
        <v>49</v>
      </c>
      <c r="O2252" t="s">
        <v>28</v>
      </c>
      <c r="P2252" t="s">
        <v>33</v>
      </c>
      <c r="Q2252" s="6">
        <v>2.5255421686746899</v>
      </c>
      <c r="R2252">
        <v>1.6</v>
      </c>
      <c r="S2252">
        <v>6.99</v>
      </c>
      <c r="T2252">
        <v>52.4</v>
      </c>
      <c r="U2252">
        <v>91.78</v>
      </c>
      <c r="V2252">
        <v>100.5</v>
      </c>
      <c r="W2252">
        <v>1.92</v>
      </c>
    </row>
    <row r="2253" spans="1:23" x14ac:dyDescent="0.3">
      <c r="A2253">
        <v>2253</v>
      </c>
      <c r="B2253" t="s">
        <v>2296</v>
      </c>
      <c r="C2253" t="s">
        <v>43</v>
      </c>
      <c r="D2253">
        <v>91</v>
      </c>
      <c r="E2253">
        <v>4988</v>
      </c>
      <c r="F2253" s="3">
        <v>217</v>
      </c>
      <c r="G2253">
        <v>10</v>
      </c>
      <c r="H2253">
        <v>10</v>
      </c>
      <c r="I2253" s="5">
        <v>0.109890109890109</v>
      </c>
      <c r="J2253" s="3">
        <v>308</v>
      </c>
      <c r="K2253" s="1">
        <v>45625</v>
      </c>
      <c r="L2253" t="s">
        <v>25</v>
      </c>
      <c r="M2253" t="s">
        <v>31</v>
      </c>
      <c r="N2253" t="s">
        <v>27</v>
      </c>
      <c r="O2253" t="s">
        <v>28</v>
      </c>
      <c r="P2253" t="s">
        <v>45</v>
      </c>
      <c r="Q2253" s="6">
        <v>2.38835164835164</v>
      </c>
      <c r="R2253">
        <v>1.82</v>
      </c>
      <c r="S2253">
        <v>21.73</v>
      </c>
      <c r="T2253">
        <v>21.73</v>
      </c>
      <c r="U2253">
        <v>41.71</v>
      </c>
      <c r="V2253">
        <v>30.8</v>
      </c>
      <c r="W2253">
        <v>1.42</v>
      </c>
    </row>
    <row r="2254" spans="1:23" x14ac:dyDescent="0.3">
      <c r="A2254">
        <v>2254</v>
      </c>
      <c r="B2254" t="s">
        <v>2297</v>
      </c>
      <c r="C2254" t="s">
        <v>24</v>
      </c>
      <c r="D2254">
        <v>107</v>
      </c>
      <c r="E2254">
        <v>5510</v>
      </c>
      <c r="F2254" s="3">
        <v>216</v>
      </c>
      <c r="G2254">
        <v>14</v>
      </c>
      <c r="H2254">
        <v>8</v>
      </c>
      <c r="I2254" s="5">
        <v>7.4766355140186896E-2</v>
      </c>
      <c r="J2254" s="3">
        <v>379</v>
      </c>
      <c r="K2254" s="1">
        <v>45615</v>
      </c>
      <c r="L2254" t="s">
        <v>25</v>
      </c>
      <c r="M2254" t="s">
        <v>31</v>
      </c>
      <c r="N2254" t="s">
        <v>44</v>
      </c>
      <c r="O2254" t="s">
        <v>28</v>
      </c>
      <c r="P2254" t="s">
        <v>41</v>
      </c>
      <c r="Q2254" s="6">
        <v>2.0196261682242902</v>
      </c>
      <c r="R2254">
        <v>1.94</v>
      </c>
      <c r="S2254">
        <v>15.44</v>
      </c>
      <c r="T2254">
        <v>27.01</v>
      </c>
      <c r="U2254">
        <v>75.38</v>
      </c>
      <c r="V2254">
        <v>47.38</v>
      </c>
      <c r="W2254">
        <v>1.75</v>
      </c>
    </row>
    <row r="2255" spans="1:23" x14ac:dyDescent="0.3">
      <c r="A2255">
        <v>2255</v>
      </c>
      <c r="B2255" t="s">
        <v>2298</v>
      </c>
      <c r="C2255" t="s">
        <v>35</v>
      </c>
      <c r="D2255">
        <v>83</v>
      </c>
      <c r="E2255">
        <v>3187</v>
      </c>
      <c r="F2255" s="3">
        <v>127</v>
      </c>
      <c r="G2255">
        <v>25</v>
      </c>
      <c r="H2255">
        <v>10</v>
      </c>
      <c r="I2255" s="5">
        <v>0.120481927710843</v>
      </c>
      <c r="J2255" s="3">
        <v>321</v>
      </c>
      <c r="K2255" s="1">
        <v>45603</v>
      </c>
      <c r="L2255" t="s">
        <v>25</v>
      </c>
      <c r="M2255" t="s">
        <v>31</v>
      </c>
      <c r="N2255" t="s">
        <v>27</v>
      </c>
      <c r="O2255" t="s">
        <v>28</v>
      </c>
      <c r="P2255" t="s">
        <v>54</v>
      </c>
      <c r="Q2255" s="6">
        <v>1.5243795620437901</v>
      </c>
      <c r="R2255">
        <v>2.6</v>
      </c>
      <c r="S2255">
        <v>5.0599999999999996</v>
      </c>
      <c r="T2255">
        <v>12.65</v>
      </c>
      <c r="U2255">
        <v>153.71</v>
      </c>
      <c r="V2255">
        <v>32.1</v>
      </c>
      <c r="W2255">
        <v>2.54</v>
      </c>
    </row>
    <row r="2256" spans="1:23" x14ac:dyDescent="0.3">
      <c r="A2256">
        <v>2256</v>
      </c>
      <c r="B2256" t="s">
        <v>2299</v>
      </c>
      <c r="C2256" t="s">
        <v>35</v>
      </c>
      <c r="D2256">
        <v>166</v>
      </c>
      <c r="E2256">
        <v>3788</v>
      </c>
      <c r="F2256" s="3">
        <v>239</v>
      </c>
      <c r="G2256">
        <v>18</v>
      </c>
      <c r="H2256">
        <v>8</v>
      </c>
      <c r="I2256" s="5">
        <v>4.8192771084337303E-2</v>
      </c>
      <c r="J2256" s="3">
        <v>338</v>
      </c>
      <c r="K2256" s="1">
        <v>45602</v>
      </c>
      <c r="L2256" t="s">
        <v>25</v>
      </c>
      <c r="M2256" t="s">
        <v>31</v>
      </c>
      <c r="N2256" t="s">
        <v>27</v>
      </c>
      <c r="O2256" t="s">
        <v>28</v>
      </c>
      <c r="P2256" t="s">
        <v>33</v>
      </c>
      <c r="Q2256" s="6">
        <v>1.43710843373493</v>
      </c>
      <c r="R2256">
        <v>4.38</v>
      </c>
      <c r="S2256">
        <v>13.25</v>
      </c>
      <c r="T2256">
        <v>29.82</v>
      </c>
      <c r="U2256">
        <v>41.68</v>
      </c>
      <c r="V2256">
        <v>42.25</v>
      </c>
      <c r="W2256">
        <v>1.42</v>
      </c>
    </row>
    <row r="2257" spans="1:23" x14ac:dyDescent="0.3">
      <c r="A2257">
        <v>2257</v>
      </c>
      <c r="B2257" t="s">
        <v>2300</v>
      </c>
      <c r="C2257" t="s">
        <v>38</v>
      </c>
      <c r="D2257">
        <v>182</v>
      </c>
      <c r="E2257">
        <v>4575</v>
      </c>
      <c r="F2257" s="3">
        <v>234</v>
      </c>
      <c r="G2257">
        <v>24</v>
      </c>
      <c r="H2257">
        <v>10</v>
      </c>
      <c r="I2257" s="5">
        <v>5.4945054945054903E-2</v>
      </c>
      <c r="J2257" s="3">
        <v>376</v>
      </c>
      <c r="K2257" s="1">
        <v>45609</v>
      </c>
      <c r="L2257" t="s">
        <v>25</v>
      </c>
      <c r="M2257" t="s">
        <v>31</v>
      </c>
      <c r="N2257" t="s">
        <v>27</v>
      </c>
      <c r="O2257" t="s">
        <v>28</v>
      </c>
      <c r="P2257" t="s">
        <v>33</v>
      </c>
      <c r="Q2257" s="6">
        <v>1.28428571428571</v>
      </c>
      <c r="R2257">
        <v>3.98</v>
      </c>
      <c r="S2257">
        <v>9.74</v>
      </c>
      <c r="T2257">
        <v>23.37</v>
      </c>
      <c r="U2257">
        <v>60.86</v>
      </c>
      <c r="V2257">
        <v>37.6</v>
      </c>
      <c r="W2257">
        <v>1.61</v>
      </c>
    </row>
    <row r="2258" spans="1:23" x14ac:dyDescent="0.3">
      <c r="A2258">
        <v>2258</v>
      </c>
      <c r="B2258" t="s">
        <v>2301</v>
      </c>
      <c r="C2258" t="s">
        <v>24</v>
      </c>
      <c r="D2258">
        <v>188</v>
      </c>
      <c r="E2258">
        <v>4382</v>
      </c>
      <c r="F2258" s="3">
        <v>250</v>
      </c>
      <c r="G2258">
        <v>12</v>
      </c>
      <c r="H2258">
        <v>9</v>
      </c>
      <c r="I2258" s="5">
        <v>4.7872340425531901E-2</v>
      </c>
      <c r="J2258" s="3">
        <v>356</v>
      </c>
      <c r="K2258" s="1">
        <v>45609</v>
      </c>
      <c r="L2258" t="s">
        <v>25</v>
      </c>
      <c r="M2258" t="s">
        <v>26</v>
      </c>
      <c r="N2258" t="s">
        <v>49</v>
      </c>
      <c r="O2258" t="s">
        <v>28</v>
      </c>
      <c r="P2258" t="s">
        <v>33</v>
      </c>
      <c r="Q2258" s="6">
        <v>1.3271276595744601</v>
      </c>
      <c r="R2258">
        <v>4.29</v>
      </c>
      <c r="S2258">
        <v>20.79</v>
      </c>
      <c r="T2258">
        <v>27.72</v>
      </c>
      <c r="U2258">
        <v>42.69</v>
      </c>
      <c r="V2258">
        <v>39.56</v>
      </c>
      <c r="W2258">
        <v>1.43</v>
      </c>
    </row>
    <row r="2259" spans="1:23" x14ac:dyDescent="0.3">
      <c r="A2259">
        <v>2259</v>
      </c>
      <c r="B2259" t="s">
        <v>2302</v>
      </c>
      <c r="C2259" t="s">
        <v>43</v>
      </c>
      <c r="D2259">
        <v>107</v>
      </c>
      <c r="E2259">
        <v>4605</v>
      </c>
      <c r="F2259" s="3">
        <v>231</v>
      </c>
      <c r="G2259">
        <v>17</v>
      </c>
      <c r="H2259">
        <v>7</v>
      </c>
      <c r="I2259" s="5">
        <v>6.5420560747663503E-2</v>
      </c>
      <c r="J2259" s="3">
        <v>324</v>
      </c>
      <c r="K2259" s="1">
        <v>45614</v>
      </c>
      <c r="L2259" t="s">
        <v>25</v>
      </c>
      <c r="M2259" t="s">
        <v>39</v>
      </c>
      <c r="N2259" t="s">
        <v>44</v>
      </c>
      <c r="O2259" t="s">
        <v>28</v>
      </c>
      <c r="P2259" t="s">
        <v>59</v>
      </c>
      <c r="Q2259" s="6">
        <v>2.1564485981308401</v>
      </c>
      <c r="R2259">
        <v>2.3199999999999998</v>
      </c>
      <c r="S2259">
        <v>13.57</v>
      </c>
      <c r="T2259">
        <v>32.96</v>
      </c>
      <c r="U2259">
        <v>40.42</v>
      </c>
      <c r="V2259">
        <v>46.29</v>
      </c>
      <c r="W2259">
        <v>1.4</v>
      </c>
    </row>
    <row r="2260" spans="1:23" x14ac:dyDescent="0.3">
      <c r="A2260">
        <v>2260</v>
      </c>
      <c r="B2260" t="s">
        <v>2303</v>
      </c>
      <c r="C2260" t="s">
        <v>43</v>
      </c>
      <c r="D2260">
        <v>169</v>
      </c>
      <c r="E2260">
        <v>4857</v>
      </c>
      <c r="F2260" s="3">
        <v>195</v>
      </c>
      <c r="G2260">
        <v>18</v>
      </c>
      <c r="H2260">
        <v>7</v>
      </c>
      <c r="I2260" s="5">
        <v>4.14201183431952E-2</v>
      </c>
      <c r="J2260" s="3">
        <v>284</v>
      </c>
      <c r="K2260" s="1">
        <v>45618</v>
      </c>
      <c r="L2260" t="s">
        <v>25</v>
      </c>
      <c r="M2260" t="s">
        <v>31</v>
      </c>
      <c r="N2260" t="s">
        <v>36</v>
      </c>
      <c r="O2260" t="s">
        <v>28</v>
      </c>
      <c r="P2260" t="s">
        <v>45</v>
      </c>
      <c r="Q2260" s="6">
        <v>1.15260355029585</v>
      </c>
      <c r="R2260">
        <v>3.48</v>
      </c>
      <c r="S2260">
        <v>10.82</v>
      </c>
      <c r="T2260">
        <v>27.83</v>
      </c>
      <c r="U2260">
        <v>45.8</v>
      </c>
      <c r="V2260">
        <v>40.57</v>
      </c>
      <c r="W2260">
        <v>1.46</v>
      </c>
    </row>
    <row r="2261" spans="1:23" x14ac:dyDescent="0.3">
      <c r="A2261">
        <v>2261</v>
      </c>
      <c r="B2261" t="s">
        <v>2304</v>
      </c>
      <c r="C2261" t="s">
        <v>35</v>
      </c>
      <c r="D2261">
        <v>165</v>
      </c>
      <c r="E2261">
        <v>3150</v>
      </c>
      <c r="F2261" s="3">
        <v>190</v>
      </c>
      <c r="G2261">
        <v>18</v>
      </c>
      <c r="H2261">
        <v>3</v>
      </c>
      <c r="I2261" s="5">
        <v>1.8181818181818101E-2</v>
      </c>
      <c r="J2261" s="3">
        <v>230</v>
      </c>
      <c r="K2261" s="1">
        <v>45614</v>
      </c>
      <c r="L2261" t="s">
        <v>25</v>
      </c>
      <c r="M2261" t="s">
        <v>26</v>
      </c>
      <c r="N2261" t="s">
        <v>40</v>
      </c>
      <c r="O2261" t="s">
        <v>28</v>
      </c>
      <c r="P2261" t="s">
        <v>59</v>
      </c>
      <c r="Q2261" s="6">
        <v>1.15333333333333</v>
      </c>
      <c r="R2261">
        <v>5.24</v>
      </c>
      <c r="S2261">
        <v>10.57</v>
      </c>
      <c r="T2261">
        <v>63.43</v>
      </c>
      <c r="U2261">
        <v>20.86</v>
      </c>
      <c r="V2261">
        <v>76.67</v>
      </c>
      <c r="W2261">
        <v>1.21</v>
      </c>
    </row>
    <row r="2262" spans="1:23" x14ac:dyDescent="0.3">
      <c r="A2262">
        <v>2262</v>
      </c>
      <c r="B2262" t="s">
        <v>2305</v>
      </c>
      <c r="C2262" t="s">
        <v>43</v>
      </c>
      <c r="D2262">
        <v>137</v>
      </c>
      <c r="E2262">
        <v>4630</v>
      </c>
      <c r="F2262" s="3">
        <v>201</v>
      </c>
      <c r="G2262">
        <v>10</v>
      </c>
      <c r="H2262">
        <v>4</v>
      </c>
      <c r="I2262" s="5">
        <v>2.9197080291970798E-2</v>
      </c>
      <c r="J2262" s="3">
        <v>343</v>
      </c>
      <c r="K2262" s="1">
        <v>45623</v>
      </c>
      <c r="L2262" t="s">
        <v>25</v>
      </c>
      <c r="M2262" t="s">
        <v>39</v>
      </c>
      <c r="N2262" t="s">
        <v>27</v>
      </c>
      <c r="O2262" t="s">
        <v>28</v>
      </c>
      <c r="P2262" t="s">
        <v>33</v>
      </c>
      <c r="Q2262" s="6">
        <v>1.4681751824817499</v>
      </c>
      <c r="R2262">
        <v>2.96</v>
      </c>
      <c r="S2262">
        <v>20.11</v>
      </c>
      <c r="T2262">
        <v>50.28</v>
      </c>
      <c r="U2262">
        <v>70.53</v>
      </c>
      <c r="V2262">
        <v>85.75</v>
      </c>
      <c r="W2262">
        <v>1.71</v>
      </c>
    </row>
    <row r="2263" spans="1:23" x14ac:dyDescent="0.3">
      <c r="A2263">
        <v>2263</v>
      </c>
      <c r="B2263" t="s">
        <v>2306</v>
      </c>
      <c r="C2263" t="s">
        <v>43</v>
      </c>
      <c r="D2263">
        <v>135</v>
      </c>
      <c r="E2263">
        <v>3712</v>
      </c>
      <c r="F2263" s="3">
        <v>207</v>
      </c>
      <c r="G2263">
        <v>14</v>
      </c>
      <c r="H2263">
        <v>3</v>
      </c>
      <c r="I2263" s="5">
        <v>2.2222222222222199E-2</v>
      </c>
      <c r="J2263" s="3">
        <v>365</v>
      </c>
      <c r="K2263" s="1">
        <v>45617</v>
      </c>
      <c r="L2263" t="s">
        <v>25</v>
      </c>
      <c r="M2263" t="s">
        <v>39</v>
      </c>
      <c r="N2263" t="s">
        <v>40</v>
      </c>
      <c r="O2263" t="s">
        <v>28</v>
      </c>
      <c r="P2263" t="s">
        <v>54</v>
      </c>
      <c r="Q2263" s="6">
        <v>1.5343703703703699</v>
      </c>
      <c r="R2263">
        <v>3.64</v>
      </c>
      <c r="S2263">
        <v>14.8</v>
      </c>
      <c r="T2263">
        <v>69.05</v>
      </c>
      <c r="U2263">
        <v>76.209999999999994</v>
      </c>
      <c r="V2263">
        <v>121.67</v>
      </c>
      <c r="W2263">
        <v>1.76</v>
      </c>
    </row>
    <row r="2264" spans="1:23" x14ac:dyDescent="0.3">
      <c r="A2264">
        <v>2264</v>
      </c>
      <c r="B2264" t="s">
        <v>2307</v>
      </c>
      <c r="C2264" t="s">
        <v>38</v>
      </c>
      <c r="D2264">
        <v>130</v>
      </c>
      <c r="E2264">
        <v>5739</v>
      </c>
      <c r="F2264" s="3">
        <v>198</v>
      </c>
      <c r="G2264">
        <v>23</v>
      </c>
      <c r="H2264">
        <v>8</v>
      </c>
      <c r="I2264" s="5">
        <v>6.15384615384615E-2</v>
      </c>
      <c r="J2264" s="3">
        <v>373.71428571428498</v>
      </c>
      <c r="K2264" s="1">
        <v>45626</v>
      </c>
      <c r="L2264" t="s">
        <v>25</v>
      </c>
      <c r="M2264" t="s">
        <v>31</v>
      </c>
      <c r="N2264" t="s">
        <v>36</v>
      </c>
      <c r="O2264" t="s">
        <v>28</v>
      </c>
      <c r="P2264" t="s">
        <v>29</v>
      </c>
      <c r="Q2264" s="6">
        <v>1.5243795620437901</v>
      </c>
      <c r="R2264">
        <v>2.27</v>
      </c>
      <c r="S2264">
        <v>8.6199999999999992</v>
      </c>
      <c r="T2264">
        <v>24.77</v>
      </c>
      <c r="U2264">
        <v>88.58</v>
      </c>
      <c r="V2264">
        <v>46.71</v>
      </c>
      <c r="W2264">
        <v>1.89</v>
      </c>
    </row>
    <row r="2265" spans="1:23" x14ac:dyDescent="0.3">
      <c r="A2265">
        <v>2265</v>
      </c>
      <c r="B2265" t="s">
        <v>2308</v>
      </c>
      <c r="C2265" t="s">
        <v>35</v>
      </c>
      <c r="D2265">
        <v>193</v>
      </c>
      <c r="E2265">
        <v>6365</v>
      </c>
      <c r="F2265" s="3">
        <v>231</v>
      </c>
      <c r="G2265">
        <v>26</v>
      </c>
      <c r="H2265">
        <v>8</v>
      </c>
      <c r="I2265" s="5">
        <v>4.1450777202072499E-2</v>
      </c>
      <c r="J2265" s="3">
        <v>215</v>
      </c>
      <c r="K2265" s="1">
        <v>45607</v>
      </c>
      <c r="L2265" t="s">
        <v>25</v>
      </c>
      <c r="M2265" t="s">
        <v>26</v>
      </c>
      <c r="N2265" t="s">
        <v>36</v>
      </c>
      <c r="O2265" t="s">
        <v>28</v>
      </c>
      <c r="P2265" t="s">
        <v>59</v>
      </c>
      <c r="Q2265" s="6">
        <v>1.1966321243523299</v>
      </c>
      <c r="R2265">
        <v>3.03</v>
      </c>
      <c r="S2265">
        <v>8.8800000000000008</v>
      </c>
      <c r="T2265">
        <v>28.87</v>
      </c>
      <c r="U2265">
        <v>-6.91</v>
      </c>
      <c r="V2265">
        <v>26.88</v>
      </c>
      <c r="W2265">
        <v>0.93</v>
      </c>
    </row>
    <row r="2266" spans="1:23" x14ac:dyDescent="0.3">
      <c r="A2266">
        <v>2266</v>
      </c>
      <c r="B2266" t="s">
        <v>2309</v>
      </c>
      <c r="C2266" t="s">
        <v>38</v>
      </c>
      <c r="D2266">
        <v>122</v>
      </c>
      <c r="E2266">
        <v>4556</v>
      </c>
      <c r="F2266" s="3">
        <v>244</v>
      </c>
      <c r="G2266">
        <v>26</v>
      </c>
      <c r="H2266">
        <v>4</v>
      </c>
      <c r="I2266" s="5">
        <v>3.2786885245901599E-2</v>
      </c>
      <c r="J2266" s="3">
        <v>238</v>
      </c>
      <c r="K2266" s="1">
        <v>45620</v>
      </c>
      <c r="L2266" t="s">
        <v>25</v>
      </c>
      <c r="M2266" t="s">
        <v>31</v>
      </c>
      <c r="N2266" t="s">
        <v>44</v>
      </c>
      <c r="O2266" t="s">
        <v>28</v>
      </c>
      <c r="P2266" t="s">
        <v>50</v>
      </c>
      <c r="Q2266" s="6">
        <v>1.99868852459016</v>
      </c>
      <c r="R2266">
        <v>2.68</v>
      </c>
      <c r="S2266">
        <v>9.3800000000000008</v>
      </c>
      <c r="T2266">
        <v>60.96</v>
      </c>
      <c r="U2266">
        <v>-2.4</v>
      </c>
      <c r="V2266">
        <v>59.5</v>
      </c>
      <c r="W2266">
        <v>0.98</v>
      </c>
    </row>
    <row r="2267" spans="1:23" x14ac:dyDescent="0.3">
      <c r="A2267">
        <v>2267</v>
      </c>
      <c r="B2267" t="s">
        <v>2310</v>
      </c>
      <c r="C2267" t="s">
        <v>24</v>
      </c>
      <c r="D2267">
        <v>167</v>
      </c>
      <c r="E2267">
        <v>5824</v>
      </c>
      <c r="F2267" s="3">
        <v>204</v>
      </c>
      <c r="G2267">
        <v>24</v>
      </c>
      <c r="H2267">
        <v>8</v>
      </c>
      <c r="I2267" s="5">
        <v>4.7904191616766401E-2</v>
      </c>
      <c r="J2267" s="3">
        <v>296</v>
      </c>
      <c r="K2267" s="1">
        <v>45605</v>
      </c>
      <c r="L2267" t="s">
        <v>25</v>
      </c>
      <c r="M2267" t="s">
        <v>31</v>
      </c>
      <c r="N2267" t="s">
        <v>32</v>
      </c>
      <c r="O2267" t="s">
        <v>28</v>
      </c>
      <c r="P2267" t="s">
        <v>29</v>
      </c>
      <c r="Q2267" s="6">
        <v>1.22263473053892</v>
      </c>
      <c r="R2267">
        <v>2.87</v>
      </c>
      <c r="S2267">
        <v>8.51</v>
      </c>
      <c r="T2267">
        <v>25.52</v>
      </c>
      <c r="U2267">
        <v>44.97</v>
      </c>
      <c r="V2267">
        <v>37</v>
      </c>
      <c r="W2267">
        <v>1.45</v>
      </c>
    </row>
    <row r="2268" spans="1:23" x14ac:dyDescent="0.3">
      <c r="A2268">
        <v>2268</v>
      </c>
      <c r="B2268" t="s">
        <v>2311</v>
      </c>
      <c r="C2268" t="s">
        <v>35</v>
      </c>
      <c r="D2268">
        <v>145</v>
      </c>
      <c r="E2268">
        <v>5765</v>
      </c>
      <c r="F2268" s="3">
        <v>241</v>
      </c>
      <c r="G2268">
        <v>18</v>
      </c>
      <c r="H2268">
        <v>6</v>
      </c>
      <c r="I2268" s="5">
        <v>4.1379310344827502E-2</v>
      </c>
      <c r="J2268" s="3">
        <v>216</v>
      </c>
      <c r="K2268" s="1">
        <v>45615</v>
      </c>
      <c r="L2268" t="s">
        <v>25</v>
      </c>
      <c r="M2268" t="s">
        <v>26</v>
      </c>
      <c r="N2268" t="s">
        <v>40</v>
      </c>
      <c r="O2268" t="s">
        <v>28</v>
      </c>
      <c r="P2268" t="s">
        <v>41</v>
      </c>
      <c r="Q2268" s="6">
        <v>1.6594482758620599</v>
      </c>
      <c r="R2268">
        <v>2.52</v>
      </c>
      <c r="S2268">
        <v>13.37</v>
      </c>
      <c r="T2268">
        <v>40.1</v>
      </c>
      <c r="U2268">
        <v>-10.23</v>
      </c>
      <c r="V2268">
        <v>36</v>
      </c>
      <c r="W2268">
        <v>0.9</v>
      </c>
    </row>
    <row r="2269" spans="1:23" x14ac:dyDescent="0.3">
      <c r="A2269">
        <v>2269</v>
      </c>
      <c r="B2269" t="s">
        <v>2312</v>
      </c>
      <c r="C2269" t="s">
        <v>24</v>
      </c>
      <c r="D2269">
        <v>80</v>
      </c>
      <c r="E2269">
        <v>5653</v>
      </c>
      <c r="F2269" s="3">
        <v>228</v>
      </c>
      <c r="G2269">
        <v>19</v>
      </c>
      <c r="H2269">
        <v>8</v>
      </c>
      <c r="I2269" s="5">
        <v>0.1</v>
      </c>
      <c r="J2269" s="3">
        <v>366</v>
      </c>
      <c r="K2269" s="1">
        <v>45609</v>
      </c>
      <c r="L2269" t="s">
        <v>25</v>
      </c>
      <c r="M2269" t="s">
        <v>39</v>
      </c>
      <c r="N2269" t="s">
        <v>49</v>
      </c>
      <c r="O2269" t="s">
        <v>28</v>
      </c>
      <c r="P2269" t="s">
        <v>33</v>
      </c>
      <c r="Q2269" s="6">
        <v>2.8507500000000001</v>
      </c>
      <c r="R2269">
        <v>1.42</v>
      </c>
      <c r="S2269">
        <v>12</v>
      </c>
      <c r="T2269">
        <v>28.51</v>
      </c>
      <c r="U2269">
        <v>60.48</v>
      </c>
      <c r="V2269">
        <v>45.75</v>
      </c>
      <c r="W2269">
        <v>1.6</v>
      </c>
    </row>
    <row r="2270" spans="1:23" x14ac:dyDescent="0.3">
      <c r="A2270">
        <v>2270</v>
      </c>
      <c r="B2270" t="s">
        <v>2313</v>
      </c>
      <c r="C2270" t="s">
        <v>35</v>
      </c>
      <c r="D2270">
        <v>133</v>
      </c>
      <c r="E2270">
        <v>4379</v>
      </c>
      <c r="F2270" s="3">
        <v>239</v>
      </c>
      <c r="G2270">
        <v>24</v>
      </c>
      <c r="H2270">
        <v>8</v>
      </c>
      <c r="I2270" s="5">
        <v>6.01503759398496E-2</v>
      </c>
      <c r="J2270" s="3">
        <v>373.71428571428498</v>
      </c>
      <c r="K2270" s="1">
        <v>45606</v>
      </c>
      <c r="L2270" t="s">
        <v>25</v>
      </c>
      <c r="M2270" t="s">
        <v>31</v>
      </c>
      <c r="N2270" t="s">
        <v>40</v>
      </c>
      <c r="O2270" t="s">
        <v>28</v>
      </c>
      <c r="P2270" t="s">
        <v>50</v>
      </c>
      <c r="Q2270" s="6">
        <v>1.79511278195488</v>
      </c>
      <c r="R2270">
        <v>3.04</v>
      </c>
      <c r="S2270">
        <v>9.9499999999999993</v>
      </c>
      <c r="T2270">
        <v>29.84</v>
      </c>
      <c r="U2270">
        <v>56.53</v>
      </c>
      <c r="V2270">
        <v>46.71</v>
      </c>
      <c r="W2270">
        <v>1.57</v>
      </c>
    </row>
    <row r="2271" spans="1:23" x14ac:dyDescent="0.3">
      <c r="A2271">
        <v>2271</v>
      </c>
      <c r="B2271" t="s">
        <v>2314</v>
      </c>
      <c r="C2271" t="s">
        <v>35</v>
      </c>
      <c r="D2271">
        <v>141</v>
      </c>
      <c r="E2271">
        <v>5612</v>
      </c>
      <c r="F2271" s="3">
        <v>224</v>
      </c>
      <c r="G2271">
        <v>19</v>
      </c>
      <c r="H2271">
        <v>5</v>
      </c>
      <c r="I2271" s="5">
        <v>3.54609929078014E-2</v>
      </c>
      <c r="J2271" s="3">
        <v>235</v>
      </c>
      <c r="K2271" s="1">
        <v>45612</v>
      </c>
      <c r="L2271" t="s">
        <v>25</v>
      </c>
      <c r="M2271" t="s">
        <v>31</v>
      </c>
      <c r="N2271" t="s">
        <v>44</v>
      </c>
      <c r="O2271" t="s">
        <v>28</v>
      </c>
      <c r="P2271" t="s">
        <v>29</v>
      </c>
      <c r="Q2271" s="6">
        <v>1.5918439716312001</v>
      </c>
      <c r="R2271">
        <v>2.5099999999999998</v>
      </c>
      <c r="S2271">
        <v>11.81</v>
      </c>
      <c r="T2271">
        <v>44.89</v>
      </c>
      <c r="U2271">
        <v>4.7</v>
      </c>
      <c r="V2271">
        <v>47</v>
      </c>
      <c r="W2271">
        <v>1.05</v>
      </c>
    </row>
    <row r="2272" spans="1:23" x14ac:dyDescent="0.3">
      <c r="A2272">
        <v>2272</v>
      </c>
      <c r="B2272" t="s">
        <v>2315</v>
      </c>
      <c r="C2272" t="s">
        <v>43</v>
      </c>
      <c r="D2272">
        <v>180</v>
      </c>
      <c r="E2272">
        <v>3102</v>
      </c>
      <c r="F2272" s="3">
        <v>198</v>
      </c>
      <c r="G2272">
        <v>19</v>
      </c>
      <c r="H2272">
        <v>3</v>
      </c>
      <c r="I2272" s="5">
        <v>1.6666666666666601E-2</v>
      </c>
      <c r="J2272" s="3">
        <v>140.142857142857</v>
      </c>
      <c r="K2272" s="1">
        <v>45625</v>
      </c>
      <c r="L2272" t="s">
        <v>25</v>
      </c>
      <c r="M2272" t="s">
        <v>31</v>
      </c>
      <c r="N2272" t="s">
        <v>44</v>
      </c>
      <c r="O2272" t="s">
        <v>28</v>
      </c>
      <c r="P2272" t="s">
        <v>45</v>
      </c>
      <c r="Q2272" s="6">
        <v>1.10205555555555</v>
      </c>
      <c r="R2272">
        <v>5.8</v>
      </c>
      <c r="S2272">
        <v>10.44</v>
      </c>
      <c r="T2272">
        <v>66.12</v>
      </c>
      <c r="U2272">
        <v>-29.35</v>
      </c>
      <c r="V2272">
        <v>46.71</v>
      </c>
      <c r="W2272">
        <v>0.71</v>
      </c>
    </row>
    <row r="2273" spans="1:23" x14ac:dyDescent="0.3">
      <c r="A2273">
        <v>2273</v>
      </c>
      <c r="B2273" t="s">
        <v>2316</v>
      </c>
      <c r="C2273" t="s">
        <v>38</v>
      </c>
      <c r="D2273">
        <v>196</v>
      </c>
      <c r="E2273">
        <v>5812</v>
      </c>
      <c r="F2273" s="3">
        <v>247</v>
      </c>
      <c r="G2273">
        <v>22</v>
      </c>
      <c r="H2273">
        <v>9</v>
      </c>
      <c r="I2273" s="5">
        <v>4.5918367346938702E-2</v>
      </c>
      <c r="J2273" s="3">
        <v>350</v>
      </c>
      <c r="K2273" s="1">
        <v>45610</v>
      </c>
      <c r="L2273" t="s">
        <v>25</v>
      </c>
      <c r="M2273" t="s">
        <v>31</v>
      </c>
      <c r="N2273" t="s">
        <v>44</v>
      </c>
      <c r="O2273" t="s">
        <v>28</v>
      </c>
      <c r="P2273" t="s">
        <v>54</v>
      </c>
      <c r="Q2273" s="6">
        <v>1.2595918367346901</v>
      </c>
      <c r="R2273">
        <v>3.37</v>
      </c>
      <c r="S2273">
        <v>11.22</v>
      </c>
      <c r="T2273">
        <v>27.43</v>
      </c>
      <c r="U2273">
        <v>41.77</v>
      </c>
      <c r="V2273">
        <v>38.89</v>
      </c>
      <c r="W2273">
        <v>1.42</v>
      </c>
    </row>
    <row r="2274" spans="1:23" x14ac:dyDescent="0.3">
      <c r="A2274">
        <v>2274</v>
      </c>
      <c r="B2274" t="s">
        <v>2317</v>
      </c>
      <c r="C2274" t="s">
        <v>43</v>
      </c>
      <c r="D2274">
        <v>168</v>
      </c>
      <c r="E2274">
        <v>4904</v>
      </c>
      <c r="F2274" s="3">
        <v>219</v>
      </c>
      <c r="G2274">
        <v>22</v>
      </c>
      <c r="H2274">
        <v>5</v>
      </c>
      <c r="I2274" s="5">
        <v>2.9761904761904701E-2</v>
      </c>
      <c r="J2274" s="3">
        <v>314</v>
      </c>
      <c r="K2274" s="1">
        <v>45611</v>
      </c>
      <c r="L2274" t="s">
        <v>25</v>
      </c>
      <c r="M2274" t="s">
        <v>39</v>
      </c>
      <c r="N2274" t="s">
        <v>44</v>
      </c>
      <c r="O2274" t="s">
        <v>28</v>
      </c>
      <c r="P2274" t="s">
        <v>45</v>
      </c>
      <c r="Q2274" s="6">
        <v>1.3035714285714199</v>
      </c>
      <c r="R2274">
        <v>3.43</v>
      </c>
      <c r="S2274">
        <v>9.9499999999999993</v>
      </c>
      <c r="T2274">
        <v>43.8</v>
      </c>
      <c r="U2274">
        <v>43.38</v>
      </c>
      <c r="V2274">
        <v>62.8</v>
      </c>
      <c r="W2274">
        <v>1.43</v>
      </c>
    </row>
    <row r="2275" spans="1:23" x14ac:dyDescent="0.3">
      <c r="A2275">
        <v>2275</v>
      </c>
      <c r="B2275" t="s">
        <v>2318</v>
      </c>
      <c r="C2275" t="s">
        <v>24</v>
      </c>
      <c r="D2275">
        <v>138</v>
      </c>
      <c r="E2275">
        <v>4562</v>
      </c>
      <c r="F2275" s="3">
        <v>184</v>
      </c>
      <c r="G2275">
        <v>17</v>
      </c>
      <c r="H2275">
        <v>9</v>
      </c>
      <c r="I2275" s="5">
        <v>6.5217391304347797E-2</v>
      </c>
      <c r="J2275" s="3">
        <v>340</v>
      </c>
      <c r="K2275" s="1">
        <v>45626</v>
      </c>
      <c r="L2275" t="s">
        <v>25</v>
      </c>
      <c r="M2275" t="s">
        <v>26</v>
      </c>
      <c r="N2275" t="s">
        <v>32</v>
      </c>
      <c r="O2275" t="s">
        <v>28</v>
      </c>
      <c r="P2275" t="s">
        <v>29</v>
      </c>
      <c r="Q2275" s="6">
        <v>1.33028985507246</v>
      </c>
      <c r="R2275">
        <v>3.02</v>
      </c>
      <c r="S2275">
        <v>10.8</v>
      </c>
      <c r="T2275">
        <v>20.399999999999999</v>
      </c>
      <c r="U2275">
        <v>85.21</v>
      </c>
      <c r="V2275">
        <v>37.78</v>
      </c>
      <c r="W2275">
        <v>1.85</v>
      </c>
    </row>
    <row r="2276" spans="1:23" x14ac:dyDescent="0.3">
      <c r="A2276">
        <v>2276</v>
      </c>
      <c r="B2276" t="s">
        <v>2319</v>
      </c>
      <c r="C2276" t="s">
        <v>35</v>
      </c>
      <c r="D2276">
        <v>178</v>
      </c>
      <c r="E2276">
        <v>4708</v>
      </c>
      <c r="F2276" s="3">
        <v>238</v>
      </c>
      <c r="G2276">
        <v>14</v>
      </c>
      <c r="H2276">
        <v>10</v>
      </c>
      <c r="I2276" s="5">
        <v>5.6179775280898799E-2</v>
      </c>
      <c r="J2276" s="3">
        <v>296</v>
      </c>
      <c r="K2276" s="1">
        <v>45617</v>
      </c>
      <c r="L2276" t="s">
        <v>25</v>
      </c>
      <c r="M2276" t="s">
        <v>31</v>
      </c>
      <c r="N2276" t="s">
        <v>27</v>
      </c>
      <c r="O2276" t="s">
        <v>28</v>
      </c>
      <c r="P2276" t="s">
        <v>54</v>
      </c>
      <c r="Q2276" s="6">
        <v>1.33578651685393</v>
      </c>
      <c r="R2276">
        <v>3.78</v>
      </c>
      <c r="S2276">
        <v>16.98</v>
      </c>
      <c r="T2276">
        <v>23.78</v>
      </c>
      <c r="U2276">
        <v>24.49</v>
      </c>
      <c r="V2276">
        <v>29.6</v>
      </c>
      <c r="W2276">
        <v>1.24</v>
      </c>
    </row>
    <row r="2277" spans="1:23" x14ac:dyDescent="0.3">
      <c r="A2277">
        <v>2277</v>
      </c>
      <c r="B2277" t="s">
        <v>2320</v>
      </c>
      <c r="C2277" t="s">
        <v>35</v>
      </c>
      <c r="D2277">
        <v>93</v>
      </c>
      <c r="E2277">
        <v>3945</v>
      </c>
      <c r="F2277" s="3">
        <v>190</v>
      </c>
      <c r="G2277">
        <v>27</v>
      </c>
      <c r="H2277">
        <v>3</v>
      </c>
      <c r="I2277" s="5">
        <v>3.2258064516128997E-2</v>
      </c>
      <c r="J2277" s="3">
        <v>318</v>
      </c>
      <c r="K2277" s="1">
        <v>45614</v>
      </c>
      <c r="L2277" t="s">
        <v>25</v>
      </c>
      <c r="M2277" t="s">
        <v>39</v>
      </c>
      <c r="N2277" t="s">
        <v>27</v>
      </c>
      <c r="O2277" t="s">
        <v>28</v>
      </c>
      <c r="P2277" t="s">
        <v>59</v>
      </c>
      <c r="Q2277" s="6">
        <v>2.0379569892473102</v>
      </c>
      <c r="R2277">
        <v>2.36</v>
      </c>
      <c r="S2277">
        <v>7.02</v>
      </c>
      <c r="T2277">
        <v>63.18</v>
      </c>
      <c r="U2277">
        <v>67.78</v>
      </c>
      <c r="V2277">
        <v>106</v>
      </c>
      <c r="W2277">
        <v>1.68</v>
      </c>
    </row>
    <row r="2278" spans="1:23" x14ac:dyDescent="0.3">
      <c r="A2278">
        <v>2278</v>
      </c>
      <c r="B2278" t="s">
        <v>2321</v>
      </c>
      <c r="C2278" t="s">
        <v>43</v>
      </c>
      <c r="D2278">
        <v>138</v>
      </c>
      <c r="E2278">
        <v>5863</v>
      </c>
      <c r="F2278" s="3">
        <v>201</v>
      </c>
      <c r="G2278">
        <v>30</v>
      </c>
      <c r="H2278">
        <v>10</v>
      </c>
      <c r="I2278" s="5">
        <v>7.2463768115942004E-2</v>
      </c>
      <c r="J2278" s="3">
        <v>387</v>
      </c>
      <c r="K2278" s="1">
        <v>45614</v>
      </c>
      <c r="L2278" t="s">
        <v>25</v>
      </c>
      <c r="M2278" t="s">
        <v>26</v>
      </c>
      <c r="N2278" t="s">
        <v>49</v>
      </c>
      <c r="O2278" t="s">
        <v>28</v>
      </c>
      <c r="P2278" t="s">
        <v>59</v>
      </c>
      <c r="Q2278" s="6">
        <v>1.45789855072463</v>
      </c>
      <c r="R2278">
        <v>2.35</v>
      </c>
      <c r="S2278">
        <v>6.71</v>
      </c>
      <c r="T2278">
        <v>20.12</v>
      </c>
      <c r="U2278">
        <v>92.36</v>
      </c>
      <c r="V2278">
        <v>38.700000000000003</v>
      </c>
      <c r="W2278">
        <v>1.92</v>
      </c>
    </row>
    <row r="2279" spans="1:23" x14ac:dyDescent="0.3">
      <c r="A2279">
        <v>2279</v>
      </c>
      <c r="B2279" t="s">
        <v>2322</v>
      </c>
      <c r="C2279" t="s">
        <v>43</v>
      </c>
      <c r="D2279">
        <v>143</v>
      </c>
      <c r="E2279">
        <v>4470</v>
      </c>
      <c r="F2279" s="3">
        <v>214</v>
      </c>
      <c r="G2279">
        <v>14</v>
      </c>
      <c r="H2279">
        <v>8</v>
      </c>
      <c r="I2279" s="5">
        <v>5.5944055944055902E-2</v>
      </c>
      <c r="J2279" s="3">
        <v>276</v>
      </c>
      <c r="K2279" s="1">
        <v>45618</v>
      </c>
      <c r="L2279" t="s">
        <v>25</v>
      </c>
      <c r="M2279" t="s">
        <v>31</v>
      </c>
      <c r="N2279" t="s">
        <v>32</v>
      </c>
      <c r="O2279" t="s">
        <v>28</v>
      </c>
      <c r="P2279" t="s">
        <v>45</v>
      </c>
      <c r="Q2279" s="6">
        <v>1.49944055944055</v>
      </c>
      <c r="R2279">
        <v>3.2</v>
      </c>
      <c r="S2279">
        <v>15.32</v>
      </c>
      <c r="T2279">
        <v>26.8</v>
      </c>
      <c r="U2279">
        <v>28.72</v>
      </c>
      <c r="V2279">
        <v>34.5</v>
      </c>
      <c r="W2279">
        <v>1.29</v>
      </c>
    </row>
    <row r="2280" spans="1:23" x14ac:dyDescent="0.3">
      <c r="A2280">
        <v>2280</v>
      </c>
      <c r="B2280" t="s">
        <v>2323</v>
      </c>
      <c r="C2280" t="s">
        <v>35</v>
      </c>
      <c r="D2280">
        <v>176</v>
      </c>
      <c r="E2280">
        <v>5800</v>
      </c>
      <c r="F2280" s="3">
        <v>272</v>
      </c>
      <c r="G2280">
        <v>22</v>
      </c>
      <c r="H2280">
        <v>9</v>
      </c>
      <c r="I2280" s="5">
        <v>5.1136363636363598E-2</v>
      </c>
      <c r="J2280" s="3">
        <v>279</v>
      </c>
      <c r="K2280" s="1">
        <v>45610</v>
      </c>
      <c r="L2280" t="s">
        <v>25</v>
      </c>
      <c r="M2280" t="s">
        <v>39</v>
      </c>
      <c r="N2280" t="s">
        <v>32</v>
      </c>
      <c r="O2280" t="s">
        <v>28</v>
      </c>
      <c r="P2280" t="s">
        <v>54</v>
      </c>
      <c r="Q2280" s="6">
        <v>1.5443975742271101</v>
      </c>
      <c r="R2280">
        <v>3.03</v>
      </c>
      <c r="S2280">
        <v>12.36</v>
      </c>
      <c r="T2280">
        <v>30.2</v>
      </c>
      <c r="U2280">
        <v>2.64</v>
      </c>
      <c r="V2280">
        <v>31</v>
      </c>
      <c r="W2280">
        <v>1.03</v>
      </c>
    </row>
    <row r="2281" spans="1:23" x14ac:dyDescent="0.3">
      <c r="A2281">
        <v>2281</v>
      </c>
      <c r="B2281" t="s">
        <v>2324</v>
      </c>
      <c r="C2281" t="s">
        <v>43</v>
      </c>
      <c r="D2281">
        <v>147</v>
      </c>
      <c r="E2281">
        <v>4041</v>
      </c>
      <c r="F2281" s="3">
        <v>229</v>
      </c>
      <c r="G2281">
        <v>16</v>
      </c>
      <c r="H2281">
        <v>10</v>
      </c>
      <c r="I2281" s="5">
        <v>6.8027210884353706E-2</v>
      </c>
      <c r="J2281" s="3">
        <v>318</v>
      </c>
      <c r="K2281" s="1">
        <v>45623</v>
      </c>
      <c r="L2281" t="s">
        <v>25</v>
      </c>
      <c r="M2281" t="s">
        <v>26</v>
      </c>
      <c r="N2281" t="s">
        <v>49</v>
      </c>
      <c r="O2281" t="s">
        <v>28</v>
      </c>
      <c r="P2281" t="s">
        <v>33</v>
      </c>
      <c r="Q2281" s="6">
        <v>1.5591156462585001</v>
      </c>
      <c r="R2281">
        <v>3.64</v>
      </c>
      <c r="S2281">
        <v>14.32</v>
      </c>
      <c r="T2281">
        <v>22.92</v>
      </c>
      <c r="U2281">
        <v>38.75</v>
      </c>
      <c r="V2281">
        <v>31.8</v>
      </c>
      <c r="W2281">
        <v>1.39</v>
      </c>
    </row>
    <row r="2282" spans="1:23" x14ac:dyDescent="0.3">
      <c r="A2282">
        <v>2282</v>
      </c>
      <c r="B2282" t="s">
        <v>2325</v>
      </c>
      <c r="C2282" t="s">
        <v>43</v>
      </c>
      <c r="D2282">
        <v>101</v>
      </c>
      <c r="E2282">
        <v>3449</v>
      </c>
      <c r="F2282" s="3">
        <v>188</v>
      </c>
      <c r="G2282">
        <v>16</v>
      </c>
      <c r="H2282">
        <v>10</v>
      </c>
      <c r="I2282" s="5">
        <v>9.9009900990099001E-2</v>
      </c>
      <c r="J2282" s="3">
        <v>269</v>
      </c>
      <c r="K2282" s="1">
        <v>45604</v>
      </c>
      <c r="L2282" t="s">
        <v>25</v>
      </c>
      <c r="M2282" t="s">
        <v>26</v>
      </c>
      <c r="N2282" t="s">
        <v>44</v>
      </c>
      <c r="O2282" t="s">
        <v>28</v>
      </c>
      <c r="P2282" t="s">
        <v>45</v>
      </c>
      <c r="Q2282" s="6">
        <v>1.86524752475247</v>
      </c>
      <c r="R2282">
        <v>2.93</v>
      </c>
      <c r="S2282">
        <v>11.77</v>
      </c>
      <c r="T2282">
        <v>18.84</v>
      </c>
      <c r="U2282">
        <v>42.79</v>
      </c>
      <c r="V2282">
        <v>26.9</v>
      </c>
      <c r="W2282">
        <v>1.43</v>
      </c>
    </row>
    <row r="2283" spans="1:23" x14ac:dyDescent="0.3">
      <c r="A2283">
        <v>2283</v>
      </c>
      <c r="B2283" t="s">
        <v>2326</v>
      </c>
      <c r="C2283" t="s">
        <v>43</v>
      </c>
      <c r="D2283">
        <v>195</v>
      </c>
      <c r="E2283">
        <v>4195</v>
      </c>
      <c r="F2283" s="3">
        <v>232</v>
      </c>
      <c r="G2283">
        <v>13</v>
      </c>
      <c r="H2283">
        <v>10</v>
      </c>
      <c r="I2283" s="5">
        <v>5.1282051282051197E-2</v>
      </c>
      <c r="J2283" s="3">
        <v>374</v>
      </c>
      <c r="K2283" s="1">
        <v>45621</v>
      </c>
      <c r="L2283" t="s">
        <v>25</v>
      </c>
      <c r="M2283" t="s">
        <v>26</v>
      </c>
      <c r="N2283" t="s">
        <v>27</v>
      </c>
      <c r="O2283" t="s">
        <v>28</v>
      </c>
      <c r="P2283" t="s">
        <v>59</v>
      </c>
      <c r="Q2283" s="6">
        <v>1.18907692307692</v>
      </c>
      <c r="R2283">
        <v>4.6500000000000004</v>
      </c>
      <c r="S2283">
        <v>17.84</v>
      </c>
      <c r="T2283">
        <v>23.19</v>
      </c>
      <c r="U2283">
        <v>61.3</v>
      </c>
      <c r="V2283">
        <v>37.4</v>
      </c>
      <c r="W2283">
        <v>1.61</v>
      </c>
    </row>
    <row r="2284" spans="1:23" x14ac:dyDescent="0.3">
      <c r="A2284">
        <v>2284</v>
      </c>
      <c r="B2284" t="s">
        <v>2327</v>
      </c>
      <c r="C2284" t="s">
        <v>35</v>
      </c>
      <c r="D2284">
        <v>142</v>
      </c>
      <c r="E2284">
        <v>5365</v>
      </c>
      <c r="F2284" s="3">
        <v>238</v>
      </c>
      <c r="G2284">
        <v>17</v>
      </c>
      <c r="H2284">
        <v>10</v>
      </c>
      <c r="I2284" s="5">
        <v>7.0422535211267595E-2</v>
      </c>
      <c r="J2284" s="3">
        <v>316</v>
      </c>
      <c r="K2284" s="1">
        <v>45623</v>
      </c>
      <c r="L2284" t="s">
        <v>25</v>
      </c>
      <c r="M2284" t="s">
        <v>39</v>
      </c>
      <c r="N2284" t="s">
        <v>36</v>
      </c>
      <c r="O2284" t="s">
        <v>28</v>
      </c>
      <c r="P2284" t="s">
        <v>33</v>
      </c>
      <c r="Q2284" s="6">
        <v>1.6757042253521099</v>
      </c>
      <c r="R2284">
        <v>2.65</v>
      </c>
      <c r="S2284">
        <v>14</v>
      </c>
      <c r="T2284">
        <v>23.8</v>
      </c>
      <c r="U2284">
        <v>32.799999999999997</v>
      </c>
      <c r="V2284">
        <v>31.6</v>
      </c>
      <c r="W2284">
        <v>1.33</v>
      </c>
    </row>
    <row r="2285" spans="1:23" x14ac:dyDescent="0.3">
      <c r="A2285">
        <v>2285</v>
      </c>
      <c r="B2285" t="s">
        <v>2328</v>
      </c>
      <c r="C2285" t="s">
        <v>24</v>
      </c>
      <c r="D2285">
        <v>139</v>
      </c>
      <c r="E2285">
        <v>3854</v>
      </c>
      <c r="F2285" s="3">
        <v>235</v>
      </c>
      <c r="G2285">
        <v>10</v>
      </c>
      <c r="H2285">
        <v>3</v>
      </c>
      <c r="I2285" s="5">
        <v>2.15827338129496E-2</v>
      </c>
      <c r="J2285" s="3">
        <v>368</v>
      </c>
      <c r="K2285" s="1">
        <v>45614</v>
      </c>
      <c r="L2285" t="s">
        <v>25</v>
      </c>
      <c r="M2285" t="s">
        <v>39</v>
      </c>
      <c r="N2285" t="s">
        <v>27</v>
      </c>
      <c r="O2285" t="s">
        <v>28</v>
      </c>
      <c r="P2285" t="s">
        <v>59</v>
      </c>
      <c r="Q2285" s="6">
        <v>1.6887050359712199</v>
      </c>
      <c r="R2285">
        <v>3.61</v>
      </c>
      <c r="S2285">
        <v>23.47</v>
      </c>
      <c r="T2285">
        <v>78.239999999999995</v>
      </c>
      <c r="U2285">
        <v>56.78</v>
      </c>
      <c r="V2285">
        <v>122.67</v>
      </c>
      <c r="W2285">
        <v>1.57</v>
      </c>
    </row>
    <row r="2286" spans="1:23" x14ac:dyDescent="0.3">
      <c r="A2286">
        <v>2286</v>
      </c>
      <c r="B2286" t="s">
        <v>2329</v>
      </c>
      <c r="C2286" t="s">
        <v>24</v>
      </c>
      <c r="D2286">
        <v>84</v>
      </c>
      <c r="E2286">
        <v>5597</v>
      </c>
      <c r="F2286" s="3">
        <v>244</v>
      </c>
      <c r="G2286">
        <v>22</v>
      </c>
      <c r="H2286">
        <v>10</v>
      </c>
      <c r="I2286" s="5">
        <v>0.119047619047619</v>
      </c>
      <c r="J2286" s="3">
        <v>344</v>
      </c>
      <c r="K2286" s="1">
        <v>45599</v>
      </c>
      <c r="L2286" t="s">
        <v>25</v>
      </c>
      <c r="M2286" t="s">
        <v>39</v>
      </c>
      <c r="N2286" t="s">
        <v>40</v>
      </c>
      <c r="O2286" t="s">
        <v>28</v>
      </c>
      <c r="P2286" t="s">
        <v>50</v>
      </c>
      <c r="Q2286" s="6">
        <v>2.9094047619047601</v>
      </c>
      <c r="R2286">
        <v>1.5</v>
      </c>
      <c r="S2286">
        <v>11.11</v>
      </c>
      <c r="T2286">
        <v>24.44</v>
      </c>
      <c r="U2286">
        <v>40.76</v>
      </c>
      <c r="V2286">
        <v>34.4</v>
      </c>
      <c r="W2286">
        <v>1.41</v>
      </c>
    </row>
    <row r="2287" spans="1:23" x14ac:dyDescent="0.3">
      <c r="A2287">
        <v>2287</v>
      </c>
      <c r="B2287" t="s">
        <v>2330</v>
      </c>
      <c r="C2287" t="s">
        <v>43</v>
      </c>
      <c r="D2287">
        <v>103</v>
      </c>
      <c r="E2287">
        <v>5488</v>
      </c>
      <c r="F2287" s="3">
        <v>237</v>
      </c>
      <c r="G2287">
        <v>21</v>
      </c>
      <c r="H2287">
        <v>7</v>
      </c>
      <c r="I2287" s="5">
        <v>6.7961165048543604E-2</v>
      </c>
      <c r="J2287" s="3">
        <v>382</v>
      </c>
      <c r="K2287" s="1">
        <v>45618</v>
      </c>
      <c r="L2287" t="s">
        <v>25</v>
      </c>
      <c r="M2287" t="s">
        <v>39</v>
      </c>
      <c r="N2287" t="s">
        <v>49</v>
      </c>
      <c r="O2287" t="s">
        <v>28</v>
      </c>
      <c r="P2287" t="s">
        <v>45</v>
      </c>
      <c r="Q2287" s="6">
        <v>2.3015533980582501</v>
      </c>
      <c r="R2287">
        <v>1.88</v>
      </c>
      <c r="S2287">
        <v>11.29</v>
      </c>
      <c r="T2287">
        <v>33.869999999999997</v>
      </c>
      <c r="U2287">
        <v>61.14</v>
      </c>
      <c r="V2287">
        <v>54.57</v>
      </c>
      <c r="W2287">
        <v>1.61</v>
      </c>
    </row>
    <row r="2288" spans="1:23" x14ac:dyDescent="0.3">
      <c r="A2288">
        <v>2288</v>
      </c>
      <c r="B2288" t="s">
        <v>2331</v>
      </c>
      <c r="C2288" t="s">
        <v>38</v>
      </c>
      <c r="D2288">
        <v>108</v>
      </c>
      <c r="E2288">
        <v>3676</v>
      </c>
      <c r="F2288" s="3">
        <v>203</v>
      </c>
      <c r="G2288">
        <v>29</v>
      </c>
      <c r="H2288">
        <v>8</v>
      </c>
      <c r="I2288" s="5">
        <v>7.4074074074074001E-2</v>
      </c>
      <c r="J2288" s="3">
        <v>279</v>
      </c>
      <c r="K2288" s="1">
        <v>45597</v>
      </c>
      <c r="L2288" t="s">
        <v>25</v>
      </c>
      <c r="M2288" t="s">
        <v>31</v>
      </c>
      <c r="N2288" t="s">
        <v>36</v>
      </c>
      <c r="O2288" t="s">
        <v>28</v>
      </c>
      <c r="P2288" t="s">
        <v>45</v>
      </c>
      <c r="Q2288" s="6">
        <v>1.88379629629629</v>
      </c>
      <c r="R2288">
        <v>2.94</v>
      </c>
      <c r="S2288">
        <v>7.02</v>
      </c>
      <c r="T2288">
        <v>25.43</v>
      </c>
      <c r="U2288">
        <v>37.130000000000003</v>
      </c>
      <c r="V2288">
        <v>34.880000000000003</v>
      </c>
      <c r="W2288">
        <v>1.37</v>
      </c>
    </row>
    <row r="2289" spans="1:23" x14ac:dyDescent="0.3">
      <c r="A2289">
        <v>2289</v>
      </c>
      <c r="B2289" t="s">
        <v>2332</v>
      </c>
      <c r="C2289" t="s">
        <v>35</v>
      </c>
      <c r="D2289">
        <v>171</v>
      </c>
      <c r="E2289">
        <v>4307</v>
      </c>
      <c r="F2289" s="3">
        <v>221</v>
      </c>
      <c r="G2289">
        <v>25</v>
      </c>
      <c r="H2289">
        <v>8</v>
      </c>
      <c r="I2289" s="5">
        <v>4.6783625730994101E-2</v>
      </c>
      <c r="J2289" s="3">
        <v>242</v>
      </c>
      <c r="K2289" s="1">
        <v>45597</v>
      </c>
      <c r="L2289" t="s">
        <v>25</v>
      </c>
      <c r="M2289" t="s">
        <v>39</v>
      </c>
      <c r="N2289" t="s">
        <v>36</v>
      </c>
      <c r="O2289" t="s">
        <v>28</v>
      </c>
      <c r="P2289" t="s">
        <v>45</v>
      </c>
      <c r="Q2289" s="6">
        <v>1.2917543859649101</v>
      </c>
      <c r="R2289">
        <v>3.97</v>
      </c>
      <c r="S2289">
        <v>8.84</v>
      </c>
      <c r="T2289">
        <v>27.61</v>
      </c>
      <c r="U2289">
        <v>9.56</v>
      </c>
      <c r="V2289">
        <v>30.25</v>
      </c>
      <c r="W2289">
        <v>1.1000000000000001</v>
      </c>
    </row>
    <row r="2290" spans="1:23" x14ac:dyDescent="0.3">
      <c r="A2290">
        <v>2290</v>
      </c>
      <c r="B2290" t="s">
        <v>2333</v>
      </c>
      <c r="C2290" t="s">
        <v>35</v>
      </c>
      <c r="D2290">
        <v>80</v>
      </c>
      <c r="E2290">
        <v>4204</v>
      </c>
      <c r="F2290" s="3">
        <v>227</v>
      </c>
      <c r="G2290">
        <v>14</v>
      </c>
      <c r="H2290">
        <v>3</v>
      </c>
      <c r="I2290" s="5">
        <v>3.7499999999999999E-2</v>
      </c>
      <c r="J2290" s="3">
        <v>293</v>
      </c>
      <c r="K2290" s="1">
        <v>45617</v>
      </c>
      <c r="L2290" t="s">
        <v>25</v>
      </c>
      <c r="M2290" t="s">
        <v>39</v>
      </c>
      <c r="N2290" t="s">
        <v>32</v>
      </c>
      <c r="O2290" t="s">
        <v>28</v>
      </c>
      <c r="P2290" t="s">
        <v>54</v>
      </c>
      <c r="Q2290" s="6">
        <v>2.8348749999999998</v>
      </c>
      <c r="R2290">
        <v>1.9</v>
      </c>
      <c r="S2290">
        <v>16.2</v>
      </c>
      <c r="T2290">
        <v>75.599999999999994</v>
      </c>
      <c r="U2290">
        <v>29.19</v>
      </c>
      <c r="V2290">
        <v>97.67</v>
      </c>
      <c r="W2290">
        <v>1.29</v>
      </c>
    </row>
    <row r="2291" spans="1:23" x14ac:dyDescent="0.3">
      <c r="A2291">
        <v>2291</v>
      </c>
      <c r="B2291" t="s">
        <v>2334</v>
      </c>
      <c r="C2291" t="s">
        <v>43</v>
      </c>
      <c r="D2291">
        <v>169</v>
      </c>
      <c r="E2291">
        <v>3589</v>
      </c>
      <c r="F2291" s="3">
        <v>238</v>
      </c>
      <c r="G2291">
        <v>15</v>
      </c>
      <c r="H2291">
        <v>3</v>
      </c>
      <c r="I2291" s="5">
        <v>1.7751479289940801E-2</v>
      </c>
      <c r="J2291" s="3">
        <v>358</v>
      </c>
      <c r="K2291" s="1">
        <v>45617</v>
      </c>
      <c r="L2291" t="s">
        <v>25</v>
      </c>
      <c r="M2291" t="s">
        <v>31</v>
      </c>
      <c r="N2291" t="s">
        <v>49</v>
      </c>
      <c r="O2291" t="s">
        <v>28</v>
      </c>
      <c r="P2291" t="s">
        <v>54</v>
      </c>
      <c r="Q2291" s="6">
        <v>1.40727810650887</v>
      </c>
      <c r="R2291">
        <v>4.71</v>
      </c>
      <c r="S2291">
        <v>15.86</v>
      </c>
      <c r="T2291">
        <v>79.28</v>
      </c>
      <c r="U2291">
        <v>50.53</v>
      </c>
      <c r="V2291">
        <v>119.33</v>
      </c>
      <c r="W2291">
        <v>1.51</v>
      </c>
    </row>
    <row r="2292" spans="1:23" x14ac:dyDescent="0.3">
      <c r="A2292">
        <v>2292</v>
      </c>
      <c r="B2292" t="s">
        <v>2335</v>
      </c>
      <c r="C2292" t="s">
        <v>43</v>
      </c>
      <c r="D2292">
        <v>92</v>
      </c>
      <c r="E2292">
        <v>3048</v>
      </c>
      <c r="F2292" s="3">
        <v>189</v>
      </c>
      <c r="G2292">
        <v>22</v>
      </c>
      <c r="H2292">
        <v>7</v>
      </c>
      <c r="I2292" s="5">
        <v>7.6086956521739094E-2</v>
      </c>
      <c r="J2292" s="3">
        <v>355</v>
      </c>
      <c r="K2292" s="1">
        <v>45614</v>
      </c>
      <c r="L2292" t="s">
        <v>25</v>
      </c>
      <c r="M2292" t="s">
        <v>31</v>
      </c>
      <c r="N2292" t="s">
        <v>49</v>
      </c>
      <c r="O2292" t="s">
        <v>28</v>
      </c>
      <c r="P2292" t="s">
        <v>59</v>
      </c>
      <c r="Q2292" s="6">
        <v>2.0595652173913002</v>
      </c>
      <c r="R2292">
        <v>3.02</v>
      </c>
      <c r="S2292">
        <v>8.61</v>
      </c>
      <c r="T2292">
        <v>27.07</v>
      </c>
      <c r="U2292">
        <v>87.35</v>
      </c>
      <c r="V2292">
        <v>50.71</v>
      </c>
      <c r="W2292">
        <v>1.87</v>
      </c>
    </row>
    <row r="2293" spans="1:23" x14ac:dyDescent="0.3">
      <c r="A2293">
        <v>2293</v>
      </c>
      <c r="B2293" t="s">
        <v>2336</v>
      </c>
      <c r="C2293" t="s">
        <v>35</v>
      </c>
      <c r="D2293">
        <v>92</v>
      </c>
      <c r="E2293">
        <v>4631</v>
      </c>
      <c r="F2293" s="3">
        <v>233</v>
      </c>
      <c r="G2293">
        <v>19</v>
      </c>
      <c r="H2293">
        <v>10</v>
      </c>
      <c r="I2293" s="5">
        <v>0.108695652173913</v>
      </c>
      <c r="J2293" s="3">
        <v>310</v>
      </c>
      <c r="K2293" s="1">
        <v>45623</v>
      </c>
      <c r="L2293" t="s">
        <v>25</v>
      </c>
      <c r="M2293" t="s">
        <v>31</v>
      </c>
      <c r="N2293" t="s">
        <v>27</v>
      </c>
      <c r="O2293" t="s">
        <v>28</v>
      </c>
      <c r="P2293" t="s">
        <v>33</v>
      </c>
      <c r="Q2293" s="6">
        <v>2.5358695652173902</v>
      </c>
      <c r="R2293">
        <v>1.99</v>
      </c>
      <c r="S2293">
        <v>12.28</v>
      </c>
      <c r="T2293">
        <v>23.33</v>
      </c>
      <c r="U2293">
        <v>32.880000000000003</v>
      </c>
      <c r="V2293">
        <v>31</v>
      </c>
      <c r="W2293">
        <v>1.33</v>
      </c>
    </row>
    <row r="2294" spans="1:23" x14ac:dyDescent="0.3">
      <c r="A2294">
        <v>2294</v>
      </c>
      <c r="B2294" t="s">
        <v>2337</v>
      </c>
      <c r="C2294" t="s">
        <v>24</v>
      </c>
      <c r="D2294">
        <v>189</v>
      </c>
      <c r="E2294">
        <v>5624</v>
      </c>
      <c r="F2294" s="3">
        <v>248</v>
      </c>
      <c r="G2294">
        <v>23</v>
      </c>
      <c r="H2294">
        <v>7</v>
      </c>
      <c r="I2294" s="5">
        <v>3.7037037037037E-2</v>
      </c>
      <c r="J2294" s="3">
        <v>327</v>
      </c>
      <c r="K2294" s="1">
        <v>45606</v>
      </c>
      <c r="L2294" t="s">
        <v>25</v>
      </c>
      <c r="M2294" t="s">
        <v>39</v>
      </c>
      <c r="N2294" t="s">
        <v>49</v>
      </c>
      <c r="O2294" t="s">
        <v>28</v>
      </c>
      <c r="P2294" t="s">
        <v>50</v>
      </c>
      <c r="Q2294" s="6">
        <v>1.3123280423280399</v>
      </c>
      <c r="R2294">
        <v>3.36</v>
      </c>
      <c r="S2294">
        <v>10.78</v>
      </c>
      <c r="T2294">
        <v>35.43</v>
      </c>
      <c r="U2294">
        <v>31.84</v>
      </c>
      <c r="V2294">
        <v>46.71</v>
      </c>
      <c r="W2294">
        <v>1.32</v>
      </c>
    </row>
    <row r="2295" spans="1:23" x14ac:dyDescent="0.3">
      <c r="A2295">
        <v>2295</v>
      </c>
      <c r="B2295" t="s">
        <v>2338</v>
      </c>
      <c r="C2295" t="s">
        <v>43</v>
      </c>
      <c r="D2295">
        <v>124</v>
      </c>
      <c r="E2295">
        <v>5931</v>
      </c>
      <c r="F2295" s="3">
        <v>214</v>
      </c>
      <c r="G2295">
        <v>21</v>
      </c>
      <c r="H2295">
        <v>3</v>
      </c>
      <c r="I2295" s="5">
        <v>2.4193548387096701E-2</v>
      </c>
      <c r="J2295" s="3">
        <v>389</v>
      </c>
      <c r="K2295" s="1">
        <v>45601</v>
      </c>
      <c r="L2295" t="s">
        <v>25</v>
      </c>
      <c r="M2295" t="s">
        <v>39</v>
      </c>
      <c r="N2295" t="s">
        <v>44</v>
      </c>
      <c r="O2295" t="s">
        <v>28</v>
      </c>
      <c r="P2295" t="s">
        <v>41</v>
      </c>
      <c r="Q2295" s="6">
        <v>1.7291129032257999</v>
      </c>
      <c r="R2295">
        <v>2.09</v>
      </c>
      <c r="S2295">
        <v>10.210000000000001</v>
      </c>
      <c r="T2295">
        <v>71.47</v>
      </c>
      <c r="U2295">
        <v>81.430000000000007</v>
      </c>
      <c r="V2295">
        <v>129.66999999999999</v>
      </c>
      <c r="W2295">
        <v>1.81</v>
      </c>
    </row>
    <row r="2296" spans="1:23" x14ac:dyDescent="0.3">
      <c r="A2296">
        <v>2296</v>
      </c>
      <c r="B2296" t="s">
        <v>2339</v>
      </c>
      <c r="C2296" t="s">
        <v>24</v>
      </c>
      <c r="D2296">
        <v>138</v>
      </c>
      <c r="E2296">
        <v>5891</v>
      </c>
      <c r="F2296" s="3">
        <v>247</v>
      </c>
      <c r="G2296">
        <v>14</v>
      </c>
      <c r="H2296">
        <v>7</v>
      </c>
      <c r="I2296" s="5">
        <v>5.0724637681159403E-2</v>
      </c>
      <c r="J2296" s="3">
        <v>232</v>
      </c>
      <c r="K2296" s="1">
        <v>45610</v>
      </c>
      <c r="L2296" t="s">
        <v>25</v>
      </c>
      <c r="M2296" t="s">
        <v>26</v>
      </c>
      <c r="N2296" t="s">
        <v>44</v>
      </c>
      <c r="O2296" t="s">
        <v>28</v>
      </c>
      <c r="P2296" t="s">
        <v>54</v>
      </c>
      <c r="Q2296" s="6">
        <v>1.7932608695652099</v>
      </c>
      <c r="R2296">
        <v>2.34</v>
      </c>
      <c r="S2296">
        <v>17.68</v>
      </c>
      <c r="T2296">
        <v>35.35</v>
      </c>
      <c r="U2296">
        <v>-6.25</v>
      </c>
      <c r="V2296">
        <v>33.14</v>
      </c>
      <c r="W2296">
        <v>0.94</v>
      </c>
    </row>
    <row r="2297" spans="1:23" x14ac:dyDescent="0.3">
      <c r="A2297">
        <v>2297</v>
      </c>
      <c r="B2297" t="s">
        <v>2340</v>
      </c>
      <c r="C2297" t="s">
        <v>43</v>
      </c>
      <c r="D2297">
        <v>186</v>
      </c>
      <c r="E2297">
        <v>5774</v>
      </c>
      <c r="F2297" s="3">
        <v>236</v>
      </c>
      <c r="G2297">
        <v>15</v>
      </c>
      <c r="H2297">
        <v>6</v>
      </c>
      <c r="I2297" s="5">
        <v>3.2258064516128997E-2</v>
      </c>
      <c r="J2297" s="3">
        <v>263</v>
      </c>
      <c r="K2297" s="1">
        <v>45608</v>
      </c>
      <c r="L2297" t="s">
        <v>25</v>
      </c>
      <c r="M2297" t="s">
        <v>31</v>
      </c>
      <c r="N2297" t="s">
        <v>27</v>
      </c>
      <c r="O2297" t="s">
        <v>28</v>
      </c>
      <c r="P2297" t="s">
        <v>41</v>
      </c>
      <c r="Q2297" s="6">
        <v>1.27</v>
      </c>
      <c r="R2297">
        <v>3.22</v>
      </c>
      <c r="S2297">
        <v>15.75</v>
      </c>
      <c r="T2297">
        <v>39.369999999999997</v>
      </c>
      <c r="U2297">
        <v>11.34</v>
      </c>
      <c r="V2297">
        <v>43.83</v>
      </c>
      <c r="W2297">
        <v>1.1100000000000001</v>
      </c>
    </row>
    <row r="2298" spans="1:23" x14ac:dyDescent="0.3">
      <c r="A2298">
        <v>2298</v>
      </c>
      <c r="B2298" t="s">
        <v>2341</v>
      </c>
      <c r="C2298" t="s">
        <v>35</v>
      </c>
      <c r="D2298">
        <v>100</v>
      </c>
      <c r="E2298">
        <v>4869</v>
      </c>
      <c r="F2298" s="3">
        <v>234</v>
      </c>
      <c r="G2298">
        <v>21</v>
      </c>
      <c r="H2298">
        <v>7</v>
      </c>
      <c r="I2298" s="5">
        <v>7.0000000000000007E-2</v>
      </c>
      <c r="J2298" s="3">
        <v>386</v>
      </c>
      <c r="K2298" s="1">
        <v>45597</v>
      </c>
      <c r="L2298" t="s">
        <v>25</v>
      </c>
      <c r="M2298" t="s">
        <v>39</v>
      </c>
      <c r="N2298" t="s">
        <v>36</v>
      </c>
      <c r="O2298" t="s">
        <v>28</v>
      </c>
      <c r="P2298" t="s">
        <v>45</v>
      </c>
      <c r="Q2298" s="6">
        <v>2.3437000000000001</v>
      </c>
      <c r="R2298">
        <v>2.0499999999999998</v>
      </c>
      <c r="S2298">
        <v>11.16</v>
      </c>
      <c r="T2298">
        <v>33.479999999999997</v>
      </c>
      <c r="U2298">
        <v>64.7</v>
      </c>
      <c r="V2298">
        <v>55.14</v>
      </c>
      <c r="W2298">
        <v>1.65</v>
      </c>
    </row>
    <row r="2299" spans="1:23" x14ac:dyDescent="0.3">
      <c r="A2299">
        <v>2299</v>
      </c>
      <c r="B2299" t="s">
        <v>2342</v>
      </c>
      <c r="C2299" t="s">
        <v>24</v>
      </c>
      <c r="D2299">
        <v>151</v>
      </c>
      <c r="E2299">
        <v>5403</v>
      </c>
      <c r="F2299" s="3">
        <v>181</v>
      </c>
      <c r="G2299">
        <v>22</v>
      </c>
      <c r="H2299">
        <v>3</v>
      </c>
      <c r="I2299" s="5">
        <v>1.98675496688741E-2</v>
      </c>
      <c r="J2299" s="3">
        <v>329</v>
      </c>
      <c r="K2299" s="1">
        <v>45625</v>
      </c>
      <c r="L2299" t="s">
        <v>25</v>
      </c>
      <c r="M2299" t="s">
        <v>39</v>
      </c>
      <c r="N2299" t="s">
        <v>36</v>
      </c>
      <c r="O2299" t="s">
        <v>28</v>
      </c>
      <c r="P2299" t="s">
        <v>45</v>
      </c>
      <c r="Q2299" s="6">
        <v>1.1969536423841001</v>
      </c>
      <c r="R2299">
        <v>2.79</v>
      </c>
      <c r="S2299">
        <v>8.2200000000000006</v>
      </c>
      <c r="T2299">
        <v>60.25</v>
      </c>
      <c r="U2299">
        <v>82.03</v>
      </c>
      <c r="V2299">
        <v>109.67</v>
      </c>
      <c r="W2299">
        <v>1.82</v>
      </c>
    </row>
    <row r="2300" spans="1:23" x14ac:dyDescent="0.3">
      <c r="A2300">
        <v>2300</v>
      </c>
      <c r="B2300" t="s">
        <v>2343</v>
      </c>
      <c r="C2300" t="s">
        <v>38</v>
      </c>
      <c r="D2300">
        <v>176</v>
      </c>
      <c r="E2300">
        <v>4577</v>
      </c>
      <c r="F2300" s="3">
        <v>208</v>
      </c>
      <c r="G2300">
        <v>23</v>
      </c>
      <c r="H2300">
        <v>8</v>
      </c>
      <c r="I2300" s="5">
        <v>4.54545454545454E-2</v>
      </c>
      <c r="J2300" s="3">
        <v>285</v>
      </c>
      <c r="K2300" s="1">
        <v>45625</v>
      </c>
      <c r="L2300" t="s">
        <v>25</v>
      </c>
      <c r="M2300" t="s">
        <v>39</v>
      </c>
      <c r="N2300" t="s">
        <v>40</v>
      </c>
      <c r="O2300" t="s">
        <v>28</v>
      </c>
      <c r="P2300" t="s">
        <v>45</v>
      </c>
      <c r="Q2300" s="6">
        <v>1.1817045454545401</v>
      </c>
      <c r="R2300">
        <v>3.85</v>
      </c>
      <c r="S2300">
        <v>9.0399999999999991</v>
      </c>
      <c r="T2300">
        <v>26</v>
      </c>
      <c r="U2300">
        <v>37.03</v>
      </c>
      <c r="V2300">
        <v>35.619999999999997</v>
      </c>
      <c r="W2300">
        <v>1.37</v>
      </c>
    </row>
    <row r="2301" spans="1:23" x14ac:dyDescent="0.3">
      <c r="A2301">
        <v>2301</v>
      </c>
      <c r="B2301" t="s">
        <v>2344</v>
      </c>
      <c r="C2301" t="s">
        <v>38</v>
      </c>
      <c r="D2301">
        <v>121</v>
      </c>
      <c r="E2301">
        <v>3978</v>
      </c>
      <c r="F2301" s="3">
        <v>230</v>
      </c>
      <c r="G2301">
        <v>23</v>
      </c>
      <c r="H2301">
        <v>9</v>
      </c>
      <c r="I2301" s="5">
        <v>7.43801652892562E-2</v>
      </c>
      <c r="J2301" s="3">
        <v>366</v>
      </c>
      <c r="K2301" s="1">
        <v>45615</v>
      </c>
      <c r="L2301" t="s">
        <v>25</v>
      </c>
      <c r="M2301" t="s">
        <v>26</v>
      </c>
      <c r="N2301" t="s">
        <v>49</v>
      </c>
      <c r="O2301" t="s">
        <v>28</v>
      </c>
      <c r="P2301" t="s">
        <v>41</v>
      </c>
      <c r="Q2301" s="6">
        <v>1.90239669421487</v>
      </c>
      <c r="R2301">
        <v>3.04</v>
      </c>
      <c r="S2301">
        <v>10.01</v>
      </c>
      <c r="T2301">
        <v>25.58</v>
      </c>
      <c r="U2301">
        <v>59</v>
      </c>
      <c r="V2301">
        <v>40.67</v>
      </c>
      <c r="W2301">
        <v>1.59</v>
      </c>
    </row>
    <row r="2302" spans="1:23" x14ac:dyDescent="0.3">
      <c r="A2302">
        <v>2302</v>
      </c>
      <c r="B2302" t="s">
        <v>2345</v>
      </c>
      <c r="C2302" t="s">
        <v>38</v>
      </c>
      <c r="D2302">
        <v>141</v>
      </c>
      <c r="E2302">
        <v>4483</v>
      </c>
      <c r="F2302" s="3">
        <v>240</v>
      </c>
      <c r="G2302">
        <v>25</v>
      </c>
      <c r="H2302">
        <v>4</v>
      </c>
      <c r="I2302" s="5">
        <v>2.8368794326241099E-2</v>
      </c>
      <c r="J2302" s="3">
        <v>309</v>
      </c>
      <c r="K2302" s="1">
        <v>45610</v>
      </c>
      <c r="L2302" t="s">
        <v>25</v>
      </c>
      <c r="M2302" t="s">
        <v>39</v>
      </c>
      <c r="N2302" t="s">
        <v>49</v>
      </c>
      <c r="O2302" t="s">
        <v>28</v>
      </c>
      <c r="P2302" t="s">
        <v>54</v>
      </c>
      <c r="Q2302" s="6">
        <v>1.7037588652482201</v>
      </c>
      <c r="R2302">
        <v>3.15</v>
      </c>
      <c r="S2302">
        <v>9.61</v>
      </c>
      <c r="T2302">
        <v>60.06</v>
      </c>
      <c r="U2302">
        <v>28.63</v>
      </c>
      <c r="V2302">
        <v>77.25</v>
      </c>
      <c r="W2302">
        <v>1.29</v>
      </c>
    </row>
    <row r="2303" spans="1:23" x14ac:dyDescent="0.3">
      <c r="A2303">
        <v>2303</v>
      </c>
      <c r="B2303" t="s">
        <v>2346</v>
      </c>
      <c r="C2303" t="s">
        <v>43</v>
      </c>
      <c r="D2303">
        <v>117</v>
      </c>
      <c r="E2303">
        <v>5754</v>
      </c>
      <c r="F2303" s="3">
        <v>229</v>
      </c>
      <c r="G2303">
        <v>17</v>
      </c>
      <c r="H2303">
        <v>3</v>
      </c>
      <c r="I2303" s="5">
        <v>2.5641025641025599E-2</v>
      </c>
      <c r="J2303" s="3">
        <v>140.142857142857</v>
      </c>
      <c r="K2303" s="1">
        <v>45610</v>
      </c>
      <c r="L2303" t="s">
        <v>25</v>
      </c>
      <c r="M2303" t="s">
        <v>31</v>
      </c>
      <c r="N2303" t="s">
        <v>36</v>
      </c>
      <c r="O2303" t="s">
        <v>28</v>
      </c>
      <c r="P2303" t="s">
        <v>54</v>
      </c>
      <c r="Q2303" s="6">
        <v>1.9555555555555499</v>
      </c>
      <c r="R2303">
        <v>2.0299999999999998</v>
      </c>
      <c r="S2303">
        <v>13.46</v>
      </c>
      <c r="T2303">
        <v>76.27</v>
      </c>
      <c r="U2303">
        <v>-38.75</v>
      </c>
      <c r="V2303">
        <v>46.71</v>
      </c>
      <c r="W2303">
        <v>0.61</v>
      </c>
    </row>
    <row r="2304" spans="1:23" x14ac:dyDescent="0.3">
      <c r="A2304">
        <v>2304</v>
      </c>
      <c r="B2304" t="s">
        <v>2347</v>
      </c>
      <c r="C2304" t="s">
        <v>35</v>
      </c>
      <c r="D2304">
        <v>131</v>
      </c>
      <c r="E2304">
        <v>5528</v>
      </c>
      <c r="F2304" s="3">
        <v>182</v>
      </c>
      <c r="G2304">
        <v>27</v>
      </c>
      <c r="H2304">
        <v>6</v>
      </c>
      <c r="I2304" s="5">
        <v>4.5801526717557203E-2</v>
      </c>
      <c r="J2304" s="3">
        <v>238</v>
      </c>
      <c r="K2304" s="1">
        <v>45599</v>
      </c>
      <c r="L2304" t="s">
        <v>25</v>
      </c>
      <c r="M2304" t="s">
        <v>26</v>
      </c>
      <c r="N2304" t="s">
        <v>49</v>
      </c>
      <c r="O2304" t="s">
        <v>28</v>
      </c>
      <c r="P2304" t="s">
        <v>50</v>
      </c>
      <c r="Q2304" s="6">
        <v>1.3922137404580099</v>
      </c>
      <c r="R2304">
        <v>2.37</v>
      </c>
      <c r="S2304">
        <v>6.75</v>
      </c>
      <c r="T2304">
        <v>30.4</v>
      </c>
      <c r="U2304">
        <v>30.5</v>
      </c>
      <c r="V2304">
        <v>39.67</v>
      </c>
      <c r="W2304">
        <v>1.3</v>
      </c>
    </row>
    <row r="2305" spans="1:23" x14ac:dyDescent="0.3">
      <c r="A2305">
        <v>2305</v>
      </c>
      <c r="B2305" t="s">
        <v>2348</v>
      </c>
      <c r="C2305" t="s">
        <v>43</v>
      </c>
      <c r="D2305">
        <v>173</v>
      </c>
      <c r="E2305">
        <v>3639</v>
      </c>
      <c r="F2305" s="3">
        <v>226</v>
      </c>
      <c r="G2305">
        <v>10</v>
      </c>
      <c r="H2305">
        <v>4</v>
      </c>
      <c r="I2305" s="5">
        <v>2.3121387283236899E-2</v>
      </c>
      <c r="J2305" s="3">
        <v>368</v>
      </c>
      <c r="K2305" s="1">
        <v>45623</v>
      </c>
      <c r="L2305" t="s">
        <v>25</v>
      </c>
      <c r="M2305" t="s">
        <v>39</v>
      </c>
      <c r="N2305" t="s">
        <v>36</v>
      </c>
      <c r="O2305" t="s">
        <v>28</v>
      </c>
      <c r="P2305" t="s">
        <v>33</v>
      </c>
      <c r="Q2305" s="6">
        <v>1.3047976878612699</v>
      </c>
      <c r="R2305">
        <v>4.75</v>
      </c>
      <c r="S2305">
        <v>22.57</v>
      </c>
      <c r="T2305">
        <v>56.43</v>
      </c>
      <c r="U2305">
        <v>63.03</v>
      </c>
      <c r="V2305">
        <v>92</v>
      </c>
      <c r="W2305">
        <v>1.63</v>
      </c>
    </row>
    <row r="2306" spans="1:23" x14ac:dyDescent="0.3">
      <c r="A2306">
        <v>2306</v>
      </c>
      <c r="B2306" t="s">
        <v>2349</v>
      </c>
      <c r="C2306" t="s">
        <v>35</v>
      </c>
      <c r="D2306">
        <v>195</v>
      </c>
      <c r="E2306">
        <v>4067</v>
      </c>
      <c r="F2306" s="3">
        <v>221</v>
      </c>
      <c r="G2306">
        <v>20</v>
      </c>
      <c r="H2306">
        <v>8</v>
      </c>
      <c r="I2306" s="5">
        <v>4.1025641025640998E-2</v>
      </c>
      <c r="J2306" s="3">
        <v>361</v>
      </c>
      <c r="K2306" s="1">
        <v>45604</v>
      </c>
      <c r="L2306" t="s">
        <v>25</v>
      </c>
      <c r="M2306" t="s">
        <v>26</v>
      </c>
      <c r="N2306" t="s">
        <v>32</v>
      </c>
      <c r="O2306" t="s">
        <v>28</v>
      </c>
      <c r="P2306" t="s">
        <v>45</v>
      </c>
      <c r="Q2306" s="6">
        <v>1.13133333333333</v>
      </c>
      <c r="R2306">
        <v>4.79</v>
      </c>
      <c r="S2306">
        <v>11.03</v>
      </c>
      <c r="T2306">
        <v>27.58</v>
      </c>
      <c r="U2306">
        <v>63.64</v>
      </c>
      <c r="V2306">
        <v>45.12</v>
      </c>
      <c r="W2306">
        <v>1.64</v>
      </c>
    </row>
    <row r="2307" spans="1:23" x14ac:dyDescent="0.3">
      <c r="A2307">
        <v>2307</v>
      </c>
      <c r="B2307" t="s">
        <v>2350</v>
      </c>
      <c r="C2307" t="s">
        <v>24</v>
      </c>
      <c r="D2307">
        <v>126</v>
      </c>
      <c r="E2307">
        <v>3931</v>
      </c>
      <c r="F2307" s="3">
        <v>212</v>
      </c>
      <c r="G2307">
        <v>20</v>
      </c>
      <c r="H2307">
        <v>9</v>
      </c>
      <c r="I2307" s="5">
        <v>7.1428571428571397E-2</v>
      </c>
      <c r="J2307" s="3">
        <v>314</v>
      </c>
      <c r="K2307" s="1">
        <v>45605</v>
      </c>
      <c r="L2307" t="s">
        <v>25</v>
      </c>
      <c r="M2307" t="s">
        <v>26</v>
      </c>
      <c r="N2307" t="s">
        <v>27</v>
      </c>
      <c r="O2307" t="s">
        <v>28</v>
      </c>
      <c r="P2307" t="s">
        <v>29</v>
      </c>
      <c r="Q2307" s="6">
        <v>1.6838095238095201</v>
      </c>
      <c r="R2307">
        <v>3.21</v>
      </c>
      <c r="S2307">
        <v>10.61</v>
      </c>
      <c r="T2307">
        <v>23.57</v>
      </c>
      <c r="U2307">
        <v>48</v>
      </c>
      <c r="V2307">
        <v>34.89</v>
      </c>
      <c r="W2307">
        <v>1.48</v>
      </c>
    </row>
    <row r="2308" spans="1:23" x14ac:dyDescent="0.3">
      <c r="A2308">
        <v>2308</v>
      </c>
      <c r="B2308" t="s">
        <v>2351</v>
      </c>
      <c r="C2308" t="s">
        <v>24</v>
      </c>
      <c r="D2308">
        <v>119</v>
      </c>
      <c r="E2308">
        <v>3602</v>
      </c>
      <c r="F2308" s="3">
        <v>192</v>
      </c>
      <c r="G2308">
        <v>26</v>
      </c>
      <c r="H2308">
        <v>3</v>
      </c>
      <c r="I2308" s="5">
        <v>2.5210084033613401E-2</v>
      </c>
      <c r="J2308" s="3">
        <v>215</v>
      </c>
      <c r="K2308" s="1">
        <v>45606</v>
      </c>
      <c r="L2308" t="s">
        <v>25</v>
      </c>
      <c r="M2308" t="s">
        <v>39</v>
      </c>
      <c r="N2308" t="s">
        <v>49</v>
      </c>
      <c r="O2308" t="s">
        <v>28</v>
      </c>
      <c r="P2308" t="s">
        <v>50</v>
      </c>
      <c r="Q2308" s="6">
        <v>1.6120168067226801</v>
      </c>
      <c r="R2308">
        <v>3.3</v>
      </c>
      <c r="S2308">
        <v>7.38</v>
      </c>
      <c r="T2308">
        <v>63.94</v>
      </c>
      <c r="U2308">
        <v>12.08</v>
      </c>
      <c r="V2308">
        <v>71.67</v>
      </c>
      <c r="W2308">
        <v>1.1200000000000001</v>
      </c>
    </row>
    <row r="2309" spans="1:23" x14ac:dyDescent="0.3">
      <c r="A2309">
        <v>2309</v>
      </c>
      <c r="B2309" t="s">
        <v>2352</v>
      </c>
      <c r="C2309" t="s">
        <v>38</v>
      </c>
      <c r="D2309">
        <v>141</v>
      </c>
      <c r="E2309">
        <v>5663</v>
      </c>
      <c r="F2309" s="3">
        <v>238</v>
      </c>
      <c r="G2309">
        <v>16</v>
      </c>
      <c r="H2309">
        <v>3</v>
      </c>
      <c r="I2309" s="5">
        <v>2.1276595744680799E-2</v>
      </c>
      <c r="J2309" s="3">
        <v>259</v>
      </c>
      <c r="K2309" s="1">
        <v>45614</v>
      </c>
      <c r="L2309" t="s">
        <v>25</v>
      </c>
      <c r="M2309" t="s">
        <v>39</v>
      </c>
      <c r="N2309" t="s">
        <v>32</v>
      </c>
      <c r="O2309" t="s">
        <v>28</v>
      </c>
      <c r="P2309" t="s">
        <v>59</v>
      </c>
      <c r="Q2309" s="6">
        <v>1.6848936170212701</v>
      </c>
      <c r="R2309">
        <v>2.4900000000000002</v>
      </c>
      <c r="S2309">
        <v>14.85</v>
      </c>
      <c r="T2309">
        <v>79.19</v>
      </c>
      <c r="U2309">
        <v>9.02</v>
      </c>
      <c r="V2309">
        <v>86.33</v>
      </c>
      <c r="W2309">
        <v>1.0900000000000001</v>
      </c>
    </row>
    <row r="2310" spans="1:23" x14ac:dyDescent="0.3">
      <c r="A2310">
        <v>2310</v>
      </c>
      <c r="B2310" t="s">
        <v>2353</v>
      </c>
      <c r="C2310" t="s">
        <v>38</v>
      </c>
      <c r="D2310">
        <v>182</v>
      </c>
      <c r="E2310">
        <v>4021</v>
      </c>
      <c r="F2310" s="3">
        <v>281</v>
      </c>
      <c r="G2310">
        <v>24</v>
      </c>
      <c r="H2310">
        <v>7</v>
      </c>
      <c r="I2310" s="5">
        <v>3.8461538461538401E-2</v>
      </c>
      <c r="J2310" s="3">
        <v>295</v>
      </c>
      <c r="K2310" s="1">
        <v>45626</v>
      </c>
      <c r="L2310" t="s">
        <v>25</v>
      </c>
      <c r="M2310" t="s">
        <v>39</v>
      </c>
      <c r="N2310" t="s">
        <v>44</v>
      </c>
      <c r="O2310" t="s">
        <v>28</v>
      </c>
      <c r="P2310" t="s">
        <v>29</v>
      </c>
      <c r="Q2310" s="6">
        <v>1.5454545454545401</v>
      </c>
      <c r="R2310">
        <v>4.53</v>
      </c>
      <c r="S2310">
        <v>11.72</v>
      </c>
      <c r="T2310">
        <v>40.18</v>
      </c>
      <c r="U2310">
        <v>4.88</v>
      </c>
      <c r="V2310">
        <v>42.14</v>
      </c>
      <c r="W2310">
        <v>1.05</v>
      </c>
    </row>
    <row r="2311" spans="1:23" x14ac:dyDescent="0.3">
      <c r="A2311">
        <v>2311</v>
      </c>
      <c r="B2311" t="s">
        <v>2354</v>
      </c>
      <c r="C2311" t="s">
        <v>38</v>
      </c>
      <c r="D2311">
        <v>192</v>
      </c>
      <c r="E2311">
        <v>4551</v>
      </c>
      <c r="F2311" s="3">
        <v>224</v>
      </c>
      <c r="G2311">
        <v>22</v>
      </c>
      <c r="H2311">
        <v>10</v>
      </c>
      <c r="I2311" s="5">
        <v>5.2083333333333301E-2</v>
      </c>
      <c r="J2311" s="3">
        <v>251</v>
      </c>
      <c r="K2311" s="1">
        <v>45615</v>
      </c>
      <c r="L2311" t="s">
        <v>25</v>
      </c>
      <c r="M2311" t="s">
        <v>26</v>
      </c>
      <c r="N2311" t="s">
        <v>40</v>
      </c>
      <c r="O2311" t="s">
        <v>28</v>
      </c>
      <c r="P2311" t="s">
        <v>41</v>
      </c>
      <c r="Q2311" s="6">
        <v>1.16630208333333</v>
      </c>
      <c r="R2311">
        <v>4.22</v>
      </c>
      <c r="S2311">
        <v>10.18</v>
      </c>
      <c r="T2311">
        <v>22.39</v>
      </c>
      <c r="U2311">
        <v>12.09</v>
      </c>
      <c r="V2311">
        <v>25.1</v>
      </c>
      <c r="W2311">
        <v>1.1200000000000001</v>
      </c>
    </row>
    <row r="2312" spans="1:23" x14ac:dyDescent="0.3">
      <c r="A2312">
        <v>2312</v>
      </c>
      <c r="B2312" t="s">
        <v>2355</v>
      </c>
      <c r="C2312" t="s">
        <v>24</v>
      </c>
      <c r="D2312">
        <v>155</v>
      </c>
      <c r="E2312">
        <v>5123</v>
      </c>
      <c r="F2312" s="3">
        <v>232</v>
      </c>
      <c r="G2312">
        <v>18</v>
      </c>
      <c r="H2312">
        <v>9</v>
      </c>
      <c r="I2312" s="5">
        <v>5.8064516129032198E-2</v>
      </c>
      <c r="J2312" s="3">
        <v>210</v>
      </c>
      <c r="K2312" s="1">
        <v>45614</v>
      </c>
      <c r="L2312" t="s">
        <v>25</v>
      </c>
      <c r="M2312" t="s">
        <v>26</v>
      </c>
      <c r="N2312" t="s">
        <v>49</v>
      </c>
      <c r="O2312" t="s">
        <v>28</v>
      </c>
      <c r="P2312" t="s">
        <v>59</v>
      </c>
      <c r="Q2312" s="6">
        <v>1.4963225806451601</v>
      </c>
      <c r="R2312">
        <v>3.03</v>
      </c>
      <c r="S2312">
        <v>12.88</v>
      </c>
      <c r="T2312">
        <v>25.77</v>
      </c>
      <c r="U2312">
        <v>-9.4600000000000009</v>
      </c>
      <c r="V2312">
        <v>23.33</v>
      </c>
      <c r="W2312">
        <v>0.91</v>
      </c>
    </row>
    <row r="2313" spans="1:23" x14ac:dyDescent="0.3">
      <c r="A2313">
        <v>2313</v>
      </c>
      <c r="B2313" t="s">
        <v>2356</v>
      </c>
      <c r="C2313" t="s">
        <v>38</v>
      </c>
      <c r="D2313">
        <v>160</v>
      </c>
      <c r="E2313">
        <v>3816</v>
      </c>
      <c r="F2313" s="3">
        <v>208</v>
      </c>
      <c r="G2313">
        <v>27</v>
      </c>
      <c r="H2313">
        <v>9</v>
      </c>
      <c r="I2313" s="5">
        <v>5.6250000000000001E-2</v>
      </c>
      <c r="J2313" s="3">
        <v>384</v>
      </c>
      <c r="K2313" s="1">
        <v>45599</v>
      </c>
      <c r="L2313" t="s">
        <v>25</v>
      </c>
      <c r="M2313" t="s">
        <v>31</v>
      </c>
      <c r="N2313" t="s">
        <v>49</v>
      </c>
      <c r="O2313" t="s">
        <v>28</v>
      </c>
      <c r="P2313" t="s">
        <v>50</v>
      </c>
      <c r="Q2313" s="6">
        <v>1.2995625</v>
      </c>
      <c r="R2313">
        <v>4.1900000000000004</v>
      </c>
      <c r="S2313">
        <v>7.7</v>
      </c>
      <c r="T2313">
        <v>23.1</v>
      </c>
      <c r="U2313">
        <v>84.68</v>
      </c>
      <c r="V2313">
        <v>42.67</v>
      </c>
      <c r="W2313">
        <v>1.85</v>
      </c>
    </row>
    <row r="2314" spans="1:23" x14ac:dyDescent="0.3">
      <c r="A2314">
        <v>2314</v>
      </c>
      <c r="B2314" t="s">
        <v>2357</v>
      </c>
      <c r="C2314" t="s">
        <v>43</v>
      </c>
      <c r="D2314">
        <v>140</v>
      </c>
      <c r="E2314">
        <v>3154</v>
      </c>
      <c r="F2314" s="3">
        <v>213</v>
      </c>
      <c r="G2314">
        <v>21</v>
      </c>
      <c r="H2314">
        <v>4</v>
      </c>
      <c r="I2314" s="5">
        <v>2.8571428571428501E-2</v>
      </c>
      <c r="J2314" s="3">
        <v>209</v>
      </c>
      <c r="K2314" s="1">
        <v>45610</v>
      </c>
      <c r="L2314" t="s">
        <v>25</v>
      </c>
      <c r="M2314" t="s">
        <v>39</v>
      </c>
      <c r="N2314" t="s">
        <v>27</v>
      </c>
      <c r="O2314" t="s">
        <v>28</v>
      </c>
      <c r="P2314" t="s">
        <v>54</v>
      </c>
      <c r="Q2314" s="6">
        <v>1.5194999999999901</v>
      </c>
      <c r="R2314">
        <v>4.4400000000000004</v>
      </c>
      <c r="S2314">
        <v>10.130000000000001</v>
      </c>
      <c r="T2314">
        <v>53.18</v>
      </c>
      <c r="U2314">
        <v>-1.75</v>
      </c>
      <c r="V2314">
        <v>52.25</v>
      </c>
      <c r="W2314">
        <v>0.98</v>
      </c>
    </row>
    <row r="2315" spans="1:23" x14ac:dyDescent="0.3">
      <c r="A2315">
        <v>2315</v>
      </c>
      <c r="B2315" t="s">
        <v>2358</v>
      </c>
      <c r="C2315" t="s">
        <v>43</v>
      </c>
      <c r="D2315">
        <v>134</v>
      </c>
      <c r="E2315">
        <v>3700</v>
      </c>
      <c r="F2315" s="3">
        <v>227</v>
      </c>
      <c r="G2315">
        <v>28</v>
      </c>
      <c r="H2315">
        <v>7</v>
      </c>
      <c r="I2315" s="5">
        <v>5.2238805970149203E-2</v>
      </c>
      <c r="J2315" s="3">
        <v>375</v>
      </c>
      <c r="K2315" s="1">
        <v>45600</v>
      </c>
      <c r="L2315" t="s">
        <v>25</v>
      </c>
      <c r="M2315" t="s">
        <v>39</v>
      </c>
      <c r="N2315" t="s">
        <v>36</v>
      </c>
      <c r="O2315" t="s">
        <v>28</v>
      </c>
      <c r="P2315" t="s">
        <v>59</v>
      </c>
      <c r="Q2315" s="6">
        <v>1.69082089552238</v>
      </c>
      <c r="R2315">
        <v>3.62</v>
      </c>
      <c r="S2315">
        <v>8.09</v>
      </c>
      <c r="T2315">
        <v>32.369999999999997</v>
      </c>
      <c r="U2315">
        <v>65.510000000000005</v>
      </c>
      <c r="V2315">
        <v>53.57</v>
      </c>
      <c r="W2315">
        <v>1.66</v>
      </c>
    </row>
    <row r="2316" spans="1:23" x14ac:dyDescent="0.3">
      <c r="A2316">
        <v>2316</v>
      </c>
      <c r="B2316" t="s">
        <v>2359</v>
      </c>
      <c r="C2316" t="s">
        <v>35</v>
      </c>
      <c r="D2316">
        <v>92</v>
      </c>
      <c r="E2316">
        <v>3963</v>
      </c>
      <c r="F2316" s="3">
        <v>219</v>
      </c>
      <c r="G2316">
        <v>22</v>
      </c>
      <c r="H2316">
        <v>10</v>
      </c>
      <c r="I2316" s="5">
        <v>0.108695652173913</v>
      </c>
      <c r="J2316" s="3">
        <v>374</v>
      </c>
      <c r="K2316" s="1">
        <v>45622</v>
      </c>
      <c r="L2316" t="s">
        <v>25</v>
      </c>
      <c r="M2316" t="s">
        <v>31</v>
      </c>
      <c r="N2316" t="s">
        <v>44</v>
      </c>
      <c r="O2316" t="s">
        <v>28</v>
      </c>
      <c r="P2316" t="s">
        <v>41</v>
      </c>
      <c r="Q2316" s="6">
        <v>2.38467391304347</v>
      </c>
      <c r="R2316">
        <v>2.3199999999999998</v>
      </c>
      <c r="S2316">
        <v>9.9700000000000006</v>
      </c>
      <c r="T2316">
        <v>21.94</v>
      </c>
      <c r="U2316">
        <v>70.47</v>
      </c>
      <c r="V2316">
        <v>37.4</v>
      </c>
      <c r="W2316">
        <v>1.7</v>
      </c>
    </row>
    <row r="2317" spans="1:23" x14ac:dyDescent="0.3">
      <c r="A2317">
        <v>2317</v>
      </c>
      <c r="B2317" t="s">
        <v>2360</v>
      </c>
      <c r="C2317" t="s">
        <v>43</v>
      </c>
      <c r="D2317">
        <v>163</v>
      </c>
      <c r="E2317">
        <v>3978</v>
      </c>
      <c r="F2317" s="3">
        <v>233</v>
      </c>
      <c r="G2317">
        <v>25</v>
      </c>
      <c r="H2317">
        <v>9</v>
      </c>
      <c r="I2317" s="5">
        <v>5.5214723926380299E-2</v>
      </c>
      <c r="J2317" s="3">
        <v>282</v>
      </c>
      <c r="K2317" s="1">
        <v>45604</v>
      </c>
      <c r="L2317" t="s">
        <v>25</v>
      </c>
      <c r="M2317" t="s">
        <v>26</v>
      </c>
      <c r="N2317" t="s">
        <v>36</v>
      </c>
      <c r="O2317" t="s">
        <v>28</v>
      </c>
      <c r="P2317" t="s">
        <v>45</v>
      </c>
      <c r="Q2317" s="6">
        <v>1.4276073619631899</v>
      </c>
      <c r="R2317">
        <v>4.0999999999999996</v>
      </c>
      <c r="S2317">
        <v>9.31</v>
      </c>
      <c r="T2317">
        <v>25.86</v>
      </c>
      <c r="U2317">
        <v>21.19</v>
      </c>
      <c r="V2317">
        <v>31.33</v>
      </c>
      <c r="W2317">
        <v>1.21</v>
      </c>
    </row>
    <row r="2318" spans="1:23" x14ac:dyDescent="0.3">
      <c r="A2318">
        <v>2318</v>
      </c>
      <c r="B2318" t="s">
        <v>2361</v>
      </c>
      <c r="C2318" t="s">
        <v>38</v>
      </c>
      <c r="D2318">
        <v>155</v>
      </c>
      <c r="E2318">
        <v>5105</v>
      </c>
      <c r="F2318" s="3">
        <v>239</v>
      </c>
      <c r="G2318">
        <v>20</v>
      </c>
      <c r="H2318">
        <v>5</v>
      </c>
      <c r="I2318" s="5">
        <v>3.2258064516128997E-2</v>
      </c>
      <c r="J2318" s="3">
        <v>206</v>
      </c>
      <c r="K2318" s="1">
        <v>45601</v>
      </c>
      <c r="L2318" t="s">
        <v>25</v>
      </c>
      <c r="M2318" t="s">
        <v>31</v>
      </c>
      <c r="N2318" t="s">
        <v>49</v>
      </c>
      <c r="O2318" t="s">
        <v>28</v>
      </c>
      <c r="P2318" t="s">
        <v>41</v>
      </c>
      <c r="Q2318" s="6">
        <v>1.54264516129032</v>
      </c>
      <c r="R2318">
        <v>3.04</v>
      </c>
      <c r="S2318">
        <v>11.96</v>
      </c>
      <c r="T2318">
        <v>47.82</v>
      </c>
      <c r="U2318">
        <v>-13.85</v>
      </c>
      <c r="V2318">
        <v>41.2</v>
      </c>
      <c r="W2318">
        <v>0.86</v>
      </c>
    </row>
    <row r="2319" spans="1:23" x14ac:dyDescent="0.3">
      <c r="A2319">
        <v>2319</v>
      </c>
      <c r="B2319" t="s">
        <v>2362</v>
      </c>
      <c r="C2319" t="s">
        <v>24</v>
      </c>
      <c r="D2319">
        <v>194</v>
      </c>
      <c r="E2319">
        <v>3559</v>
      </c>
      <c r="F2319" s="3">
        <v>206</v>
      </c>
      <c r="G2319">
        <v>15</v>
      </c>
      <c r="H2319">
        <v>9</v>
      </c>
      <c r="I2319" s="5">
        <v>4.6391752577319499E-2</v>
      </c>
      <c r="J2319" s="3">
        <v>360</v>
      </c>
      <c r="K2319" s="1">
        <v>45599</v>
      </c>
      <c r="L2319" t="s">
        <v>25</v>
      </c>
      <c r="M2319" t="s">
        <v>26</v>
      </c>
      <c r="N2319" t="s">
        <v>44</v>
      </c>
      <c r="O2319" t="s">
        <v>28</v>
      </c>
      <c r="P2319" t="s">
        <v>50</v>
      </c>
      <c r="Q2319" s="6">
        <v>1.06072164948453</v>
      </c>
      <c r="R2319">
        <v>5.45</v>
      </c>
      <c r="S2319">
        <v>13.72</v>
      </c>
      <c r="T2319">
        <v>22.86</v>
      </c>
      <c r="U2319">
        <v>74.94</v>
      </c>
      <c r="V2319">
        <v>40</v>
      </c>
      <c r="W2319">
        <v>1.75</v>
      </c>
    </row>
    <row r="2320" spans="1:23" x14ac:dyDescent="0.3">
      <c r="A2320">
        <v>2320</v>
      </c>
      <c r="B2320" t="s">
        <v>2363</v>
      </c>
      <c r="C2320" t="s">
        <v>35</v>
      </c>
      <c r="D2320">
        <v>165</v>
      </c>
      <c r="E2320">
        <v>3005</v>
      </c>
      <c r="F2320" s="3">
        <v>239</v>
      </c>
      <c r="G2320">
        <v>23</v>
      </c>
      <c r="H2320">
        <v>6</v>
      </c>
      <c r="I2320" s="5">
        <v>3.6363636363636299E-2</v>
      </c>
      <c r="J2320" s="3">
        <v>406</v>
      </c>
      <c r="K2320" s="1">
        <v>45623</v>
      </c>
      <c r="L2320" t="s">
        <v>25</v>
      </c>
      <c r="M2320" t="s">
        <v>39</v>
      </c>
      <c r="N2320" t="s">
        <v>27</v>
      </c>
      <c r="O2320" t="s">
        <v>28</v>
      </c>
      <c r="P2320" t="s">
        <v>33</v>
      </c>
      <c r="Q2320" s="6">
        <v>1.44933333333333</v>
      </c>
      <c r="R2320">
        <v>5.49</v>
      </c>
      <c r="S2320">
        <v>10.4</v>
      </c>
      <c r="T2320">
        <v>39.86</v>
      </c>
      <c r="U2320">
        <v>69.78</v>
      </c>
      <c r="V2320">
        <v>67.67</v>
      </c>
      <c r="W2320">
        <v>1.7</v>
      </c>
    </row>
    <row r="2321" spans="1:23" x14ac:dyDescent="0.3">
      <c r="A2321">
        <v>2321</v>
      </c>
      <c r="B2321" t="s">
        <v>2364</v>
      </c>
      <c r="C2321" t="s">
        <v>43</v>
      </c>
      <c r="D2321">
        <v>135</v>
      </c>
      <c r="E2321">
        <v>4740</v>
      </c>
      <c r="F2321" s="3">
        <v>236</v>
      </c>
      <c r="G2321">
        <v>24</v>
      </c>
      <c r="H2321">
        <v>4</v>
      </c>
      <c r="I2321" s="5">
        <v>2.96296296296296E-2</v>
      </c>
      <c r="J2321" s="3">
        <v>350</v>
      </c>
      <c r="K2321" s="1">
        <v>45603</v>
      </c>
      <c r="L2321" t="s">
        <v>25</v>
      </c>
      <c r="M2321" t="s">
        <v>26</v>
      </c>
      <c r="N2321" t="s">
        <v>49</v>
      </c>
      <c r="O2321" t="s">
        <v>28</v>
      </c>
      <c r="P2321" t="s">
        <v>54</v>
      </c>
      <c r="Q2321" s="6">
        <v>1.7448148148148099</v>
      </c>
      <c r="R2321">
        <v>2.85</v>
      </c>
      <c r="S2321">
        <v>9.81</v>
      </c>
      <c r="T2321">
        <v>58.89</v>
      </c>
      <c r="U2321">
        <v>48.59</v>
      </c>
      <c r="V2321">
        <v>87.5</v>
      </c>
      <c r="W2321">
        <v>1.49</v>
      </c>
    </row>
    <row r="2322" spans="1:23" x14ac:dyDescent="0.3">
      <c r="A2322">
        <v>2322</v>
      </c>
      <c r="B2322" t="s">
        <v>2365</v>
      </c>
      <c r="C2322" t="s">
        <v>24</v>
      </c>
      <c r="D2322">
        <v>87</v>
      </c>
      <c r="E2322">
        <v>4379</v>
      </c>
      <c r="F2322" s="3">
        <v>209</v>
      </c>
      <c r="G2322">
        <v>29</v>
      </c>
      <c r="H2322">
        <v>10</v>
      </c>
      <c r="I2322" s="5">
        <v>0.114942528735632</v>
      </c>
      <c r="J2322" s="3">
        <v>275</v>
      </c>
      <c r="K2322" s="1">
        <v>45601</v>
      </c>
      <c r="L2322" t="s">
        <v>25</v>
      </c>
      <c r="M2322" t="s">
        <v>26</v>
      </c>
      <c r="N2322" t="s">
        <v>27</v>
      </c>
      <c r="O2322" t="s">
        <v>28</v>
      </c>
      <c r="P2322" t="s">
        <v>41</v>
      </c>
      <c r="Q2322" s="6">
        <v>2.4051724137931001</v>
      </c>
      <c r="R2322">
        <v>1.99</v>
      </c>
      <c r="S2322">
        <v>7.22</v>
      </c>
      <c r="T2322">
        <v>20.92</v>
      </c>
      <c r="U2322">
        <v>31.42</v>
      </c>
      <c r="V2322">
        <v>27.5</v>
      </c>
      <c r="W2322">
        <v>1.31</v>
      </c>
    </row>
    <row r="2323" spans="1:23" x14ac:dyDescent="0.3">
      <c r="A2323">
        <v>2323</v>
      </c>
      <c r="B2323" t="s">
        <v>2366</v>
      </c>
      <c r="C2323" t="s">
        <v>43</v>
      </c>
      <c r="D2323">
        <v>164</v>
      </c>
      <c r="E2323">
        <v>4151</v>
      </c>
      <c r="F2323" s="3">
        <v>220</v>
      </c>
      <c r="G2323">
        <v>30</v>
      </c>
      <c r="H2323">
        <v>9</v>
      </c>
      <c r="I2323" s="5">
        <v>5.4878048780487798E-2</v>
      </c>
      <c r="J2323" s="3">
        <v>420.42857142857099</v>
      </c>
      <c r="K2323" s="1">
        <v>45621</v>
      </c>
      <c r="L2323" t="s">
        <v>25</v>
      </c>
      <c r="M2323" t="s">
        <v>26</v>
      </c>
      <c r="N2323" t="s">
        <v>44</v>
      </c>
      <c r="O2323" t="s">
        <v>28</v>
      </c>
      <c r="P2323" t="s">
        <v>59</v>
      </c>
      <c r="Q2323" s="6">
        <v>1.3412804878048701</v>
      </c>
      <c r="R2323">
        <v>3.95</v>
      </c>
      <c r="S2323">
        <v>7.33</v>
      </c>
      <c r="T2323">
        <v>24.44</v>
      </c>
      <c r="U2323">
        <v>91.13</v>
      </c>
      <c r="V2323">
        <v>46.71</v>
      </c>
      <c r="W2323">
        <v>1.91</v>
      </c>
    </row>
    <row r="2324" spans="1:23" x14ac:dyDescent="0.3">
      <c r="A2324">
        <v>2324</v>
      </c>
      <c r="B2324" t="s">
        <v>2367</v>
      </c>
      <c r="C2324" t="s">
        <v>38</v>
      </c>
      <c r="D2324">
        <v>97</v>
      </c>
      <c r="E2324">
        <v>3185</v>
      </c>
      <c r="F2324" s="3">
        <v>217</v>
      </c>
      <c r="G2324">
        <v>21</v>
      </c>
      <c r="H2324">
        <v>3</v>
      </c>
      <c r="I2324" s="5">
        <v>3.0927835051546299E-2</v>
      </c>
      <c r="J2324" s="3">
        <v>140.142857142857</v>
      </c>
      <c r="K2324" s="1">
        <v>45611</v>
      </c>
      <c r="L2324" t="s">
        <v>25</v>
      </c>
      <c r="M2324" t="s">
        <v>31</v>
      </c>
      <c r="N2324" t="s">
        <v>40</v>
      </c>
      <c r="O2324" t="s">
        <v>28</v>
      </c>
      <c r="P2324" t="s">
        <v>45</v>
      </c>
      <c r="Q2324" s="6">
        <v>2.2405154639175202</v>
      </c>
      <c r="R2324">
        <v>3.05</v>
      </c>
      <c r="S2324">
        <v>10.35</v>
      </c>
      <c r="T2324">
        <v>72.44</v>
      </c>
      <c r="U2324">
        <v>-35.520000000000003</v>
      </c>
      <c r="V2324">
        <v>46.71</v>
      </c>
      <c r="W2324">
        <v>0.64</v>
      </c>
    </row>
    <row r="2325" spans="1:23" x14ac:dyDescent="0.3">
      <c r="A2325">
        <v>2325</v>
      </c>
      <c r="B2325" t="s">
        <v>2368</v>
      </c>
      <c r="C2325" t="s">
        <v>35</v>
      </c>
      <c r="D2325">
        <v>84</v>
      </c>
      <c r="E2325">
        <v>5652</v>
      </c>
      <c r="F2325" s="3">
        <v>192</v>
      </c>
      <c r="G2325">
        <v>30</v>
      </c>
      <c r="H2325">
        <v>8</v>
      </c>
      <c r="I2325" s="5">
        <v>9.5238095238095205E-2</v>
      </c>
      <c r="J2325" s="3">
        <v>353</v>
      </c>
      <c r="K2325" s="1">
        <v>45609</v>
      </c>
      <c r="L2325" t="s">
        <v>25</v>
      </c>
      <c r="M2325" t="s">
        <v>31</v>
      </c>
      <c r="N2325" t="s">
        <v>36</v>
      </c>
      <c r="O2325" t="s">
        <v>28</v>
      </c>
      <c r="P2325" t="s">
        <v>33</v>
      </c>
      <c r="Q2325" s="6">
        <v>2.2848809523809499</v>
      </c>
      <c r="R2325">
        <v>1.49</v>
      </c>
      <c r="S2325">
        <v>6.4</v>
      </c>
      <c r="T2325">
        <v>23.99</v>
      </c>
      <c r="U2325">
        <v>83.92</v>
      </c>
      <c r="V2325">
        <v>44.12</v>
      </c>
      <c r="W2325">
        <v>1.84</v>
      </c>
    </row>
    <row r="2326" spans="1:23" x14ac:dyDescent="0.3">
      <c r="A2326">
        <v>2326</v>
      </c>
      <c r="B2326" t="s">
        <v>2369</v>
      </c>
      <c r="C2326" t="s">
        <v>43</v>
      </c>
      <c r="D2326">
        <v>158</v>
      </c>
      <c r="E2326">
        <v>4819</v>
      </c>
      <c r="F2326" s="3">
        <v>185</v>
      </c>
      <c r="G2326">
        <v>17</v>
      </c>
      <c r="H2326">
        <v>9</v>
      </c>
      <c r="I2326" s="5">
        <v>5.6962025316455597E-2</v>
      </c>
      <c r="J2326" s="3">
        <v>218</v>
      </c>
      <c r="K2326" s="1">
        <v>45620</v>
      </c>
      <c r="L2326" t="s">
        <v>25</v>
      </c>
      <c r="M2326" t="s">
        <v>31</v>
      </c>
      <c r="N2326" t="s">
        <v>40</v>
      </c>
      <c r="O2326" t="s">
        <v>28</v>
      </c>
      <c r="P2326" t="s">
        <v>50</v>
      </c>
      <c r="Q2326" s="6">
        <v>1.17303797468354</v>
      </c>
      <c r="R2326">
        <v>3.28</v>
      </c>
      <c r="S2326">
        <v>10.9</v>
      </c>
      <c r="T2326">
        <v>20.59</v>
      </c>
      <c r="U2326">
        <v>17.62</v>
      </c>
      <c r="V2326">
        <v>24.22</v>
      </c>
      <c r="W2326">
        <v>1.18</v>
      </c>
    </row>
    <row r="2327" spans="1:23" x14ac:dyDescent="0.3">
      <c r="A2327">
        <v>2327</v>
      </c>
      <c r="B2327" t="s">
        <v>2370</v>
      </c>
      <c r="C2327" t="s">
        <v>43</v>
      </c>
      <c r="D2327">
        <v>90</v>
      </c>
      <c r="E2327">
        <v>4472</v>
      </c>
      <c r="F2327" s="3">
        <v>237</v>
      </c>
      <c r="G2327">
        <v>28</v>
      </c>
      <c r="H2327">
        <v>10</v>
      </c>
      <c r="I2327" s="5">
        <v>0.11111111111111099</v>
      </c>
      <c r="J2327" s="3">
        <v>332</v>
      </c>
      <c r="K2327" s="1">
        <v>45609</v>
      </c>
      <c r="L2327" t="s">
        <v>25</v>
      </c>
      <c r="M2327" t="s">
        <v>31</v>
      </c>
      <c r="N2327" t="s">
        <v>27</v>
      </c>
      <c r="O2327" t="s">
        <v>28</v>
      </c>
      <c r="P2327" t="s">
        <v>33</v>
      </c>
      <c r="Q2327" s="6">
        <v>2.6351111111111098</v>
      </c>
      <c r="R2327">
        <v>2.0099999999999998</v>
      </c>
      <c r="S2327">
        <v>8.4700000000000006</v>
      </c>
      <c r="T2327">
        <v>23.72</v>
      </c>
      <c r="U2327">
        <v>39.99</v>
      </c>
      <c r="V2327">
        <v>33.200000000000003</v>
      </c>
      <c r="W2327">
        <v>1.4</v>
      </c>
    </row>
    <row r="2328" spans="1:23" x14ac:dyDescent="0.3">
      <c r="A2328">
        <v>2328</v>
      </c>
      <c r="B2328" t="s">
        <v>2371</v>
      </c>
      <c r="C2328" t="s">
        <v>24</v>
      </c>
      <c r="D2328">
        <v>197</v>
      </c>
      <c r="E2328">
        <v>3186</v>
      </c>
      <c r="F2328" s="3">
        <v>194</v>
      </c>
      <c r="G2328">
        <v>19</v>
      </c>
      <c r="H2328">
        <v>6</v>
      </c>
      <c r="I2328" s="5">
        <v>3.0456852791878101E-2</v>
      </c>
      <c r="J2328" s="3">
        <v>379</v>
      </c>
      <c r="K2328" s="1">
        <v>45610</v>
      </c>
      <c r="L2328" t="s">
        <v>25</v>
      </c>
      <c r="M2328" t="s">
        <v>39</v>
      </c>
      <c r="N2328" t="s">
        <v>32</v>
      </c>
      <c r="O2328" t="s">
        <v>28</v>
      </c>
      <c r="P2328" t="s">
        <v>54</v>
      </c>
      <c r="Q2328" s="6">
        <v>0.98700507614213195</v>
      </c>
      <c r="R2328">
        <v>6.18</v>
      </c>
      <c r="S2328">
        <v>10.23</v>
      </c>
      <c r="T2328">
        <v>32.409999999999997</v>
      </c>
      <c r="U2328">
        <v>94.92</v>
      </c>
      <c r="V2328">
        <v>63.17</v>
      </c>
      <c r="W2328">
        <v>1.95</v>
      </c>
    </row>
    <row r="2329" spans="1:23" x14ac:dyDescent="0.3">
      <c r="A2329">
        <v>2329</v>
      </c>
      <c r="B2329" t="s">
        <v>2372</v>
      </c>
      <c r="C2329" t="s">
        <v>38</v>
      </c>
      <c r="D2329">
        <v>133</v>
      </c>
      <c r="E2329">
        <v>4241</v>
      </c>
      <c r="F2329" s="3">
        <v>197</v>
      </c>
      <c r="G2329">
        <v>25</v>
      </c>
      <c r="H2329">
        <v>9</v>
      </c>
      <c r="I2329" s="5">
        <v>6.7669172932330796E-2</v>
      </c>
      <c r="J2329" s="3">
        <v>270</v>
      </c>
      <c r="K2329" s="1">
        <v>45622</v>
      </c>
      <c r="L2329" t="s">
        <v>25</v>
      </c>
      <c r="M2329" t="s">
        <v>39</v>
      </c>
      <c r="N2329" t="s">
        <v>40</v>
      </c>
      <c r="O2329" t="s">
        <v>28</v>
      </c>
      <c r="P2329" t="s">
        <v>41</v>
      </c>
      <c r="Q2329" s="6">
        <v>1.48315789473684</v>
      </c>
      <c r="R2329">
        <v>3.14</v>
      </c>
      <c r="S2329">
        <v>7.89</v>
      </c>
      <c r="T2329">
        <v>21.92</v>
      </c>
      <c r="U2329">
        <v>36.880000000000003</v>
      </c>
      <c r="V2329">
        <v>30</v>
      </c>
      <c r="W2329">
        <v>1.37</v>
      </c>
    </row>
    <row r="2330" spans="1:23" x14ac:dyDescent="0.3">
      <c r="A2330">
        <v>2330</v>
      </c>
      <c r="B2330" t="s">
        <v>2373</v>
      </c>
      <c r="C2330" t="s">
        <v>38</v>
      </c>
      <c r="D2330">
        <v>149</v>
      </c>
      <c r="E2330">
        <v>5035</v>
      </c>
      <c r="F2330" s="3">
        <v>235</v>
      </c>
      <c r="G2330">
        <v>28</v>
      </c>
      <c r="H2330">
        <v>5</v>
      </c>
      <c r="I2330" s="5">
        <v>3.3557046979865703E-2</v>
      </c>
      <c r="J2330" s="3">
        <v>266</v>
      </c>
      <c r="K2330" s="1">
        <v>45600</v>
      </c>
      <c r="L2330" t="s">
        <v>25</v>
      </c>
      <c r="M2330" t="s">
        <v>26</v>
      </c>
      <c r="N2330" t="s">
        <v>44</v>
      </c>
      <c r="O2330" t="s">
        <v>28</v>
      </c>
      <c r="P2330" t="s">
        <v>59</v>
      </c>
      <c r="Q2330" s="6">
        <v>1.57395973154362</v>
      </c>
      <c r="R2330">
        <v>2.96</v>
      </c>
      <c r="S2330">
        <v>8.3800000000000008</v>
      </c>
      <c r="T2330">
        <v>46.9</v>
      </c>
      <c r="U2330">
        <v>13.42</v>
      </c>
      <c r="V2330">
        <v>53.2</v>
      </c>
      <c r="W2330">
        <v>1.1299999999999999</v>
      </c>
    </row>
    <row r="2331" spans="1:23" x14ac:dyDescent="0.3">
      <c r="A2331">
        <v>2331</v>
      </c>
      <c r="B2331" t="s">
        <v>2374</v>
      </c>
      <c r="C2331" t="s">
        <v>38</v>
      </c>
      <c r="D2331">
        <v>197</v>
      </c>
      <c r="E2331">
        <v>5686</v>
      </c>
      <c r="F2331" s="3">
        <v>240</v>
      </c>
      <c r="G2331">
        <v>27</v>
      </c>
      <c r="H2331">
        <v>9</v>
      </c>
      <c r="I2331" s="5">
        <v>4.5685279187817202E-2</v>
      </c>
      <c r="J2331" s="3">
        <v>298</v>
      </c>
      <c r="K2331" s="1">
        <v>45613</v>
      </c>
      <c r="L2331" t="s">
        <v>25</v>
      </c>
      <c r="M2331" t="s">
        <v>26</v>
      </c>
      <c r="N2331" t="s">
        <v>36</v>
      </c>
      <c r="O2331" t="s">
        <v>28</v>
      </c>
      <c r="P2331" t="s">
        <v>50</v>
      </c>
      <c r="Q2331" s="6">
        <v>1.2170558375634499</v>
      </c>
      <c r="R2331">
        <v>3.46</v>
      </c>
      <c r="S2331">
        <v>8.8800000000000008</v>
      </c>
      <c r="T2331">
        <v>26.64</v>
      </c>
      <c r="U2331">
        <v>24.29</v>
      </c>
      <c r="V2331">
        <v>33.11</v>
      </c>
      <c r="W2331">
        <v>1.24</v>
      </c>
    </row>
    <row r="2332" spans="1:23" x14ac:dyDescent="0.3">
      <c r="A2332">
        <v>2332</v>
      </c>
      <c r="B2332" t="s">
        <v>2375</v>
      </c>
      <c r="C2332" t="s">
        <v>43</v>
      </c>
      <c r="D2332">
        <v>157</v>
      </c>
      <c r="E2332">
        <v>4062</v>
      </c>
      <c r="F2332" s="3">
        <v>224</v>
      </c>
      <c r="G2332">
        <v>24</v>
      </c>
      <c r="H2332">
        <v>8</v>
      </c>
      <c r="I2332" s="5">
        <v>5.0955414012738801E-2</v>
      </c>
      <c r="J2332" s="3">
        <v>373.71428571428498</v>
      </c>
      <c r="K2332" s="1">
        <v>45621</v>
      </c>
      <c r="L2332" t="s">
        <v>25</v>
      </c>
      <c r="M2332" t="s">
        <v>39</v>
      </c>
      <c r="N2332" t="s">
        <v>36</v>
      </c>
      <c r="O2332" t="s">
        <v>28</v>
      </c>
      <c r="P2332" t="s">
        <v>59</v>
      </c>
      <c r="Q2332" s="6">
        <v>1.4249681528662399</v>
      </c>
      <c r="R2332">
        <v>3.87</v>
      </c>
      <c r="S2332">
        <v>9.32</v>
      </c>
      <c r="T2332">
        <v>27.96</v>
      </c>
      <c r="U2332">
        <v>67.05</v>
      </c>
      <c r="V2332">
        <v>46.71</v>
      </c>
      <c r="W2332">
        <v>1.67</v>
      </c>
    </row>
    <row r="2333" spans="1:23" x14ac:dyDescent="0.3">
      <c r="A2333">
        <v>2333</v>
      </c>
      <c r="B2333" t="s">
        <v>2376</v>
      </c>
      <c r="C2333" t="s">
        <v>43</v>
      </c>
      <c r="D2333">
        <v>102</v>
      </c>
      <c r="E2333">
        <v>3113</v>
      </c>
      <c r="F2333" s="3">
        <v>203</v>
      </c>
      <c r="G2333">
        <v>22</v>
      </c>
      <c r="H2333">
        <v>7</v>
      </c>
      <c r="I2333" s="5">
        <v>6.8627450980392093E-2</v>
      </c>
      <c r="J2333" s="3">
        <v>408</v>
      </c>
      <c r="K2333" s="1">
        <v>45602</v>
      </c>
      <c r="L2333" t="s">
        <v>25</v>
      </c>
      <c r="M2333" t="s">
        <v>26</v>
      </c>
      <c r="N2333" t="s">
        <v>44</v>
      </c>
      <c r="O2333" t="s">
        <v>28</v>
      </c>
      <c r="P2333" t="s">
        <v>33</v>
      </c>
      <c r="Q2333" s="6">
        <v>1.9879411764705801</v>
      </c>
      <c r="R2333">
        <v>3.28</v>
      </c>
      <c r="S2333">
        <v>9.2200000000000006</v>
      </c>
      <c r="T2333">
        <v>28.97</v>
      </c>
      <c r="U2333">
        <v>101.21</v>
      </c>
      <c r="V2333">
        <v>58.29</v>
      </c>
      <c r="W2333">
        <v>2.0099999999999998</v>
      </c>
    </row>
    <row r="2334" spans="1:23" x14ac:dyDescent="0.3">
      <c r="A2334">
        <v>2334</v>
      </c>
      <c r="B2334" t="s">
        <v>2377</v>
      </c>
      <c r="C2334" t="s">
        <v>43</v>
      </c>
      <c r="D2334">
        <v>175</v>
      </c>
      <c r="E2334">
        <v>3958</v>
      </c>
      <c r="F2334" s="3">
        <v>194</v>
      </c>
      <c r="G2334">
        <v>23</v>
      </c>
      <c r="H2334">
        <v>8</v>
      </c>
      <c r="I2334" s="5">
        <v>4.57142857142857E-2</v>
      </c>
      <c r="J2334" s="3">
        <v>217</v>
      </c>
      <c r="K2334" s="1">
        <v>45600</v>
      </c>
      <c r="L2334" t="s">
        <v>25</v>
      </c>
      <c r="M2334" t="s">
        <v>31</v>
      </c>
      <c r="N2334" t="s">
        <v>32</v>
      </c>
      <c r="O2334" t="s">
        <v>28</v>
      </c>
      <c r="P2334" t="s">
        <v>59</v>
      </c>
      <c r="Q2334" s="6">
        <v>1.1058285714285701</v>
      </c>
      <c r="R2334">
        <v>4.42</v>
      </c>
      <c r="S2334">
        <v>8.41</v>
      </c>
      <c r="T2334">
        <v>24.19</v>
      </c>
      <c r="U2334">
        <v>12.13</v>
      </c>
      <c r="V2334">
        <v>27.12</v>
      </c>
      <c r="W2334">
        <v>1.1200000000000001</v>
      </c>
    </row>
    <row r="2335" spans="1:23" x14ac:dyDescent="0.3">
      <c r="A2335">
        <v>2335</v>
      </c>
      <c r="B2335" t="s">
        <v>2378</v>
      </c>
      <c r="C2335" t="s">
        <v>38</v>
      </c>
      <c r="D2335">
        <v>101</v>
      </c>
      <c r="E2335">
        <v>3317</v>
      </c>
      <c r="F2335" s="3">
        <v>158</v>
      </c>
      <c r="G2335">
        <v>23</v>
      </c>
      <c r="H2335">
        <v>4</v>
      </c>
      <c r="I2335" s="5">
        <v>3.9603960396039598E-2</v>
      </c>
      <c r="J2335" s="3">
        <v>350</v>
      </c>
      <c r="K2335" s="1">
        <v>45606</v>
      </c>
      <c r="L2335" t="s">
        <v>25</v>
      </c>
      <c r="M2335" t="s">
        <v>26</v>
      </c>
      <c r="N2335" t="s">
        <v>32</v>
      </c>
      <c r="O2335" t="s">
        <v>28</v>
      </c>
      <c r="P2335" t="s">
        <v>50</v>
      </c>
      <c r="Q2335" s="6">
        <v>1.56753061615001</v>
      </c>
      <c r="R2335">
        <v>3.04</v>
      </c>
      <c r="S2335">
        <v>6.88</v>
      </c>
      <c r="T2335">
        <v>39.58</v>
      </c>
      <c r="U2335">
        <v>121.07</v>
      </c>
      <c r="V2335">
        <v>87.5</v>
      </c>
      <c r="W2335">
        <v>2.21</v>
      </c>
    </row>
    <row r="2336" spans="1:23" x14ac:dyDescent="0.3">
      <c r="A2336">
        <v>2336</v>
      </c>
      <c r="B2336" t="s">
        <v>2379</v>
      </c>
      <c r="C2336" t="s">
        <v>43</v>
      </c>
      <c r="D2336">
        <v>127</v>
      </c>
      <c r="E2336">
        <v>4226</v>
      </c>
      <c r="F2336" s="3">
        <v>184</v>
      </c>
      <c r="G2336">
        <v>10</v>
      </c>
      <c r="H2336">
        <v>9</v>
      </c>
      <c r="I2336" s="5">
        <v>7.0866141732283394E-2</v>
      </c>
      <c r="J2336" s="3">
        <v>291</v>
      </c>
      <c r="K2336" s="1">
        <v>45604</v>
      </c>
      <c r="L2336" t="s">
        <v>25</v>
      </c>
      <c r="M2336" t="s">
        <v>26</v>
      </c>
      <c r="N2336" t="s">
        <v>32</v>
      </c>
      <c r="O2336" t="s">
        <v>28</v>
      </c>
      <c r="P2336" t="s">
        <v>45</v>
      </c>
      <c r="Q2336" s="6">
        <v>1.45244094488188</v>
      </c>
      <c r="R2336">
        <v>3.01</v>
      </c>
      <c r="S2336">
        <v>18.45</v>
      </c>
      <c r="T2336">
        <v>20.5</v>
      </c>
      <c r="U2336">
        <v>57.76</v>
      </c>
      <c r="V2336">
        <v>32.33</v>
      </c>
      <c r="W2336">
        <v>1.58</v>
      </c>
    </row>
    <row r="2337" spans="1:23" x14ac:dyDescent="0.3">
      <c r="A2337">
        <v>2337</v>
      </c>
      <c r="B2337" t="s">
        <v>2380</v>
      </c>
      <c r="C2337" t="s">
        <v>24</v>
      </c>
      <c r="D2337">
        <v>148</v>
      </c>
      <c r="E2337">
        <v>3469</v>
      </c>
      <c r="F2337" s="3">
        <v>212</v>
      </c>
      <c r="G2337">
        <v>14</v>
      </c>
      <c r="H2337">
        <v>9</v>
      </c>
      <c r="I2337" s="5">
        <v>6.08108108108108E-2</v>
      </c>
      <c r="J2337" s="3">
        <v>387</v>
      </c>
      <c r="K2337" s="1">
        <v>45626</v>
      </c>
      <c r="L2337" t="s">
        <v>25</v>
      </c>
      <c r="M2337" t="s">
        <v>39</v>
      </c>
      <c r="N2337" t="s">
        <v>36</v>
      </c>
      <c r="O2337" t="s">
        <v>28</v>
      </c>
      <c r="P2337" t="s">
        <v>29</v>
      </c>
      <c r="Q2337" s="6">
        <v>1.4329054054054</v>
      </c>
      <c r="R2337">
        <v>4.2699999999999996</v>
      </c>
      <c r="S2337">
        <v>15.15</v>
      </c>
      <c r="T2337">
        <v>23.56</v>
      </c>
      <c r="U2337">
        <v>82.49</v>
      </c>
      <c r="V2337">
        <v>43</v>
      </c>
      <c r="W2337">
        <v>1.82</v>
      </c>
    </row>
    <row r="2338" spans="1:23" x14ac:dyDescent="0.3">
      <c r="A2338">
        <v>2338</v>
      </c>
      <c r="B2338" t="s">
        <v>2381</v>
      </c>
      <c r="C2338" t="s">
        <v>35</v>
      </c>
      <c r="D2338">
        <v>181</v>
      </c>
      <c r="E2338">
        <v>3859</v>
      </c>
      <c r="F2338" s="3">
        <v>246</v>
      </c>
      <c r="G2338">
        <v>22</v>
      </c>
      <c r="H2338">
        <v>9</v>
      </c>
      <c r="I2338" s="5">
        <v>4.9723756906077297E-2</v>
      </c>
      <c r="J2338" s="3">
        <v>361</v>
      </c>
      <c r="K2338" s="1">
        <v>45597</v>
      </c>
      <c r="L2338" t="s">
        <v>25</v>
      </c>
      <c r="M2338" t="s">
        <v>31</v>
      </c>
      <c r="N2338" t="s">
        <v>44</v>
      </c>
      <c r="O2338" t="s">
        <v>28</v>
      </c>
      <c r="P2338" t="s">
        <v>45</v>
      </c>
      <c r="Q2338" s="6">
        <v>1.3611049723756901</v>
      </c>
      <c r="R2338">
        <v>4.6900000000000004</v>
      </c>
      <c r="S2338">
        <v>11.2</v>
      </c>
      <c r="T2338">
        <v>27.37</v>
      </c>
      <c r="U2338">
        <v>46.53</v>
      </c>
      <c r="V2338">
        <v>40.11</v>
      </c>
      <c r="W2338">
        <v>1.47</v>
      </c>
    </row>
    <row r="2339" spans="1:23" x14ac:dyDescent="0.3">
      <c r="A2339">
        <v>2339</v>
      </c>
      <c r="B2339" t="s">
        <v>2382</v>
      </c>
      <c r="C2339" t="s">
        <v>35</v>
      </c>
      <c r="D2339">
        <v>140</v>
      </c>
      <c r="E2339">
        <v>3389</v>
      </c>
      <c r="F2339" s="3">
        <v>183</v>
      </c>
      <c r="G2339">
        <v>28</v>
      </c>
      <c r="H2339">
        <v>6</v>
      </c>
      <c r="I2339" s="5">
        <v>4.2857142857142802E-2</v>
      </c>
      <c r="J2339" s="3">
        <v>283</v>
      </c>
      <c r="K2339" s="1">
        <v>45604</v>
      </c>
      <c r="L2339" t="s">
        <v>25</v>
      </c>
      <c r="M2339" t="s">
        <v>31</v>
      </c>
      <c r="N2339" t="s">
        <v>44</v>
      </c>
      <c r="O2339" t="s">
        <v>28</v>
      </c>
      <c r="P2339" t="s">
        <v>45</v>
      </c>
      <c r="Q2339" s="6">
        <v>1.3095000000000001</v>
      </c>
      <c r="R2339">
        <v>4.13</v>
      </c>
      <c r="S2339">
        <v>6.55</v>
      </c>
      <c r="T2339">
        <v>30.56</v>
      </c>
      <c r="U2339">
        <v>54.37</v>
      </c>
      <c r="V2339">
        <v>47.17</v>
      </c>
      <c r="W2339">
        <v>1.54</v>
      </c>
    </row>
    <row r="2340" spans="1:23" x14ac:dyDescent="0.3">
      <c r="A2340">
        <v>2340</v>
      </c>
      <c r="B2340" t="s">
        <v>2383</v>
      </c>
      <c r="C2340" t="s">
        <v>38</v>
      </c>
      <c r="D2340">
        <v>146</v>
      </c>
      <c r="E2340">
        <v>5075</v>
      </c>
      <c r="F2340" s="3">
        <v>226</v>
      </c>
      <c r="G2340">
        <v>13</v>
      </c>
      <c r="H2340">
        <v>9</v>
      </c>
      <c r="I2340" s="5">
        <v>6.1643835616438297E-2</v>
      </c>
      <c r="J2340" s="3">
        <v>276</v>
      </c>
      <c r="K2340" s="1">
        <v>45622</v>
      </c>
      <c r="L2340" t="s">
        <v>25</v>
      </c>
      <c r="M2340" t="s">
        <v>39</v>
      </c>
      <c r="N2340" t="s">
        <v>49</v>
      </c>
      <c r="O2340" t="s">
        <v>28</v>
      </c>
      <c r="P2340" t="s">
        <v>41</v>
      </c>
      <c r="Q2340" s="6">
        <v>1.5454545454545401</v>
      </c>
      <c r="R2340">
        <v>2.88</v>
      </c>
      <c r="S2340">
        <v>17.36</v>
      </c>
      <c r="T2340">
        <v>25.07</v>
      </c>
      <c r="U2340">
        <v>22.32</v>
      </c>
      <c r="V2340">
        <v>30.67</v>
      </c>
      <c r="W2340">
        <v>1.22</v>
      </c>
    </row>
    <row r="2341" spans="1:23" x14ac:dyDescent="0.3">
      <c r="A2341">
        <v>2341</v>
      </c>
      <c r="B2341" t="s">
        <v>2384</v>
      </c>
      <c r="C2341" t="s">
        <v>43</v>
      </c>
      <c r="D2341">
        <v>148</v>
      </c>
      <c r="E2341">
        <v>3269</v>
      </c>
      <c r="F2341" s="3">
        <v>192</v>
      </c>
      <c r="G2341">
        <v>18</v>
      </c>
      <c r="H2341">
        <v>9</v>
      </c>
      <c r="I2341" s="5">
        <v>6.08108108108108E-2</v>
      </c>
      <c r="J2341" s="3">
        <v>285</v>
      </c>
      <c r="K2341" s="1">
        <v>45606</v>
      </c>
      <c r="L2341" t="s">
        <v>25</v>
      </c>
      <c r="M2341" t="s">
        <v>31</v>
      </c>
      <c r="N2341" t="s">
        <v>27</v>
      </c>
      <c r="O2341" t="s">
        <v>28</v>
      </c>
      <c r="P2341" t="s">
        <v>50</v>
      </c>
      <c r="Q2341" s="6">
        <v>1.2954729729729699</v>
      </c>
      <c r="R2341">
        <v>4.53</v>
      </c>
      <c r="S2341">
        <v>10.65</v>
      </c>
      <c r="T2341">
        <v>21.3</v>
      </c>
      <c r="U2341">
        <v>48.65</v>
      </c>
      <c r="V2341">
        <v>31.67</v>
      </c>
      <c r="W2341">
        <v>1.49</v>
      </c>
    </row>
    <row r="2342" spans="1:23" x14ac:dyDescent="0.3">
      <c r="A2342">
        <v>2342</v>
      </c>
      <c r="B2342" t="s">
        <v>2385</v>
      </c>
      <c r="C2342" t="s">
        <v>24</v>
      </c>
      <c r="D2342">
        <v>101</v>
      </c>
      <c r="E2342">
        <v>4814</v>
      </c>
      <c r="F2342" s="3">
        <v>191</v>
      </c>
      <c r="G2342">
        <v>17</v>
      </c>
      <c r="H2342">
        <v>7</v>
      </c>
      <c r="I2342" s="5">
        <v>6.9306930693069299E-2</v>
      </c>
      <c r="J2342" s="3">
        <v>227</v>
      </c>
      <c r="K2342" s="1">
        <v>45616</v>
      </c>
      <c r="L2342" t="s">
        <v>25</v>
      </c>
      <c r="M2342" t="s">
        <v>26</v>
      </c>
      <c r="N2342" t="s">
        <v>27</v>
      </c>
      <c r="O2342" t="s">
        <v>28</v>
      </c>
      <c r="P2342" t="s">
        <v>33</v>
      </c>
      <c r="Q2342" s="6">
        <v>1.8953465346534599</v>
      </c>
      <c r="R2342">
        <v>2.1</v>
      </c>
      <c r="S2342">
        <v>11.26</v>
      </c>
      <c r="T2342">
        <v>27.35</v>
      </c>
      <c r="U2342">
        <v>18.579999999999998</v>
      </c>
      <c r="V2342">
        <v>32.43</v>
      </c>
      <c r="W2342">
        <v>1.19</v>
      </c>
    </row>
    <row r="2343" spans="1:23" x14ac:dyDescent="0.3">
      <c r="A2343">
        <v>2343</v>
      </c>
      <c r="B2343" t="s">
        <v>2386</v>
      </c>
      <c r="C2343" t="s">
        <v>38</v>
      </c>
      <c r="D2343">
        <v>179</v>
      </c>
      <c r="E2343">
        <v>5145</v>
      </c>
      <c r="F2343" s="3">
        <v>223</v>
      </c>
      <c r="G2343">
        <v>29</v>
      </c>
      <c r="H2343">
        <v>9</v>
      </c>
      <c r="I2343" s="5">
        <v>5.0279329608938501E-2</v>
      </c>
      <c r="J2343" s="3">
        <v>204</v>
      </c>
      <c r="K2343" s="1">
        <v>45604</v>
      </c>
      <c r="L2343" t="s">
        <v>25</v>
      </c>
      <c r="M2343" t="s">
        <v>31</v>
      </c>
      <c r="N2343" t="s">
        <v>40</v>
      </c>
      <c r="O2343" t="s">
        <v>28</v>
      </c>
      <c r="P2343" t="s">
        <v>45</v>
      </c>
      <c r="Q2343" s="6">
        <v>1.2460335195530701</v>
      </c>
      <c r="R2343">
        <v>3.48</v>
      </c>
      <c r="S2343">
        <v>7.69</v>
      </c>
      <c r="T2343">
        <v>24.78</v>
      </c>
      <c r="U2343">
        <v>-8.5399999999999991</v>
      </c>
      <c r="V2343">
        <v>22.67</v>
      </c>
      <c r="W2343">
        <v>0.91</v>
      </c>
    </row>
    <row r="2344" spans="1:23" x14ac:dyDescent="0.3">
      <c r="A2344">
        <v>2344</v>
      </c>
      <c r="B2344" t="s">
        <v>2387</v>
      </c>
      <c r="C2344" t="s">
        <v>38</v>
      </c>
      <c r="D2344">
        <v>151</v>
      </c>
      <c r="E2344">
        <v>4107</v>
      </c>
      <c r="F2344" s="3">
        <v>184</v>
      </c>
      <c r="G2344">
        <v>21</v>
      </c>
      <c r="H2344">
        <v>10</v>
      </c>
      <c r="I2344" s="5">
        <v>6.6225165562913899E-2</v>
      </c>
      <c r="J2344" s="3">
        <v>382</v>
      </c>
      <c r="K2344" s="1">
        <v>45607</v>
      </c>
      <c r="L2344" t="s">
        <v>25</v>
      </c>
      <c r="M2344" t="s">
        <v>26</v>
      </c>
      <c r="N2344" t="s">
        <v>32</v>
      </c>
      <c r="O2344" t="s">
        <v>28</v>
      </c>
      <c r="P2344" t="s">
        <v>59</v>
      </c>
      <c r="Q2344" s="6">
        <v>1.2172847682119201</v>
      </c>
      <c r="R2344">
        <v>3.68</v>
      </c>
      <c r="S2344">
        <v>8.75</v>
      </c>
      <c r="T2344">
        <v>18.38</v>
      </c>
      <c r="U2344">
        <v>107.82</v>
      </c>
      <c r="V2344">
        <v>38.200000000000003</v>
      </c>
      <c r="W2344">
        <v>2.08</v>
      </c>
    </row>
    <row r="2345" spans="1:23" x14ac:dyDescent="0.3">
      <c r="A2345">
        <v>2345</v>
      </c>
      <c r="B2345" t="s">
        <v>2388</v>
      </c>
      <c r="C2345" t="s">
        <v>38</v>
      </c>
      <c r="D2345">
        <v>195</v>
      </c>
      <c r="E2345">
        <v>3221</v>
      </c>
      <c r="F2345" s="3">
        <v>185</v>
      </c>
      <c r="G2345">
        <v>19</v>
      </c>
      <c r="H2345">
        <v>10</v>
      </c>
      <c r="I2345" s="5">
        <v>5.1282051282051197E-2</v>
      </c>
      <c r="J2345" s="3">
        <v>389</v>
      </c>
      <c r="K2345" s="1">
        <v>45622</v>
      </c>
      <c r="L2345" t="s">
        <v>25</v>
      </c>
      <c r="M2345" t="s">
        <v>39</v>
      </c>
      <c r="N2345" t="s">
        <v>32</v>
      </c>
      <c r="O2345" t="s">
        <v>28</v>
      </c>
      <c r="P2345" t="s">
        <v>41</v>
      </c>
      <c r="Q2345" s="6">
        <v>0.94912820512820495</v>
      </c>
      <c r="R2345">
        <v>6.05</v>
      </c>
      <c r="S2345">
        <v>9.74</v>
      </c>
      <c r="T2345">
        <v>18.510000000000002</v>
      </c>
      <c r="U2345">
        <v>110.18</v>
      </c>
      <c r="V2345">
        <v>38.9</v>
      </c>
      <c r="W2345">
        <v>2.1</v>
      </c>
    </row>
    <row r="2346" spans="1:23" x14ac:dyDescent="0.3">
      <c r="A2346">
        <v>2346</v>
      </c>
      <c r="B2346" t="s">
        <v>2389</v>
      </c>
      <c r="C2346" t="s">
        <v>35</v>
      </c>
      <c r="D2346">
        <v>169</v>
      </c>
      <c r="E2346">
        <v>4846</v>
      </c>
      <c r="F2346" s="3">
        <v>231</v>
      </c>
      <c r="G2346">
        <v>15</v>
      </c>
      <c r="H2346">
        <v>8</v>
      </c>
      <c r="I2346" s="5">
        <v>4.7337278106508798E-2</v>
      </c>
      <c r="J2346" s="3">
        <v>225</v>
      </c>
      <c r="K2346" s="1">
        <v>45600</v>
      </c>
      <c r="L2346" t="s">
        <v>25</v>
      </c>
      <c r="M2346" t="s">
        <v>31</v>
      </c>
      <c r="N2346" t="s">
        <v>40</v>
      </c>
      <c r="O2346" t="s">
        <v>28</v>
      </c>
      <c r="P2346" t="s">
        <v>59</v>
      </c>
      <c r="Q2346" s="6">
        <v>1.36408284023668</v>
      </c>
      <c r="R2346">
        <v>3.49</v>
      </c>
      <c r="S2346">
        <v>15.37</v>
      </c>
      <c r="T2346">
        <v>28.82</v>
      </c>
      <c r="U2346">
        <v>-2.4</v>
      </c>
      <c r="V2346">
        <v>28.12</v>
      </c>
      <c r="W2346">
        <v>0.98</v>
      </c>
    </row>
    <row r="2347" spans="1:23" x14ac:dyDescent="0.3">
      <c r="A2347">
        <v>2347</v>
      </c>
      <c r="B2347" t="s">
        <v>2390</v>
      </c>
      <c r="C2347" t="s">
        <v>43</v>
      </c>
      <c r="D2347">
        <v>161</v>
      </c>
      <c r="E2347">
        <v>3160</v>
      </c>
      <c r="F2347" s="3">
        <v>230</v>
      </c>
      <c r="G2347">
        <v>17</v>
      </c>
      <c r="H2347">
        <v>3</v>
      </c>
      <c r="I2347" s="5">
        <v>1.8633540372670801E-2</v>
      </c>
      <c r="J2347" s="3">
        <v>371</v>
      </c>
      <c r="K2347" s="1">
        <v>45597</v>
      </c>
      <c r="L2347" t="s">
        <v>25</v>
      </c>
      <c r="M2347" t="s">
        <v>31</v>
      </c>
      <c r="N2347" t="s">
        <v>40</v>
      </c>
      <c r="O2347" t="s">
        <v>28</v>
      </c>
      <c r="P2347" t="s">
        <v>45</v>
      </c>
      <c r="Q2347" s="6">
        <v>1.4267701863354001</v>
      </c>
      <c r="R2347">
        <v>5.09</v>
      </c>
      <c r="S2347">
        <v>13.51</v>
      </c>
      <c r="T2347">
        <v>76.569999999999993</v>
      </c>
      <c r="U2347">
        <v>61.51</v>
      </c>
      <c r="V2347">
        <v>123.67</v>
      </c>
      <c r="W2347">
        <v>1.62</v>
      </c>
    </row>
    <row r="2348" spans="1:23" x14ac:dyDescent="0.3">
      <c r="A2348">
        <v>2348</v>
      </c>
      <c r="B2348" t="s">
        <v>2391</v>
      </c>
      <c r="C2348" t="s">
        <v>35</v>
      </c>
      <c r="D2348">
        <v>156</v>
      </c>
      <c r="E2348">
        <v>5095</v>
      </c>
      <c r="F2348" s="3">
        <v>214</v>
      </c>
      <c r="G2348">
        <v>30</v>
      </c>
      <c r="H2348">
        <v>9</v>
      </c>
      <c r="I2348" s="5">
        <v>5.7692307692307598E-2</v>
      </c>
      <c r="J2348" s="3">
        <v>295</v>
      </c>
      <c r="K2348" s="1">
        <v>45623</v>
      </c>
      <c r="L2348" t="s">
        <v>25</v>
      </c>
      <c r="M2348" t="s">
        <v>31</v>
      </c>
      <c r="N2348" t="s">
        <v>36</v>
      </c>
      <c r="O2348" t="s">
        <v>28</v>
      </c>
      <c r="P2348" t="s">
        <v>33</v>
      </c>
      <c r="Q2348" s="6">
        <v>1.3738461538461499</v>
      </c>
      <c r="R2348">
        <v>3.06</v>
      </c>
      <c r="S2348">
        <v>7.14</v>
      </c>
      <c r="T2348">
        <v>23.81</v>
      </c>
      <c r="U2348">
        <v>37.64</v>
      </c>
      <c r="V2348">
        <v>32.78</v>
      </c>
      <c r="W2348">
        <v>1.38</v>
      </c>
    </row>
    <row r="2349" spans="1:23" x14ac:dyDescent="0.3">
      <c r="A2349">
        <v>2349</v>
      </c>
      <c r="B2349" t="s">
        <v>2392</v>
      </c>
      <c r="C2349" t="s">
        <v>35</v>
      </c>
      <c r="D2349">
        <v>148</v>
      </c>
      <c r="E2349">
        <v>3957</v>
      </c>
      <c r="F2349" s="3">
        <v>229</v>
      </c>
      <c r="G2349">
        <v>20</v>
      </c>
      <c r="H2349">
        <v>10</v>
      </c>
      <c r="I2349" s="5">
        <v>6.7567567567567502E-2</v>
      </c>
      <c r="J2349" s="3">
        <v>263</v>
      </c>
      <c r="K2349" s="1">
        <v>45606</v>
      </c>
      <c r="L2349" t="s">
        <v>25</v>
      </c>
      <c r="M2349" t="s">
        <v>39</v>
      </c>
      <c r="N2349" t="s">
        <v>36</v>
      </c>
      <c r="O2349" t="s">
        <v>28</v>
      </c>
      <c r="P2349" t="s">
        <v>50</v>
      </c>
      <c r="Q2349" s="6">
        <v>1.5454545454545401</v>
      </c>
      <c r="R2349">
        <v>3.74</v>
      </c>
      <c r="S2349">
        <v>11.44</v>
      </c>
      <c r="T2349">
        <v>22.87</v>
      </c>
      <c r="U2349">
        <v>14.98</v>
      </c>
      <c r="V2349">
        <v>26.3</v>
      </c>
      <c r="W2349">
        <v>1.1499999999999999</v>
      </c>
    </row>
    <row r="2350" spans="1:23" x14ac:dyDescent="0.3">
      <c r="A2350">
        <v>2350</v>
      </c>
      <c r="B2350" t="s">
        <v>2393</v>
      </c>
      <c r="C2350" t="s">
        <v>38</v>
      </c>
      <c r="D2350">
        <v>126</v>
      </c>
      <c r="E2350">
        <v>4920</v>
      </c>
      <c r="F2350" s="3">
        <v>182</v>
      </c>
      <c r="G2350">
        <v>27</v>
      </c>
      <c r="H2350">
        <v>5</v>
      </c>
      <c r="I2350" s="5">
        <v>3.9682539682539597E-2</v>
      </c>
      <c r="J2350" s="3">
        <v>394</v>
      </c>
      <c r="K2350" s="1">
        <v>45600</v>
      </c>
      <c r="L2350" t="s">
        <v>25</v>
      </c>
      <c r="M2350" t="s">
        <v>39</v>
      </c>
      <c r="N2350" t="s">
        <v>36</v>
      </c>
      <c r="O2350" t="s">
        <v>28</v>
      </c>
      <c r="P2350" t="s">
        <v>59</v>
      </c>
      <c r="Q2350" s="6">
        <v>1.44730158730158</v>
      </c>
      <c r="R2350">
        <v>2.56</v>
      </c>
      <c r="S2350">
        <v>6.75</v>
      </c>
      <c r="T2350">
        <v>36.47</v>
      </c>
      <c r="U2350">
        <v>116.06</v>
      </c>
      <c r="V2350">
        <v>78.8</v>
      </c>
      <c r="W2350">
        <v>2.16</v>
      </c>
    </row>
    <row r="2351" spans="1:23" x14ac:dyDescent="0.3">
      <c r="A2351">
        <v>2351</v>
      </c>
      <c r="B2351" t="s">
        <v>2394</v>
      </c>
      <c r="C2351" t="s">
        <v>24</v>
      </c>
      <c r="D2351">
        <v>189</v>
      </c>
      <c r="E2351">
        <v>3588</v>
      </c>
      <c r="F2351" s="3">
        <v>192</v>
      </c>
      <c r="G2351">
        <v>22</v>
      </c>
      <c r="H2351">
        <v>9</v>
      </c>
      <c r="I2351" s="5">
        <v>4.7619047619047603E-2</v>
      </c>
      <c r="J2351" s="3">
        <v>386</v>
      </c>
      <c r="K2351" s="1">
        <v>45621</v>
      </c>
      <c r="L2351" t="s">
        <v>25</v>
      </c>
      <c r="M2351" t="s">
        <v>26</v>
      </c>
      <c r="N2351" t="s">
        <v>32</v>
      </c>
      <c r="O2351" t="s">
        <v>28</v>
      </c>
      <c r="P2351" t="s">
        <v>59</v>
      </c>
      <c r="Q2351" s="6">
        <v>1.0144973544973499</v>
      </c>
      <c r="R2351">
        <v>5.27</v>
      </c>
      <c r="S2351">
        <v>8.7200000000000006</v>
      </c>
      <c r="T2351">
        <v>21.3</v>
      </c>
      <c r="U2351">
        <v>101.31</v>
      </c>
      <c r="V2351">
        <v>42.89</v>
      </c>
      <c r="W2351">
        <v>2.0099999999999998</v>
      </c>
    </row>
    <row r="2352" spans="1:23" x14ac:dyDescent="0.3">
      <c r="A2352">
        <v>2352</v>
      </c>
      <c r="B2352" t="s">
        <v>2395</v>
      </c>
      <c r="C2352" t="s">
        <v>43</v>
      </c>
      <c r="D2352">
        <v>119</v>
      </c>
      <c r="E2352">
        <v>4927</v>
      </c>
      <c r="F2352" s="3">
        <v>223</v>
      </c>
      <c r="G2352">
        <v>16</v>
      </c>
      <c r="H2352">
        <v>3</v>
      </c>
      <c r="I2352" s="5">
        <v>2.5210084033613401E-2</v>
      </c>
      <c r="J2352" s="3">
        <v>281</v>
      </c>
      <c r="K2352" s="1">
        <v>45610</v>
      </c>
      <c r="L2352" t="s">
        <v>25</v>
      </c>
      <c r="M2352" t="s">
        <v>31</v>
      </c>
      <c r="N2352" t="s">
        <v>40</v>
      </c>
      <c r="O2352" t="s">
        <v>28</v>
      </c>
      <c r="P2352" t="s">
        <v>54</v>
      </c>
      <c r="Q2352" s="6">
        <v>1.8768907563025199</v>
      </c>
      <c r="R2352">
        <v>2.42</v>
      </c>
      <c r="S2352">
        <v>13.96</v>
      </c>
      <c r="T2352">
        <v>74.45</v>
      </c>
      <c r="U2352">
        <v>25.81</v>
      </c>
      <c r="V2352">
        <v>93.67</v>
      </c>
      <c r="W2352">
        <v>1.26</v>
      </c>
    </row>
    <row r="2353" spans="1:23" x14ac:dyDescent="0.3">
      <c r="A2353">
        <v>2354</v>
      </c>
      <c r="B2353" t="s">
        <v>2396</v>
      </c>
      <c r="C2353" t="s">
        <v>38</v>
      </c>
      <c r="D2353">
        <v>127</v>
      </c>
      <c r="E2353">
        <v>5742</v>
      </c>
      <c r="F2353" s="3">
        <v>234</v>
      </c>
      <c r="G2353">
        <v>13</v>
      </c>
      <c r="H2353">
        <v>4</v>
      </c>
      <c r="I2353" s="5">
        <v>3.1496062992125901E-2</v>
      </c>
      <c r="J2353" s="3">
        <v>356</v>
      </c>
      <c r="K2353" s="1">
        <v>45608</v>
      </c>
      <c r="L2353" t="s">
        <v>25</v>
      </c>
      <c r="M2353" t="s">
        <v>39</v>
      </c>
      <c r="N2353" t="s">
        <v>32</v>
      </c>
      <c r="O2353" t="s">
        <v>28</v>
      </c>
      <c r="P2353" t="s">
        <v>41</v>
      </c>
      <c r="Q2353" s="6">
        <v>1.8423622047243999</v>
      </c>
      <c r="R2353">
        <v>2.21</v>
      </c>
      <c r="S2353">
        <v>18</v>
      </c>
      <c r="T2353">
        <v>58.5</v>
      </c>
      <c r="U2353">
        <v>52.15</v>
      </c>
      <c r="V2353">
        <v>89</v>
      </c>
      <c r="W2353">
        <v>1.52</v>
      </c>
    </row>
    <row r="2354" spans="1:23" x14ac:dyDescent="0.3">
      <c r="A2354">
        <v>2355</v>
      </c>
      <c r="B2354" t="s">
        <v>2397</v>
      </c>
      <c r="C2354" t="s">
        <v>35</v>
      </c>
      <c r="D2354">
        <v>106</v>
      </c>
      <c r="E2354">
        <v>4474</v>
      </c>
      <c r="F2354" s="3">
        <v>181</v>
      </c>
      <c r="G2354">
        <v>17</v>
      </c>
      <c r="H2354">
        <v>10</v>
      </c>
      <c r="I2354" s="5">
        <v>9.4339622641509399E-2</v>
      </c>
      <c r="J2354" s="3">
        <v>243</v>
      </c>
      <c r="K2354" s="1">
        <v>45616</v>
      </c>
      <c r="L2354" t="s">
        <v>25</v>
      </c>
      <c r="M2354" t="s">
        <v>39</v>
      </c>
      <c r="N2354" t="s">
        <v>49</v>
      </c>
      <c r="O2354" t="s">
        <v>28</v>
      </c>
      <c r="P2354" t="s">
        <v>33</v>
      </c>
      <c r="Q2354" s="6">
        <v>1.7120754716981099</v>
      </c>
      <c r="R2354">
        <v>2.37</v>
      </c>
      <c r="S2354">
        <v>10.68</v>
      </c>
      <c r="T2354">
        <v>18.149999999999999</v>
      </c>
      <c r="U2354">
        <v>33.9</v>
      </c>
      <c r="V2354">
        <v>24.3</v>
      </c>
      <c r="W2354">
        <v>1.34</v>
      </c>
    </row>
    <row r="2355" spans="1:23" x14ac:dyDescent="0.3">
      <c r="A2355">
        <v>2356</v>
      </c>
      <c r="B2355" t="s">
        <v>2398</v>
      </c>
      <c r="C2355" t="s">
        <v>38</v>
      </c>
      <c r="D2355">
        <v>119</v>
      </c>
      <c r="E2355">
        <v>4322</v>
      </c>
      <c r="F2355" s="3">
        <v>183</v>
      </c>
      <c r="G2355">
        <v>24</v>
      </c>
      <c r="H2355">
        <v>5</v>
      </c>
      <c r="I2355" s="5">
        <v>4.2016806722689003E-2</v>
      </c>
      <c r="J2355" s="3">
        <v>226</v>
      </c>
      <c r="K2355" s="1">
        <v>45602</v>
      </c>
      <c r="L2355" t="s">
        <v>25</v>
      </c>
      <c r="M2355" t="s">
        <v>31</v>
      </c>
      <c r="N2355" t="s">
        <v>36</v>
      </c>
      <c r="O2355" t="s">
        <v>28</v>
      </c>
      <c r="P2355" t="s">
        <v>33</v>
      </c>
      <c r="Q2355" s="6">
        <v>1.53781512605042</v>
      </c>
      <c r="R2355">
        <v>2.75</v>
      </c>
      <c r="S2355">
        <v>7.62</v>
      </c>
      <c r="T2355">
        <v>36.6</v>
      </c>
      <c r="U2355">
        <v>23.5</v>
      </c>
      <c r="V2355">
        <v>45.2</v>
      </c>
      <c r="W2355">
        <v>1.23</v>
      </c>
    </row>
    <row r="2356" spans="1:23" x14ac:dyDescent="0.3">
      <c r="A2356">
        <v>2357</v>
      </c>
      <c r="B2356" t="s">
        <v>2399</v>
      </c>
      <c r="C2356" t="s">
        <v>38</v>
      </c>
      <c r="D2356">
        <v>81</v>
      </c>
      <c r="E2356">
        <v>4144</v>
      </c>
      <c r="F2356" s="3">
        <v>180</v>
      </c>
      <c r="G2356">
        <v>18</v>
      </c>
      <c r="H2356">
        <v>3</v>
      </c>
      <c r="I2356" s="5">
        <v>3.7037037037037E-2</v>
      </c>
      <c r="J2356" s="3">
        <v>336</v>
      </c>
      <c r="K2356" s="1">
        <v>45616</v>
      </c>
      <c r="L2356" t="s">
        <v>25</v>
      </c>
      <c r="M2356" t="s">
        <v>31</v>
      </c>
      <c r="N2356" t="s">
        <v>36</v>
      </c>
      <c r="O2356" t="s">
        <v>28</v>
      </c>
      <c r="P2356" t="s">
        <v>33</v>
      </c>
      <c r="Q2356" s="6">
        <v>2.2223456790123399</v>
      </c>
      <c r="R2356">
        <v>1.95</v>
      </c>
      <c r="S2356">
        <v>10</v>
      </c>
      <c r="T2356">
        <v>60</v>
      </c>
      <c r="U2356">
        <v>86.66</v>
      </c>
      <c r="V2356">
        <v>112</v>
      </c>
      <c r="W2356">
        <v>1.87</v>
      </c>
    </row>
    <row r="2357" spans="1:23" x14ac:dyDescent="0.3">
      <c r="A2357">
        <v>2358</v>
      </c>
      <c r="B2357" t="s">
        <v>2400</v>
      </c>
      <c r="C2357" t="s">
        <v>24</v>
      </c>
      <c r="D2357">
        <v>152</v>
      </c>
      <c r="E2357">
        <v>5007</v>
      </c>
      <c r="F2357" s="3">
        <v>209</v>
      </c>
      <c r="G2357">
        <v>19</v>
      </c>
      <c r="H2357">
        <v>10</v>
      </c>
      <c r="I2357" s="5">
        <v>6.5789473684210495E-2</v>
      </c>
      <c r="J2357" s="3">
        <v>332</v>
      </c>
      <c r="K2357" s="1">
        <v>45620</v>
      </c>
      <c r="L2357" t="s">
        <v>25</v>
      </c>
      <c r="M2357" t="s">
        <v>31</v>
      </c>
      <c r="N2357" t="s">
        <v>44</v>
      </c>
      <c r="O2357" t="s">
        <v>28</v>
      </c>
      <c r="P2357" t="s">
        <v>50</v>
      </c>
      <c r="Q2357" s="6">
        <v>1.3739473684210499</v>
      </c>
      <c r="R2357">
        <v>3.04</v>
      </c>
      <c r="S2357">
        <v>10.99</v>
      </c>
      <c r="T2357">
        <v>20.88</v>
      </c>
      <c r="U2357">
        <v>58.97</v>
      </c>
      <c r="V2357">
        <v>33.200000000000003</v>
      </c>
      <c r="W2357">
        <v>1.59</v>
      </c>
    </row>
    <row r="2358" spans="1:23" x14ac:dyDescent="0.3">
      <c r="A2358">
        <v>2359</v>
      </c>
      <c r="B2358" t="s">
        <v>2401</v>
      </c>
      <c r="C2358" t="s">
        <v>24</v>
      </c>
      <c r="D2358">
        <v>153</v>
      </c>
      <c r="E2358">
        <v>5388</v>
      </c>
      <c r="F2358" s="3">
        <v>220</v>
      </c>
      <c r="G2358">
        <v>16</v>
      </c>
      <c r="H2358">
        <v>4</v>
      </c>
      <c r="I2358" s="5">
        <v>2.61437908496732E-2</v>
      </c>
      <c r="J2358" s="3">
        <v>327</v>
      </c>
      <c r="K2358" s="1">
        <v>45607</v>
      </c>
      <c r="L2358" t="s">
        <v>25</v>
      </c>
      <c r="M2358" t="s">
        <v>39</v>
      </c>
      <c r="N2358" t="s">
        <v>32</v>
      </c>
      <c r="O2358" t="s">
        <v>28</v>
      </c>
      <c r="P2358" t="s">
        <v>59</v>
      </c>
      <c r="Q2358" s="6">
        <v>1.43745098039215</v>
      </c>
      <c r="R2358">
        <v>2.84</v>
      </c>
      <c r="S2358">
        <v>13.75</v>
      </c>
      <c r="T2358">
        <v>54.98</v>
      </c>
      <c r="U2358">
        <v>48.68</v>
      </c>
      <c r="V2358">
        <v>81.75</v>
      </c>
      <c r="W2358">
        <v>1.49</v>
      </c>
    </row>
    <row r="2359" spans="1:23" x14ac:dyDescent="0.3">
      <c r="A2359">
        <v>2360</v>
      </c>
      <c r="B2359" t="s">
        <v>2402</v>
      </c>
      <c r="C2359" t="s">
        <v>43</v>
      </c>
      <c r="D2359">
        <v>120</v>
      </c>
      <c r="E2359">
        <v>4229</v>
      </c>
      <c r="F2359" s="3">
        <v>244</v>
      </c>
      <c r="G2359">
        <v>20</v>
      </c>
      <c r="H2359">
        <v>9</v>
      </c>
      <c r="I2359" s="5">
        <v>7.4999999999999997E-2</v>
      </c>
      <c r="J2359" s="3">
        <v>282</v>
      </c>
      <c r="K2359" s="1">
        <v>45608</v>
      </c>
      <c r="L2359" t="s">
        <v>25</v>
      </c>
      <c r="M2359" t="s">
        <v>26</v>
      </c>
      <c r="N2359" t="s">
        <v>32</v>
      </c>
      <c r="O2359" t="s">
        <v>28</v>
      </c>
      <c r="P2359" t="s">
        <v>41</v>
      </c>
      <c r="Q2359" s="6">
        <v>2.0344166666666599</v>
      </c>
      <c r="R2359">
        <v>2.84</v>
      </c>
      <c r="S2359">
        <v>12.21</v>
      </c>
      <c r="T2359">
        <v>27.13</v>
      </c>
      <c r="U2359">
        <v>15.51</v>
      </c>
      <c r="V2359">
        <v>31.33</v>
      </c>
      <c r="W2359">
        <v>1.1599999999999999</v>
      </c>
    </row>
    <row r="2360" spans="1:23" x14ac:dyDescent="0.3">
      <c r="A2360">
        <v>2361</v>
      </c>
      <c r="B2360" t="s">
        <v>2403</v>
      </c>
      <c r="C2360" t="s">
        <v>35</v>
      </c>
      <c r="D2360">
        <v>167</v>
      </c>
      <c r="E2360">
        <v>5140</v>
      </c>
      <c r="F2360" s="3">
        <v>228</v>
      </c>
      <c r="G2360">
        <v>28</v>
      </c>
      <c r="H2360">
        <v>9</v>
      </c>
      <c r="I2360" s="5">
        <v>5.3892215568862201E-2</v>
      </c>
      <c r="J2360" s="3">
        <v>216</v>
      </c>
      <c r="K2360" s="1">
        <v>45604</v>
      </c>
      <c r="L2360" t="s">
        <v>25</v>
      </c>
      <c r="M2360" t="s">
        <v>31</v>
      </c>
      <c r="N2360" t="s">
        <v>36</v>
      </c>
      <c r="O2360" t="s">
        <v>28</v>
      </c>
      <c r="P2360" t="s">
        <v>45</v>
      </c>
      <c r="Q2360" s="6">
        <v>1.3671856287425099</v>
      </c>
      <c r="R2360">
        <v>3.25</v>
      </c>
      <c r="S2360">
        <v>8.15</v>
      </c>
      <c r="T2360">
        <v>25.37</v>
      </c>
      <c r="U2360">
        <v>-5.4</v>
      </c>
      <c r="V2360">
        <v>24</v>
      </c>
      <c r="W2360">
        <v>0.95</v>
      </c>
    </row>
    <row r="2361" spans="1:23" x14ac:dyDescent="0.3">
      <c r="A2361">
        <v>2362</v>
      </c>
      <c r="B2361" t="s">
        <v>2404</v>
      </c>
      <c r="C2361" t="s">
        <v>38</v>
      </c>
      <c r="D2361">
        <v>116</v>
      </c>
      <c r="E2361">
        <v>5001</v>
      </c>
      <c r="F2361" s="3">
        <v>187</v>
      </c>
      <c r="G2361">
        <v>17</v>
      </c>
      <c r="H2361">
        <v>5</v>
      </c>
      <c r="I2361" s="5">
        <v>4.3103448275862002E-2</v>
      </c>
      <c r="J2361" s="3">
        <v>273</v>
      </c>
      <c r="K2361" s="1">
        <v>45603</v>
      </c>
      <c r="L2361" t="s">
        <v>25</v>
      </c>
      <c r="M2361" t="s">
        <v>26</v>
      </c>
      <c r="N2361" t="s">
        <v>49</v>
      </c>
      <c r="O2361" t="s">
        <v>28</v>
      </c>
      <c r="P2361" t="s">
        <v>54</v>
      </c>
      <c r="Q2361" s="6">
        <v>1.6092241379310299</v>
      </c>
      <c r="R2361">
        <v>2.3199999999999998</v>
      </c>
      <c r="S2361">
        <v>10.98</v>
      </c>
      <c r="T2361">
        <v>37.33</v>
      </c>
      <c r="U2361">
        <v>46.25</v>
      </c>
      <c r="V2361">
        <v>54.6</v>
      </c>
      <c r="W2361">
        <v>1.46</v>
      </c>
    </row>
    <row r="2362" spans="1:23" x14ac:dyDescent="0.3">
      <c r="A2362">
        <v>2363</v>
      </c>
      <c r="B2362" t="s">
        <v>2405</v>
      </c>
      <c r="C2362" t="s">
        <v>35</v>
      </c>
      <c r="D2362">
        <v>93</v>
      </c>
      <c r="E2362">
        <v>3802</v>
      </c>
      <c r="F2362" s="3">
        <v>216</v>
      </c>
      <c r="G2362">
        <v>22</v>
      </c>
      <c r="H2362">
        <v>7</v>
      </c>
      <c r="I2362" s="5">
        <v>7.5268817204300995E-2</v>
      </c>
      <c r="J2362" s="3">
        <v>309</v>
      </c>
      <c r="K2362" s="1">
        <v>45619</v>
      </c>
      <c r="L2362" t="s">
        <v>25</v>
      </c>
      <c r="M2362" t="s">
        <v>31</v>
      </c>
      <c r="N2362" t="s">
        <v>44</v>
      </c>
      <c r="O2362" t="s">
        <v>28</v>
      </c>
      <c r="P2362" t="s">
        <v>29</v>
      </c>
      <c r="Q2362" s="6">
        <v>2.3174193548386999</v>
      </c>
      <c r="R2362">
        <v>2.4500000000000002</v>
      </c>
      <c r="S2362">
        <v>9.8000000000000007</v>
      </c>
      <c r="T2362">
        <v>30.79</v>
      </c>
      <c r="U2362">
        <v>43.37</v>
      </c>
      <c r="V2362">
        <v>44.14</v>
      </c>
      <c r="W2362">
        <v>1.43</v>
      </c>
    </row>
    <row r="2363" spans="1:23" x14ac:dyDescent="0.3">
      <c r="A2363">
        <v>2364</v>
      </c>
      <c r="B2363" t="s">
        <v>2406</v>
      </c>
      <c r="C2363" t="s">
        <v>24</v>
      </c>
      <c r="D2363">
        <v>159</v>
      </c>
      <c r="E2363">
        <v>5584</v>
      </c>
      <c r="F2363" s="3">
        <v>249</v>
      </c>
      <c r="G2363">
        <v>18</v>
      </c>
      <c r="H2363">
        <v>8</v>
      </c>
      <c r="I2363" s="5">
        <v>5.0314465408804999E-2</v>
      </c>
      <c r="J2363" s="3">
        <v>240</v>
      </c>
      <c r="K2363" s="1">
        <v>45605</v>
      </c>
      <c r="L2363" t="s">
        <v>25</v>
      </c>
      <c r="M2363" t="s">
        <v>26</v>
      </c>
      <c r="N2363" t="s">
        <v>49</v>
      </c>
      <c r="O2363" t="s">
        <v>28</v>
      </c>
      <c r="P2363" t="s">
        <v>29</v>
      </c>
      <c r="Q2363" s="6">
        <v>1.56893081761006</v>
      </c>
      <c r="R2363">
        <v>2.85</v>
      </c>
      <c r="S2363">
        <v>13.86</v>
      </c>
      <c r="T2363">
        <v>31.18</v>
      </c>
      <c r="U2363">
        <v>-3.79</v>
      </c>
      <c r="V2363">
        <v>30</v>
      </c>
      <c r="W2363">
        <v>0.96</v>
      </c>
    </row>
    <row r="2364" spans="1:23" x14ac:dyDescent="0.3">
      <c r="A2364">
        <v>2365</v>
      </c>
      <c r="B2364" t="s">
        <v>2407</v>
      </c>
      <c r="C2364" t="s">
        <v>35</v>
      </c>
      <c r="D2364">
        <v>146</v>
      </c>
      <c r="E2364">
        <v>5105</v>
      </c>
      <c r="F2364" s="3">
        <v>225</v>
      </c>
      <c r="G2364">
        <v>12</v>
      </c>
      <c r="H2364">
        <v>7</v>
      </c>
      <c r="I2364" s="5">
        <v>4.7945205479451997E-2</v>
      </c>
      <c r="J2364" s="3">
        <v>294</v>
      </c>
      <c r="K2364" s="1">
        <v>45601</v>
      </c>
      <c r="L2364" t="s">
        <v>25</v>
      </c>
      <c r="M2364" t="s">
        <v>31</v>
      </c>
      <c r="N2364" t="s">
        <v>49</v>
      </c>
      <c r="O2364" t="s">
        <v>28</v>
      </c>
      <c r="P2364" t="s">
        <v>41</v>
      </c>
      <c r="Q2364" s="6">
        <v>1.5395205479452001</v>
      </c>
      <c r="R2364">
        <v>2.86</v>
      </c>
      <c r="S2364">
        <v>18.73</v>
      </c>
      <c r="T2364">
        <v>32.11</v>
      </c>
      <c r="U2364">
        <v>30.8</v>
      </c>
      <c r="V2364">
        <v>42</v>
      </c>
      <c r="W2364">
        <v>1.31</v>
      </c>
    </row>
    <row r="2365" spans="1:23" x14ac:dyDescent="0.3">
      <c r="A2365">
        <v>2366</v>
      </c>
      <c r="B2365" t="s">
        <v>2408</v>
      </c>
      <c r="C2365" t="s">
        <v>38</v>
      </c>
      <c r="D2365">
        <v>136</v>
      </c>
      <c r="E2365">
        <v>5714</v>
      </c>
      <c r="F2365" s="3">
        <v>190</v>
      </c>
      <c r="G2365">
        <v>19</v>
      </c>
      <c r="H2365">
        <v>8</v>
      </c>
      <c r="I2365" s="5">
        <v>5.8823529411764698E-2</v>
      </c>
      <c r="J2365" s="3">
        <v>346</v>
      </c>
      <c r="K2365" s="1">
        <v>45626</v>
      </c>
      <c r="L2365" t="s">
        <v>25</v>
      </c>
      <c r="M2365" t="s">
        <v>26</v>
      </c>
      <c r="N2365" t="s">
        <v>40</v>
      </c>
      <c r="O2365" t="s">
        <v>28</v>
      </c>
      <c r="P2365" t="s">
        <v>29</v>
      </c>
      <c r="Q2365" s="6">
        <v>1.39926470588235</v>
      </c>
      <c r="R2365">
        <v>2.38</v>
      </c>
      <c r="S2365">
        <v>10.02</v>
      </c>
      <c r="T2365">
        <v>23.79</v>
      </c>
      <c r="U2365">
        <v>81.819999999999993</v>
      </c>
      <c r="V2365">
        <v>43.25</v>
      </c>
      <c r="W2365">
        <v>1.82</v>
      </c>
    </row>
    <row r="2366" spans="1:23" x14ac:dyDescent="0.3">
      <c r="A2366">
        <v>2367</v>
      </c>
      <c r="B2366" t="s">
        <v>2409</v>
      </c>
      <c r="C2366" t="s">
        <v>24</v>
      </c>
      <c r="D2366">
        <v>159</v>
      </c>
      <c r="E2366">
        <v>5025</v>
      </c>
      <c r="F2366" s="3">
        <v>209</v>
      </c>
      <c r="G2366">
        <v>16</v>
      </c>
      <c r="H2366">
        <v>4</v>
      </c>
      <c r="I2366" s="5">
        <v>2.51572327044025E-2</v>
      </c>
      <c r="J2366" s="3">
        <v>363</v>
      </c>
      <c r="K2366" s="1">
        <v>45617</v>
      </c>
      <c r="L2366" t="s">
        <v>25</v>
      </c>
      <c r="M2366" t="s">
        <v>31</v>
      </c>
      <c r="N2366" t="s">
        <v>44</v>
      </c>
      <c r="O2366" t="s">
        <v>28</v>
      </c>
      <c r="P2366" t="s">
        <v>54</v>
      </c>
      <c r="Q2366" s="6">
        <v>1.31245283018867</v>
      </c>
      <c r="R2366">
        <v>3.16</v>
      </c>
      <c r="S2366">
        <v>13.04</v>
      </c>
      <c r="T2366">
        <v>52.17</v>
      </c>
      <c r="U2366">
        <v>73.95</v>
      </c>
      <c r="V2366">
        <v>90.75</v>
      </c>
      <c r="W2366">
        <v>1.74</v>
      </c>
    </row>
    <row r="2367" spans="1:23" x14ac:dyDescent="0.3">
      <c r="A2367">
        <v>2368</v>
      </c>
      <c r="B2367" t="s">
        <v>2410</v>
      </c>
      <c r="C2367" t="s">
        <v>35</v>
      </c>
      <c r="D2367">
        <v>83</v>
      </c>
      <c r="E2367">
        <v>3781</v>
      </c>
      <c r="F2367" s="3">
        <v>221</v>
      </c>
      <c r="G2367">
        <v>11</v>
      </c>
      <c r="H2367">
        <v>4</v>
      </c>
      <c r="I2367" s="5">
        <v>4.8192771084337303E-2</v>
      </c>
      <c r="J2367" s="3">
        <v>381</v>
      </c>
      <c r="K2367" s="1">
        <v>45611</v>
      </c>
      <c r="L2367" t="s">
        <v>25</v>
      </c>
      <c r="M2367" t="s">
        <v>31</v>
      </c>
      <c r="N2367" t="s">
        <v>40</v>
      </c>
      <c r="O2367" t="s">
        <v>28</v>
      </c>
      <c r="P2367" t="s">
        <v>45</v>
      </c>
      <c r="Q2367" s="6">
        <v>2.66048192771084</v>
      </c>
      <c r="R2367">
        <v>2.2000000000000002</v>
      </c>
      <c r="S2367">
        <v>20.07</v>
      </c>
      <c r="T2367">
        <v>55.2</v>
      </c>
      <c r="U2367">
        <v>72.540000000000006</v>
      </c>
      <c r="V2367">
        <v>95.25</v>
      </c>
      <c r="W2367">
        <v>1.73</v>
      </c>
    </row>
    <row r="2368" spans="1:23" x14ac:dyDescent="0.3">
      <c r="A2368">
        <v>2369</v>
      </c>
      <c r="B2368" t="s">
        <v>2411</v>
      </c>
      <c r="C2368" t="s">
        <v>24</v>
      </c>
      <c r="D2368">
        <v>136</v>
      </c>
      <c r="E2368">
        <v>3318</v>
      </c>
      <c r="F2368" s="3">
        <v>216</v>
      </c>
      <c r="G2368">
        <v>20</v>
      </c>
      <c r="H2368">
        <v>8</v>
      </c>
      <c r="I2368" s="5">
        <v>5.8823529411764698E-2</v>
      </c>
      <c r="J2368" s="3">
        <v>349</v>
      </c>
      <c r="K2368" s="1">
        <v>45617</v>
      </c>
      <c r="L2368" t="s">
        <v>25</v>
      </c>
      <c r="M2368" t="s">
        <v>39</v>
      </c>
      <c r="N2368" t="s">
        <v>36</v>
      </c>
      <c r="O2368" t="s">
        <v>28</v>
      </c>
      <c r="P2368" t="s">
        <v>54</v>
      </c>
      <c r="Q2368" s="6">
        <v>1.58720588235294</v>
      </c>
      <c r="R2368">
        <v>4.0999999999999996</v>
      </c>
      <c r="S2368">
        <v>10.79</v>
      </c>
      <c r="T2368">
        <v>26.98</v>
      </c>
      <c r="U2368">
        <v>61.68</v>
      </c>
      <c r="V2368">
        <v>43.62</v>
      </c>
      <c r="W2368">
        <v>1.62</v>
      </c>
    </row>
    <row r="2369" spans="1:23" x14ac:dyDescent="0.3">
      <c r="A2369">
        <v>2370</v>
      </c>
      <c r="B2369" t="s">
        <v>2412</v>
      </c>
      <c r="C2369" t="s">
        <v>38</v>
      </c>
      <c r="D2369">
        <v>136</v>
      </c>
      <c r="E2369">
        <v>3939</v>
      </c>
      <c r="F2369" s="3">
        <v>214</v>
      </c>
      <c r="G2369">
        <v>16</v>
      </c>
      <c r="H2369">
        <v>6</v>
      </c>
      <c r="I2369" s="5">
        <v>4.4117647058823498E-2</v>
      </c>
      <c r="J2369" s="3">
        <v>349</v>
      </c>
      <c r="K2369" s="1">
        <v>45617</v>
      </c>
      <c r="L2369" t="s">
        <v>25</v>
      </c>
      <c r="M2369" t="s">
        <v>39</v>
      </c>
      <c r="N2369" t="s">
        <v>44</v>
      </c>
      <c r="O2369" t="s">
        <v>28</v>
      </c>
      <c r="P2369" t="s">
        <v>54</v>
      </c>
      <c r="Q2369" s="6">
        <v>1.5710294117646999</v>
      </c>
      <c r="R2369">
        <v>3.45</v>
      </c>
      <c r="S2369">
        <v>13.35</v>
      </c>
      <c r="T2369">
        <v>35.61</v>
      </c>
      <c r="U2369">
        <v>63.34</v>
      </c>
      <c r="V2369">
        <v>58.17</v>
      </c>
      <c r="W2369">
        <v>1.63</v>
      </c>
    </row>
    <row r="2370" spans="1:23" x14ac:dyDescent="0.3">
      <c r="A2370">
        <v>2371</v>
      </c>
      <c r="B2370" t="s">
        <v>2413</v>
      </c>
      <c r="C2370" t="s">
        <v>43</v>
      </c>
      <c r="D2370">
        <v>166</v>
      </c>
      <c r="E2370">
        <v>3546</v>
      </c>
      <c r="F2370" s="3">
        <v>222</v>
      </c>
      <c r="G2370">
        <v>10</v>
      </c>
      <c r="H2370">
        <v>3</v>
      </c>
      <c r="I2370" s="5">
        <v>1.8072289156626498E-2</v>
      </c>
      <c r="J2370" s="3">
        <v>367</v>
      </c>
      <c r="K2370" s="1">
        <v>45608</v>
      </c>
      <c r="L2370" t="s">
        <v>25</v>
      </c>
      <c r="M2370" t="s">
        <v>26</v>
      </c>
      <c r="N2370" t="s">
        <v>27</v>
      </c>
      <c r="O2370" t="s">
        <v>28</v>
      </c>
      <c r="P2370" t="s">
        <v>41</v>
      </c>
      <c r="Q2370" s="6">
        <v>1.3372891566264999</v>
      </c>
      <c r="R2370">
        <v>4.68</v>
      </c>
      <c r="S2370">
        <v>22.2</v>
      </c>
      <c r="T2370">
        <v>74</v>
      </c>
      <c r="U2370">
        <v>65.319999999999993</v>
      </c>
      <c r="V2370">
        <v>122.33</v>
      </c>
      <c r="W2370">
        <v>1.65</v>
      </c>
    </row>
    <row r="2371" spans="1:23" x14ac:dyDescent="0.3">
      <c r="A2371">
        <v>2372</v>
      </c>
      <c r="B2371" t="s">
        <v>2414</v>
      </c>
      <c r="C2371" t="s">
        <v>35</v>
      </c>
      <c r="D2371">
        <v>192</v>
      </c>
      <c r="E2371">
        <v>5845</v>
      </c>
      <c r="F2371" s="3">
        <v>248</v>
      </c>
      <c r="G2371">
        <v>28</v>
      </c>
      <c r="H2371">
        <v>3</v>
      </c>
      <c r="I2371" s="5">
        <v>1.5625E-2</v>
      </c>
      <c r="J2371" s="3">
        <v>315</v>
      </c>
      <c r="K2371" s="1">
        <v>45615</v>
      </c>
      <c r="L2371" t="s">
        <v>25</v>
      </c>
      <c r="M2371" t="s">
        <v>26</v>
      </c>
      <c r="N2371" t="s">
        <v>49</v>
      </c>
      <c r="O2371" t="s">
        <v>28</v>
      </c>
      <c r="P2371" t="s">
        <v>41</v>
      </c>
      <c r="Q2371" s="6">
        <v>1.2893749999999999</v>
      </c>
      <c r="R2371">
        <v>3.28</v>
      </c>
      <c r="S2371">
        <v>8.84</v>
      </c>
      <c r="T2371">
        <v>82.52</v>
      </c>
      <c r="U2371">
        <v>27.24</v>
      </c>
      <c r="V2371">
        <v>105</v>
      </c>
      <c r="W2371">
        <v>1.27</v>
      </c>
    </row>
    <row r="2372" spans="1:23" x14ac:dyDescent="0.3">
      <c r="A2372">
        <v>2373</v>
      </c>
      <c r="B2372" t="s">
        <v>2415</v>
      </c>
      <c r="C2372" t="s">
        <v>24</v>
      </c>
      <c r="D2372">
        <v>109</v>
      </c>
      <c r="E2372">
        <v>3580</v>
      </c>
      <c r="F2372" s="3">
        <v>223</v>
      </c>
      <c r="G2372">
        <v>21</v>
      </c>
      <c r="H2372">
        <v>6</v>
      </c>
      <c r="I2372" s="5">
        <v>5.5045871559633003E-2</v>
      </c>
      <c r="J2372" s="3">
        <v>317</v>
      </c>
      <c r="K2372" s="1">
        <v>45623</v>
      </c>
      <c r="L2372" t="s">
        <v>25</v>
      </c>
      <c r="M2372" t="s">
        <v>39</v>
      </c>
      <c r="N2372" t="s">
        <v>32</v>
      </c>
      <c r="O2372" t="s">
        <v>28</v>
      </c>
      <c r="P2372" t="s">
        <v>33</v>
      </c>
      <c r="Q2372" s="6">
        <v>2.0502752293577902</v>
      </c>
      <c r="R2372">
        <v>3.04</v>
      </c>
      <c r="S2372">
        <v>10.64</v>
      </c>
      <c r="T2372">
        <v>37.25</v>
      </c>
      <c r="U2372">
        <v>41.85</v>
      </c>
      <c r="V2372">
        <v>52.83</v>
      </c>
      <c r="W2372">
        <v>1.42</v>
      </c>
    </row>
    <row r="2373" spans="1:23" x14ac:dyDescent="0.3">
      <c r="A2373">
        <v>2374</v>
      </c>
      <c r="B2373" t="s">
        <v>2416</v>
      </c>
      <c r="C2373" t="s">
        <v>38</v>
      </c>
      <c r="D2373">
        <v>108</v>
      </c>
      <c r="E2373">
        <v>4019</v>
      </c>
      <c r="F2373" s="3">
        <v>200</v>
      </c>
      <c r="G2373">
        <v>25</v>
      </c>
      <c r="H2373">
        <v>8</v>
      </c>
      <c r="I2373" s="5">
        <v>7.4074074074074001E-2</v>
      </c>
      <c r="J2373" s="3">
        <v>338</v>
      </c>
      <c r="K2373" s="1">
        <v>45598</v>
      </c>
      <c r="L2373" t="s">
        <v>25</v>
      </c>
      <c r="M2373" t="s">
        <v>39</v>
      </c>
      <c r="N2373" t="s">
        <v>27</v>
      </c>
      <c r="O2373" t="s">
        <v>28</v>
      </c>
      <c r="P2373" t="s">
        <v>29</v>
      </c>
      <c r="Q2373" s="6">
        <v>1.8504629629629601</v>
      </c>
      <c r="R2373">
        <v>2.69</v>
      </c>
      <c r="S2373">
        <v>7.99</v>
      </c>
      <c r="T2373">
        <v>24.98</v>
      </c>
      <c r="U2373">
        <v>69.13</v>
      </c>
      <c r="V2373">
        <v>42.25</v>
      </c>
      <c r="W2373">
        <v>1.69</v>
      </c>
    </row>
    <row r="2374" spans="1:23" x14ac:dyDescent="0.3">
      <c r="A2374">
        <v>2375</v>
      </c>
      <c r="B2374" t="s">
        <v>2417</v>
      </c>
      <c r="C2374" t="s">
        <v>38</v>
      </c>
      <c r="D2374">
        <v>175</v>
      </c>
      <c r="E2374">
        <v>3345</v>
      </c>
      <c r="F2374" s="3">
        <v>185</v>
      </c>
      <c r="G2374">
        <v>23</v>
      </c>
      <c r="H2374">
        <v>9</v>
      </c>
      <c r="I2374" s="5">
        <v>5.14285714285714E-2</v>
      </c>
      <c r="J2374" s="3">
        <v>243</v>
      </c>
      <c r="K2374" s="1">
        <v>45616</v>
      </c>
      <c r="L2374" t="s">
        <v>25</v>
      </c>
      <c r="M2374" t="s">
        <v>26</v>
      </c>
      <c r="N2374" t="s">
        <v>36</v>
      </c>
      <c r="O2374" t="s">
        <v>28</v>
      </c>
      <c r="P2374" t="s">
        <v>33</v>
      </c>
      <c r="Q2374" s="6">
        <v>1.0598857142857101</v>
      </c>
      <c r="R2374">
        <v>5.23</v>
      </c>
      <c r="S2374">
        <v>8.06</v>
      </c>
      <c r="T2374">
        <v>20.61</v>
      </c>
      <c r="U2374">
        <v>31.01</v>
      </c>
      <c r="V2374">
        <v>27</v>
      </c>
      <c r="W2374">
        <v>1.31</v>
      </c>
    </row>
    <row r="2375" spans="1:23" x14ac:dyDescent="0.3">
      <c r="A2375">
        <v>2376</v>
      </c>
      <c r="B2375" t="s">
        <v>2418</v>
      </c>
      <c r="C2375" t="s">
        <v>24</v>
      </c>
      <c r="D2375">
        <v>80</v>
      </c>
      <c r="E2375">
        <v>4413</v>
      </c>
      <c r="F2375" s="3">
        <v>245</v>
      </c>
      <c r="G2375">
        <v>10</v>
      </c>
      <c r="H2375">
        <v>5</v>
      </c>
      <c r="I2375" s="5">
        <v>6.25E-2</v>
      </c>
      <c r="J2375" s="3">
        <v>337</v>
      </c>
      <c r="K2375" s="1">
        <v>45599</v>
      </c>
      <c r="L2375" t="s">
        <v>25</v>
      </c>
      <c r="M2375" t="s">
        <v>31</v>
      </c>
      <c r="N2375" t="s">
        <v>32</v>
      </c>
      <c r="O2375" t="s">
        <v>28</v>
      </c>
      <c r="P2375" t="s">
        <v>50</v>
      </c>
      <c r="Q2375" s="6">
        <v>3.0674999999999999</v>
      </c>
      <c r="R2375">
        <v>1.81</v>
      </c>
      <c r="S2375">
        <v>24.54</v>
      </c>
      <c r="T2375">
        <v>49.08</v>
      </c>
      <c r="U2375">
        <v>37.33</v>
      </c>
      <c r="V2375">
        <v>67.400000000000006</v>
      </c>
      <c r="W2375">
        <v>1.37</v>
      </c>
    </row>
    <row r="2376" spans="1:23" x14ac:dyDescent="0.3">
      <c r="A2376">
        <v>2377</v>
      </c>
      <c r="B2376" t="s">
        <v>2419</v>
      </c>
      <c r="C2376" t="s">
        <v>43</v>
      </c>
      <c r="D2376">
        <v>192</v>
      </c>
      <c r="E2376">
        <v>4969</v>
      </c>
      <c r="F2376" s="3">
        <v>234</v>
      </c>
      <c r="G2376">
        <v>30</v>
      </c>
      <c r="H2376">
        <v>5</v>
      </c>
      <c r="I2376" s="5">
        <v>2.6041666666666598E-2</v>
      </c>
      <c r="J2376" s="3">
        <v>332</v>
      </c>
      <c r="K2376" s="1">
        <v>45613</v>
      </c>
      <c r="L2376" t="s">
        <v>25</v>
      </c>
      <c r="M2376" t="s">
        <v>39</v>
      </c>
      <c r="N2376" t="s">
        <v>32</v>
      </c>
      <c r="O2376" t="s">
        <v>28</v>
      </c>
      <c r="P2376" t="s">
        <v>50</v>
      </c>
      <c r="Q2376" s="6">
        <v>1.2201562500000001</v>
      </c>
      <c r="R2376">
        <v>3.86</v>
      </c>
      <c r="S2376">
        <v>7.81</v>
      </c>
      <c r="T2376">
        <v>46.85</v>
      </c>
      <c r="U2376">
        <v>41.72</v>
      </c>
      <c r="V2376">
        <v>66.400000000000006</v>
      </c>
      <c r="W2376">
        <v>1.42</v>
      </c>
    </row>
    <row r="2377" spans="1:23" x14ac:dyDescent="0.3">
      <c r="A2377">
        <v>2378</v>
      </c>
      <c r="B2377" t="s">
        <v>2420</v>
      </c>
      <c r="C2377" t="s">
        <v>24</v>
      </c>
      <c r="D2377">
        <v>85</v>
      </c>
      <c r="E2377">
        <v>5083</v>
      </c>
      <c r="F2377" s="3">
        <v>181</v>
      </c>
      <c r="G2377">
        <v>13</v>
      </c>
      <c r="H2377">
        <v>3</v>
      </c>
      <c r="I2377" s="5">
        <v>3.5294117647058802E-2</v>
      </c>
      <c r="J2377" s="3">
        <v>214</v>
      </c>
      <c r="K2377" s="1">
        <v>45607</v>
      </c>
      <c r="L2377" t="s">
        <v>25</v>
      </c>
      <c r="M2377" t="s">
        <v>31</v>
      </c>
      <c r="N2377" t="s">
        <v>32</v>
      </c>
      <c r="O2377" t="s">
        <v>28</v>
      </c>
      <c r="P2377" t="s">
        <v>59</v>
      </c>
      <c r="Q2377" s="6">
        <v>2.1316470588235199</v>
      </c>
      <c r="R2377">
        <v>1.67</v>
      </c>
      <c r="S2377">
        <v>13.94</v>
      </c>
      <c r="T2377">
        <v>60.4</v>
      </c>
      <c r="U2377">
        <v>18.11</v>
      </c>
      <c r="V2377">
        <v>71.33</v>
      </c>
      <c r="W2377">
        <v>1.18</v>
      </c>
    </row>
    <row r="2378" spans="1:23" x14ac:dyDescent="0.3">
      <c r="A2378">
        <v>2379</v>
      </c>
      <c r="B2378" t="s">
        <v>2421</v>
      </c>
      <c r="C2378" t="s">
        <v>35</v>
      </c>
      <c r="D2378">
        <v>91</v>
      </c>
      <c r="E2378">
        <v>4176</v>
      </c>
      <c r="F2378" s="3">
        <v>217</v>
      </c>
      <c r="G2378">
        <v>20</v>
      </c>
      <c r="H2378">
        <v>8</v>
      </c>
      <c r="I2378" s="5">
        <v>8.7912087912087905E-2</v>
      </c>
      <c r="J2378" s="3">
        <v>307</v>
      </c>
      <c r="K2378" s="1">
        <v>45605</v>
      </c>
      <c r="L2378" t="s">
        <v>25</v>
      </c>
      <c r="M2378" t="s">
        <v>31</v>
      </c>
      <c r="N2378" t="s">
        <v>32</v>
      </c>
      <c r="O2378" t="s">
        <v>28</v>
      </c>
      <c r="P2378" t="s">
        <v>29</v>
      </c>
      <c r="Q2378" s="6">
        <v>2.38054945054945</v>
      </c>
      <c r="R2378">
        <v>2.1800000000000002</v>
      </c>
      <c r="S2378">
        <v>10.83</v>
      </c>
      <c r="T2378">
        <v>27.08</v>
      </c>
      <c r="U2378">
        <v>41.72</v>
      </c>
      <c r="V2378">
        <v>38.380000000000003</v>
      </c>
      <c r="W2378">
        <v>1.42</v>
      </c>
    </row>
    <row r="2379" spans="1:23" x14ac:dyDescent="0.3">
      <c r="A2379">
        <v>2380</v>
      </c>
      <c r="B2379" t="s">
        <v>2422</v>
      </c>
      <c r="C2379" t="s">
        <v>24</v>
      </c>
      <c r="D2379">
        <v>94</v>
      </c>
      <c r="E2379">
        <v>5389</v>
      </c>
      <c r="F2379" s="3">
        <v>221</v>
      </c>
      <c r="G2379">
        <v>11</v>
      </c>
      <c r="H2379">
        <v>10</v>
      </c>
      <c r="I2379" s="5">
        <v>0.10638297872340401</v>
      </c>
      <c r="J2379" s="3">
        <v>341</v>
      </c>
      <c r="K2379" s="1">
        <v>45623</v>
      </c>
      <c r="L2379" t="s">
        <v>25</v>
      </c>
      <c r="M2379" t="s">
        <v>31</v>
      </c>
      <c r="N2379" t="s">
        <v>40</v>
      </c>
      <c r="O2379" t="s">
        <v>28</v>
      </c>
      <c r="P2379" t="s">
        <v>33</v>
      </c>
      <c r="Q2379" s="6">
        <v>2.34606382978723</v>
      </c>
      <c r="R2379">
        <v>1.74</v>
      </c>
      <c r="S2379">
        <v>20.05</v>
      </c>
      <c r="T2379">
        <v>22.05</v>
      </c>
      <c r="U2379">
        <v>54.63</v>
      </c>
      <c r="V2379">
        <v>34.1</v>
      </c>
      <c r="W2379">
        <v>1.55</v>
      </c>
    </row>
    <row r="2380" spans="1:23" x14ac:dyDescent="0.3">
      <c r="A2380">
        <v>2381</v>
      </c>
      <c r="B2380" t="s">
        <v>2423</v>
      </c>
      <c r="C2380" t="s">
        <v>38</v>
      </c>
      <c r="D2380">
        <v>119</v>
      </c>
      <c r="E2380">
        <v>4653</v>
      </c>
      <c r="F2380" s="3">
        <v>225</v>
      </c>
      <c r="G2380">
        <v>17</v>
      </c>
      <c r="H2380">
        <v>4</v>
      </c>
      <c r="I2380" s="5">
        <v>3.3613445378151197E-2</v>
      </c>
      <c r="J2380" s="3">
        <v>362</v>
      </c>
      <c r="K2380" s="1">
        <v>45610</v>
      </c>
      <c r="L2380" t="s">
        <v>25</v>
      </c>
      <c r="M2380" t="s">
        <v>39</v>
      </c>
      <c r="N2380" t="s">
        <v>27</v>
      </c>
      <c r="O2380" t="s">
        <v>28</v>
      </c>
      <c r="P2380" t="s">
        <v>54</v>
      </c>
      <c r="Q2380" s="6">
        <v>1.8880672268907499</v>
      </c>
      <c r="R2380">
        <v>2.56</v>
      </c>
      <c r="S2380">
        <v>13.22</v>
      </c>
      <c r="T2380">
        <v>56.17</v>
      </c>
      <c r="U2380">
        <v>61.12</v>
      </c>
      <c r="V2380">
        <v>90.5</v>
      </c>
      <c r="W2380">
        <v>1.61</v>
      </c>
    </row>
    <row r="2381" spans="1:23" x14ac:dyDescent="0.3">
      <c r="A2381">
        <v>2382</v>
      </c>
      <c r="B2381" t="s">
        <v>2424</v>
      </c>
      <c r="C2381" t="s">
        <v>35</v>
      </c>
      <c r="D2381">
        <v>198</v>
      </c>
      <c r="E2381">
        <v>3926</v>
      </c>
      <c r="F2381" s="3">
        <v>195</v>
      </c>
      <c r="G2381">
        <v>25</v>
      </c>
      <c r="H2381">
        <v>7</v>
      </c>
      <c r="I2381" s="5">
        <v>3.5353535353535297E-2</v>
      </c>
      <c r="J2381" s="3">
        <v>216</v>
      </c>
      <c r="K2381" s="1">
        <v>45608</v>
      </c>
      <c r="L2381" t="s">
        <v>25</v>
      </c>
      <c r="M2381" t="s">
        <v>26</v>
      </c>
      <c r="N2381" t="s">
        <v>36</v>
      </c>
      <c r="O2381" t="s">
        <v>28</v>
      </c>
      <c r="P2381" t="s">
        <v>41</v>
      </c>
      <c r="Q2381" s="6">
        <v>0.98611111111111105</v>
      </c>
      <c r="R2381">
        <v>5.04</v>
      </c>
      <c r="S2381">
        <v>7.81</v>
      </c>
      <c r="T2381">
        <v>27.89</v>
      </c>
      <c r="U2381">
        <v>10.63</v>
      </c>
      <c r="V2381">
        <v>30.86</v>
      </c>
      <c r="W2381">
        <v>1.1100000000000001</v>
      </c>
    </row>
    <row r="2382" spans="1:23" x14ac:dyDescent="0.3">
      <c r="A2382">
        <v>2383</v>
      </c>
      <c r="B2382" t="s">
        <v>2425</v>
      </c>
      <c r="C2382" t="s">
        <v>38</v>
      </c>
      <c r="D2382">
        <v>87</v>
      </c>
      <c r="E2382">
        <v>4154</v>
      </c>
      <c r="F2382" s="3">
        <v>233</v>
      </c>
      <c r="G2382">
        <v>13</v>
      </c>
      <c r="H2382">
        <v>3</v>
      </c>
      <c r="I2382" s="5">
        <v>3.4482758620689599E-2</v>
      </c>
      <c r="J2382" s="3">
        <v>224</v>
      </c>
      <c r="K2382" s="1">
        <v>45606</v>
      </c>
      <c r="L2382" t="s">
        <v>25</v>
      </c>
      <c r="M2382" t="s">
        <v>26</v>
      </c>
      <c r="N2382" t="s">
        <v>44</v>
      </c>
      <c r="O2382" t="s">
        <v>28</v>
      </c>
      <c r="P2382" t="s">
        <v>50</v>
      </c>
      <c r="Q2382" s="6">
        <v>2.6767816091954</v>
      </c>
      <c r="R2382">
        <v>2.09</v>
      </c>
      <c r="S2382">
        <v>17.91</v>
      </c>
      <c r="T2382">
        <v>77.63</v>
      </c>
      <c r="U2382">
        <v>-3.81</v>
      </c>
      <c r="V2382">
        <v>74.67</v>
      </c>
      <c r="W2382">
        <v>0.96</v>
      </c>
    </row>
    <row r="2383" spans="1:23" x14ac:dyDescent="0.3">
      <c r="A2383">
        <v>2384</v>
      </c>
      <c r="B2383" t="s">
        <v>2426</v>
      </c>
      <c r="C2383" t="s">
        <v>38</v>
      </c>
      <c r="D2383">
        <v>101</v>
      </c>
      <c r="E2383">
        <v>3286</v>
      </c>
      <c r="F2383" s="3">
        <v>197</v>
      </c>
      <c r="G2383">
        <v>12</v>
      </c>
      <c r="H2383">
        <v>9</v>
      </c>
      <c r="I2383" s="5">
        <v>8.9108910891089105E-2</v>
      </c>
      <c r="J2383" s="3">
        <v>211</v>
      </c>
      <c r="K2383" s="1">
        <v>45598</v>
      </c>
      <c r="L2383" t="s">
        <v>25</v>
      </c>
      <c r="M2383" t="s">
        <v>39</v>
      </c>
      <c r="N2383" t="s">
        <v>49</v>
      </c>
      <c r="O2383" t="s">
        <v>28</v>
      </c>
      <c r="P2383" t="s">
        <v>29</v>
      </c>
      <c r="Q2383" s="6">
        <v>1.9464356435643499</v>
      </c>
      <c r="R2383">
        <v>3.07</v>
      </c>
      <c r="S2383">
        <v>16.38</v>
      </c>
      <c r="T2383">
        <v>21.84</v>
      </c>
      <c r="U2383">
        <v>7.33</v>
      </c>
      <c r="V2383">
        <v>23.44</v>
      </c>
      <c r="W2383">
        <v>1.07</v>
      </c>
    </row>
    <row r="2384" spans="1:23" x14ac:dyDescent="0.3">
      <c r="A2384">
        <v>2385</v>
      </c>
      <c r="B2384" t="s">
        <v>2427</v>
      </c>
      <c r="C2384" t="s">
        <v>43</v>
      </c>
      <c r="D2384">
        <v>142</v>
      </c>
      <c r="E2384">
        <v>4593</v>
      </c>
      <c r="F2384" s="3">
        <v>231</v>
      </c>
      <c r="G2384">
        <v>20</v>
      </c>
      <c r="H2384">
        <v>5</v>
      </c>
      <c r="I2384" s="5">
        <v>3.5211267605633798E-2</v>
      </c>
      <c r="J2384" s="3">
        <v>314</v>
      </c>
      <c r="K2384" s="1">
        <v>45618</v>
      </c>
      <c r="L2384" t="s">
        <v>25</v>
      </c>
      <c r="M2384" t="s">
        <v>31</v>
      </c>
      <c r="N2384" t="s">
        <v>32</v>
      </c>
      <c r="O2384" t="s">
        <v>28</v>
      </c>
      <c r="P2384" t="s">
        <v>45</v>
      </c>
      <c r="Q2384" s="6">
        <v>1.6245774647887301</v>
      </c>
      <c r="R2384">
        <v>3.09</v>
      </c>
      <c r="S2384">
        <v>11.53</v>
      </c>
      <c r="T2384">
        <v>46.14</v>
      </c>
      <c r="U2384">
        <v>36.11</v>
      </c>
      <c r="V2384">
        <v>62.8</v>
      </c>
      <c r="W2384">
        <v>1.36</v>
      </c>
    </row>
    <row r="2385" spans="1:23" x14ac:dyDescent="0.3">
      <c r="A2385">
        <v>2386</v>
      </c>
      <c r="B2385" t="s">
        <v>2428</v>
      </c>
      <c r="C2385" t="s">
        <v>35</v>
      </c>
      <c r="D2385">
        <v>111</v>
      </c>
      <c r="E2385">
        <v>5689</v>
      </c>
      <c r="F2385" s="3">
        <v>196</v>
      </c>
      <c r="G2385">
        <v>12</v>
      </c>
      <c r="H2385">
        <v>4</v>
      </c>
      <c r="I2385" s="5">
        <v>3.6036036036036001E-2</v>
      </c>
      <c r="J2385" s="3">
        <v>281</v>
      </c>
      <c r="K2385" s="1">
        <v>45610</v>
      </c>
      <c r="L2385" t="s">
        <v>25</v>
      </c>
      <c r="M2385" t="s">
        <v>26</v>
      </c>
      <c r="N2385" t="s">
        <v>49</v>
      </c>
      <c r="O2385" t="s">
        <v>28</v>
      </c>
      <c r="P2385" t="s">
        <v>54</v>
      </c>
      <c r="Q2385" s="6">
        <v>1.7652252252252201</v>
      </c>
      <c r="R2385">
        <v>1.95</v>
      </c>
      <c r="S2385">
        <v>16.329999999999998</v>
      </c>
      <c r="T2385">
        <v>48.98</v>
      </c>
      <c r="U2385">
        <v>43.41</v>
      </c>
      <c r="V2385">
        <v>70.25</v>
      </c>
      <c r="W2385">
        <v>1.43</v>
      </c>
    </row>
    <row r="2386" spans="1:23" x14ac:dyDescent="0.3">
      <c r="A2386">
        <v>2387</v>
      </c>
      <c r="B2386" t="s">
        <v>2429</v>
      </c>
      <c r="C2386" t="s">
        <v>43</v>
      </c>
      <c r="D2386">
        <v>152</v>
      </c>
      <c r="E2386">
        <v>5040</v>
      </c>
      <c r="F2386" s="3">
        <v>239</v>
      </c>
      <c r="G2386">
        <v>30</v>
      </c>
      <c r="H2386">
        <v>9</v>
      </c>
      <c r="I2386" s="5">
        <v>5.9210526315789401E-2</v>
      </c>
      <c r="J2386" s="3">
        <v>366</v>
      </c>
      <c r="K2386" s="1">
        <v>45611</v>
      </c>
      <c r="L2386" t="s">
        <v>25</v>
      </c>
      <c r="M2386" t="s">
        <v>26</v>
      </c>
      <c r="N2386" t="s">
        <v>32</v>
      </c>
      <c r="O2386" t="s">
        <v>28</v>
      </c>
      <c r="P2386" t="s">
        <v>45</v>
      </c>
      <c r="Q2386" s="6">
        <v>1.56980263157894</v>
      </c>
      <c r="R2386">
        <v>3.02</v>
      </c>
      <c r="S2386">
        <v>7.95</v>
      </c>
      <c r="T2386">
        <v>26.51</v>
      </c>
      <c r="U2386">
        <v>53.39</v>
      </c>
      <c r="V2386">
        <v>40.67</v>
      </c>
      <c r="W2386">
        <v>1.53</v>
      </c>
    </row>
    <row r="2387" spans="1:23" x14ac:dyDescent="0.3">
      <c r="A2387">
        <v>2388</v>
      </c>
      <c r="B2387" t="s">
        <v>2430</v>
      </c>
      <c r="C2387" t="s">
        <v>38</v>
      </c>
      <c r="D2387">
        <v>89</v>
      </c>
      <c r="E2387">
        <v>3623</v>
      </c>
      <c r="F2387" s="3">
        <v>218</v>
      </c>
      <c r="G2387">
        <v>22</v>
      </c>
      <c r="H2387">
        <v>6</v>
      </c>
      <c r="I2387" s="5">
        <v>6.7415730337078594E-2</v>
      </c>
      <c r="J2387" s="3">
        <v>268</v>
      </c>
      <c r="K2387" s="1">
        <v>45597</v>
      </c>
      <c r="L2387" t="s">
        <v>25</v>
      </c>
      <c r="M2387" t="s">
        <v>31</v>
      </c>
      <c r="N2387" t="s">
        <v>27</v>
      </c>
      <c r="O2387" t="s">
        <v>28</v>
      </c>
      <c r="P2387" t="s">
        <v>45</v>
      </c>
      <c r="Q2387" s="6">
        <v>2.4533707865168499</v>
      </c>
      <c r="R2387">
        <v>2.46</v>
      </c>
      <c r="S2387">
        <v>9.92</v>
      </c>
      <c r="T2387">
        <v>36.39</v>
      </c>
      <c r="U2387">
        <v>22.74</v>
      </c>
      <c r="V2387">
        <v>44.67</v>
      </c>
      <c r="W2387">
        <v>1.23</v>
      </c>
    </row>
    <row r="2388" spans="1:23" x14ac:dyDescent="0.3">
      <c r="A2388">
        <v>2389</v>
      </c>
      <c r="B2388" t="s">
        <v>2431</v>
      </c>
      <c r="C2388" t="s">
        <v>35</v>
      </c>
      <c r="D2388">
        <v>115</v>
      </c>
      <c r="E2388">
        <v>3999</v>
      </c>
      <c r="F2388" s="3">
        <v>217</v>
      </c>
      <c r="G2388">
        <v>16</v>
      </c>
      <c r="H2388">
        <v>6</v>
      </c>
      <c r="I2388" s="5">
        <v>5.2173913043478203E-2</v>
      </c>
      <c r="J2388" s="3">
        <v>363</v>
      </c>
      <c r="K2388" s="1">
        <v>45601</v>
      </c>
      <c r="L2388" t="s">
        <v>25</v>
      </c>
      <c r="M2388" t="s">
        <v>31</v>
      </c>
      <c r="N2388" t="s">
        <v>32</v>
      </c>
      <c r="O2388" t="s">
        <v>28</v>
      </c>
      <c r="P2388" t="s">
        <v>41</v>
      </c>
      <c r="Q2388" s="6">
        <v>1.88408695652173</v>
      </c>
      <c r="R2388">
        <v>2.88</v>
      </c>
      <c r="S2388">
        <v>13.54</v>
      </c>
      <c r="T2388">
        <v>36.11</v>
      </c>
      <c r="U2388">
        <v>67.540000000000006</v>
      </c>
      <c r="V2388">
        <v>60.5</v>
      </c>
      <c r="W2388">
        <v>1.68</v>
      </c>
    </row>
    <row r="2389" spans="1:23" x14ac:dyDescent="0.3">
      <c r="A2389">
        <v>2390</v>
      </c>
      <c r="B2389" t="s">
        <v>2432</v>
      </c>
      <c r="C2389" t="s">
        <v>38</v>
      </c>
      <c r="D2389">
        <v>131</v>
      </c>
      <c r="E2389">
        <v>4320</v>
      </c>
      <c r="F2389" s="3">
        <v>223</v>
      </c>
      <c r="G2389">
        <v>30</v>
      </c>
      <c r="H2389">
        <v>7</v>
      </c>
      <c r="I2389" s="5">
        <v>5.3435114503816702E-2</v>
      </c>
      <c r="J2389" s="3">
        <v>327</v>
      </c>
      <c r="K2389" s="1">
        <v>45600</v>
      </c>
      <c r="L2389" t="s">
        <v>25</v>
      </c>
      <c r="M2389" t="s">
        <v>31</v>
      </c>
      <c r="N2389" t="s">
        <v>49</v>
      </c>
      <c r="O2389" t="s">
        <v>28</v>
      </c>
      <c r="P2389" t="s">
        <v>59</v>
      </c>
      <c r="Q2389" s="6">
        <v>1.7029007633587701</v>
      </c>
      <c r="R2389">
        <v>3.03</v>
      </c>
      <c r="S2389">
        <v>7.44</v>
      </c>
      <c r="T2389">
        <v>31.87</v>
      </c>
      <c r="U2389">
        <v>46.58</v>
      </c>
      <c r="V2389">
        <v>46.71</v>
      </c>
      <c r="W2389">
        <v>1.47</v>
      </c>
    </row>
    <row r="2390" spans="1:23" x14ac:dyDescent="0.3">
      <c r="A2390">
        <v>2391</v>
      </c>
      <c r="B2390" t="s">
        <v>2433</v>
      </c>
      <c r="C2390" t="s">
        <v>24</v>
      </c>
      <c r="D2390">
        <v>153</v>
      </c>
      <c r="E2390">
        <v>4027</v>
      </c>
      <c r="F2390" s="3">
        <v>182</v>
      </c>
      <c r="G2390">
        <v>10</v>
      </c>
      <c r="H2390">
        <v>5</v>
      </c>
      <c r="I2390" s="5">
        <v>3.2679738562091498E-2</v>
      </c>
      <c r="J2390" s="3">
        <v>272</v>
      </c>
      <c r="K2390" s="1">
        <v>45624</v>
      </c>
      <c r="L2390" t="s">
        <v>25</v>
      </c>
      <c r="M2390" t="s">
        <v>39</v>
      </c>
      <c r="N2390" t="s">
        <v>27</v>
      </c>
      <c r="O2390" t="s">
        <v>28</v>
      </c>
      <c r="P2390" t="s">
        <v>54</v>
      </c>
      <c r="Q2390" s="6">
        <v>1.1902614379084899</v>
      </c>
      <c r="R2390">
        <v>3.8</v>
      </c>
      <c r="S2390">
        <v>18.21</v>
      </c>
      <c r="T2390">
        <v>36.42</v>
      </c>
      <c r="U2390">
        <v>49.36</v>
      </c>
      <c r="V2390">
        <v>54.4</v>
      </c>
      <c r="W2390">
        <v>1.49</v>
      </c>
    </row>
    <row r="2391" spans="1:23" x14ac:dyDescent="0.3">
      <c r="A2391">
        <v>2392</v>
      </c>
      <c r="B2391" t="s">
        <v>2434</v>
      </c>
      <c r="C2391" t="s">
        <v>43</v>
      </c>
      <c r="D2391">
        <v>108</v>
      </c>
      <c r="E2391">
        <v>3562</v>
      </c>
      <c r="F2391" s="3">
        <v>209</v>
      </c>
      <c r="G2391">
        <v>10</v>
      </c>
      <c r="H2391">
        <v>5</v>
      </c>
      <c r="I2391" s="5">
        <v>4.6296296296296197E-2</v>
      </c>
      <c r="J2391" s="3">
        <v>268</v>
      </c>
      <c r="K2391" s="1">
        <v>45625</v>
      </c>
      <c r="L2391" t="s">
        <v>25</v>
      </c>
      <c r="M2391" t="s">
        <v>26</v>
      </c>
      <c r="N2391" t="s">
        <v>27</v>
      </c>
      <c r="O2391" t="s">
        <v>28</v>
      </c>
      <c r="P2391" t="s">
        <v>45</v>
      </c>
      <c r="Q2391" s="6">
        <v>1.93425925925925</v>
      </c>
      <c r="R2391">
        <v>3.03</v>
      </c>
      <c r="S2391">
        <v>20.89</v>
      </c>
      <c r="T2391">
        <v>41.78</v>
      </c>
      <c r="U2391">
        <v>28.29</v>
      </c>
      <c r="V2391">
        <v>53.6</v>
      </c>
      <c r="W2391">
        <v>1.28</v>
      </c>
    </row>
    <row r="2392" spans="1:23" x14ac:dyDescent="0.3">
      <c r="A2392">
        <v>2393</v>
      </c>
      <c r="B2392" t="s">
        <v>2435</v>
      </c>
      <c r="C2392" t="s">
        <v>38</v>
      </c>
      <c r="D2392">
        <v>172</v>
      </c>
      <c r="E2392">
        <v>5712</v>
      </c>
      <c r="F2392" s="3">
        <v>204</v>
      </c>
      <c r="G2392">
        <v>28</v>
      </c>
      <c r="H2392">
        <v>7</v>
      </c>
      <c r="I2392" s="5">
        <v>4.0697674418604599E-2</v>
      </c>
      <c r="J2392" s="3">
        <v>287</v>
      </c>
      <c r="K2392" s="1">
        <v>45617</v>
      </c>
      <c r="L2392" t="s">
        <v>25</v>
      </c>
      <c r="M2392" t="s">
        <v>39</v>
      </c>
      <c r="N2392" t="s">
        <v>49</v>
      </c>
      <c r="O2392" t="s">
        <v>28</v>
      </c>
      <c r="P2392" t="s">
        <v>54</v>
      </c>
      <c r="Q2392" s="6">
        <v>1.1863953488372001</v>
      </c>
      <c r="R2392">
        <v>3.01</v>
      </c>
      <c r="S2392">
        <v>7.29</v>
      </c>
      <c r="T2392">
        <v>29.15</v>
      </c>
      <c r="U2392">
        <v>40.64</v>
      </c>
      <c r="V2392">
        <v>41</v>
      </c>
      <c r="W2392">
        <v>1.41</v>
      </c>
    </row>
    <row r="2393" spans="1:23" x14ac:dyDescent="0.3">
      <c r="A2393">
        <v>2394</v>
      </c>
      <c r="B2393" t="s">
        <v>2436</v>
      </c>
      <c r="C2393" t="s">
        <v>43</v>
      </c>
      <c r="D2393">
        <v>118</v>
      </c>
      <c r="E2393">
        <v>5514</v>
      </c>
      <c r="F2393" s="3">
        <v>238</v>
      </c>
      <c r="G2393">
        <v>27</v>
      </c>
      <c r="H2393">
        <v>9</v>
      </c>
      <c r="I2393" s="5">
        <v>7.6271186440677902E-2</v>
      </c>
      <c r="J2393" s="3">
        <v>286</v>
      </c>
      <c r="K2393" s="1">
        <v>45623</v>
      </c>
      <c r="L2393" t="s">
        <v>25</v>
      </c>
      <c r="M2393" t="s">
        <v>31</v>
      </c>
      <c r="N2393" t="s">
        <v>49</v>
      </c>
      <c r="O2393" t="s">
        <v>28</v>
      </c>
      <c r="P2393" t="s">
        <v>33</v>
      </c>
      <c r="Q2393" s="6">
        <v>2.0159322033898301</v>
      </c>
      <c r="R2393">
        <v>2.14</v>
      </c>
      <c r="S2393">
        <v>8.81</v>
      </c>
      <c r="T2393">
        <v>26.43</v>
      </c>
      <c r="U2393">
        <v>20.23</v>
      </c>
      <c r="V2393">
        <v>31.78</v>
      </c>
      <c r="W2393">
        <v>1.2</v>
      </c>
    </row>
    <row r="2394" spans="1:23" x14ac:dyDescent="0.3">
      <c r="A2394">
        <v>2395</v>
      </c>
      <c r="B2394" t="s">
        <v>2437</v>
      </c>
      <c r="C2394" t="s">
        <v>38</v>
      </c>
      <c r="D2394">
        <v>90</v>
      </c>
      <c r="E2394">
        <v>3776</v>
      </c>
      <c r="F2394" s="3">
        <v>187</v>
      </c>
      <c r="G2394">
        <v>19</v>
      </c>
      <c r="H2394">
        <v>4</v>
      </c>
      <c r="I2394" s="5">
        <v>4.4444444444444398E-2</v>
      </c>
      <c r="J2394" s="3">
        <v>215</v>
      </c>
      <c r="K2394" s="1">
        <v>45611</v>
      </c>
      <c r="L2394" t="s">
        <v>25</v>
      </c>
      <c r="M2394" t="s">
        <v>39</v>
      </c>
      <c r="N2394" t="s">
        <v>27</v>
      </c>
      <c r="O2394" t="s">
        <v>28</v>
      </c>
      <c r="P2394" t="s">
        <v>45</v>
      </c>
      <c r="Q2394" s="6">
        <v>2.0768888888888801</v>
      </c>
      <c r="R2394">
        <v>2.38</v>
      </c>
      <c r="S2394">
        <v>9.84</v>
      </c>
      <c r="T2394">
        <v>46.73</v>
      </c>
      <c r="U2394">
        <v>15.02</v>
      </c>
      <c r="V2394">
        <v>53.75</v>
      </c>
      <c r="W2394">
        <v>1.1499999999999999</v>
      </c>
    </row>
    <row r="2395" spans="1:23" x14ac:dyDescent="0.3">
      <c r="A2395">
        <v>2396</v>
      </c>
      <c r="B2395" t="s">
        <v>2438</v>
      </c>
      <c r="C2395" t="s">
        <v>38</v>
      </c>
      <c r="D2395">
        <v>97</v>
      </c>
      <c r="E2395">
        <v>3370</v>
      </c>
      <c r="F2395" s="3">
        <v>236</v>
      </c>
      <c r="G2395">
        <v>20</v>
      </c>
      <c r="H2395">
        <v>7</v>
      </c>
      <c r="I2395" s="5">
        <v>7.2164948453608199E-2</v>
      </c>
      <c r="J2395" s="3">
        <v>327</v>
      </c>
      <c r="K2395" s="1">
        <v>45600</v>
      </c>
      <c r="L2395" t="s">
        <v>25</v>
      </c>
      <c r="M2395" t="s">
        <v>31</v>
      </c>
      <c r="N2395" t="s">
        <v>32</v>
      </c>
      <c r="O2395" t="s">
        <v>28</v>
      </c>
      <c r="P2395" t="s">
        <v>59</v>
      </c>
      <c r="Q2395" s="6">
        <v>2.4365979381443199</v>
      </c>
      <c r="R2395">
        <v>2.88</v>
      </c>
      <c r="S2395">
        <v>11.82</v>
      </c>
      <c r="T2395">
        <v>33.76</v>
      </c>
      <c r="U2395">
        <v>38.35</v>
      </c>
      <c r="V2395">
        <v>46.71</v>
      </c>
      <c r="W2395">
        <v>1.38</v>
      </c>
    </row>
    <row r="2396" spans="1:23" x14ac:dyDescent="0.3">
      <c r="A2396">
        <v>2397</v>
      </c>
      <c r="B2396" t="s">
        <v>2439</v>
      </c>
      <c r="C2396" t="s">
        <v>35</v>
      </c>
      <c r="D2396">
        <v>149</v>
      </c>
      <c r="E2396">
        <v>3814</v>
      </c>
      <c r="F2396" s="3">
        <v>213</v>
      </c>
      <c r="G2396">
        <v>13</v>
      </c>
      <c r="H2396">
        <v>7</v>
      </c>
      <c r="I2396" s="5">
        <v>4.6979865771811999E-2</v>
      </c>
      <c r="J2396" s="3">
        <v>216</v>
      </c>
      <c r="K2396" s="1">
        <v>45602</v>
      </c>
      <c r="L2396" t="s">
        <v>25</v>
      </c>
      <c r="M2396" t="s">
        <v>31</v>
      </c>
      <c r="N2396" t="s">
        <v>49</v>
      </c>
      <c r="O2396" t="s">
        <v>28</v>
      </c>
      <c r="P2396" t="s">
        <v>33</v>
      </c>
      <c r="Q2396" s="6">
        <v>1.4302684563758301</v>
      </c>
      <c r="R2396">
        <v>3.91</v>
      </c>
      <c r="S2396">
        <v>16.39</v>
      </c>
      <c r="T2396">
        <v>30.44</v>
      </c>
      <c r="U2396">
        <v>1.36</v>
      </c>
      <c r="V2396">
        <v>30.86</v>
      </c>
      <c r="W2396">
        <v>1.01</v>
      </c>
    </row>
    <row r="2397" spans="1:23" x14ac:dyDescent="0.3">
      <c r="A2397">
        <v>2398</v>
      </c>
      <c r="B2397" t="s">
        <v>2440</v>
      </c>
      <c r="C2397" t="s">
        <v>38</v>
      </c>
      <c r="D2397">
        <v>137</v>
      </c>
      <c r="E2397">
        <v>5434</v>
      </c>
      <c r="F2397" s="3">
        <v>183</v>
      </c>
      <c r="G2397">
        <v>10</v>
      </c>
      <c r="H2397">
        <v>7</v>
      </c>
      <c r="I2397" s="5">
        <v>5.1094890510948898E-2</v>
      </c>
      <c r="J2397" s="3">
        <v>378</v>
      </c>
      <c r="K2397" s="1">
        <v>45625</v>
      </c>
      <c r="L2397" t="s">
        <v>25</v>
      </c>
      <c r="M2397" t="s">
        <v>26</v>
      </c>
      <c r="N2397" t="s">
        <v>44</v>
      </c>
      <c r="O2397" t="s">
        <v>28</v>
      </c>
      <c r="P2397" t="s">
        <v>45</v>
      </c>
      <c r="Q2397" s="6">
        <v>1.33262773722627</v>
      </c>
      <c r="R2397">
        <v>2.52</v>
      </c>
      <c r="S2397">
        <v>18.260000000000002</v>
      </c>
      <c r="T2397">
        <v>26.08</v>
      </c>
      <c r="U2397">
        <v>107.04</v>
      </c>
      <c r="V2397">
        <v>54</v>
      </c>
      <c r="W2397">
        <v>2.0699999999999998</v>
      </c>
    </row>
    <row r="2398" spans="1:23" x14ac:dyDescent="0.3">
      <c r="A2398">
        <v>2399</v>
      </c>
      <c r="B2398" t="s">
        <v>2441</v>
      </c>
      <c r="C2398" t="s">
        <v>38</v>
      </c>
      <c r="D2398">
        <v>172</v>
      </c>
      <c r="E2398">
        <v>4079</v>
      </c>
      <c r="F2398" s="3">
        <v>183</v>
      </c>
      <c r="G2398">
        <v>20</v>
      </c>
      <c r="H2398">
        <v>8</v>
      </c>
      <c r="I2398" s="5">
        <v>4.6511627906976702E-2</v>
      </c>
      <c r="J2398" s="3">
        <v>406</v>
      </c>
      <c r="K2398" s="1">
        <v>45624</v>
      </c>
      <c r="L2398" t="s">
        <v>25</v>
      </c>
      <c r="M2398" t="s">
        <v>26</v>
      </c>
      <c r="N2398" t="s">
        <v>32</v>
      </c>
      <c r="O2398" t="s">
        <v>28</v>
      </c>
      <c r="P2398" t="s">
        <v>54</v>
      </c>
      <c r="Q2398" s="6">
        <v>1.0642441860465099</v>
      </c>
      <c r="R2398">
        <v>4.22</v>
      </c>
      <c r="S2398">
        <v>9.15</v>
      </c>
      <c r="T2398">
        <v>22.88</v>
      </c>
      <c r="U2398">
        <v>121.8</v>
      </c>
      <c r="V2398">
        <v>50.75</v>
      </c>
      <c r="W2398">
        <v>2.2200000000000002</v>
      </c>
    </row>
    <row r="2399" spans="1:23" x14ac:dyDescent="0.3">
      <c r="A2399">
        <v>2400</v>
      </c>
      <c r="B2399" t="s">
        <v>2442</v>
      </c>
      <c r="C2399" t="s">
        <v>24</v>
      </c>
      <c r="D2399">
        <v>116</v>
      </c>
      <c r="E2399">
        <v>4252</v>
      </c>
      <c r="F2399" s="3">
        <v>180</v>
      </c>
      <c r="G2399">
        <v>18</v>
      </c>
      <c r="H2399">
        <v>8</v>
      </c>
      <c r="I2399" s="5">
        <v>6.8965517241379296E-2</v>
      </c>
      <c r="J2399" s="3">
        <v>320</v>
      </c>
      <c r="K2399" s="1">
        <v>45613</v>
      </c>
      <c r="L2399" t="s">
        <v>25</v>
      </c>
      <c r="M2399" t="s">
        <v>26</v>
      </c>
      <c r="N2399" t="s">
        <v>44</v>
      </c>
      <c r="O2399" t="s">
        <v>28</v>
      </c>
      <c r="P2399" t="s">
        <v>50</v>
      </c>
      <c r="Q2399" s="6">
        <v>1.5521551724137901</v>
      </c>
      <c r="R2399">
        <v>2.73</v>
      </c>
      <c r="S2399">
        <v>10</v>
      </c>
      <c r="T2399">
        <v>22.51</v>
      </c>
      <c r="U2399">
        <v>77.73</v>
      </c>
      <c r="V2399">
        <v>40</v>
      </c>
      <c r="W2399">
        <v>1.78</v>
      </c>
    </row>
    <row r="2400" spans="1:23" x14ac:dyDescent="0.3">
      <c r="A2400">
        <v>2401</v>
      </c>
      <c r="B2400" t="s">
        <v>2443</v>
      </c>
      <c r="C2400" t="s">
        <v>43</v>
      </c>
      <c r="D2400">
        <v>187</v>
      </c>
      <c r="E2400">
        <v>4793</v>
      </c>
      <c r="F2400" s="3">
        <v>186</v>
      </c>
      <c r="G2400">
        <v>30</v>
      </c>
      <c r="H2400">
        <v>9</v>
      </c>
      <c r="I2400" s="5">
        <v>4.8128342245989303E-2</v>
      </c>
      <c r="J2400" s="3">
        <v>229</v>
      </c>
      <c r="K2400" s="1">
        <v>45599</v>
      </c>
      <c r="L2400" t="s">
        <v>25</v>
      </c>
      <c r="M2400" t="s">
        <v>26</v>
      </c>
      <c r="N2400" t="s">
        <v>32</v>
      </c>
      <c r="O2400" t="s">
        <v>28</v>
      </c>
      <c r="P2400" t="s">
        <v>50</v>
      </c>
      <c r="Q2400" s="6">
        <v>0.99684491978609602</v>
      </c>
      <c r="R2400">
        <v>3.9</v>
      </c>
      <c r="S2400">
        <v>6.21</v>
      </c>
      <c r="T2400">
        <v>20.71</v>
      </c>
      <c r="U2400">
        <v>22.85</v>
      </c>
      <c r="V2400">
        <v>25.44</v>
      </c>
      <c r="W2400">
        <v>1.23</v>
      </c>
    </row>
    <row r="2401" spans="1:23" x14ac:dyDescent="0.3">
      <c r="A2401">
        <v>2402</v>
      </c>
      <c r="B2401" t="s">
        <v>2444</v>
      </c>
      <c r="C2401" t="s">
        <v>24</v>
      </c>
      <c r="D2401">
        <v>126</v>
      </c>
      <c r="E2401">
        <v>4140</v>
      </c>
      <c r="F2401" s="3">
        <v>193</v>
      </c>
      <c r="G2401">
        <v>19</v>
      </c>
      <c r="H2401">
        <v>6</v>
      </c>
      <c r="I2401" s="5">
        <v>4.7619047619047603E-2</v>
      </c>
      <c r="J2401" s="3">
        <v>273</v>
      </c>
      <c r="K2401" s="1">
        <v>45615</v>
      </c>
      <c r="L2401" t="s">
        <v>25</v>
      </c>
      <c r="M2401" t="s">
        <v>39</v>
      </c>
      <c r="N2401" t="s">
        <v>32</v>
      </c>
      <c r="O2401" t="s">
        <v>28</v>
      </c>
      <c r="P2401" t="s">
        <v>41</v>
      </c>
      <c r="Q2401" s="6">
        <v>1.53563492063492</v>
      </c>
      <c r="R2401">
        <v>3.04</v>
      </c>
      <c r="S2401">
        <v>10.18</v>
      </c>
      <c r="T2401">
        <v>32.25</v>
      </c>
      <c r="U2401">
        <v>41.09</v>
      </c>
      <c r="V2401">
        <v>45.5</v>
      </c>
      <c r="W2401">
        <v>1.41</v>
      </c>
    </row>
    <row r="2402" spans="1:23" x14ac:dyDescent="0.3">
      <c r="A2402">
        <v>2403</v>
      </c>
      <c r="B2402" t="s">
        <v>2445</v>
      </c>
      <c r="C2402" t="s">
        <v>24</v>
      </c>
      <c r="D2402">
        <v>123</v>
      </c>
      <c r="E2402">
        <v>5844</v>
      </c>
      <c r="F2402" s="3">
        <v>202</v>
      </c>
      <c r="G2402">
        <v>12</v>
      </c>
      <c r="H2402">
        <v>6</v>
      </c>
      <c r="I2402" s="5">
        <v>4.8780487804878002E-2</v>
      </c>
      <c r="J2402" s="3">
        <v>334</v>
      </c>
      <c r="K2402" s="1">
        <v>45606</v>
      </c>
      <c r="L2402" t="s">
        <v>25</v>
      </c>
      <c r="M2402" t="s">
        <v>26</v>
      </c>
      <c r="N2402" t="s">
        <v>36</v>
      </c>
      <c r="O2402" t="s">
        <v>28</v>
      </c>
      <c r="P2402" t="s">
        <v>50</v>
      </c>
      <c r="Q2402" s="6">
        <v>1.63983739837398</v>
      </c>
      <c r="R2402">
        <v>2.1</v>
      </c>
      <c r="S2402">
        <v>16.809999999999999</v>
      </c>
      <c r="T2402">
        <v>33.619999999999997</v>
      </c>
      <c r="U2402">
        <v>65.59</v>
      </c>
      <c r="V2402">
        <v>55.67</v>
      </c>
      <c r="W2402">
        <v>1.66</v>
      </c>
    </row>
    <row r="2403" spans="1:23" x14ac:dyDescent="0.3">
      <c r="A2403">
        <v>2404</v>
      </c>
      <c r="B2403" t="s">
        <v>2446</v>
      </c>
      <c r="C2403" t="s">
        <v>35</v>
      </c>
      <c r="D2403">
        <v>132</v>
      </c>
      <c r="E2403">
        <v>5845</v>
      </c>
      <c r="F2403" s="3">
        <v>250</v>
      </c>
      <c r="G2403">
        <v>19</v>
      </c>
      <c r="H2403">
        <v>6</v>
      </c>
      <c r="I2403" s="5">
        <v>4.54545454545454E-2</v>
      </c>
      <c r="J2403" s="3">
        <v>218</v>
      </c>
      <c r="K2403" s="1">
        <v>45599</v>
      </c>
      <c r="L2403" t="s">
        <v>25</v>
      </c>
      <c r="M2403" t="s">
        <v>31</v>
      </c>
      <c r="N2403" t="s">
        <v>49</v>
      </c>
      <c r="O2403" t="s">
        <v>28</v>
      </c>
      <c r="P2403" t="s">
        <v>50</v>
      </c>
      <c r="Q2403" s="6">
        <v>1.89196969696969</v>
      </c>
      <c r="R2403">
        <v>2.2599999999999998</v>
      </c>
      <c r="S2403">
        <v>13.14</v>
      </c>
      <c r="T2403">
        <v>41.62</v>
      </c>
      <c r="U2403">
        <v>-12.71</v>
      </c>
      <c r="V2403">
        <v>36.33</v>
      </c>
      <c r="W2403">
        <v>0.87</v>
      </c>
    </row>
    <row r="2404" spans="1:23" x14ac:dyDescent="0.3">
      <c r="A2404">
        <v>2405</v>
      </c>
      <c r="B2404" t="s">
        <v>2447</v>
      </c>
      <c r="C2404" t="s">
        <v>35</v>
      </c>
      <c r="D2404">
        <v>118</v>
      </c>
      <c r="E2404">
        <v>3371</v>
      </c>
      <c r="F2404" s="3">
        <v>192</v>
      </c>
      <c r="G2404">
        <v>10</v>
      </c>
      <c r="H2404">
        <v>6</v>
      </c>
      <c r="I2404" s="5">
        <v>5.0847457627118599E-2</v>
      </c>
      <c r="J2404" s="3">
        <v>298</v>
      </c>
      <c r="K2404" s="1">
        <v>45609</v>
      </c>
      <c r="L2404" t="s">
        <v>25</v>
      </c>
      <c r="M2404" t="s">
        <v>31</v>
      </c>
      <c r="N2404" t="s">
        <v>27</v>
      </c>
      <c r="O2404" t="s">
        <v>28</v>
      </c>
      <c r="P2404" t="s">
        <v>33</v>
      </c>
      <c r="Q2404" s="6">
        <v>1.62694915254237</v>
      </c>
      <c r="R2404">
        <v>3.5</v>
      </c>
      <c r="S2404">
        <v>19.2</v>
      </c>
      <c r="T2404">
        <v>32</v>
      </c>
      <c r="U2404">
        <v>55.22</v>
      </c>
      <c r="V2404">
        <v>49.67</v>
      </c>
      <c r="W2404">
        <v>1.55</v>
      </c>
    </row>
    <row r="2405" spans="1:23" x14ac:dyDescent="0.3">
      <c r="A2405">
        <v>2406</v>
      </c>
      <c r="B2405" t="s">
        <v>2448</v>
      </c>
      <c r="C2405" t="s">
        <v>43</v>
      </c>
      <c r="D2405">
        <v>92</v>
      </c>
      <c r="E2405">
        <v>4853</v>
      </c>
      <c r="F2405" s="3">
        <v>189</v>
      </c>
      <c r="G2405">
        <v>23</v>
      </c>
      <c r="H2405">
        <v>9</v>
      </c>
      <c r="I2405" s="5">
        <v>9.7826086956521702E-2</v>
      </c>
      <c r="J2405" s="3">
        <v>243</v>
      </c>
      <c r="K2405" s="1">
        <v>45614</v>
      </c>
      <c r="L2405" t="s">
        <v>25</v>
      </c>
      <c r="M2405" t="s">
        <v>26</v>
      </c>
      <c r="N2405" t="s">
        <v>44</v>
      </c>
      <c r="O2405" t="s">
        <v>28</v>
      </c>
      <c r="P2405" t="s">
        <v>59</v>
      </c>
      <c r="Q2405" s="6">
        <v>2.0564130434782601</v>
      </c>
      <c r="R2405">
        <v>1.9</v>
      </c>
      <c r="S2405">
        <v>8.23</v>
      </c>
      <c r="T2405">
        <v>21.02</v>
      </c>
      <c r="U2405">
        <v>28.44</v>
      </c>
      <c r="V2405">
        <v>27</v>
      </c>
      <c r="W2405">
        <v>1.28</v>
      </c>
    </row>
    <row r="2406" spans="1:23" x14ac:dyDescent="0.3">
      <c r="A2406">
        <v>2407</v>
      </c>
      <c r="B2406" t="s">
        <v>2449</v>
      </c>
      <c r="C2406" t="s">
        <v>35</v>
      </c>
      <c r="D2406">
        <v>100</v>
      </c>
      <c r="E2406">
        <v>5781</v>
      </c>
      <c r="F2406" s="3">
        <v>203</v>
      </c>
      <c r="G2406">
        <v>30</v>
      </c>
      <c r="H2406">
        <v>7</v>
      </c>
      <c r="I2406" s="5">
        <v>7.0000000000000007E-2</v>
      </c>
      <c r="J2406" s="3">
        <v>231</v>
      </c>
      <c r="K2406" s="1">
        <v>45614</v>
      </c>
      <c r="L2406" t="s">
        <v>25</v>
      </c>
      <c r="M2406" t="s">
        <v>26</v>
      </c>
      <c r="N2406" t="s">
        <v>40</v>
      </c>
      <c r="O2406" t="s">
        <v>28</v>
      </c>
      <c r="P2406" t="s">
        <v>59</v>
      </c>
      <c r="Q2406" s="6">
        <v>2.0295999999999998</v>
      </c>
      <c r="R2406">
        <v>1.73</v>
      </c>
      <c r="S2406">
        <v>6.77</v>
      </c>
      <c r="T2406">
        <v>28.99</v>
      </c>
      <c r="U2406">
        <v>13.82</v>
      </c>
      <c r="V2406">
        <v>33</v>
      </c>
      <c r="W2406">
        <v>1.1399999999999999</v>
      </c>
    </row>
    <row r="2407" spans="1:23" x14ac:dyDescent="0.3">
      <c r="A2407">
        <v>2408</v>
      </c>
      <c r="B2407" t="s">
        <v>2450</v>
      </c>
      <c r="C2407" t="s">
        <v>38</v>
      </c>
      <c r="D2407">
        <v>100</v>
      </c>
      <c r="E2407">
        <v>5435</v>
      </c>
      <c r="F2407" s="3">
        <v>206</v>
      </c>
      <c r="G2407">
        <v>13</v>
      </c>
      <c r="H2407">
        <v>6</v>
      </c>
      <c r="I2407" s="5">
        <v>0.06</v>
      </c>
      <c r="J2407" s="3">
        <v>328</v>
      </c>
      <c r="K2407" s="1">
        <v>45623</v>
      </c>
      <c r="L2407" t="s">
        <v>25</v>
      </c>
      <c r="M2407" t="s">
        <v>39</v>
      </c>
      <c r="N2407" t="s">
        <v>49</v>
      </c>
      <c r="O2407" t="s">
        <v>28</v>
      </c>
      <c r="P2407" t="s">
        <v>33</v>
      </c>
      <c r="Q2407" s="6">
        <v>2.0598999999999998</v>
      </c>
      <c r="R2407">
        <v>1.84</v>
      </c>
      <c r="S2407">
        <v>15.85</v>
      </c>
      <c r="T2407">
        <v>34.33</v>
      </c>
      <c r="U2407">
        <v>59.23</v>
      </c>
      <c r="V2407">
        <v>54.67</v>
      </c>
      <c r="W2407">
        <v>1.59</v>
      </c>
    </row>
    <row r="2408" spans="1:23" x14ac:dyDescent="0.3">
      <c r="A2408">
        <v>2409</v>
      </c>
      <c r="B2408" t="s">
        <v>2451</v>
      </c>
      <c r="C2408" t="s">
        <v>38</v>
      </c>
      <c r="D2408">
        <v>89</v>
      </c>
      <c r="E2408">
        <v>3915</v>
      </c>
      <c r="F2408" s="3">
        <v>208</v>
      </c>
      <c r="G2408">
        <v>10</v>
      </c>
      <c r="H2408">
        <v>7</v>
      </c>
      <c r="I2408" s="5">
        <v>7.8651685393258397E-2</v>
      </c>
      <c r="J2408" s="3">
        <v>297</v>
      </c>
      <c r="K2408" s="1">
        <v>45598</v>
      </c>
      <c r="L2408" t="s">
        <v>25</v>
      </c>
      <c r="M2408" t="s">
        <v>26</v>
      </c>
      <c r="N2408" t="s">
        <v>32</v>
      </c>
      <c r="O2408" t="s">
        <v>28</v>
      </c>
      <c r="P2408" t="s">
        <v>29</v>
      </c>
      <c r="Q2408" s="6">
        <v>2.3329213483146001</v>
      </c>
      <c r="R2408">
        <v>2.27</v>
      </c>
      <c r="S2408">
        <v>20.76</v>
      </c>
      <c r="T2408">
        <v>29.66</v>
      </c>
      <c r="U2408">
        <v>43.04</v>
      </c>
      <c r="V2408">
        <v>42.43</v>
      </c>
      <c r="W2408">
        <v>1.43</v>
      </c>
    </row>
    <row r="2409" spans="1:23" x14ac:dyDescent="0.3">
      <c r="A2409">
        <v>2410</v>
      </c>
      <c r="B2409" t="s">
        <v>2452</v>
      </c>
      <c r="C2409" t="s">
        <v>24</v>
      </c>
      <c r="D2409">
        <v>147</v>
      </c>
      <c r="E2409">
        <v>4231</v>
      </c>
      <c r="F2409" s="3">
        <v>187</v>
      </c>
      <c r="G2409">
        <v>20</v>
      </c>
      <c r="H2409">
        <v>5</v>
      </c>
      <c r="I2409" s="5">
        <v>3.4013605442176797E-2</v>
      </c>
      <c r="J2409" s="3">
        <v>259</v>
      </c>
      <c r="K2409" s="1">
        <v>45611</v>
      </c>
      <c r="L2409" t="s">
        <v>25</v>
      </c>
      <c r="M2409" t="s">
        <v>26</v>
      </c>
      <c r="N2409" t="s">
        <v>27</v>
      </c>
      <c r="O2409" t="s">
        <v>28</v>
      </c>
      <c r="P2409" t="s">
        <v>45</v>
      </c>
      <c r="Q2409" s="6">
        <v>1.27027210884353</v>
      </c>
      <c r="R2409">
        <v>3.47</v>
      </c>
      <c r="S2409">
        <v>9.34</v>
      </c>
      <c r="T2409">
        <v>37.35</v>
      </c>
      <c r="U2409">
        <v>38.700000000000003</v>
      </c>
      <c r="V2409">
        <v>51.8</v>
      </c>
      <c r="W2409">
        <v>1.39</v>
      </c>
    </row>
    <row r="2410" spans="1:23" x14ac:dyDescent="0.3">
      <c r="A2410">
        <v>2411</v>
      </c>
      <c r="B2410" t="s">
        <v>2453</v>
      </c>
      <c r="C2410" t="s">
        <v>43</v>
      </c>
      <c r="D2410">
        <v>153</v>
      </c>
      <c r="E2410">
        <v>3225</v>
      </c>
      <c r="F2410" s="3">
        <v>240</v>
      </c>
      <c r="G2410">
        <v>20</v>
      </c>
      <c r="H2410">
        <v>8</v>
      </c>
      <c r="I2410" s="5">
        <v>5.22875816993464E-2</v>
      </c>
      <c r="J2410" s="3">
        <v>268</v>
      </c>
      <c r="K2410" s="1">
        <v>45624</v>
      </c>
      <c r="L2410" t="s">
        <v>25</v>
      </c>
      <c r="M2410" t="s">
        <v>39</v>
      </c>
      <c r="N2410" t="s">
        <v>36</v>
      </c>
      <c r="O2410" t="s">
        <v>28</v>
      </c>
      <c r="P2410" t="s">
        <v>54</v>
      </c>
      <c r="Q2410" s="6">
        <v>1.57084967320261</v>
      </c>
      <c r="R2410">
        <v>4.74</v>
      </c>
      <c r="S2410">
        <v>12.02</v>
      </c>
      <c r="T2410">
        <v>30.04</v>
      </c>
      <c r="U2410">
        <v>11.51</v>
      </c>
      <c r="V2410">
        <v>33.5</v>
      </c>
      <c r="W2410">
        <v>1.1200000000000001</v>
      </c>
    </row>
    <row r="2411" spans="1:23" x14ac:dyDescent="0.3">
      <c r="A2411">
        <v>2412</v>
      </c>
      <c r="B2411" t="s">
        <v>2454</v>
      </c>
      <c r="C2411" t="s">
        <v>38</v>
      </c>
      <c r="D2411">
        <v>164</v>
      </c>
      <c r="E2411">
        <v>3996</v>
      </c>
      <c r="F2411" s="3">
        <v>203</v>
      </c>
      <c r="G2411">
        <v>19</v>
      </c>
      <c r="H2411">
        <v>10</v>
      </c>
      <c r="I2411" s="5">
        <v>6.0975609756097497E-2</v>
      </c>
      <c r="J2411" s="3">
        <v>384</v>
      </c>
      <c r="K2411" s="1">
        <v>45625</v>
      </c>
      <c r="L2411" t="s">
        <v>25</v>
      </c>
      <c r="M2411" t="s">
        <v>26</v>
      </c>
      <c r="N2411" t="s">
        <v>36</v>
      </c>
      <c r="O2411" t="s">
        <v>28</v>
      </c>
      <c r="P2411" t="s">
        <v>45</v>
      </c>
      <c r="Q2411" s="6">
        <v>1.23512195121951</v>
      </c>
      <c r="R2411">
        <v>4.0999999999999996</v>
      </c>
      <c r="S2411">
        <v>10.66</v>
      </c>
      <c r="T2411">
        <v>20.260000000000002</v>
      </c>
      <c r="U2411">
        <v>89.57</v>
      </c>
      <c r="V2411">
        <v>38.4</v>
      </c>
      <c r="W2411">
        <v>1.9</v>
      </c>
    </row>
    <row r="2412" spans="1:23" x14ac:dyDescent="0.3">
      <c r="A2412">
        <v>2413</v>
      </c>
      <c r="B2412" t="s">
        <v>2455</v>
      </c>
      <c r="C2412" t="s">
        <v>43</v>
      </c>
      <c r="D2412">
        <v>124</v>
      </c>
      <c r="E2412">
        <v>5949</v>
      </c>
      <c r="F2412" s="3">
        <v>218</v>
      </c>
      <c r="G2412">
        <v>11</v>
      </c>
      <c r="H2412">
        <v>10</v>
      </c>
      <c r="I2412" s="5">
        <v>8.0645161290322495E-2</v>
      </c>
      <c r="J2412" s="3">
        <v>208</v>
      </c>
      <c r="K2412" s="1">
        <v>45602</v>
      </c>
      <c r="L2412" t="s">
        <v>25</v>
      </c>
      <c r="M2412" t="s">
        <v>31</v>
      </c>
      <c r="N2412" t="s">
        <v>44</v>
      </c>
      <c r="O2412" t="s">
        <v>28</v>
      </c>
      <c r="P2412" t="s">
        <v>33</v>
      </c>
      <c r="Q2412" s="6">
        <v>1.7590322580645099</v>
      </c>
      <c r="R2412">
        <v>2.08</v>
      </c>
      <c r="S2412">
        <v>19.829999999999998</v>
      </c>
      <c r="T2412">
        <v>21.81</v>
      </c>
      <c r="U2412">
        <v>-4.6399999999999997</v>
      </c>
      <c r="V2412">
        <v>20.8</v>
      </c>
      <c r="W2412">
        <v>0.95</v>
      </c>
    </row>
    <row r="2413" spans="1:23" x14ac:dyDescent="0.3">
      <c r="A2413">
        <v>2414</v>
      </c>
      <c r="B2413" t="s">
        <v>2456</v>
      </c>
      <c r="C2413" t="s">
        <v>35</v>
      </c>
      <c r="D2413">
        <v>189</v>
      </c>
      <c r="E2413">
        <v>5740</v>
      </c>
      <c r="F2413" s="3">
        <v>232</v>
      </c>
      <c r="G2413">
        <v>28</v>
      </c>
      <c r="H2413">
        <v>5</v>
      </c>
      <c r="I2413" s="5">
        <v>2.6455026455026402E-2</v>
      </c>
      <c r="J2413" s="3">
        <v>267</v>
      </c>
      <c r="K2413" s="1">
        <v>45599</v>
      </c>
      <c r="L2413" t="s">
        <v>25</v>
      </c>
      <c r="M2413" t="s">
        <v>39</v>
      </c>
      <c r="N2413" t="s">
        <v>44</v>
      </c>
      <c r="O2413" t="s">
        <v>28</v>
      </c>
      <c r="P2413" t="s">
        <v>50</v>
      </c>
      <c r="Q2413" s="6">
        <v>1.2260846560846499</v>
      </c>
      <c r="R2413">
        <v>3.29</v>
      </c>
      <c r="S2413">
        <v>8.2799999999999994</v>
      </c>
      <c r="T2413">
        <v>46.35</v>
      </c>
      <c r="U2413">
        <v>15.22</v>
      </c>
      <c r="V2413">
        <v>53.4</v>
      </c>
      <c r="W2413">
        <v>1.1499999999999999</v>
      </c>
    </row>
    <row r="2414" spans="1:23" x14ac:dyDescent="0.3">
      <c r="A2414">
        <v>2415</v>
      </c>
      <c r="B2414" t="s">
        <v>2457</v>
      </c>
      <c r="C2414" t="s">
        <v>43</v>
      </c>
      <c r="D2414">
        <v>142</v>
      </c>
      <c r="E2414">
        <v>5354</v>
      </c>
      <c r="F2414" s="3">
        <v>247</v>
      </c>
      <c r="G2414">
        <v>17</v>
      </c>
      <c r="H2414">
        <v>4</v>
      </c>
      <c r="I2414" s="5">
        <v>2.8169014084507001E-2</v>
      </c>
      <c r="J2414" s="3">
        <v>373</v>
      </c>
      <c r="K2414" s="1">
        <v>45597</v>
      </c>
      <c r="L2414" t="s">
        <v>25</v>
      </c>
      <c r="M2414" t="s">
        <v>26</v>
      </c>
      <c r="N2414" t="s">
        <v>44</v>
      </c>
      <c r="O2414" t="s">
        <v>28</v>
      </c>
      <c r="P2414" t="s">
        <v>45</v>
      </c>
      <c r="Q2414" s="6">
        <v>1.74169014084507</v>
      </c>
      <c r="R2414">
        <v>2.65</v>
      </c>
      <c r="S2414">
        <v>14.55</v>
      </c>
      <c r="T2414">
        <v>61.83</v>
      </c>
      <c r="U2414">
        <v>50.82</v>
      </c>
      <c r="V2414">
        <v>93.25</v>
      </c>
      <c r="W2414">
        <v>1.51</v>
      </c>
    </row>
    <row r="2415" spans="1:23" x14ac:dyDescent="0.3">
      <c r="A2415">
        <v>2416</v>
      </c>
      <c r="B2415" t="s">
        <v>2458</v>
      </c>
      <c r="C2415" t="s">
        <v>35</v>
      </c>
      <c r="D2415">
        <v>127</v>
      </c>
      <c r="E2415">
        <v>4587</v>
      </c>
      <c r="F2415" s="3">
        <v>200</v>
      </c>
      <c r="G2415">
        <v>17</v>
      </c>
      <c r="H2415">
        <v>5</v>
      </c>
      <c r="I2415" s="5">
        <v>3.9370078740157403E-2</v>
      </c>
      <c r="J2415" s="3">
        <v>269</v>
      </c>
      <c r="K2415" s="1">
        <v>45623</v>
      </c>
      <c r="L2415" t="s">
        <v>25</v>
      </c>
      <c r="M2415" t="s">
        <v>39</v>
      </c>
      <c r="N2415" t="s">
        <v>32</v>
      </c>
      <c r="O2415" t="s">
        <v>28</v>
      </c>
      <c r="P2415" t="s">
        <v>33</v>
      </c>
      <c r="Q2415" s="6">
        <v>1.5718897637795199</v>
      </c>
      <c r="R2415">
        <v>2.77</v>
      </c>
      <c r="S2415">
        <v>11.74</v>
      </c>
      <c r="T2415">
        <v>39.93</v>
      </c>
      <c r="U2415">
        <v>34.75</v>
      </c>
      <c r="V2415">
        <v>53.8</v>
      </c>
      <c r="W2415">
        <v>1.35</v>
      </c>
    </row>
    <row r="2416" spans="1:23" x14ac:dyDescent="0.3">
      <c r="A2416">
        <v>2417</v>
      </c>
      <c r="B2416" t="s">
        <v>2459</v>
      </c>
      <c r="C2416" t="s">
        <v>35</v>
      </c>
      <c r="D2416">
        <v>174</v>
      </c>
      <c r="E2416">
        <v>3957</v>
      </c>
      <c r="F2416" s="3">
        <v>182</v>
      </c>
      <c r="G2416">
        <v>12</v>
      </c>
      <c r="H2416">
        <v>3</v>
      </c>
      <c r="I2416" s="5">
        <v>1.72413793103448E-2</v>
      </c>
      <c r="J2416" s="3">
        <v>283</v>
      </c>
      <c r="K2416" s="1">
        <v>45598</v>
      </c>
      <c r="L2416" t="s">
        <v>25</v>
      </c>
      <c r="M2416" t="s">
        <v>26</v>
      </c>
      <c r="N2416" t="s">
        <v>40</v>
      </c>
      <c r="O2416" t="s">
        <v>28</v>
      </c>
      <c r="P2416" t="s">
        <v>29</v>
      </c>
      <c r="Q2416" s="6">
        <v>1.04344827586206</v>
      </c>
      <c r="R2416">
        <v>4.4000000000000004</v>
      </c>
      <c r="S2416">
        <v>15.13</v>
      </c>
      <c r="T2416">
        <v>60.52</v>
      </c>
      <c r="U2416">
        <v>55.87</v>
      </c>
      <c r="V2416">
        <v>94.33</v>
      </c>
      <c r="W2416">
        <v>1.56</v>
      </c>
    </row>
    <row r="2417" spans="1:23" x14ac:dyDescent="0.3">
      <c r="A2417">
        <v>2418</v>
      </c>
      <c r="B2417" t="s">
        <v>2460</v>
      </c>
      <c r="C2417" t="s">
        <v>35</v>
      </c>
      <c r="D2417">
        <v>183</v>
      </c>
      <c r="E2417">
        <v>5971</v>
      </c>
      <c r="F2417" s="3">
        <v>207</v>
      </c>
      <c r="G2417">
        <v>10</v>
      </c>
      <c r="H2417">
        <v>7</v>
      </c>
      <c r="I2417" s="5">
        <v>3.8251366120218497E-2</v>
      </c>
      <c r="J2417" s="3">
        <v>270</v>
      </c>
      <c r="K2417" s="1">
        <v>45621</v>
      </c>
      <c r="L2417" t="s">
        <v>25</v>
      </c>
      <c r="M2417" t="s">
        <v>39</v>
      </c>
      <c r="N2417" t="s">
        <v>44</v>
      </c>
      <c r="O2417" t="s">
        <v>28</v>
      </c>
      <c r="P2417" t="s">
        <v>59</v>
      </c>
      <c r="Q2417" s="6">
        <v>1.1334972677595601</v>
      </c>
      <c r="R2417">
        <v>3.06</v>
      </c>
      <c r="S2417">
        <v>20.74</v>
      </c>
      <c r="T2417">
        <v>29.63</v>
      </c>
      <c r="U2417">
        <v>30.16</v>
      </c>
      <c r="V2417">
        <v>38.57</v>
      </c>
      <c r="W2417">
        <v>1.3</v>
      </c>
    </row>
    <row r="2418" spans="1:23" x14ac:dyDescent="0.3">
      <c r="A2418">
        <v>2419</v>
      </c>
      <c r="B2418" t="s">
        <v>2461</v>
      </c>
      <c r="C2418" t="s">
        <v>35</v>
      </c>
      <c r="D2418">
        <v>190</v>
      </c>
      <c r="E2418">
        <v>3455</v>
      </c>
      <c r="F2418" s="3">
        <v>213</v>
      </c>
      <c r="G2418">
        <v>18</v>
      </c>
      <c r="H2418">
        <v>7</v>
      </c>
      <c r="I2418" s="5">
        <v>3.6842105263157801E-2</v>
      </c>
      <c r="J2418" s="3">
        <v>353</v>
      </c>
      <c r="K2418" s="1">
        <v>45609</v>
      </c>
      <c r="L2418" t="s">
        <v>25</v>
      </c>
      <c r="M2418" t="s">
        <v>26</v>
      </c>
      <c r="N2418" t="s">
        <v>40</v>
      </c>
      <c r="O2418" t="s">
        <v>28</v>
      </c>
      <c r="P2418" t="s">
        <v>33</v>
      </c>
      <c r="Q2418" s="6">
        <v>1.1216315789473601</v>
      </c>
      <c r="R2418">
        <v>5.5</v>
      </c>
      <c r="S2418">
        <v>11.84</v>
      </c>
      <c r="T2418">
        <v>30.44</v>
      </c>
      <c r="U2418">
        <v>65.64</v>
      </c>
      <c r="V2418">
        <v>50.43</v>
      </c>
      <c r="W2418">
        <v>1.66</v>
      </c>
    </row>
    <row r="2419" spans="1:23" x14ac:dyDescent="0.3">
      <c r="A2419">
        <v>2420</v>
      </c>
      <c r="B2419" t="s">
        <v>2462</v>
      </c>
      <c r="C2419" t="s">
        <v>35</v>
      </c>
      <c r="D2419">
        <v>116</v>
      </c>
      <c r="E2419">
        <v>5748</v>
      </c>
      <c r="F2419" s="3">
        <v>189</v>
      </c>
      <c r="G2419">
        <v>11</v>
      </c>
      <c r="H2419">
        <v>7</v>
      </c>
      <c r="I2419" s="5">
        <v>6.0344827586206899E-2</v>
      </c>
      <c r="J2419" s="3">
        <v>279</v>
      </c>
      <c r="K2419" s="1">
        <v>45610</v>
      </c>
      <c r="L2419" t="s">
        <v>25</v>
      </c>
      <c r="M2419" t="s">
        <v>26</v>
      </c>
      <c r="N2419" t="s">
        <v>36</v>
      </c>
      <c r="O2419" t="s">
        <v>28</v>
      </c>
      <c r="P2419" t="s">
        <v>54</v>
      </c>
      <c r="Q2419" s="6">
        <v>1.6285344827586199</v>
      </c>
      <c r="R2419">
        <v>2.02</v>
      </c>
      <c r="S2419">
        <v>17.170000000000002</v>
      </c>
      <c r="T2419">
        <v>26.99</v>
      </c>
      <c r="U2419">
        <v>47.69</v>
      </c>
      <c r="V2419">
        <v>39.86</v>
      </c>
      <c r="W2419">
        <v>1.48</v>
      </c>
    </row>
    <row r="2420" spans="1:23" x14ac:dyDescent="0.3">
      <c r="A2420">
        <v>2421</v>
      </c>
      <c r="B2420" t="s">
        <v>2463</v>
      </c>
      <c r="C2420" t="s">
        <v>43</v>
      </c>
      <c r="D2420">
        <v>199</v>
      </c>
      <c r="E2420">
        <v>4387</v>
      </c>
      <c r="F2420" s="3">
        <v>207</v>
      </c>
      <c r="G2420">
        <v>20</v>
      </c>
      <c r="H2420">
        <v>9</v>
      </c>
      <c r="I2420" s="5">
        <v>4.5226130653266298E-2</v>
      </c>
      <c r="J2420" s="3">
        <v>215</v>
      </c>
      <c r="K2420" s="1">
        <v>45620</v>
      </c>
      <c r="L2420" t="s">
        <v>25</v>
      </c>
      <c r="M2420" t="s">
        <v>31</v>
      </c>
      <c r="N2420" t="s">
        <v>40</v>
      </c>
      <c r="O2420" t="s">
        <v>28</v>
      </c>
      <c r="P2420" t="s">
        <v>50</v>
      </c>
      <c r="Q2420" s="6">
        <v>1.0397989949748701</v>
      </c>
      <c r="R2420">
        <v>4.54</v>
      </c>
      <c r="S2420">
        <v>10.35</v>
      </c>
      <c r="T2420">
        <v>22.99</v>
      </c>
      <c r="U2420">
        <v>3.9</v>
      </c>
      <c r="V2420">
        <v>23.89</v>
      </c>
      <c r="W2420">
        <v>1.04</v>
      </c>
    </row>
    <row r="2421" spans="1:23" x14ac:dyDescent="0.3">
      <c r="A2421">
        <v>2422</v>
      </c>
      <c r="B2421" t="s">
        <v>2464</v>
      </c>
      <c r="C2421" t="s">
        <v>35</v>
      </c>
      <c r="D2421">
        <v>181</v>
      </c>
      <c r="E2421">
        <v>4103</v>
      </c>
      <c r="F2421" s="3">
        <v>276</v>
      </c>
      <c r="G2421">
        <v>24</v>
      </c>
      <c r="H2421">
        <v>8</v>
      </c>
      <c r="I2421" s="5">
        <v>4.4198895027624301E-2</v>
      </c>
      <c r="J2421" s="3">
        <v>225</v>
      </c>
      <c r="K2421" s="1">
        <v>45621</v>
      </c>
      <c r="L2421" t="s">
        <v>25</v>
      </c>
      <c r="M2421" t="s">
        <v>31</v>
      </c>
      <c r="N2421" t="s">
        <v>36</v>
      </c>
      <c r="O2421" t="s">
        <v>28</v>
      </c>
      <c r="P2421" t="s">
        <v>59</v>
      </c>
      <c r="Q2421" s="6">
        <v>1.5243795620437901</v>
      </c>
      <c r="R2421">
        <v>4.41</v>
      </c>
      <c r="S2421">
        <v>11.5</v>
      </c>
      <c r="T2421">
        <v>34.49</v>
      </c>
      <c r="U2421">
        <v>-18.45</v>
      </c>
      <c r="V2421">
        <v>28.12</v>
      </c>
      <c r="W2421">
        <v>0.82</v>
      </c>
    </row>
    <row r="2422" spans="1:23" x14ac:dyDescent="0.3">
      <c r="A2422">
        <v>2423</v>
      </c>
      <c r="B2422" t="s">
        <v>2465</v>
      </c>
      <c r="C2422" t="s">
        <v>43</v>
      </c>
      <c r="D2422">
        <v>197</v>
      </c>
      <c r="E2422">
        <v>3253</v>
      </c>
      <c r="F2422" s="3">
        <v>243</v>
      </c>
      <c r="G2422">
        <v>17</v>
      </c>
      <c r="H2422">
        <v>3</v>
      </c>
      <c r="I2422" s="5">
        <v>1.5228426395939E-2</v>
      </c>
      <c r="J2422" s="3">
        <v>328</v>
      </c>
      <c r="K2422" s="1">
        <v>45618</v>
      </c>
      <c r="L2422" t="s">
        <v>25</v>
      </c>
      <c r="M2422" t="s">
        <v>39</v>
      </c>
      <c r="N2422" t="s">
        <v>32</v>
      </c>
      <c r="O2422" t="s">
        <v>28</v>
      </c>
      <c r="P2422" t="s">
        <v>45</v>
      </c>
      <c r="Q2422" s="6">
        <v>1.2354314720812101</v>
      </c>
      <c r="R2422">
        <v>6.06</v>
      </c>
      <c r="S2422">
        <v>14.32</v>
      </c>
      <c r="T2422">
        <v>81.13</v>
      </c>
      <c r="U2422">
        <v>34.770000000000003</v>
      </c>
      <c r="V2422">
        <v>109.33</v>
      </c>
      <c r="W2422">
        <v>1.35</v>
      </c>
    </row>
    <row r="2423" spans="1:23" x14ac:dyDescent="0.3">
      <c r="A2423">
        <v>2424</v>
      </c>
      <c r="B2423" t="s">
        <v>2466</v>
      </c>
      <c r="C2423" t="s">
        <v>24</v>
      </c>
      <c r="D2423">
        <v>136</v>
      </c>
      <c r="E2423">
        <v>4492</v>
      </c>
      <c r="F2423" s="3">
        <v>205</v>
      </c>
      <c r="G2423">
        <v>10</v>
      </c>
      <c r="H2423">
        <v>4</v>
      </c>
      <c r="I2423" s="5">
        <v>2.94117647058823E-2</v>
      </c>
      <c r="J2423" s="3">
        <v>269</v>
      </c>
      <c r="K2423" s="1">
        <v>45618</v>
      </c>
      <c r="L2423" t="s">
        <v>25</v>
      </c>
      <c r="M2423" t="s">
        <v>39</v>
      </c>
      <c r="N2423" t="s">
        <v>44</v>
      </c>
      <c r="O2423" t="s">
        <v>28</v>
      </c>
      <c r="P2423" t="s">
        <v>45</v>
      </c>
      <c r="Q2423" s="6">
        <v>1.5073529411764699</v>
      </c>
      <c r="R2423">
        <v>3.03</v>
      </c>
      <c r="S2423">
        <v>20.5</v>
      </c>
      <c r="T2423">
        <v>51.25</v>
      </c>
      <c r="U2423">
        <v>31.22</v>
      </c>
      <c r="V2423">
        <v>67.25</v>
      </c>
      <c r="W2423">
        <v>1.31</v>
      </c>
    </row>
    <row r="2424" spans="1:23" x14ac:dyDescent="0.3">
      <c r="A2424">
        <v>2425</v>
      </c>
      <c r="B2424" t="s">
        <v>2467</v>
      </c>
      <c r="C2424" t="s">
        <v>43</v>
      </c>
      <c r="D2424">
        <v>128</v>
      </c>
      <c r="E2424">
        <v>3153</v>
      </c>
      <c r="F2424" s="3">
        <v>236</v>
      </c>
      <c r="G2424">
        <v>16</v>
      </c>
      <c r="H2424">
        <v>6</v>
      </c>
      <c r="I2424" s="5">
        <v>4.6875E-2</v>
      </c>
      <c r="J2424" s="3">
        <v>214</v>
      </c>
      <c r="K2424" s="1">
        <v>45605</v>
      </c>
      <c r="L2424" t="s">
        <v>25</v>
      </c>
      <c r="M2424" t="s">
        <v>26</v>
      </c>
      <c r="N2424" t="s">
        <v>44</v>
      </c>
      <c r="O2424" t="s">
        <v>28</v>
      </c>
      <c r="P2424" t="s">
        <v>29</v>
      </c>
      <c r="Q2424" s="6">
        <v>1.84640625</v>
      </c>
      <c r="R2424">
        <v>4.0599999999999996</v>
      </c>
      <c r="S2424">
        <v>14.77</v>
      </c>
      <c r="T2424">
        <v>39.39</v>
      </c>
      <c r="U2424">
        <v>-9.4499999999999993</v>
      </c>
      <c r="V2424">
        <v>35.67</v>
      </c>
      <c r="W2424">
        <v>0.91</v>
      </c>
    </row>
    <row r="2425" spans="1:23" x14ac:dyDescent="0.3">
      <c r="A2425">
        <v>2426</v>
      </c>
      <c r="B2425" t="s">
        <v>2468</v>
      </c>
      <c r="C2425" t="s">
        <v>35</v>
      </c>
      <c r="D2425">
        <v>163</v>
      </c>
      <c r="E2425">
        <v>4794</v>
      </c>
      <c r="F2425" s="3">
        <v>204</v>
      </c>
      <c r="G2425">
        <v>26</v>
      </c>
      <c r="H2425">
        <v>3</v>
      </c>
      <c r="I2425" s="5">
        <v>1.84049079754601E-2</v>
      </c>
      <c r="J2425" s="3">
        <v>404</v>
      </c>
      <c r="K2425" s="1">
        <v>45612</v>
      </c>
      <c r="L2425" t="s">
        <v>25</v>
      </c>
      <c r="M2425" t="s">
        <v>39</v>
      </c>
      <c r="N2425" t="s">
        <v>36</v>
      </c>
      <c r="O2425" t="s">
        <v>28</v>
      </c>
      <c r="P2425" t="s">
        <v>29</v>
      </c>
      <c r="Q2425" s="6">
        <v>1.25368098159509</v>
      </c>
      <c r="R2425">
        <v>3.4</v>
      </c>
      <c r="S2425">
        <v>7.86</v>
      </c>
      <c r="T2425">
        <v>68.12</v>
      </c>
      <c r="U2425">
        <v>97.7</v>
      </c>
      <c r="V2425">
        <v>134.66999999999999</v>
      </c>
      <c r="W2425">
        <v>1.98</v>
      </c>
    </row>
    <row r="2426" spans="1:23" x14ac:dyDescent="0.3">
      <c r="A2426">
        <v>2427</v>
      </c>
      <c r="B2426" t="s">
        <v>2469</v>
      </c>
      <c r="C2426" t="s">
        <v>43</v>
      </c>
      <c r="D2426">
        <v>199</v>
      </c>
      <c r="E2426">
        <v>5210</v>
      </c>
      <c r="F2426" s="3">
        <v>213</v>
      </c>
      <c r="G2426">
        <v>30</v>
      </c>
      <c r="H2426">
        <v>10</v>
      </c>
      <c r="I2426" s="5">
        <v>5.0251256281407003E-2</v>
      </c>
      <c r="J2426" s="3">
        <v>357</v>
      </c>
      <c r="K2426" s="1">
        <v>45622</v>
      </c>
      <c r="L2426" t="s">
        <v>25</v>
      </c>
      <c r="M2426" t="s">
        <v>31</v>
      </c>
      <c r="N2426" t="s">
        <v>49</v>
      </c>
      <c r="O2426" t="s">
        <v>28</v>
      </c>
      <c r="P2426" t="s">
        <v>41</v>
      </c>
      <c r="Q2426" s="6">
        <v>1.06798994974874</v>
      </c>
      <c r="R2426">
        <v>3.82</v>
      </c>
      <c r="S2426">
        <v>7.08</v>
      </c>
      <c r="T2426">
        <v>21.25</v>
      </c>
      <c r="U2426">
        <v>67.98</v>
      </c>
      <c r="V2426">
        <v>35.700000000000003</v>
      </c>
      <c r="W2426">
        <v>1.68</v>
      </c>
    </row>
    <row r="2427" spans="1:23" x14ac:dyDescent="0.3">
      <c r="A2427">
        <v>2428</v>
      </c>
      <c r="B2427" t="s">
        <v>2470</v>
      </c>
      <c r="C2427" t="s">
        <v>35</v>
      </c>
      <c r="D2427">
        <v>169</v>
      </c>
      <c r="E2427">
        <v>5326</v>
      </c>
      <c r="F2427" s="3">
        <v>265</v>
      </c>
      <c r="G2427">
        <v>30</v>
      </c>
      <c r="H2427">
        <v>5</v>
      </c>
      <c r="I2427" s="5">
        <v>2.9585798816568001E-2</v>
      </c>
      <c r="J2427" s="3">
        <v>210</v>
      </c>
      <c r="K2427" s="1">
        <v>45621</v>
      </c>
      <c r="L2427" t="s">
        <v>25</v>
      </c>
      <c r="M2427" t="s">
        <v>26</v>
      </c>
      <c r="N2427" t="s">
        <v>36</v>
      </c>
      <c r="O2427" t="s">
        <v>28</v>
      </c>
      <c r="P2427" t="s">
        <v>59</v>
      </c>
      <c r="Q2427" s="6">
        <v>1.56753061615001</v>
      </c>
      <c r="R2427">
        <v>3.17</v>
      </c>
      <c r="S2427">
        <v>8.83</v>
      </c>
      <c r="T2427">
        <v>52.98</v>
      </c>
      <c r="U2427">
        <v>-20.73</v>
      </c>
      <c r="V2427">
        <v>42</v>
      </c>
      <c r="W2427">
        <v>0.79</v>
      </c>
    </row>
    <row r="2428" spans="1:23" x14ac:dyDescent="0.3">
      <c r="A2428">
        <v>2429</v>
      </c>
      <c r="B2428" t="s">
        <v>2471</v>
      </c>
      <c r="C2428" t="s">
        <v>43</v>
      </c>
      <c r="D2428">
        <v>138</v>
      </c>
      <c r="E2428">
        <v>3961</v>
      </c>
      <c r="F2428" s="3">
        <v>247</v>
      </c>
      <c r="G2428">
        <v>13</v>
      </c>
      <c r="H2428">
        <v>3</v>
      </c>
      <c r="I2428" s="5">
        <v>2.1739130434782601E-2</v>
      </c>
      <c r="J2428" s="3">
        <v>327</v>
      </c>
      <c r="K2428" s="1">
        <v>45614</v>
      </c>
      <c r="L2428" t="s">
        <v>25</v>
      </c>
      <c r="M2428" t="s">
        <v>31</v>
      </c>
      <c r="N2428" t="s">
        <v>32</v>
      </c>
      <c r="O2428" t="s">
        <v>28</v>
      </c>
      <c r="P2428" t="s">
        <v>59</v>
      </c>
      <c r="Q2428" s="6">
        <v>1.7931159420289799</v>
      </c>
      <c r="R2428">
        <v>3.48</v>
      </c>
      <c r="S2428">
        <v>19.03</v>
      </c>
      <c r="T2428">
        <v>82.48</v>
      </c>
      <c r="U2428">
        <v>32.15</v>
      </c>
      <c r="V2428">
        <v>109</v>
      </c>
      <c r="W2428">
        <v>1.32</v>
      </c>
    </row>
    <row r="2429" spans="1:23" x14ac:dyDescent="0.3">
      <c r="A2429">
        <v>2430</v>
      </c>
      <c r="B2429" t="s">
        <v>2472</v>
      </c>
      <c r="C2429" t="s">
        <v>35</v>
      </c>
      <c r="D2429">
        <v>180</v>
      </c>
      <c r="E2429">
        <v>5937</v>
      </c>
      <c r="F2429" s="3">
        <v>231</v>
      </c>
      <c r="G2429">
        <v>25</v>
      </c>
      <c r="H2429">
        <v>4</v>
      </c>
      <c r="I2429" s="5">
        <v>2.2222222222222199E-2</v>
      </c>
      <c r="J2429" s="3">
        <v>296</v>
      </c>
      <c r="K2429" s="1">
        <v>45616</v>
      </c>
      <c r="L2429" t="s">
        <v>25</v>
      </c>
      <c r="M2429" t="s">
        <v>39</v>
      </c>
      <c r="N2429" t="s">
        <v>44</v>
      </c>
      <c r="O2429" t="s">
        <v>28</v>
      </c>
      <c r="P2429" t="s">
        <v>33</v>
      </c>
      <c r="Q2429" s="6">
        <v>1.28338888888888</v>
      </c>
      <c r="R2429">
        <v>3.03</v>
      </c>
      <c r="S2429">
        <v>9.24</v>
      </c>
      <c r="T2429">
        <v>57.75</v>
      </c>
      <c r="U2429">
        <v>28.13</v>
      </c>
      <c r="V2429">
        <v>74</v>
      </c>
      <c r="W2429">
        <v>1.28</v>
      </c>
    </row>
    <row r="2430" spans="1:23" x14ac:dyDescent="0.3">
      <c r="A2430">
        <v>2431</v>
      </c>
      <c r="B2430" t="s">
        <v>2473</v>
      </c>
      <c r="C2430" t="s">
        <v>35</v>
      </c>
      <c r="D2430">
        <v>154</v>
      </c>
      <c r="E2430">
        <v>4904</v>
      </c>
      <c r="F2430" s="3">
        <v>247</v>
      </c>
      <c r="G2430">
        <v>11</v>
      </c>
      <c r="H2430">
        <v>8</v>
      </c>
      <c r="I2430" s="5">
        <v>5.1948051948051903E-2</v>
      </c>
      <c r="J2430" s="3">
        <v>373.71428571428498</v>
      </c>
      <c r="K2430" s="1">
        <v>45618</v>
      </c>
      <c r="L2430" t="s">
        <v>25</v>
      </c>
      <c r="M2430" t="s">
        <v>39</v>
      </c>
      <c r="N2430" t="s">
        <v>27</v>
      </c>
      <c r="O2430" t="s">
        <v>28</v>
      </c>
      <c r="P2430" t="s">
        <v>45</v>
      </c>
      <c r="Q2430" s="6">
        <v>1.6046103896103801</v>
      </c>
      <c r="R2430">
        <v>3.14</v>
      </c>
      <c r="S2430">
        <v>22.46</v>
      </c>
      <c r="T2430">
        <v>30.89</v>
      </c>
      <c r="U2430">
        <v>51.23</v>
      </c>
      <c r="V2430">
        <v>46.71</v>
      </c>
      <c r="W2430">
        <v>1.51</v>
      </c>
    </row>
    <row r="2431" spans="1:23" x14ac:dyDescent="0.3">
      <c r="A2431">
        <v>2432</v>
      </c>
      <c r="B2431" t="s">
        <v>2474</v>
      </c>
      <c r="C2431" t="s">
        <v>35</v>
      </c>
      <c r="D2431">
        <v>105</v>
      </c>
      <c r="E2431">
        <v>3149</v>
      </c>
      <c r="F2431" s="3">
        <v>233</v>
      </c>
      <c r="G2431">
        <v>13</v>
      </c>
      <c r="H2431">
        <v>10</v>
      </c>
      <c r="I2431" s="5">
        <v>9.5238095238095205E-2</v>
      </c>
      <c r="J2431" s="3">
        <v>232</v>
      </c>
      <c r="K2431" s="1">
        <v>45605</v>
      </c>
      <c r="L2431" t="s">
        <v>25</v>
      </c>
      <c r="M2431" t="s">
        <v>39</v>
      </c>
      <c r="N2431" t="s">
        <v>27</v>
      </c>
      <c r="O2431" t="s">
        <v>28</v>
      </c>
      <c r="P2431" t="s">
        <v>29</v>
      </c>
      <c r="Q2431" s="6">
        <v>2.22085714285714</v>
      </c>
      <c r="R2431">
        <v>3.33</v>
      </c>
      <c r="S2431">
        <v>17.940000000000001</v>
      </c>
      <c r="T2431">
        <v>23.32</v>
      </c>
      <c r="U2431">
        <v>-0.51</v>
      </c>
      <c r="V2431">
        <v>23.2</v>
      </c>
      <c r="W2431">
        <v>0.99</v>
      </c>
    </row>
    <row r="2432" spans="1:23" x14ac:dyDescent="0.3">
      <c r="A2432">
        <v>2433</v>
      </c>
      <c r="B2432" t="s">
        <v>2475</v>
      </c>
      <c r="C2432" t="s">
        <v>38</v>
      </c>
      <c r="D2432">
        <v>89</v>
      </c>
      <c r="E2432">
        <v>5963</v>
      </c>
      <c r="F2432" s="3">
        <v>209</v>
      </c>
      <c r="G2432">
        <v>29</v>
      </c>
      <c r="H2432">
        <v>9</v>
      </c>
      <c r="I2432" s="5">
        <v>0.101123595505617</v>
      </c>
      <c r="J2432" s="3">
        <v>218</v>
      </c>
      <c r="K2432" s="1">
        <v>45614</v>
      </c>
      <c r="L2432" t="s">
        <v>25</v>
      </c>
      <c r="M2432" t="s">
        <v>26</v>
      </c>
      <c r="N2432" t="s">
        <v>44</v>
      </c>
      <c r="O2432" t="s">
        <v>28</v>
      </c>
      <c r="P2432" t="s">
        <v>59</v>
      </c>
      <c r="Q2432" s="6">
        <v>2.3529213483146001</v>
      </c>
      <c r="R2432">
        <v>1.49</v>
      </c>
      <c r="S2432">
        <v>7.22</v>
      </c>
      <c r="T2432">
        <v>23.27</v>
      </c>
      <c r="U2432">
        <v>4.0999999999999996</v>
      </c>
      <c r="V2432">
        <v>24.22</v>
      </c>
      <c r="W2432">
        <v>1.04</v>
      </c>
    </row>
    <row r="2433" spans="1:23" x14ac:dyDescent="0.3">
      <c r="A2433">
        <v>2434</v>
      </c>
      <c r="B2433" t="s">
        <v>2476</v>
      </c>
      <c r="C2433" t="s">
        <v>24</v>
      </c>
      <c r="D2433">
        <v>125</v>
      </c>
      <c r="E2433">
        <v>3808</v>
      </c>
      <c r="F2433" s="3">
        <v>191</v>
      </c>
      <c r="G2433">
        <v>29</v>
      </c>
      <c r="H2433">
        <v>7</v>
      </c>
      <c r="I2433" s="5">
        <v>5.6000000000000001E-2</v>
      </c>
      <c r="J2433" s="3">
        <v>364</v>
      </c>
      <c r="K2433" s="1">
        <v>45606</v>
      </c>
      <c r="L2433" t="s">
        <v>25</v>
      </c>
      <c r="M2433" t="s">
        <v>39</v>
      </c>
      <c r="N2433" t="s">
        <v>32</v>
      </c>
      <c r="O2433" t="s">
        <v>28</v>
      </c>
      <c r="P2433" t="s">
        <v>50</v>
      </c>
      <c r="Q2433" s="6">
        <v>1.5313599999999901</v>
      </c>
      <c r="R2433">
        <v>3.28</v>
      </c>
      <c r="S2433">
        <v>6.6</v>
      </c>
      <c r="T2433">
        <v>27.35</v>
      </c>
      <c r="U2433">
        <v>90.16</v>
      </c>
      <c r="V2433">
        <v>52</v>
      </c>
      <c r="W2433">
        <v>1.9</v>
      </c>
    </row>
    <row r="2434" spans="1:23" x14ac:dyDescent="0.3">
      <c r="A2434">
        <v>2435</v>
      </c>
      <c r="B2434" t="s">
        <v>2477</v>
      </c>
      <c r="C2434" t="s">
        <v>35</v>
      </c>
      <c r="D2434">
        <v>175</v>
      </c>
      <c r="E2434">
        <v>3938</v>
      </c>
      <c r="F2434" s="3">
        <v>186</v>
      </c>
      <c r="G2434">
        <v>22</v>
      </c>
      <c r="H2434">
        <v>9</v>
      </c>
      <c r="I2434" s="5">
        <v>5.14285714285714E-2</v>
      </c>
      <c r="J2434" s="3">
        <v>249</v>
      </c>
      <c r="K2434" s="1">
        <v>45601</v>
      </c>
      <c r="L2434" t="s">
        <v>25</v>
      </c>
      <c r="M2434" t="s">
        <v>31</v>
      </c>
      <c r="N2434" t="s">
        <v>49</v>
      </c>
      <c r="O2434" t="s">
        <v>28</v>
      </c>
      <c r="P2434" t="s">
        <v>41</v>
      </c>
      <c r="Q2434" s="6">
        <v>1.06337142857142</v>
      </c>
      <c r="R2434">
        <v>4.4400000000000004</v>
      </c>
      <c r="S2434">
        <v>8.4600000000000009</v>
      </c>
      <c r="T2434">
        <v>20.68</v>
      </c>
      <c r="U2434">
        <v>33.81</v>
      </c>
      <c r="V2434">
        <v>27.67</v>
      </c>
      <c r="W2434">
        <v>1.34</v>
      </c>
    </row>
    <row r="2435" spans="1:23" x14ac:dyDescent="0.3">
      <c r="A2435">
        <v>2436</v>
      </c>
      <c r="B2435" t="s">
        <v>2478</v>
      </c>
      <c r="C2435" t="s">
        <v>35</v>
      </c>
      <c r="D2435">
        <v>175</v>
      </c>
      <c r="E2435">
        <v>5521</v>
      </c>
      <c r="F2435" s="3">
        <v>207</v>
      </c>
      <c r="G2435">
        <v>25</v>
      </c>
      <c r="H2435">
        <v>3</v>
      </c>
      <c r="I2435" s="5">
        <v>1.7142857142857099E-2</v>
      </c>
      <c r="J2435" s="3">
        <v>330</v>
      </c>
      <c r="K2435" s="1">
        <v>45600</v>
      </c>
      <c r="L2435" t="s">
        <v>25</v>
      </c>
      <c r="M2435" t="s">
        <v>31</v>
      </c>
      <c r="N2435" t="s">
        <v>44</v>
      </c>
      <c r="O2435" t="s">
        <v>28</v>
      </c>
      <c r="P2435" t="s">
        <v>59</v>
      </c>
      <c r="Q2435" s="6">
        <v>1.1851428571428499</v>
      </c>
      <c r="R2435">
        <v>3.17</v>
      </c>
      <c r="S2435">
        <v>8.3000000000000007</v>
      </c>
      <c r="T2435">
        <v>69.13</v>
      </c>
      <c r="U2435">
        <v>59.11</v>
      </c>
      <c r="V2435">
        <v>110</v>
      </c>
      <c r="W2435">
        <v>1.59</v>
      </c>
    </row>
    <row r="2436" spans="1:23" x14ac:dyDescent="0.3">
      <c r="A2436">
        <v>2437</v>
      </c>
      <c r="B2436" t="s">
        <v>2479</v>
      </c>
      <c r="C2436" t="s">
        <v>24</v>
      </c>
      <c r="D2436">
        <v>183</v>
      </c>
      <c r="E2436">
        <v>6035</v>
      </c>
      <c r="F2436" s="3">
        <v>198</v>
      </c>
      <c r="G2436">
        <v>27</v>
      </c>
      <c r="H2436">
        <v>10</v>
      </c>
      <c r="I2436" s="5">
        <v>5.4644808743169397E-2</v>
      </c>
      <c r="J2436" s="3">
        <v>467.142857142857</v>
      </c>
      <c r="K2436" s="1">
        <v>45618</v>
      </c>
      <c r="L2436" t="s">
        <v>25</v>
      </c>
      <c r="M2436" t="s">
        <v>31</v>
      </c>
      <c r="N2436" t="s">
        <v>32</v>
      </c>
      <c r="O2436" t="s">
        <v>28</v>
      </c>
      <c r="P2436" t="s">
        <v>45</v>
      </c>
      <c r="Q2436" s="6">
        <v>1.0826229508196701</v>
      </c>
      <c r="R2436">
        <v>3.03</v>
      </c>
      <c r="S2436">
        <v>7.34</v>
      </c>
      <c r="T2436">
        <v>19.809999999999999</v>
      </c>
      <c r="U2436">
        <v>135.79</v>
      </c>
      <c r="V2436">
        <v>46.71</v>
      </c>
      <c r="W2436">
        <v>2.36</v>
      </c>
    </row>
    <row r="2437" spans="1:23" x14ac:dyDescent="0.3">
      <c r="A2437">
        <v>2438</v>
      </c>
      <c r="B2437" t="s">
        <v>2480</v>
      </c>
      <c r="C2437" t="s">
        <v>43</v>
      </c>
      <c r="D2437">
        <v>182</v>
      </c>
      <c r="E2437">
        <v>5466</v>
      </c>
      <c r="F2437" s="3">
        <v>206</v>
      </c>
      <c r="G2437">
        <v>26</v>
      </c>
      <c r="H2437">
        <v>4</v>
      </c>
      <c r="I2437" s="5">
        <v>2.19780219780219E-2</v>
      </c>
      <c r="J2437" s="3">
        <v>371</v>
      </c>
      <c r="K2437" s="1">
        <v>45614</v>
      </c>
      <c r="L2437" t="s">
        <v>25</v>
      </c>
      <c r="M2437" t="s">
        <v>39</v>
      </c>
      <c r="N2437" t="s">
        <v>32</v>
      </c>
      <c r="O2437" t="s">
        <v>28</v>
      </c>
      <c r="P2437" t="s">
        <v>59</v>
      </c>
      <c r="Q2437" s="6">
        <v>1.1335164835164799</v>
      </c>
      <c r="R2437">
        <v>3.33</v>
      </c>
      <c r="S2437">
        <v>7.93</v>
      </c>
      <c r="T2437">
        <v>51.58</v>
      </c>
      <c r="U2437">
        <v>79.84</v>
      </c>
      <c r="V2437">
        <v>92.75</v>
      </c>
      <c r="W2437">
        <v>1.8</v>
      </c>
    </row>
    <row r="2438" spans="1:23" x14ac:dyDescent="0.3">
      <c r="A2438">
        <v>2439</v>
      </c>
      <c r="B2438" t="s">
        <v>2481</v>
      </c>
      <c r="C2438" t="s">
        <v>43</v>
      </c>
      <c r="D2438">
        <v>137</v>
      </c>
      <c r="E2438">
        <v>4528</v>
      </c>
      <c r="F2438" s="3">
        <v>236</v>
      </c>
      <c r="G2438">
        <v>30</v>
      </c>
      <c r="H2438">
        <v>4</v>
      </c>
      <c r="I2438" s="5">
        <v>2.9197080291970798E-2</v>
      </c>
      <c r="J2438" s="3">
        <v>393</v>
      </c>
      <c r="K2438" s="1">
        <v>45624</v>
      </c>
      <c r="L2438" t="s">
        <v>25</v>
      </c>
      <c r="M2438" t="s">
        <v>31</v>
      </c>
      <c r="N2438" t="s">
        <v>40</v>
      </c>
      <c r="O2438" t="s">
        <v>28</v>
      </c>
      <c r="P2438" t="s">
        <v>54</v>
      </c>
      <c r="Q2438" s="6">
        <v>1.7223357664233501</v>
      </c>
      <c r="R2438">
        <v>3.03</v>
      </c>
      <c r="S2438">
        <v>7.87</v>
      </c>
      <c r="T2438">
        <v>58.99</v>
      </c>
      <c r="U2438">
        <v>66.55</v>
      </c>
      <c r="V2438">
        <v>98.25</v>
      </c>
      <c r="W2438">
        <v>1.67</v>
      </c>
    </row>
    <row r="2439" spans="1:23" x14ac:dyDescent="0.3">
      <c r="A2439">
        <v>2440</v>
      </c>
      <c r="B2439" t="s">
        <v>2482</v>
      </c>
      <c r="C2439" t="s">
        <v>38</v>
      </c>
      <c r="D2439">
        <v>168</v>
      </c>
      <c r="E2439">
        <v>4904</v>
      </c>
      <c r="F2439" s="3">
        <v>220</v>
      </c>
      <c r="G2439">
        <v>23</v>
      </c>
      <c r="H2439">
        <v>6</v>
      </c>
      <c r="I2439" s="5">
        <v>3.5714285714285698E-2</v>
      </c>
      <c r="J2439" s="3">
        <v>382</v>
      </c>
      <c r="K2439" s="1">
        <v>45607</v>
      </c>
      <c r="L2439" t="s">
        <v>25</v>
      </c>
      <c r="M2439" t="s">
        <v>26</v>
      </c>
      <c r="N2439" t="s">
        <v>27</v>
      </c>
      <c r="O2439" t="s">
        <v>28</v>
      </c>
      <c r="P2439" t="s">
        <v>59</v>
      </c>
      <c r="Q2439" s="6">
        <v>1.3106547619047599</v>
      </c>
      <c r="R2439">
        <v>3.43</v>
      </c>
      <c r="S2439">
        <v>9.57</v>
      </c>
      <c r="T2439">
        <v>36.700000000000003</v>
      </c>
      <c r="U2439">
        <v>73.489999999999995</v>
      </c>
      <c r="V2439">
        <v>63.67</v>
      </c>
      <c r="W2439">
        <v>1.73</v>
      </c>
    </row>
    <row r="2440" spans="1:23" x14ac:dyDescent="0.3">
      <c r="A2440">
        <v>2441</v>
      </c>
      <c r="B2440" t="s">
        <v>2483</v>
      </c>
      <c r="C2440" t="s">
        <v>24</v>
      </c>
      <c r="D2440">
        <v>150</v>
      </c>
      <c r="E2440">
        <v>5057</v>
      </c>
      <c r="F2440" s="3">
        <v>220</v>
      </c>
      <c r="G2440">
        <v>24</v>
      </c>
      <c r="H2440">
        <v>5</v>
      </c>
      <c r="I2440" s="5">
        <v>3.3333333333333298E-2</v>
      </c>
      <c r="J2440" s="3">
        <v>233.57142857142799</v>
      </c>
      <c r="K2440" s="1">
        <v>45597</v>
      </c>
      <c r="L2440" t="s">
        <v>25</v>
      </c>
      <c r="M2440" t="s">
        <v>26</v>
      </c>
      <c r="N2440" t="s">
        <v>40</v>
      </c>
      <c r="O2440" t="s">
        <v>28</v>
      </c>
      <c r="P2440" t="s">
        <v>45</v>
      </c>
      <c r="Q2440" s="6">
        <v>1.4683999999999999</v>
      </c>
      <c r="R2440">
        <v>2.97</v>
      </c>
      <c r="S2440">
        <v>9.18</v>
      </c>
      <c r="T2440">
        <v>44.05</v>
      </c>
      <c r="U2440">
        <v>6.04</v>
      </c>
      <c r="V2440">
        <v>46.71</v>
      </c>
      <c r="W2440">
        <v>1.06</v>
      </c>
    </row>
    <row r="2441" spans="1:23" x14ac:dyDescent="0.3">
      <c r="A2441">
        <v>2442</v>
      </c>
      <c r="B2441" t="s">
        <v>2484</v>
      </c>
      <c r="C2441" t="s">
        <v>38</v>
      </c>
      <c r="D2441">
        <v>152</v>
      </c>
      <c r="E2441">
        <v>3390</v>
      </c>
      <c r="F2441" s="3">
        <v>209</v>
      </c>
      <c r="G2441">
        <v>18</v>
      </c>
      <c r="H2441">
        <v>6</v>
      </c>
      <c r="I2441" s="5">
        <v>3.94736842105263E-2</v>
      </c>
      <c r="J2441" s="3">
        <v>331</v>
      </c>
      <c r="K2441" s="1">
        <v>45600</v>
      </c>
      <c r="L2441" t="s">
        <v>25</v>
      </c>
      <c r="M2441" t="s">
        <v>26</v>
      </c>
      <c r="N2441" t="s">
        <v>44</v>
      </c>
      <c r="O2441" t="s">
        <v>28</v>
      </c>
      <c r="P2441" t="s">
        <v>59</v>
      </c>
      <c r="Q2441" s="6">
        <v>1.3775657894736799</v>
      </c>
      <c r="R2441">
        <v>4.4800000000000004</v>
      </c>
      <c r="S2441">
        <v>11.63</v>
      </c>
      <c r="T2441">
        <v>34.9</v>
      </c>
      <c r="U2441">
        <v>58.08</v>
      </c>
      <c r="V2441">
        <v>55.17</v>
      </c>
      <c r="W2441">
        <v>1.58</v>
      </c>
    </row>
    <row r="2442" spans="1:23" x14ac:dyDescent="0.3">
      <c r="A2442">
        <v>2443</v>
      </c>
      <c r="B2442" t="s">
        <v>2485</v>
      </c>
      <c r="C2442" t="s">
        <v>24</v>
      </c>
      <c r="D2442">
        <v>113</v>
      </c>
      <c r="E2442">
        <v>3532</v>
      </c>
      <c r="F2442" s="3">
        <v>248</v>
      </c>
      <c r="G2442">
        <v>29</v>
      </c>
      <c r="H2442">
        <v>6</v>
      </c>
      <c r="I2442" s="5">
        <v>5.30973451327433E-2</v>
      </c>
      <c r="J2442" s="3">
        <v>260</v>
      </c>
      <c r="K2442" s="1">
        <v>45616</v>
      </c>
      <c r="L2442" t="s">
        <v>25</v>
      </c>
      <c r="M2442" t="s">
        <v>31</v>
      </c>
      <c r="N2442" t="s">
        <v>27</v>
      </c>
      <c r="O2442" t="s">
        <v>28</v>
      </c>
      <c r="P2442" t="s">
        <v>33</v>
      </c>
      <c r="Q2442" s="6">
        <v>2.1908849557522099</v>
      </c>
      <c r="R2442">
        <v>3.2</v>
      </c>
      <c r="S2442">
        <v>8.5399999999999991</v>
      </c>
      <c r="T2442">
        <v>41.26</v>
      </c>
      <c r="U2442">
        <v>5.0199999999999996</v>
      </c>
      <c r="V2442">
        <v>43.33</v>
      </c>
      <c r="W2442">
        <v>1.05</v>
      </c>
    </row>
    <row r="2443" spans="1:23" x14ac:dyDescent="0.3">
      <c r="A2443">
        <v>2444</v>
      </c>
      <c r="B2443" t="s">
        <v>2486</v>
      </c>
      <c r="C2443" t="s">
        <v>35</v>
      </c>
      <c r="D2443">
        <v>93</v>
      </c>
      <c r="E2443">
        <v>3683</v>
      </c>
      <c r="F2443" s="3">
        <v>201</v>
      </c>
      <c r="G2443">
        <v>11</v>
      </c>
      <c r="H2443">
        <v>10</v>
      </c>
      <c r="I2443" s="5">
        <v>0.10752688172043</v>
      </c>
      <c r="J2443" s="3">
        <v>272</v>
      </c>
      <c r="K2443" s="1">
        <v>45610</v>
      </c>
      <c r="L2443" t="s">
        <v>25</v>
      </c>
      <c r="M2443" t="s">
        <v>31</v>
      </c>
      <c r="N2443" t="s">
        <v>27</v>
      </c>
      <c r="O2443" t="s">
        <v>28</v>
      </c>
      <c r="P2443" t="s">
        <v>54</v>
      </c>
      <c r="Q2443" s="6">
        <v>2.16612903225806</v>
      </c>
      <c r="R2443">
        <v>2.5299999999999998</v>
      </c>
      <c r="S2443">
        <v>18.309999999999999</v>
      </c>
      <c r="T2443">
        <v>20.14</v>
      </c>
      <c r="U2443">
        <v>35.020000000000003</v>
      </c>
      <c r="V2443">
        <v>27.2</v>
      </c>
      <c r="W2443">
        <v>1.35</v>
      </c>
    </row>
    <row r="2444" spans="1:23" x14ac:dyDescent="0.3">
      <c r="A2444">
        <v>2445</v>
      </c>
      <c r="B2444" t="s">
        <v>2487</v>
      </c>
      <c r="C2444" t="s">
        <v>24</v>
      </c>
      <c r="D2444">
        <v>141</v>
      </c>
      <c r="E2444">
        <v>5031</v>
      </c>
      <c r="F2444" s="3">
        <v>190</v>
      </c>
      <c r="G2444">
        <v>23</v>
      </c>
      <c r="H2444">
        <v>5</v>
      </c>
      <c r="I2444" s="5">
        <v>3.54609929078014E-2</v>
      </c>
      <c r="J2444" s="3">
        <v>223</v>
      </c>
      <c r="K2444" s="1">
        <v>45597</v>
      </c>
      <c r="L2444" t="s">
        <v>25</v>
      </c>
      <c r="M2444" t="s">
        <v>26</v>
      </c>
      <c r="N2444" t="s">
        <v>36</v>
      </c>
      <c r="O2444" t="s">
        <v>28</v>
      </c>
      <c r="P2444" t="s">
        <v>45</v>
      </c>
      <c r="Q2444" s="6">
        <v>1.34695035460992</v>
      </c>
      <c r="R2444">
        <v>2.8</v>
      </c>
      <c r="S2444">
        <v>8.26</v>
      </c>
      <c r="T2444">
        <v>37.979999999999997</v>
      </c>
      <c r="U2444">
        <v>17.420000000000002</v>
      </c>
      <c r="V2444">
        <v>44.6</v>
      </c>
      <c r="W2444">
        <v>1.17</v>
      </c>
    </row>
    <row r="2445" spans="1:23" x14ac:dyDescent="0.3">
      <c r="A2445">
        <v>2446</v>
      </c>
      <c r="B2445" t="s">
        <v>2488</v>
      </c>
      <c r="C2445" t="s">
        <v>43</v>
      </c>
      <c r="D2445">
        <v>191</v>
      </c>
      <c r="E2445">
        <v>5660</v>
      </c>
      <c r="F2445" s="3">
        <v>192</v>
      </c>
      <c r="G2445">
        <v>21</v>
      </c>
      <c r="H2445">
        <v>5</v>
      </c>
      <c r="I2445" s="5">
        <v>2.6178010471204102E-2</v>
      </c>
      <c r="J2445" s="3">
        <v>209</v>
      </c>
      <c r="K2445" s="1">
        <v>45599</v>
      </c>
      <c r="L2445" t="s">
        <v>25</v>
      </c>
      <c r="M2445" t="s">
        <v>31</v>
      </c>
      <c r="N2445" t="s">
        <v>32</v>
      </c>
      <c r="O2445" t="s">
        <v>28</v>
      </c>
      <c r="P2445" t="s">
        <v>50</v>
      </c>
      <c r="Q2445" s="6">
        <v>1.00780104712041</v>
      </c>
      <c r="R2445">
        <v>3.37</v>
      </c>
      <c r="S2445">
        <v>9.17</v>
      </c>
      <c r="T2445">
        <v>38.5</v>
      </c>
      <c r="U2445">
        <v>8.58</v>
      </c>
      <c r="V2445">
        <v>41.8</v>
      </c>
      <c r="W2445">
        <v>1.0900000000000001</v>
      </c>
    </row>
    <row r="2446" spans="1:23" x14ac:dyDescent="0.3">
      <c r="A2446">
        <v>2447</v>
      </c>
      <c r="B2446" t="s">
        <v>2489</v>
      </c>
      <c r="C2446" t="s">
        <v>38</v>
      </c>
      <c r="D2446">
        <v>187</v>
      </c>
      <c r="E2446">
        <v>3450</v>
      </c>
      <c r="F2446" s="3">
        <v>234</v>
      </c>
      <c r="G2446">
        <v>18</v>
      </c>
      <c r="H2446">
        <v>9</v>
      </c>
      <c r="I2446" s="5">
        <v>4.8128342245989303E-2</v>
      </c>
      <c r="J2446" s="3">
        <v>328</v>
      </c>
      <c r="K2446" s="1">
        <v>45614</v>
      </c>
      <c r="L2446" t="s">
        <v>25</v>
      </c>
      <c r="M2446" t="s">
        <v>39</v>
      </c>
      <c r="N2446" t="s">
        <v>44</v>
      </c>
      <c r="O2446" t="s">
        <v>28</v>
      </c>
      <c r="P2446" t="s">
        <v>59</v>
      </c>
      <c r="Q2446" s="6">
        <v>1.2529946524064099</v>
      </c>
      <c r="R2446">
        <v>5.42</v>
      </c>
      <c r="S2446">
        <v>13.02</v>
      </c>
      <c r="T2446">
        <v>26.03</v>
      </c>
      <c r="U2446">
        <v>39.99</v>
      </c>
      <c r="V2446">
        <v>36.44</v>
      </c>
      <c r="W2446">
        <v>1.4</v>
      </c>
    </row>
    <row r="2447" spans="1:23" x14ac:dyDescent="0.3">
      <c r="A2447">
        <v>2448</v>
      </c>
      <c r="B2447" t="s">
        <v>2490</v>
      </c>
      <c r="C2447" t="s">
        <v>35</v>
      </c>
      <c r="D2447">
        <v>118</v>
      </c>
      <c r="E2447">
        <v>4804</v>
      </c>
      <c r="F2447" s="3">
        <v>228</v>
      </c>
      <c r="G2447">
        <v>28</v>
      </c>
      <c r="H2447">
        <v>9</v>
      </c>
      <c r="I2447" s="5">
        <v>7.6271186440677902E-2</v>
      </c>
      <c r="J2447" s="3">
        <v>217</v>
      </c>
      <c r="K2447" s="1">
        <v>45624</v>
      </c>
      <c r="L2447" t="s">
        <v>25</v>
      </c>
      <c r="M2447" t="s">
        <v>31</v>
      </c>
      <c r="N2447" t="s">
        <v>27</v>
      </c>
      <c r="O2447" t="s">
        <v>28</v>
      </c>
      <c r="P2447" t="s">
        <v>54</v>
      </c>
      <c r="Q2447" s="6">
        <v>1.93203389830508</v>
      </c>
      <c r="R2447">
        <v>2.46</v>
      </c>
      <c r="S2447">
        <v>8.14</v>
      </c>
      <c r="T2447">
        <v>25.33</v>
      </c>
      <c r="U2447">
        <v>-4.82</v>
      </c>
      <c r="V2447">
        <v>24.11</v>
      </c>
      <c r="W2447">
        <v>0.95</v>
      </c>
    </row>
    <row r="2448" spans="1:23" x14ac:dyDescent="0.3">
      <c r="A2448">
        <v>2449</v>
      </c>
      <c r="B2448" t="s">
        <v>2491</v>
      </c>
      <c r="C2448" t="s">
        <v>43</v>
      </c>
      <c r="D2448">
        <v>184</v>
      </c>
      <c r="E2448">
        <v>5983</v>
      </c>
      <c r="F2448" s="3">
        <v>243</v>
      </c>
      <c r="G2448">
        <v>25</v>
      </c>
      <c r="H2448">
        <v>6</v>
      </c>
      <c r="I2448" s="5">
        <v>3.2608695652173898E-2</v>
      </c>
      <c r="J2448" s="3">
        <v>314</v>
      </c>
      <c r="K2448" s="1">
        <v>45599</v>
      </c>
      <c r="L2448" t="s">
        <v>25</v>
      </c>
      <c r="M2448" t="s">
        <v>26</v>
      </c>
      <c r="N2448" t="s">
        <v>32</v>
      </c>
      <c r="O2448" t="s">
        <v>28</v>
      </c>
      <c r="P2448" t="s">
        <v>50</v>
      </c>
      <c r="Q2448" s="6">
        <v>1.3185869565217301</v>
      </c>
      <c r="R2448">
        <v>3.08</v>
      </c>
      <c r="S2448">
        <v>9.6999999999999993</v>
      </c>
      <c r="T2448">
        <v>40.44</v>
      </c>
      <c r="U2448">
        <v>29.42</v>
      </c>
      <c r="V2448">
        <v>52.33</v>
      </c>
      <c r="W2448">
        <v>1.29</v>
      </c>
    </row>
    <row r="2449" spans="1:23" x14ac:dyDescent="0.3">
      <c r="A2449">
        <v>2450</v>
      </c>
      <c r="B2449" t="s">
        <v>2492</v>
      </c>
      <c r="C2449" t="s">
        <v>35</v>
      </c>
      <c r="D2449">
        <v>167</v>
      </c>
      <c r="E2449">
        <v>5051</v>
      </c>
      <c r="F2449" s="3">
        <v>203</v>
      </c>
      <c r="G2449">
        <v>21</v>
      </c>
      <c r="H2449">
        <v>10</v>
      </c>
      <c r="I2449" s="5">
        <v>5.9880239520958001E-2</v>
      </c>
      <c r="J2449" s="3">
        <v>370</v>
      </c>
      <c r="K2449" s="1">
        <v>45606</v>
      </c>
      <c r="L2449" t="s">
        <v>25</v>
      </c>
      <c r="M2449" t="s">
        <v>31</v>
      </c>
      <c r="N2449" t="s">
        <v>27</v>
      </c>
      <c r="O2449" t="s">
        <v>28</v>
      </c>
      <c r="P2449" t="s">
        <v>50</v>
      </c>
      <c r="Q2449" s="6">
        <v>1.2152694610778401</v>
      </c>
      <c r="R2449">
        <v>3.31</v>
      </c>
      <c r="S2449">
        <v>9.66</v>
      </c>
      <c r="T2449">
        <v>20.29</v>
      </c>
      <c r="U2449">
        <v>82.31</v>
      </c>
      <c r="V2449">
        <v>37</v>
      </c>
      <c r="W2449">
        <v>1.82</v>
      </c>
    </row>
    <row r="2450" spans="1:23" x14ac:dyDescent="0.3">
      <c r="A2450">
        <v>2451</v>
      </c>
      <c r="B2450" t="s">
        <v>2493</v>
      </c>
      <c r="C2450" t="s">
        <v>43</v>
      </c>
      <c r="D2450">
        <v>162</v>
      </c>
      <c r="E2450">
        <v>3815</v>
      </c>
      <c r="F2450" s="3">
        <v>221</v>
      </c>
      <c r="G2450">
        <v>13</v>
      </c>
      <c r="H2450">
        <v>7</v>
      </c>
      <c r="I2450" s="5">
        <v>4.3209876543209798E-2</v>
      </c>
      <c r="J2450" s="3">
        <v>353</v>
      </c>
      <c r="K2450" s="1">
        <v>45617</v>
      </c>
      <c r="L2450" t="s">
        <v>25</v>
      </c>
      <c r="M2450" t="s">
        <v>26</v>
      </c>
      <c r="N2450" t="s">
        <v>32</v>
      </c>
      <c r="O2450" t="s">
        <v>28</v>
      </c>
      <c r="P2450" t="s">
        <v>54</v>
      </c>
      <c r="Q2450" s="6">
        <v>1.3669135802469099</v>
      </c>
      <c r="R2450">
        <v>4.25</v>
      </c>
      <c r="S2450">
        <v>17.03</v>
      </c>
      <c r="T2450">
        <v>31.63</v>
      </c>
      <c r="U2450">
        <v>59.41</v>
      </c>
      <c r="V2450">
        <v>50.43</v>
      </c>
      <c r="W2450">
        <v>1.59</v>
      </c>
    </row>
    <row r="2451" spans="1:23" x14ac:dyDescent="0.3">
      <c r="A2451">
        <v>2452</v>
      </c>
      <c r="B2451" t="s">
        <v>2494</v>
      </c>
      <c r="C2451" t="s">
        <v>38</v>
      </c>
      <c r="D2451">
        <v>125</v>
      </c>
      <c r="E2451">
        <v>5370</v>
      </c>
      <c r="F2451" s="3">
        <v>184</v>
      </c>
      <c r="G2451">
        <v>18</v>
      </c>
      <c r="H2451">
        <v>10</v>
      </c>
      <c r="I2451" s="5">
        <v>0.08</v>
      </c>
      <c r="J2451" s="3">
        <v>370</v>
      </c>
      <c r="K2451" s="1">
        <v>45610</v>
      </c>
      <c r="L2451" t="s">
        <v>25</v>
      </c>
      <c r="M2451" t="s">
        <v>39</v>
      </c>
      <c r="N2451" t="s">
        <v>32</v>
      </c>
      <c r="O2451" t="s">
        <v>28</v>
      </c>
      <c r="P2451" t="s">
        <v>54</v>
      </c>
      <c r="Q2451" s="6">
        <v>1.46936</v>
      </c>
      <c r="R2451">
        <v>2.33</v>
      </c>
      <c r="S2451">
        <v>10.199999999999999</v>
      </c>
      <c r="T2451">
        <v>18.37</v>
      </c>
      <c r="U2451">
        <v>101.45</v>
      </c>
      <c r="V2451">
        <v>37</v>
      </c>
      <c r="W2451">
        <v>2.0099999999999998</v>
      </c>
    </row>
    <row r="2452" spans="1:23" x14ac:dyDescent="0.3">
      <c r="A2452">
        <v>2453</v>
      </c>
      <c r="B2452" t="s">
        <v>2495</v>
      </c>
      <c r="C2452" t="s">
        <v>24</v>
      </c>
      <c r="D2452">
        <v>102</v>
      </c>
      <c r="E2452">
        <v>4451</v>
      </c>
      <c r="F2452" s="3">
        <v>219</v>
      </c>
      <c r="G2452">
        <v>29</v>
      </c>
      <c r="H2452">
        <v>7</v>
      </c>
      <c r="I2452" s="5">
        <v>6.8627450980392093E-2</v>
      </c>
      <c r="J2452" s="3">
        <v>304</v>
      </c>
      <c r="K2452" s="1">
        <v>45625</v>
      </c>
      <c r="L2452" t="s">
        <v>25</v>
      </c>
      <c r="M2452" t="s">
        <v>31</v>
      </c>
      <c r="N2452" t="s">
        <v>36</v>
      </c>
      <c r="O2452" t="s">
        <v>28</v>
      </c>
      <c r="P2452" t="s">
        <v>45</v>
      </c>
      <c r="Q2452" s="6">
        <v>2.1485294117647</v>
      </c>
      <c r="R2452">
        <v>2.29</v>
      </c>
      <c r="S2452">
        <v>7.56</v>
      </c>
      <c r="T2452">
        <v>31.31</v>
      </c>
      <c r="U2452">
        <v>38.72</v>
      </c>
      <c r="V2452">
        <v>43.43</v>
      </c>
      <c r="W2452">
        <v>1.39</v>
      </c>
    </row>
    <row r="2453" spans="1:23" x14ac:dyDescent="0.3">
      <c r="A2453">
        <v>2454</v>
      </c>
      <c r="B2453" t="s">
        <v>2496</v>
      </c>
      <c r="C2453" t="s">
        <v>38</v>
      </c>
      <c r="D2453">
        <v>141</v>
      </c>
      <c r="E2453">
        <v>4243</v>
      </c>
      <c r="F2453" s="3">
        <v>191</v>
      </c>
      <c r="G2453">
        <v>24</v>
      </c>
      <c r="H2453">
        <v>6</v>
      </c>
      <c r="I2453" s="5">
        <v>4.2553191489361701E-2</v>
      </c>
      <c r="J2453" s="3">
        <v>280.28571428571399</v>
      </c>
      <c r="K2453" s="1">
        <v>45618</v>
      </c>
      <c r="L2453" t="s">
        <v>25</v>
      </c>
      <c r="M2453" t="s">
        <v>26</v>
      </c>
      <c r="N2453" t="s">
        <v>40</v>
      </c>
      <c r="O2453" t="s">
        <v>28</v>
      </c>
      <c r="P2453" t="s">
        <v>45</v>
      </c>
      <c r="Q2453" s="6">
        <v>1.35418439716312</v>
      </c>
      <c r="R2453">
        <v>3.32</v>
      </c>
      <c r="S2453">
        <v>7.96</v>
      </c>
      <c r="T2453">
        <v>31.82</v>
      </c>
      <c r="U2453">
        <v>46.79</v>
      </c>
      <c r="V2453">
        <v>46.71</v>
      </c>
      <c r="W2453">
        <v>1.47</v>
      </c>
    </row>
    <row r="2454" spans="1:23" x14ac:dyDescent="0.3">
      <c r="A2454">
        <v>2455</v>
      </c>
      <c r="B2454" t="s">
        <v>2497</v>
      </c>
      <c r="C2454" t="s">
        <v>43</v>
      </c>
      <c r="D2454">
        <v>121</v>
      </c>
      <c r="E2454">
        <v>3844</v>
      </c>
      <c r="F2454" s="3">
        <v>242</v>
      </c>
      <c r="G2454">
        <v>29</v>
      </c>
      <c r="H2454">
        <v>3</v>
      </c>
      <c r="I2454" s="5">
        <v>2.4793388429752001E-2</v>
      </c>
      <c r="J2454" s="3">
        <v>387</v>
      </c>
      <c r="K2454" s="1">
        <v>45606</v>
      </c>
      <c r="L2454" t="s">
        <v>25</v>
      </c>
      <c r="M2454" t="s">
        <v>31</v>
      </c>
      <c r="N2454" t="s">
        <v>27</v>
      </c>
      <c r="O2454" t="s">
        <v>28</v>
      </c>
      <c r="P2454" t="s">
        <v>50</v>
      </c>
      <c r="Q2454" s="6">
        <v>2.0015702479338802</v>
      </c>
      <c r="R2454">
        <v>3.15</v>
      </c>
      <c r="S2454">
        <v>8.35</v>
      </c>
      <c r="T2454">
        <v>80.73</v>
      </c>
      <c r="U2454">
        <v>59.79</v>
      </c>
      <c r="V2454">
        <v>129</v>
      </c>
      <c r="W2454">
        <v>1.6</v>
      </c>
    </row>
    <row r="2455" spans="1:23" x14ac:dyDescent="0.3">
      <c r="A2455">
        <v>2456</v>
      </c>
      <c r="B2455" t="s">
        <v>2498</v>
      </c>
      <c r="C2455" t="s">
        <v>43</v>
      </c>
      <c r="D2455">
        <v>142</v>
      </c>
      <c r="E2455">
        <v>4023</v>
      </c>
      <c r="F2455" s="3">
        <v>187</v>
      </c>
      <c r="G2455">
        <v>17</v>
      </c>
      <c r="H2455">
        <v>3</v>
      </c>
      <c r="I2455" s="5">
        <v>2.1126760563380202E-2</v>
      </c>
      <c r="J2455" s="3">
        <v>239</v>
      </c>
      <c r="K2455" s="1">
        <v>45619</v>
      </c>
      <c r="L2455" t="s">
        <v>25</v>
      </c>
      <c r="M2455" t="s">
        <v>39</v>
      </c>
      <c r="N2455" t="s">
        <v>40</v>
      </c>
      <c r="O2455" t="s">
        <v>28</v>
      </c>
      <c r="P2455" t="s">
        <v>29</v>
      </c>
      <c r="Q2455" s="6">
        <v>1.3154225352112601</v>
      </c>
      <c r="R2455">
        <v>3.53</v>
      </c>
      <c r="S2455">
        <v>10.99</v>
      </c>
      <c r="T2455">
        <v>62.26</v>
      </c>
      <c r="U2455">
        <v>27.95</v>
      </c>
      <c r="V2455">
        <v>79.67</v>
      </c>
      <c r="W2455">
        <v>1.28</v>
      </c>
    </row>
    <row r="2456" spans="1:23" x14ac:dyDescent="0.3">
      <c r="A2456">
        <v>2457</v>
      </c>
      <c r="B2456" t="s">
        <v>2499</v>
      </c>
      <c r="C2456" t="s">
        <v>43</v>
      </c>
      <c r="D2456">
        <v>150</v>
      </c>
      <c r="E2456">
        <v>4409</v>
      </c>
      <c r="F2456" s="3">
        <v>223</v>
      </c>
      <c r="G2456">
        <v>23</v>
      </c>
      <c r="H2456">
        <v>7</v>
      </c>
      <c r="I2456" s="5">
        <v>4.6666666666666599E-2</v>
      </c>
      <c r="J2456" s="3">
        <v>322</v>
      </c>
      <c r="K2456" s="1">
        <v>45609</v>
      </c>
      <c r="L2456" t="s">
        <v>25</v>
      </c>
      <c r="M2456" t="s">
        <v>26</v>
      </c>
      <c r="N2456" t="s">
        <v>27</v>
      </c>
      <c r="O2456" t="s">
        <v>28</v>
      </c>
      <c r="P2456" t="s">
        <v>33</v>
      </c>
      <c r="Q2456" s="6">
        <v>1.48966666666666</v>
      </c>
      <c r="R2456">
        <v>3.4</v>
      </c>
      <c r="S2456">
        <v>9.7200000000000006</v>
      </c>
      <c r="T2456">
        <v>31.92</v>
      </c>
      <c r="U2456">
        <v>44.1</v>
      </c>
      <c r="V2456">
        <v>46</v>
      </c>
      <c r="W2456">
        <v>1.44</v>
      </c>
    </row>
    <row r="2457" spans="1:23" x14ac:dyDescent="0.3">
      <c r="A2457">
        <v>2458</v>
      </c>
      <c r="B2457" t="s">
        <v>2500</v>
      </c>
      <c r="C2457" t="s">
        <v>35</v>
      </c>
      <c r="D2457">
        <v>117</v>
      </c>
      <c r="E2457">
        <v>3109</v>
      </c>
      <c r="F2457" s="3">
        <v>239</v>
      </c>
      <c r="G2457">
        <v>21</v>
      </c>
      <c r="H2457">
        <v>3</v>
      </c>
      <c r="I2457" s="5">
        <v>2.5641025641025599E-2</v>
      </c>
      <c r="J2457" s="3">
        <v>140.142857142857</v>
      </c>
      <c r="K2457" s="1">
        <v>45623</v>
      </c>
      <c r="L2457" t="s">
        <v>25</v>
      </c>
      <c r="M2457" t="s">
        <v>39</v>
      </c>
      <c r="N2457" t="s">
        <v>32</v>
      </c>
      <c r="O2457" t="s">
        <v>28</v>
      </c>
      <c r="P2457" t="s">
        <v>33</v>
      </c>
      <c r="Q2457" s="6">
        <v>2.0435897435897399</v>
      </c>
      <c r="R2457">
        <v>3.76</v>
      </c>
      <c r="S2457">
        <v>11.39</v>
      </c>
      <c r="T2457">
        <v>79.7</v>
      </c>
      <c r="U2457">
        <v>-41.39</v>
      </c>
      <c r="V2457">
        <v>46.71</v>
      </c>
      <c r="W2457">
        <v>0.59</v>
      </c>
    </row>
    <row r="2458" spans="1:23" x14ac:dyDescent="0.3">
      <c r="A2458">
        <v>2459</v>
      </c>
      <c r="B2458" t="s">
        <v>2501</v>
      </c>
      <c r="C2458" t="s">
        <v>38</v>
      </c>
      <c r="D2458">
        <v>142</v>
      </c>
      <c r="E2458">
        <v>5613</v>
      </c>
      <c r="F2458" s="3">
        <v>180</v>
      </c>
      <c r="G2458">
        <v>11</v>
      </c>
      <c r="H2458">
        <v>9</v>
      </c>
      <c r="I2458" s="5">
        <v>6.3380281690140802E-2</v>
      </c>
      <c r="J2458" s="3">
        <v>404</v>
      </c>
      <c r="K2458" s="1">
        <v>45624</v>
      </c>
      <c r="L2458" t="s">
        <v>25</v>
      </c>
      <c r="M2458" t="s">
        <v>31</v>
      </c>
      <c r="N2458" t="s">
        <v>40</v>
      </c>
      <c r="O2458" t="s">
        <v>28</v>
      </c>
      <c r="P2458" t="s">
        <v>54</v>
      </c>
      <c r="Q2458" s="6">
        <v>1.2707746478873201</v>
      </c>
      <c r="R2458">
        <v>2.5299999999999998</v>
      </c>
      <c r="S2458">
        <v>16.399999999999999</v>
      </c>
      <c r="T2458">
        <v>20.05</v>
      </c>
      <c r="U2458">
        <v>123.88</v>
      </c>
      <c r="V2458">
        <v>44.89</v>
      </c>
      <c r="W2458">
        <v>2.2400000000000002</v>
      </c>
    </row>
    <row r="2459" spans="1:23" x14ac:dyDescent="0.3">
      <c r="A2459">
        <v>2460</v>
      </c>
      <c r="B2459" t="s">
        <v>2502</v>
      </c>
      <c r="C2459" t="s">
        <v>38</v>
      </c>
      <c r="D2459">
        <v>103</v>
      </c>
      <c r="E2459">
        <v>4821</v>
      </c>
      <c r="F2459" s="3">
        <v>215</v>
      </c>
      <c r="G2459">
        <v>30</v>
      </c>
      <c r="H2459">
        <v>6</v>
      </c>
      <c r="I2459" s="5">
        <v>5.8252427184466E-2</v>
      </c>
      <c r="J2459" s="3">
        <v>287</v>
      </c>
      <c r="K2459" s="1">
        <v>45609</v>
      </c>
      <c r="L2459" t="s">
        <v>25</v>
      </c>
      <c r="M2459" t="s">
        <v>39</v>
      </c>
      <c r="N2459" t="s">
        <v>36</v>
      </c>
      <c r="O2459" t="s">
        <v>28</v>
      </c>
      <c r="P2459" t="s">
        <v>33</v>
      </c>
      <c r="Q2459" s="6">
        <v>2.08291262135922</v>
      </c>
      <c r="R2459">
        <v>2.14</v>
      </c>
      <c r="S2459">
        <v>7.15</v>
      </c>
      <c r="T2459">
        <v>35.76</v>
      </c>
      <c r="U2459">
        <v>33.770000000000003</v>
      </c>
      <c r="V2459">
        <v>47.83</v>
      </c>
      <c r="W2459">
        <v>1.34</v>
      </c>
    </row>
    <row r="2460" spans="1:23" x14ac:dyDescent="0.3">
      <c r="A2460">
        <v>2461</v>
      </c>
      <c r="B2460" t="s">
        <v>2503</v>
      </c>
      <c r="C2460" t="s">
        <v>35</v>
      </c>
      <c r="D2460">
        <v>187</v>
      </c>
      <c r="E2460">
        <v>3289</v>
      </c>
      <c r="F2460" s="3">
        <v>186</v>
      </c>
      <c r="G2460">
        <v>23</v>
      </c>
      <c r="H2460">
        <v>5</v>
      </c>
      <c r="I2460" s="5">
        <v>2.6737967914438499E-2</v>
      </c>
      <c r="J2460" s="3">
        <v>336</v>
      </c>
      <c r="K2460" s="1">
        <v>45602</v>
      </c>
      <c r="L2460" t="s">
        <v>25</v>
      </c>
      <c r="M2460" t="s">
        <v>26</v>
      </c>
      <c r="N2460" t="s">
        <v>32</v>
      </c>
      <c r="O2460" t="s">
        <v>28</v>
      </c>
      <c r="P2460" t="s">
        <v>33</v>
      </c>
      <c r="Q2460" s="6">
        <v>0.99486631016042704</v>
      </c>
      <c r="R2460">
        <v>5.69</v>
      </c>
      <c r="S2460">
        <v>8.09</v>
      </c>
      <c r="T2460">
        <v>37.21</v>
      </c>
      <c r="U2460">
        <v>80.61</v>
      </c>
      <c r="V2460">
        <v>67.2</v>
      </c>
      <c r="W2460">
        <v>1.81</v>
      </c>
    </row>
    <row r="2461" spans="1:23" x14ac:dyDescent="0.3">
      <c r="A2461">
        <v>2462</v>
      </c>
      <c r="B2461" t="s">
        <v>2504</v>
      </c>
      <c r="C2461" t="s">
        <v>24</v>
      </c>
      <c r="D2461">
        <v>172</v>
      </c>
      <c r="E2461">
        <v>4441</v>
      </c>
      <c r="F2461" s="3">
        <v>209</v>
      </c>
      <c r="G2461">
        <v>17</v>
      </c>
      <c r="H2461">
        <v>10</v>
      </c>
      <c r="I2461" s="5">
        <v>5.8139534883720902E-2</v>
      </c>
      <c r="J2461" s="3">
        <v>467.142857142857</v>
      </c>
      <c r="K2461" s="1">
        <v>45625</v>
      </c>
      <c r="L2461" t="s">
        <v>25</v>
      </c>
      <c r="M2461" t="s">
        <v>26</v>
      </c>
      <c r="N2461" t="s">
        <v>36</v>
      </c>
      <c r="O2461" t="s">
        <v>28</v>
      </c>
      <c r="P2461" t="s">
        <v>45</v>
      </c>
      <c r="Q2461" s="6">
        <v>1.21616279069767</v>
      </c>
      <c r="R2461">
        <v>3.87</v>
      </c>
      <c r="S2461">
        <v>12.3</v>
      </c>
      <c r="T2461">
        <v>20.92</v>
      </c>
      <c r="U2461">
        <v>123.32</v>
      </c>
      <c r="V2461">
        <v>46.71</v>
      </c>
      <c r="W2461">
        <v>2.23</v>
      </c>
    </row>
    <row r="2462" spans="1:23" x14ac:dyDescent="0.3">
      <c r="A2462">
        <v>2463</v>
      </c>
      <c r="B2462" t="s">
        <v>2505</v>
      </c>
      <c r="C2462" t="s">
        <v>38</v>
      </c>
      <c r="D2462">
        <v>105</v>
      </c>
      <c r="E2462">
        <v>3000</v>
      </c>
      <c r="F2462" s="3">
        <v>186</v>
      </c>
      <c r="G2462">
        <v>17</v>
      </c>
      <c r="H2462">
        <v>6</v>
      </c>
      <c r="I2462" s="5">
        <v>5.7142857142857099E-2</v>
      </c>
      <c r="J2462" s="3">
        <v>407</v>
      </c>
      <c r="K2462" s="1">
        <v>45625</v>
      </c>
      <c r="L2462" t="s">
        <v>25</v>
      </c>
      <c r="M2462" t="s">
        <v>31</v>
      </c>
      <c r="N2462" t="s">
        <v>36</v>
      </c>
      <c r="O2462" t="s">
        <v>28</v>
      </c>
      <c r="P2462" t="s">
        <v>45</v>
      </c>
      <c r="Q2462" s="6">
        <v>1.77114285714285</v>
      </c>
      <c r="R2462">
        <v>3.5</v>
      </c>
      <c r="S2462">
        <v>10.94</v>
      </c>
      <c r="T2462">
        <v>31</v>
      </c>
      <c r="U2462">
        <v>118.85</v>
      </c>
      <c r="V2462">
        <v>67.83</v>
      </c>
      <c r="W2462">
        <v>2.19</v>
      </c>
    </row>
    <row r="2463" spans="1:23" x14ac:dyDescent="0.3">
      <c r="A2463">
        <v>2464</v>
      </c>
      <c r="B2463" t="s">
        <v>2506</v>
      </c>
      <c r="C2463" t="s">
        <v>35</v>
      </c>
      <c r="D2463">
        <v>181</v>
      </c>
      <c r="E2463">
        <v>4156</v>
      </c>
      <c r="F2463" s="3">
        <v>246</v>
      </c>
      <c r="G2463">
        <v>22</v>
      </c>
      <c r="H2463">
        <v>10</v>
      </c>
      <c r="I2463" s="5">
        <v>5.5248618784530301E-2</v>
      </c>
      <c r="J2463" s="3">
        <v>273</v>
      </c>
      <c r="K2463" s="1">
        <v>45610</v>
      </c>
      <c r="L2463" t="s">
        <v>25</v>
      </c>
      <c r="M2463" t="s">
        <v>31</v>
      </c>
      <c r="N2463" t="s">
        <v>27</v>
      </c>
      <c r="O2463" t="s">
        <v>28</v>
      </c>
      <c r="P2463" t="s">
        <v>54</v>
      </c>
      <c r="Q2463" s="6">
        <v>1.3573480662983399</v>
      </c>
      <c r="R2463">
        <v>4.3600000000000003</v>
      </c>
      <c r="S2463">
        <v>11.17</v>
      </c>
      <c r="T2463">
        <v>24.57</v>
      </c>
      <c r="U2463">
        <v>11.12</v>
      </c>
      <c r="V2463">
        <v>27.3</v>
      </c>
      <c r="W2463">
        <v>1.1100000000000001</v>
      </c>
    </row>
    <row r="2464" spans="1:23" x14ac:dyDescent="0.3">
      <c r="A2464">
        <v>2465</v>
      </c>
      <c r="B2464" t="s">
        <v>2507</v>
      </c>
      <c r="C2464" t="s">
        <v>43</v>
      </c>
      <c r="D2464">
        <v>172</v>
      </c>
      <c r="E2464">
        <v>5314</v>
      </c>
      <c r="F2464" s="3">
        <v>241</v>
      </c>
      <c r="G2464">
        <v>14</v>
      </c>
      <c r="H2464">
        <v>9</v>
      </c>
      <c r="I2464" s="5">
        <v>5.2325581395348798E-2</v>
      </c>
      <c r="J2464" s="3">
        <v>408</v>
      </c>
      <c r="K2464" s="1">
        <v>45619</v>
      </c>
      <c r="L2464" t="s">
        <v>25</v>
      </c>
      <c r="M2464" t="s">
        <v>39</v>
      </c>
      <c r="N2464" t="s">
        <v>27</v>
      </c>
      <c r="O2464" t="s">
        <v>28</v>
      </c>
      <c r="P2464" t="s">
        <v>29</v>
      </c>
      <c r="Q2464" s="6">
        <v>1.3993604651162701</v>
      </c>
      <c r="R2464">
        <v>3.24</v>
      </c>
      <c r="S2464">
        <v>17.190000000000001</v>
      </c>
      <c r="T2464">
        <v>26.74</v>
      </c>
      <c r="U2464">
        <v>69.510000000000005</v>
      </c>
      <c r="V2464">
        <v>45.33</v>
      </c>
      <c r="W2464">
        <v>1.7</v>
      </c>
    </row>
    <row r="2465" spans="1:23" x14ac:dyDescent="0.3">
      <c r="A2465">
        <v>2466</v>
      </c>
      <c r="B2465" t="s">
        <v>2508</v>
      </c>
      <c r="C2465" t="s">
        <v>35</v>
      </c>
      <c r="D2465">
        <v>98</v>
      </c>
      <c r="E2465">
        <v>4655</v>
      </c>
      <c r="F2465" s="3">
        <v>183</v>
      </c>
      <c r="G2465">
        <v>21</v>
      </c>
      <c r="H2465">
        <v>10</v>
      </c>
      <c r="I2465" s="5">
        <v>0.10204081632653</v>
      </c>
      <c r="J2465" s="3">
        <v>391</v>
      </c>
      <c r="K2465" s="1">
        <v>45621</v>
      </c>
      <c r="L2465" t="s">
        <v>25</v>
      </c>
      <c r="M2465" t="s">
        <v>26</v>
      </c>
      <c r="N2465" t="s">
        <v>32</v>
      </c>
      <c r="O2465" t="s">
        <v>28</v>
      </c>
      <c r="P2465" t="s">
        <v>59</v>
      </c>
      <c r="Q2465" s="6">
        <v>1.86724489795918</v>
      </c>
      <c r="R2465">
        <v>2.11</v>
      </c>
      <c r="S2465">
        <v>8.7100000000000009</v>
      </c>
      <c r="T2465">
        <v>18.3</v>
      </c>
      <c r="U2465">
        <v>113.67</v>
      </c>
      <c r="V2465">
        <v>39.1</v>
      </c>
      <c r="W2465">
        <v>2.14</v>
      </c>
    </row>
    <row r="2466" spans="1:23" x14ac:dyDescent="0.3">
      <c r="A2466">
        <v>2467</v>
      </c>
      <c r="B2466" t="s">
        <v>2509</v>
      </c>
      <c r="C2466" t="s">
        <v>43</v>
      </c>
      <c r="D2466">
        <v>92</v>
      </c>
      <c r="E2466">
        <v>3226</v>
      </c>
      <c r="F2466" s="3">
        <v>236</v>
      </c>
      <c r="G2466">
        <v>17</v>
      </c>
      <c r="H2466">
        <v>6</v>
      </c>
      <c r="I2466" s="5">
        <v>6.5217391304347797E-2</v>
      </c>
      <c r="J2466" s="3">
        <v>301</v>
      </c>
      <c r="K2466" s="1">
        <v>45606</v>
      </c>
      <c r="L2466" t="s">
        <v>25</v>
      </c>
      <c r="M2466" t="s">
        <v>39</v>
      </c>
      <c r="N2466" t="s">
        <v>40</v>
      </c>
      <c r="O2466" t="s">
        <v>28</v>
      </c>
      <c r="P2466" t="s">
        <v>50</v>
      </c>
      <c r="Q2466" s="6">
        <v>2.56815217391304</v>
      </c>
      <c r="R2466">
        <v>2.85</v>
      </c>
      <c r="S2466">
        <v>13.9</v>
      </c>
      <c r="T2466">
        <v>39.380000000000003</v>
      </c>
      <c r="U2466">
        <v>27.4</v>
      </c>
      <c r="V2466">
        <v>50.17</v>
      </c>
      <c r="W2466">
        <v>1.27</v>
      </c>
    </row>
    <row r="2467" spans="1:23" x14ac:dyDescent="0.3">
      <c r="A2467">
        <v>2468</v>
      </c>
      <c r="B2467" t="s">
        <v>2510</v>
      </c>
      <c r="C2467" t="s">
        <v>38</v>
      </c>
      <c r="D2467">
        <v>102</v>
      </c>
      <c r="E2467">
        <v>5246</v>
      </c>
      <c r="F2467" s="3">
        <v>235</v>
      </c>
      <c r="G2467">
        <v>20</v>
      </c>
      <c r="H2467">
        <v>4</v>
      </c>
      <c r="I2467" s="5">
        <v>3.9215686274509803E-2</v>
      </c>
      <c r="J2467" s="3">
        <v>388</v>
      </c>
      <c r="K2467" s="1">
        <v>45621</v>
      </c>
      <c r="L2467" t="s">
        <v>25</v>
      </c>
      <c r="M2467" t="s">
        <v>39</v>
      </c>
      <c r="N2467" t="s">
        <v>40</v>
      </c>
      <c r="O2467" t="s">
        <v>28</v>
      </c>
      <c r="P2467" t="s">
        <v>59</v>
      </c>
      <c r="Q2467" s="6">
        <v>2.3010784313725399</v>
      </c>
      <c r="R2467">
        <v>1.94</v>
      </c>
      <c r="S2467">
        <v>11.74</v>
      </c>
      <c r="T2467">
        <v>58.68</v>
      </c>
      <c r="U2467">
        <v>65.31</v>
      </c>
      <c r="V2467">
        <v>97</v>
      </c>
      <c r="W2467">
        <v>1.65</v>
      </c>
    </row>
    <row r="2468" spans="1:23" x14ac:dyDescent="0.3">
      <c r="A2468">
        <v>2469</v>
      </c>
      <c r="B2468" t="s">
        <v>2511</v>
      </c>
      <c r="C2468" t="s">
        <v>38</v>
      </c>
      <c r="D2468">
        <v>143</v>
      </c>
      <c r="E2468">
        <v>5545</v>
      </c>
      <c r="F2468" s="3">
        <v>247</v>
      </c>
      <c r="G2468">
        <v>26</v>
      </c>
      <c r="H2468">
        <v>9</v>
      </c>
      <c r="I2468" s="5">
        <v>6.2937062937062901E-2</v>
      </c>
      <c r="J2468" s="3">
        <v>226</v>
      </c>
      <c r="K2468" s="1">
        <v>45604</v>
      </c>
      <c r="L2468" t="s">
        <v>25</v>
      </c>
      <c r="M2468" t="s">
        <v>31</v>
      </c>
      <c r="N2468" t="s">
        <v>27</v>
      </c>
      <c r="O2468" t="s">
        <v>28</v>
      </c>
      <c r="P2468" t="s">
        <v>45</v>
      </c>
      <c r="Q2468" s="6">
        <v>1.7247552447552399</v>
      </c>
      <c r="R2468">
        <v>2.58</v>
      </c>
      <c r="S2468">
        <v>9.49</v>
      </c>
      <c r="T2468">
        <v>27.4</v>
      </c>
      <c r="U2468">
        <v>-8.3699999999999992</v>
      </c>
      <c r="V2468">
        <v>25.11</v>
      </c>
      <c r="W2468">
        <v>0.92</v>
      </c>
    </row>
    <row r="2469" spans="1:23" x14ac:dyDescent="0.3">
      <c r="A2469">
        <v>2470</v>
      </c>
      <c r="B2469" t="s">
        <v>2512</v>
      </c>
      <c r="C2469" t="s">
        <v>43</v>
      </c>
      <c r="D2469">
        <v>111</v>
      </c>
      <c r="E2469">
        <v>4069</v>
      </c>
      <c r="F2469" s="3">
        <v>204</v>
      </c>
      <c r="G2469">
        <v>25</v>
      </c>
      <c r="H2469">
        <v>4</v>
      </c>
      <c r="I2469" s="5">
        <v>3.6036036036036001E-2</v>
      </c>
      <c r="J2469" s="3">
        <v>352</v>
      </c>
      <c r="K2469" s="1">
        <v>45603</v>
      </c>
      <c r="L2469" t="s">
        <v>25</v>
      </c>
      <c r="M2469" t="s">
        <v>31</v>
      </c>
      <c r="N2469" t="s">
        <v>40</v>
      </c>
      <c r="O2469" t="s">
        <v>28</v>
      </c>
      <c r="P2469" t="s">
        <v>54</v>
      </c>
      <c r="Q2469" s="6">
        <v>1.83396396396396</v>
      </c>
      <c r="R2469">
        <v>2.73</v>
      </c>
      <c r="S2469">
        <v>8.14</v>
      </c>
      <c r="T2469">
        <v>50.89</v>
      </c>
      <c r="U2469">
        <v>72.91</v>
      </c>
      <c r="V2469">
        <v>88</v>
      </c>
      <c r="W2469">
        <v>1.73</v>
      </c>
    </row>
    <row r="2470" spans="1:23" x14ac:dyDescent="0.3">
      <c r="A2470">
        <v>2471</v>
      </c>
      <c r="B2470" t="s">
        <v>2513</v>
      </c>
      <c r="C2470" t="s">
        <v>43</v>
      </c>
      <c r="D2470">
        <v>116</v>
      </c>
      <c r="E2470">
        <v>4689</v>
      </c>
      <c r="F2470" s="3">
        <v>199</v>
      </c>
      <c r="G2470">
        <v>27</v>
      </c>
      <c r="H2470">
        <v>3</v>
      </c>
      <c r="I2470" s="5">
        <v>2.5862068965517199E-2</v>
      </c>
      <c r="J2470" s="3">
        <v>317</v>
      </c>
      <c r="K2470" s="1">
        <v>45620</v>
      </c>
      <c r="L2470" t="s">
        <v>25</v>
      </c>
      <c r="M2470" t="s">
        <v>31</v>
      </c>
      <c r="N2470" t="s">
        <v>40</v>
      </c>
      <c r="O2470" t="s">
        <v>28</v>
      </c>
      <c r="P2470" t="s">
        <v>50</v>
      </c>
      <c r="Q2470" s="6">
        <v>1.71465517241379</v>
      </c>
      <c r="R2470">
        <v>2.4700000000000002</v>
      </c>
      <c r="S2470">
        <v>7.37</v>
      </c>
      <c r="T2470">
        <v>66.3</v>
      </c>
      <c r="U2470">
        <v>59.38</v>
      </c>
      <c r="V2470">
        <v>105.67</v>
      </c>
      <c r="W2470">
        <v>1.59</v>
      </c>
    </row>
    <row r="2471" spans="1:23" x14ac:dyDescent="0.3">
      <c r="A2471">
        <v>2472</v>
      </c>
      <c r="B2471" t="s">
        <v>2514</v>
      </c>
      <c r="C2471" t="s">
        <v>38</v>
      </c>
      <c r="D2471">
        <v>148</v>
      </c>
      <c r="E2471">
        <v>3907</v>
      </c>
      <c r="F2471" s="3">
        <v>199</v>
      </c>
      <c r="G2471">
        <v>11</v>
      </c>
      <c r="H2471">
        <v>7</v>
      </c>
      <c r="I2471" s="5">
        <v>4.72972972972973E-2</v>
      </c>
      <c r="J2471" s="3">
        <v>256</v>
      </c>
      <c r="K2471" s="1">
        <v>45616</v>
      </c>
      <c r="L2471" t="s">
        <v>25</v>
      </c>
      <c r="M2471" t="s">
        <v>26</v>
      </c>
      <c r="N2471" t="s">
        <v>36</v>
      </c>
      <c r="O2471" t="s">
        <v>28</v>
      </c>
      <c r="P2471" t="s">
        <v>33</v>
      </c>
      <c r="Q2471" s="6">
        <v>1.3474999999999999</v>
      </c>
      <c r="R2471">
        <v>3.79</v>
      </c>
      <c r="S2471">
        <v>18.13</v>
      </c>
      <c r="T2471">
        <v>28.49</v>
      </c>
      <c r="U2471">
        <v>28.37</v>
      </c>
      <c r="V2471">
        <v>36.57</v>
      </c>
      <c r="W2471">
        <v>1.28</v>
      </c>
    </row>
    <row r="2472" spans="1:23" x14ac:dyDescent="0.3">
      <c r="A2472">
        <v>2473</v>
      </c>
      <c r="B2472" t="s">
        <v>2515</v>
      </c>
      <c r="C2472" t="s">
        <v>43</v>
      </c>
      <c r="D2472">
        <v>90</v>
      </c>
      <c r="E2472">
        <v>5137</v>
      </c>
      <c r="F2472" s="3">
        <v>220</v>
      </c>
      <c r="G2472">
        <v>21</v>
      </c>
      <c r="H2472">
        <v>7</v>
      </c>
      <c r="I2472" s="5">
        <v>7.7777777777777696E-2</v>
      </c>
      <c r="J2472" s="3">
        <v>400</v>
      </c>
      <c r="K2472" s="1">
        <v>45626</v>
      </c>
      <c r="L2472" t="s">
        <v>25</v>
      </c>
      <c r="M2472" t="s">
        <v>31</v>
      </c>
      <c r="N2472" t="s">
        <v>44</v>
      </c>
      <c r="O2472" t="s">
        <v>28</v>
      </c>
      <c r="P2472" t="s">
        <v>29</v>
      </c>
      <c r="Q2472" s="6">
        <v>2.4404444444444402</v>
      </c>
      <c r="R2472">
        <v>1.75</v>
      </c>
      <c r="S2472">
        <v>10.46</v>
      </c>
      <c r="T2472">
        <v>31.38</v>
      </c>
      <c r="U2472">
        <v>82.12</v>
      </c>
      <c r="V2472">
        <v>57.14</v>
      </c>
      <c r="W2472">
        <v>1.82</v>
      </c>
    </row>
    <row r="2473" spans="1:23" x14ac:dyDescent="0.3">
      <c r="A2473">
        <v>2474</v>
      </c>
      <c r="B2473" t="s">
        <v>2516</v>
      </c>
      <c r="C2473" t="s">
        <v>38</v>
      </c>
      <c r="D2473">
        <v>80</v>
      </c>
      <c r="E2473">
        <v>3836</v>
      </c>
      <c r="F2473" s="3">
        <v>209</v>
      </c>
      <c r="G2473">
        <v>20</v>
      </c>
      <c r="H2473">
        <v>7</v>
      </c>
      <c r="I2473" s="5">
        <v>8.7499999999999994E-2</v>
      </c>
      <c r="J2473" s="3">
        <v>395</v>
      </c>
      <c r="K2473" s="1">
        <v>45624</v>
      </c>
      <c r="L2473" t="s">
        <v>25</v>
      </c>
      <c r="M2473" t="s">
        <v>39</v>
      </c>
      <c r="N2473" t="s">
        <v>44</v>
      </c>
      <c r="O2473" t="s">
        <v>28</v>
      </c>
      <c r="P2473" t="s">
        <v>54</v>
      </c>
      <c r="Q2473" s="6">
        <v>2.6171250000000001</v>
      </c>
      <c r="R2473">
        <v>2.09</v>
      </c>
      <c r="S2473">
        <v>10.47</v>
      </c>
      <c r="T2473">
        <v>29.91</v>
      </c>
      <c r="U2473">
        <v>88.66</v>
      </c>
      <c r="V2473">
        <v>56.43</v>
      </c>
      <c r="W2473">
        <v>1.89</v>
      </c>
    </row>
    <row r="2474" spans="1:23" x14ac:dyDescent="0.3">
      <c r="A2474">
        <v>2475</v>
      </c>
      <c r="B2474" t="s">
        <v>2517</v>
      </c>
      <c r="C2474" t="s">
        <v>24</v>
      </c>
      <c r="D2474">
        <v>188</v>
      </c>
      <c r="E2474">
        <v>4727</v>
      </c>
      <c r="F2474" s="3">
        <v>246</v>
      </c>
      <c r="G2474">
        <v>12</v>
      </c>
      <c r="H2474">
        <v>6</v>
      </c>
      <c r="I2474" s="5">
        <v>3.1914893617021198E-2</v>
      </c>
      <c r="J2474" s="3">
        <v>270</v>
      </c>
      <c r="K2474" s="1">
        <v>45620</v>
      </c>
      <c r="L2474" t="s">
        <v>25</v>
      </c>
      <c r="M2474" t="s">
        <v>31</v>
      </c>
      <c r="N2474" t="s">
        <v>27</v>
      </c>
      <c r="O2474" t="s">
        <v>28</v>
      </c>
      <c r="P2474" t="s">
        <v>50</v>
      </c>
      <c r="Q2474" s="6">
        <v>1.30632978723404</v>
      </c>
      <c r="R2474">
        <v>3.98</v>
      </c>
      <c r="S2474">
        <v>20.47</v>
      </c>
      <c r="T2474">
        <v>40.93</v>
      </c>
      <c r="U2474">
        <v>9.94</v>
      </c>
      <c r="V2474">
        <v>45</v>
      </c>
      <c r="W2474">
        <v>1.1000000000000001</v>
      </c>
    </row>
    <row r="2475" spans="1:23" x14ac:dyDescent="0.3">
      <c r="A2475">
        <v>2476</v>
      </c>
      <c r="B2475" t="s">
        <v>2518</v>
      </c>
      <c r="C2475" t="s">
        <v>35</v>
      </c>
      <c r="D2475">
        <v>114</v>
      </c>
      <c r="E2475">
        <v>3880</v>
      </c>
      <c r="F2475" s="3">
        <v>174</v>
      </c>
      <c r="G2475">
        <v>18</v>
      </c>
      <c r="H2475">
        <v>3</v>
      </c>
      <c r="I2475" s="5">
        <v>2.6315789473684199E-2</v>
      </c>
      <c r="J2475" s="3">
        <v>248</v>
      </c>
      <c r="K2475" s="1">
        <v>45614</v>
      </c>
      <c r="L2475" t="s">
        <v>25</v>
      </c>
      <c r="M2475" t="s">
        <v>31</v>
      </c>
      <c r="N2475" t="s">
        <v>36</v>
      </c>
      <c r="O2475" t="s">
        <v>28</v>
      </c>
      <c r="P2475" t="s">
        <v>59</v>
      </c>
      <c r="Q2475" s="6">
        <v>1.5243795620437901</v>
      </c>
      <c r="R2475">
        <v>2.94</v>
      </c>
      <c r="S2475">
        <v>9.65</v>
      </c>
      <c r="T2475">
        <v>57.93</v>
      </c>
      <c r="U2475">
        <v>42.71</v>
      </c>
      <c r="V2475">
        <v>82.67</v>
      </c>
      <c r="W2475">
        <v>1.43</v>
      </c>
    </row>
    <row r="2476" spans="1:23" x14ac:dyDescent="0.3">
      <c r="A2476">
        <v>2477</v>
      </c>
      <c r="B2476" t="s">
        <v>2519</v>
      </c>
      <c r="C2476" t="s">
        <v>24</v>
      </c>
      <c r="D2476">
        <v>112</v>
      </c>
      <c r="E2476">
        <v>3639</v>
      </c>
      <c r="F2476" s="3">
        <v>186</v>
      </c>
      <c r="G2476">
        <v>27</v>
      </c>
      <c r="H2476">
        <v>7</v>
      </c>
      <c r="I2476" s="5">
        <v>6.25E-2</v>
      </c>
      <c r="J2476" s="3">
        <v>310</v>
      </c>
      <c r="K2476" s="1">
        <v>45613</v>
      </c>
      <c r="L2476" t="s">
        <v>25</v>
      </c>
      <c r="M2476" t="s">
        <v>39</v>
      </c>
      <c r="N2476" t="s">
        <v>49</v>
      </c>
      <c r="O2476" t="s">
        <v>28</v>
      </c>
      <c r="P2476" t="s">
        <v>50</v>
      </c>
      <c r="Q2476" s="6">
        <v>1.6571428571428499</v>
      </c>
      <c r="R2476">
        <v>3.08</v>
      </c>
      <c r="S2476">
        <v>6.87</v>
      </c>
      <c r="T2476">
        <v>26.51</v>
      </c>
      <c r="U2476">
        <v>67.03</v>
      </c>
      <c r="V2476">
        <v>44.29</v>
      </c>
      <c r="W2476">
        <v>1.67</v>
      </c>
    </row>
    <row r="2477" spans="1:23" x14ac:dyDescent="0.3">
      <c r="A2477">
        <v>2478</v>
      </c>
      <c r="B2477" t="s">
        <v>2520</v>
      </c>
      <c r="C2477" t="s">
        <v>38</v>
      </c>
      <c r="D2477">
        <v>96</v>
      </c>
      <c r="E2477">
        <v>3858</v>
      </c>
      <c r="F2477" s="3">
        <v>200</v>
      </c>
      <c r="G2477">
        <v>15</v>
      </c>
      <c r="H2477">
        <v>7</v>
      </c>
      <c r="I2477" s="5">
        <v>7.2916666666666602E-2</v>
      </c>
      <c r="J2477" s="3">
        <v>341</v>
      </c>
      <c r="K2477" s="1">
        <v>45611</v>
      </c>
      <c r="L2477" t="s">
        <v>25</v>
      </c>
      <c r="M2477" t="s">
        <v>31</v>
      </c>
      <c r="N2477" t="s">
        <v>36</v>
      </c>
      <c r="O2477" t="s">
        <v>28</v>
      </c>
      <c r="P2477" t="s">
        <v>45</v>
      </c>
      <c r="Q2477" s="6">
        <v>2.0813541666666602</v>
      </c>
      <c r="R2477">
        <v>2.4900000000000002</v>
      </c>
      <c r="S2477">
        <v>13.32</v>
      </c>
      <c r="T2477">
        <v>28.54</v>
      </c>
      <c r="U2477">
        <v>70.66</v>
      </c>
      <c r="V2477">
        <v>48.71</v>
      </c>
      <c r="W2477">
        <v>1.71</v>
      </c>
    </row>
    <row r="2478" spans="1:23" x14ac:dyDescent="0.3">
      <c r="A2478">
        <v>2479</v>
      </c>
      <c r="B2478" t="s">
        <v>2521</v>
      </c>
      <c r="C2478" t="s">
        <v>43</v>
      </c>
      <c r="D2478">
        <v>112</v>
      </c>
      <c r="E2478">
        <v>3699</v>
      </c>
      <c r="F2478" s="3">
        <v>186</v>
      </c>
      <c r="G2478">
        <v>23</v>
      </c>
      <c r="H2478">
        <v>5</v>
      </c>
      <c r="I2478" s="5">
        <v>4.4642857142857102E-2</v>
      </c>
      <c r="J2478" s="3">
        <v>249</v>
      </c>
      <c r="K2478" s="1">
        <v>45619</v>
      </c>
      <c r="L2478" t="s">
        <v>25</v>
      </c>
      <c r="M2478" t="s">
        <v>39</v>
      </c>
      <c r="N2478" t="s">
        <v>49</v>
      </c>
      <c r="O2478" t="s">
        <v>28</v>
      </c>
      <c r="P2478" t="s">
        <v>29</v>
      </c>
      <c r="Q2478" s="6">
        <v>1.6626785714285699</v>
      </c>
      <c r="R2478">
        <v>3.03</v>
      </c>
      <c r="S2478">
        <v>8.1</v>
      </c>
      <c r="T2478">
        <v>37.24</v>
      </c>
      <c r="U2478">
        <v>33.71</v>
      </c>
      <c r="V2478">
        <v>49.8</v>
      </c>
      <c r="W2478">
        <v>1.34</v>
      </c>
    </row>
    <row r="2479" spans="1:23" x14ac:dyDescent="0.3">
      <c r="A2479">
        <v>2480</v>
      </c>
      <c r="B2479" t="s">
        <v>2522</v>
      </c>
      <c r="C2479" t="s">
        <v>24</v>
      </c>
      <c r="D2479">
        <v>172</v>
      </c>
      <c r="E2479">
        <v>5955</v>
      </c>
      <c r="F2479" s="3">
        <v>216</v>
      </c>
      <c r="G2479">
        <v>15</v>
      </c>
      <c r="H2479">
        <v>7</v>
      </c>
      <c r="I2479" s="5">
        <v>4.0697674418604599E-2</v>
      </c>
      <c r="J2479" s="3">
        <v>270</v>
      </c>
      <c r="K2479" s="1">
        <v>45598</v>
      </c>
      <c r="L2479" t="s">
        <v>25</v>
      </c>
      <c r="M2479" t="s">
        <v>31</v>
      </c>
      <c r="N2479" t="s">
        <v>27</v>
      </c>
      <c r="O2479" t="s">
        <v>28</v>
      </c>
      <c r="P2479" t="s">
        <v>29</v>
      </c>
      <c r="Q2479" s="6">
        <v>1.25622093023255</v>
      </c>
      <c r="R2479">
        <v>2.89</v>
      </c>
      <c r="S2479">
        <v>14.4</v>
      </c>
      <c r="T2479">
        <v>30.87</v>
      </c>
      <c r="U2479">
        <v>24.96</v>
      </c>
      <c r="V2479">
        <v>38.57</v>
      </c>
      <c r="W2479">
        <v>1.25</v>
      </c>
    </row>
    <row r="2480" spans="1:23" x14ac:dyDescent="0.3">
      <c r="A2480">
        <v>2481</v>
      </c>
      <c r="B2480" t="s">
        <v>2523</v>
      </c>
      <c r="C2480" t="s">
        <v>24</v>
      </c>
      <c r="D2480">
        <v>134</v>
      </c>
      <c r="E2480">
        <v>5520</v>
      </c>
      <c r="F2480" s="3">
        <v>189</v>
      </c>
      <c r="G2480">
        <v>22</v>
      </c>
      <c r="H2480">
        <v>10</v>
      </c>
      <c r="I2480" s="5">
        <v>7.4626865671641701E-2</v>
      </c>
      <c r="J2480" s="3">
        <v>269</v>
      </c>
      <c r="K2480" s="1">
        <v>45626</v>
      </c>
      <c r="L2480" t="s">
        <v>25</v>
      </c>
      <c r="M2480" t="s">
        <v>26</v>
      </c>
      <c r="N2480" t="s">
        <v>36</v>
      </c>
      <c r="O2480" t="s">
        <v>28</v>
      </c>
      <c r="P2480" t="s">
        <v>29</v>
      </c>
      <c r="Q2480" s="6">
        <v>1.4136567164179099</v>
      </c>
      <c r="R2480">
        <v>2.4300000000000002</v>
      </c>
      <c r="S2480">
        <v>8.61</v>
      </c>
      <c r="T2480">
        <v>18.940000000000001</v>
      </c>
      <c r="U2480">
        <v>42</v>
      </c>
      <c r="V2480">
        <v>26.9</v>
      </c>
      <c r="W2480">
        <v>1.42</v>
      </c>
    </row>
    <row r="2481" spans="1:23" x14ac:dyDescent="0.3">
      <c r="A2481">
        <v>2482</v>
      </c>
      <c r="B2481" t="s">
        <v>2524</v>
      </c>
      <c r="C2481" t="s">
        <v>35</v>
      </c>
      <c r="D2481">
        <v>148</v>
      </c>
      <c r="E2481">
        <v>3884</v>
      </c>
      <c r="F2481" s="3">
        <v>233</v>
      </c>
      <c r="G2481">
        <v>14</v>
      </c>
      <c r="H2481">
        <v>5</v>
      </c>
      <c r="I2481" s="5">
        <v>3.3783783783783702E-2</v>
      </c>
      <c r="J2481" s="3">
        <v>232</v>
      </c>
      <c r="K2481" s="1">
        <v>45607</v>
      </c>
      <c r="L2481" t="s">
        <v>25</v>
      </c>
      <c r="M2481" t="s">
        <v>31</v>
      </c>
      <c r="N2481" t="s">
        <v>36</v>
      </c>
      <c r="O2481" t="s">
        <v>28</v>
      </c>
      <c r="P2481" t="s">
        <v>59</v>
      </c>
      <c r="Q2481" s="6">
        <v>1.57743243243243</v>
      </c>
      <c r="R2481">
        <v>3.81</v>
      </c>
      <c r="S2481">
        <v>16.68</v>
      </c>
      <c r="T2481">
        <v>46.69</v>
      </c>
      <c r="U2481">
        <v>-0.63</v>
      </c>
      <c r="V2481">
        <v>46.4</v>
      </c>
      <c r="W2481">
        <v>0.99</v>
      </c>
    </row>
    <row r="2482" spans="1:23" x14ac:dyDescent="0.3">
      <c r="A2482">
        <v>2483</v>
      </c>
      <c r="B2482" t="s">
        <v>2525</v>
      </c>
      <c r="C2482" t="s">
        <v>24</v>
      </c>
      <c r="D2482">
        <v>191</v>
      </c>
      <c r="E2482">
        <v>5361</v>
      </c>
      <c r="F2482" s="3">
        <v>220</v>
      </c>
      <c r="G2482">
        <v>17</v>
      </c>
      <c r="H2482">
        <v>10</v>
      </c>
      <c r="I2482" s="5">
        <v>5.23560209424083E-2</v>
      </c>
      <c r="J2482" s="3">
        <v>211</v>
      </c>
      <c r="K2482" s="1">
        <v>45605</v>
      </c>
      <c r="L2482" t="s">
        <v>25</v>
      </c>
      <c r="M2482" t="s">
        <v>31</v>
      </c>
      <c r="N2482" t="s">
        <v>49</v>
      </c>
      <c r="O2482" t="s">
        <v>28</v>
      </c>
      <c r="P2482" t="s">
        <v>29</v>
      </c>
      <c r="Q2482" s="6">
        <v>1.15204188481675</v>
      </c>
      <c r="R2482">
        <v>3.56</v>
      </c>
      <c r="S2482">
        <v>12.94</v>
      </c>
      <c r="T2482">
        <v>22</v>
      </c>
      <c r="U2482">
        <v>-4.1100000000000003</v>
      </c>
      <c r="V2482">
        <v>21.1</v>
      </c>
      <c r="W2482">
        <v>0.96</v>
      </c>
    </row>
    <row r="2483" spans="1:23" x14ac:dyDescent="0.3">
      <c r="A2483">
        <v>2484</v>
      </c>
      <c r="B2483" t="s">
        <v>2526</v>
      </c>
      <c r="C2483" t="s">
        <v>35</v>
      </c>
      <c r="D2483">
        <v>168</v>
      </c>
      <c r="E2483">
        <v>5384</v>
      </c>
      <c r="F2483" s="3">
        <v>236</v>
      </c>
      <c r="G2483">
        <v>28</v>
      </c>
      <c r="H2483">
        <v>3</v>
      </c>
      <c r="I2483" s="5">
        <v>1.7857142857142801E-2</v>
      </c>
      <c r="J2483" s="3">
        <v>140.142857142857</v>
      </c>
      <c r="K2483" s="1">
        <v>45612</v>
      </c>
      <c r="L2483" t="s">
        <v>25</v>
      </c>
      <c r="M2483" t="s">
        <v>31</v>
      </c>
      <c r="N2483" t="s">
        <v>32</v>
      </c>
      <c r="O2483" t="s">
        <v>28</v>
      </c>
      <c r="P2483" t="s">
        <v>29</v>
      </c>
      <c r="Q2483" s="6">
        <v>1.4026190476190401</v>
      </c>
      <c r="R2483">
        <v>3.12</v>
      </c>
      <c r="S2483">
        <v>8.42</v>
      </c>
      <c r="T2483">
        <v>78.55</v>
      </c>
      <c r="U2483">
        <v>-40.53</v>
      </c>
      <c r="V2483">
        <v>46.71</v>
      </c>
      <c r="W2483">
        <v>0.59</v>
      </c>
    </row>
    <row r="2484" spans="1:23" x14ac:dyDescent="0.3">
      <c r="A2484">
        <v>2485</v>
      </c>
      <c r="B2484" t="s">
        <v>2527</v>
      </c>
      <c r="C2484" t="s">
        <v>35</v>
      </c>
      <c r="D2484">
        <v>84</v>
      </c>
      <c r="E2484">
        <v>4388</v>
      </c>
      <c r="F2484" s="3">
        <v>239</v>
      </c>
      <c r="G2484">
        <v>29</v>
      </c>
      <c r="H2484">
        <v>4</v>
      </c>
      <c r="I2484" s="5">
        <v>4.7619047619047603E-2</v>
      </c>
      <c r="J2484" s="3">
        <v>259</v>
      </c>
      <c r="K2484" s="1">
        <v>45610</v>
      </c>
      <c r="L2484" t="s">
        <v>25</v>
      </c>
      <c r="M2484" t="s">
        <v>31</v>
      </c>
      <c r="N2484" t="s">
        <v>49</v>
      </c>
      <c r="O2484" t="s">
        <v>28</v>
      </c>
      <c r="P2484" t="s">
        <v>54</v>
      </c>
      <c r="Q2484" s="6">
        <v>2.84499999999999</v>
      </c>
      <c r="R2484">
        <v>1.91</v>
      </c>
      <c r="S2484">
        <v>8.24</v>
      </c>
      <c r="T2484">
        <v>59.74</v>
      </c>
      <c r="U2484">
        <v>8.3800000000000008</v>
      </c>
      <c r="V2484">
        <v>64.75</v>
      </c>
      <c r="W2484">
        <v>1.08</v>
      </c>
    </row>
    <row r="2485" spans="1:23" x14ac:dyDescent="0.3">
      <c r="A2485">
        <v>2486</v>
      </c>
      <c r="B2485" t="s">
        <v>2528</v>
      </c>
      <c r="C2485" t="s">
        <v>24</v>
      </c>
      <c r="D2485">
        <v>80</v>
      </c>
      <c r="E2485">
        <v>5699</v>
      </c>
      <c r="F2485" s="3">
        <v>214</v>
      </c>
      <c r="G2485">
        <v>17</v>
      </c>
      <c r="H2485">
        <v>6</v>
      </c>
      <c r="I2485" s="5">
        <v>7.4999999999999997E-2</v>
      </c>
      <c r="J2485" s="3">
        <v>308</v>
      </c>
      <c r="K2485" s="1">
        <v>45621</v>
      </c>
      <c r="L2485" t="s">
        <v>25</v>
      </c>
      <c r="M2485" t="s">
        <v>31</v>
      </c>
      <c r="N2485" t="s">
        <v>27</v>
      </c>
      <c r="O2485" t="s">
        <v>28</v>
      </c>
      <c r="P2485" t="s">
        <v>59</v>
      </c>
      <c r="Q2485" s="6">
        <v>2.6742499999999998</v>
      </c>
      <c r="R2485">
        <v>1.4</v>
      </c>
      <c r="S2485">
        <v>12.58</v>
      </c>
      <c r="T2485">
        <v>35.659999999999997</v>
      </c>
      <c r="U2485">
        <v>43.97</v>
      </c>
      <c r="V2485">
        <v>51.33</v>
      </c>
      <c r="W2485">
        <v>1.44</v>
      </c>
    </row>
    <row r="2486" spans="1:23" x14ac:dyDescent="0.3">
      <c r="A2486">
        <v>2487</v>
      </c>
      <c r="B2486" t="s">
        <v>2529</v>
      </c>
      <c r="C2486" t="s">
        <v>38</v>
      </c>
      <c r="D2486">
        <v>136</v>
      </c>
      <c r="E2486">
        <v>3705</v>
      </c>
      <c r="F2486" s="3">
        <v>212</v>
      </c>
      <c r="G2486">
        <v>16</v>
      </c>
      <c r="H2486">
        <v>9</v>
      </c>
      <c r="I2486" s="5">
        <v>6.6176470588235295E-2</v>
      </c>
      <c r="J2486" s="3">
        <v>300</v>
      </c>
      <c r="K2486" s="1">
        <v>45610</v>
      </c>
      <c r="L2486" t="s">
        <v>25</v>
      </c>
      <c r="M2486" t="s">
        <v>26</v>
      </c>
      <c r="N2486" t="s">
        <v>49</v>
      </c>
      <c r="O2486" t="s">
        <v>28</v>
      </c>
      <c r="P2486" t="s">
        <v>54</v>
      </c>
      <c r="Q2486" s="6">
        <v>1.5591911764705799</v>
      </c>
      <c r="R2486">
        <v>3.67</v>
      </c>
      <c r="S2486">
        <v>13.25</v>
      </c>
      <c r="T2486">
        <v>23.56</v>
      </c>
      <c r="U2486">
        <v>41.48</v>
      </c>
      <c r="V2486">
        <v>33.33</v>
      </c>
      <c r="W2486">
        <v>1.41</v>
      </c>
    </row>
    <row r="2487" spans="1:23" x14ac:dyDescent="0.3">
      <c r="A2487">
        <v>2488</v>
      </c>
      <c r="B2487" t="s">
        <v>2530</v>
      </c>
      <c r="C2487" t="s">
        <v>38</v>
      </c>
      <c r="D2487">
        <v>99</v>
      </c>
      <c r="E2487">
        <v>3256</v>
      </c>
      <c r="F2487" s="3">
        <v>233</v>
      </c>
      <c r="G2487">
        <v>15</v>
      </c>
      <c r="H2487">
        <v>7</v>
      </c>
      <c r="I2487" s="5">
        <v>7.0707070707070704E-2</v>
      </c>
      <c r="J2487" s="3">
        <v>226</v>
      </c>
      <c r="K2487" s="1">
        <v>45606</v>
      </c>
      <c r="L2487" t="s">
        <v>25</v>
      </c>
      <c r="M2487" t="s">
        <v>39</v>
      </c>
      <c r="N2487" t="s">
        <v>49</v>
      </c>
      <c r="O2487" t="s">
        <v>28</v>
      </c>
      <c r="P2487" t="s">
        <v>50</v>
      </c>
      <c r="Q2487" s="6">
        <v>2.3570707070707</v>
      </c>
      <c r="R2487">
        <v>3.04</v>
      </c>
      <c r="S2487">
        <v>15.56</v>
      </c>
      <c r="T2487">
        <v>33.340000000000003</v>
      </c>
      <c r="U2487">
        <v>-3.15</v>
      </c>
      <c r="V2487">
        <v>32.29</v>
      </c>
      <c r="W2487">
        <v>0.97</v>
      </c>
    </row>
    <row r="2488" spans="1:23" x14ac:dyDescent="0.3">
      <c r="A2488">
        <v>2489</v>
      </c>
      <c r="B2488" t="s">
        <v>2531</v>
      </c>
      <c r="C2488" t="s">
        <v>35</v>
      </c>
      <c r="D2488">
        <v>157</v>
      </c>
      <c r="E2488">
        <v>4026</v>
      </c>
      <c r="F2488" s="3">
        <v>193</v>
      </c>
      <c r="G2488">
        <v>19</v>
      </c>
      <c r="H2488">
        <v>3</v>
      </c>
      <c r="I2488" s="5">
        <v>1.9108280254777E-2</v>
      </c>
      <c r="J2488" s="3">
        <v>210</v>
      </c>
      <c r="K2488" s="1">
        <v>45605</v>
      </c>
      <c r="L2488" t="s">
        <v>25</v>
      </c>
      <c r="M2488" t="s">
        <v>39</v>
      </c>
      <c r="N2488" t="s">
        <v>49</v>
      </c>
      <c r="O2488" t="s">
        <v>28</v>
      </c>
      <c r="P2488" t="s">
        <v>29</v>
      </c>
      <c r="Q2488" s="6">
        <v>1.22732484076433</v>
      </c>
      <c r="R2488">
        <v>3.9</v>
      </c>
      <c r="S2488">
        <v>10.14</v>
      </c>
      <c r="T2488">
        <v>64.23</v>
      </c>
      <c r="U2488">
        <v>8.98</v>
      </c>
      <c r="V2488">
        <v>70</v>
      </c>
      <c r="W2488">
        <v>1.0900000000000001</v>
      </c>
    </row>
    <row r="2489" spans="1:23" x14ac:dyDescent="0.3">
      <c r="A2489">
        <v>2490</v>
      </c>
      <c r="B2489" t="s">
        <v>2532</v>
      </c>
      <c r="C2489" t="s">
        <v>24</v>
      </c>
      <c r="D2489">
        <v>95</v>
      </c>
      <c r="E2489">
        <v>3148</v>
      </c>
      <c r="F2489" s="3">
        <v>182</v>
      </c>
      <c r="G2489">
        <v>21</v>
      </c>
      <c r="H2489">
        <v>3</v>
      </c>
      <c r="I2489" s="5">
        <v>3.1578947368420998E-2</v>
      </c>
      <c r="J2489" s="3">
        <v>305</v>
      </c>
      <c r="K2489" s="1">
        <v>45618</v>
      </c>
      <c r="L2489" t="s">
        <v>25</v>
      </c>
      <c r="M2489" t="s">
        <v>39</v>
      </c>
      <c r="N2489" t="s">
        <v>32</v>
      </c>
      <c r="O2489" t="s">
        <v>28</v>
      </c>
      <c r="P2489" t="s">
        <v>45</v>
      </c>
      <c r="Q2489" s="6">
        <v>1.9209473684210501</v>
      </c>
      <c r="R2489">
        <v>3.02</v>
      </c>
      <c r="S2489">
        <v>8.69</v>
      </c>
      <c r="T2489">
        <v>60.83</v>
      </c>
      <c r="U2489">
        <v>67.13</v>
      </c>
      <c r="V2489">
        <v>101.67</v>
      </c>
      <c r="W2489">
        <v>1.67</v>
      </c>
    </row>
    <row r="2490" spans="1:23" x14ac:dyDescent="0.3">
      <c r="A2490">
        <v>2491</v>
      </c>
      <c r="B2490" t="s">
        <v>2533</v>
      </c>
      <c r="C2490" t="s">
        <v>38</v>
      </c>
      <c r="D2490">
        <v>137</v>
      </c>
      <c r="E2490">
        <v>5244</v>
      </c>
      <c r="F2490" s="3">
        <v>188</v>
      </c>
      <c r="G2490">
        <v>20</v>
      </c>
      <c r="H2490">
        <v>6</v>
      </c>
      <c r="I2490" s="5">
        <v>4.3795620437956199E-2</v>
      </c>
      <c r="J2490" s="3">
        <v>391</v>
      </c>
      <c r="K2490" s="1">
        <v>45607</v>
      </c>
      <c r="L2490" t="s">
        <v>25</v>
      </c>
      <c r="M2490" t="s">
        <v>39</v>
      </c>
      <c r="N2490" t="s">
        <v>44</v>
      </c>
      <c r="O2490" t="s">
        <v>28</v>
      </c>
      <c r="P2490" t="s">
        <v>59</v>
      </c>
      <c r="Q2490" s="6">
        <v>1.3707299270072899</v>
      </c>
      <c r="R2490">
        <v>2.61</v>
      </c>
      <c r="S2490">
        <v>9.39</v>
      </c>
      <c r="T2490">
        <v>31.3</v>
      </c>
      <c r="U2490">
        <v>108.21</v>
      </c>
      <c r="V2490">
        <v>65.17</v>
      </c>
      <c r="W2490">
        <v>2.08</v>
      </c>
    </row>
    <row r="2491" spans="1:23" x14ac:dyDescent="0.3">
      <c r="A2491">
        <v>2492</v>
      </c>
      <c r="B2491" t="s">
        <v>2534</v>
      </c>
      <c r="C2491" t="s">
        <v>35</v>
      </c>
      <c r="D2491">
        <v>121</v>
      </c>
      <c r="E2491">
        <v>5220</v>
      </c>
      <c r="F2491" s="3">
        <v>201</v>
      </c>
      <c r="G2491">
        <v>21</v>
      </c>
      <c r="H2491">
        <v>5</v>
      </c>
      <c r="I2491" s="5">
        <v>4.1322314049586702E-2</v>
      </c>
      <c r="J2491" s="3">
        <v>362</v>
      </c>
      <c r="K2491" s="1">
        <v>45609</v>
      </c>
      <c r="L2491" t="s">
        <v>25</v>
      </c>
      <c r="M2491" t="s">
        <v>26</v>
      </c>
      <c r="N2491" t="s">
        <v>36</v>
      </c>
      <c r="O2491" t="s">
        <v>28</v>
      </c>
      <c r="P2491" t="s">
        <v>33</v>
      </c>
      <c r="Q2491" s="6">
        <v>1.6609917355371899</v>
      </c>
      <c r="R2491">
        <v>2.3199999999999998</v>
      </c>
      <c r="S2491">
        <v>9.57</v>
      </c>
      <c r="T2491">
        <v>40.200000000000003</v>
      </c>
      <c r="U2491">
        <v>80.12</v>
      </c>
      <c r="V2491">
        <v>72.400000000000006</v>
      </c>
      <c r="W2491">
        <v>1.8</v>
      </c>
    </row>
    <row r="2492" spans="1:23" x14ac:dyDescent="0.3">
      <c r="A2492">
        <v>2493</v>
      </c>
      <c r="B2492" t="s">
        <v>2535</v>
      </c>
      <c r="C2492" t="s">
        <v>38</v>
      </c>
      <c r="D2492">
        <v>169</v>
      </c>
      <c r="E2492">
        <v>5430</v>
      </c>
      <c r="F2492" s="3">
        <v>233</v>
      </c>
      <c r="G2492">
        <v>27</v>
      </c>
      <c r="H2492">
        <v>8</v>
      </c>
      <c r="I2492" s="5">
        <v>4.7337278106508798E-2</v>
      </c>
      <c r="J2492" s="3">
        <v>408</v>
      </c>
      <c r="K2492" s="1">
        <v>45606</v>
      </c>
      <c r="L2492" t="s">
        <v>25</v>
      </c>
      <c r="M2492" t="s">
        <v>31</v>
      </c>
      <c r="N2492" t="s">
        <v>27</v>
      </c>
      <c r="O2492" t="s">
        <v>28</v>
      </c>
      <c r="P2492" t="s">
        <v>50</v>
      </c>
      <c r="Q2492" s="6">
        <v>1.3787573964497</v>
      </c>
      <c r="R2492">
        <v>3.11</v>
      </c>
      <c r="S2492">
        <v>8.6300000000000008</v>
      </c>
      <c r="T2492">
        <v>29.13</v>
      </c>
      <c r="U2492">
        <v>75.099999999999994</v>
      </c>
      <c r="V2492">
        <v>51</v>
      </c>
      <c r="W2492">
        <v>1.75</v>
      </c>
    </row>
    <row r="2493" spans="1:23" x14ac:dyDescent="0.3">
      <c r="A2493">
        <v>2494</v>
      </c>
      <c r="B2493" t="s">
        <v>2536</v>
      </c>
      <c r="C2493" t="s">
        <v>35</v>
      </c>
      <c r="D2493">
        <v>83</v>
      </c>
      <c r="E2493">
        <v>4693</v>
      </c>
      <c r="F2493" s="3">
        <v>188</v>
      </c>
      <c r="G2493">
        <v>24</v>
      </c>
      <c r="H2493">
        <v>6</v>
      </c>
      <c r="I2493" s="5">
        <v>7.2289156626505993E-2</v>
      </c>
      <c r="J2493" s="3">
        <v>314</v>
      </c>
      <c r="K2493" s="1">
        <v>45612</v>
      </c>
      <c r="L2493" t="s">
        <v>25</v>
      </c>
      <c r="M2493" t="s">
        <v>31</v>
      </c>
      <c r="N2493" t="s">
        <v>49</v>
      </c>
      <c r="O2493" t="s">
        <v>28</v>
      </c>
      <c r="P2493" t="s">
        <v>29</v>
      </c>
      <c r="Q2493" s="6">
        <v>2.2704819277108399</v>
      </c>
      <c r="R2493">
        <v>1.77</v>
      </c>
      <c r="S2493">
        <v>7.85</v>
      </c>
      <c r="T2493">
        <v>31.41</v>
      </c>
      <c r="U2493">
        <v>66.62</v>
      </c>
      <c r="V2493">
        <v>52.33</v>
      </c>
      <c r="W2493">
        <v>1.67</v>
      </c>
    </row>
    <row r="2494" spans="1:23" x14ac:dyDescent="0.3">
      <c r="A2494">
        <v>2495</v>
      </c>
      <c r="B2494" t="s">
        <v>2537</v>
      </c>
      <c r="C2494" t="s">
        <v>24</v>
      </c>
      <c r="D2494">
        <v>175</v>
      </c>
      <c r="E2494">
        <v>4723</v>
      </c>
      <c r="F2494" s="3">
        <v>238</v>
      </c>
      <c r="G2494">
        <v>19</v>
      </c>
      <c r="H2494">
        <v>8</v>
      </c>
      <c r="I2494" s="5">
        <v>4.57142857142857E-2</v>
      </c>
      <c r="J2494" s="3">
        <v>389</v>
      </c>
      <c r="K2494" s="1">
        <v>45608</v>
      </c>
      <c r="L2494" t="s">
        <v>25</v>
      </c>
      <c r="M2494" t="s">
        <v>31</v>
      </c>
      <c r="N2494" t="s">
        <v>44</v>
      </c>
      <c r="O2494" t="s">
        <v>28</v>
      </c>
      <c r="P2494" t="s">
        <v>41</v>
      </c>
      <c r="Q2494" s="6">
        <v>1.3595428571428501</v>
      </c>
      <c r="R2494">
        <v>3.71</v>
      </c>
      <c r="S2494">
        <v>12.52</v>
      </c>
      <c r="T2494">
        <v>29.74</v>
      </c>
      <c r="U2494">
        <v>63.5</v>
      </c>
      <c r="V2494">
        <v>48.62</v>
      </c>
      <c r="W2494">
        <v>1.64</v>
      </c>
    </row>
    <row r="2495" spans="1:23" x14ac:dyDescent="0.3">
      <c r="A2495">
        <v>2496</v>
      </c>
      <c r="B2495" t="s">
        <v>2538</v>
      </c>
      <c r="C2495" t="s">
        <v>43</v>
      </c>
      <c r="D2495">
        <v>123</v>
      </c>
      <c r="E2495">
        <v>5812</v>
      </c>
      <c r="F2495" s="3">
        <v>180</v>
      </c>
      <c r="G2495">
        <v>25</v>
      </c>
      <c r="H2495">
        <v>4</v>
      </c>
      <c r="I2495" s="5">
        <v>3.2520325203252001E-2</v>
      </c>
      <c r="J2495" s="3">
        <v>264</v>
      </c>
      <c r="K2495" s="1">
        <v>45617</v>
      </c>
      <c r="L2495" t="s">
        <v>25</v>
      </c>
      <c r="M2495" t="s">
        <v>39</v>
      </c>
      <c r="N2495" t="s">
        <v>36</v>
      </c>
      <c r="O2495" t="s">
        <v>28</v>
      </c>
      <c r="P2495" t="s">
        <v>54</v>
      </c>
      <c r="Q2495" s="6">
        <v>1.46430894308943</v>
      </c>
      <c r="R2495">
        <v>2.12</v>
      </c>
      <c r="S2495">
        <v>7.2</v>
      </c>
      <c r="T2495">
        <v>45.03</v>
      </c>
      <c r="U2495">
        <v>46.58</v>
      </c>
      <c r="V2495">
        <v>66</v>
      </c>
      <c r="W2495">
        <v>1.47</v>
      </c>
    </row>
    <row r="2496" spans="1:23" x14ac:dyDescent="0.3">
      <c r="A2496">
        <v>2497</v>
      </c>
      <c r="B2496" t="s">
        <v>2539</v>
      </c>
      <c r="C2496" t="s">
        <v>35</v>
      </c>
      <c r="D2496">
        <v>135</v>
      </c>
      <c r="E2496">
        <v>4611</v>
      </c>
      <c r="F2496" s="3">
        <v>212</v>
      </c>
      <c r="G2496">
        <v>17</v>
      </c>
      <c r="H2496">
        <v>7</v>
      </c>
      <c r="I2496" s="5">
        <v>5.1851851851851802E-2</v>
      </c>
      <c r="J2496" s="3">
        <v>346</v>
      </c>
      <c r="K2496" s="1">
        <v>45610</v>
      </c>
      <c r="L2496" t="s">
        <v>25</v>
      </c>
      <c r="M2496" t="s">
        <v>26</v>
      </c>
      <c r="N2496" t="s">
        <v>44</v>
      </c>
      <c r="O2496" t="s">
        <v>28</v>
      </c>
      <c r="P2496" t="s">
        <v>54</v>
      </c>
      <c r="Q2496" s="6">
        <v>1.56753061615001</v>
      </c>
      <c r="R2496">
        <v>2.93</v>
      </c>
      <c r="S2496">
        <v>12.45</v>
      </c>
      <c r="T2496">
        <v>30.23</v>
      </c>
      <c r="U2496">
        <v>63.5</v>
      </c>
      <c r="V2496">
        <v>49.43</v>
      </c>
      <c r="W2496">
        <v>1.64</v>
      </c>
    </row>
    <row r="2497" spans="1:23" x14ac:dyDescent="0.3">
      <c r="A2497">
        <v>2498</v>
      </c>
      <c r="B2497" t="s">
        <v>2540</v>
      </c>
      <c r="C2497" t="s">
        <v>43</v>
      </c>
      <c r="D2497">
        <v>126</v>
      </c>
      <c r="E2497">
        <v>4960</v>
      </c>
      <c r="F2497" s="3">
        <v>229</v>
      </c>
      <c r="G2497">
        <v>30</v>
      </c>
      <c r="H2497">
        <v>3</v>
      </c>
      <c r="I2497" s="5">
        <v>2.3809523809523801E-2</v>
      </c>
      <c r="J2497" s="3">
        <v>227</v>
      </c>
      <c r="K2497" s="1">
        <v>45622</v>
      </c>
      <c r="L2497" t="s">
        <v>25</v>
      </c>
      <c r="M2497" t="s">
        <v>31</v>
      </c>
      <c r="N2497" t="s">
        <v>44</v>
      </c>
      <c r="O2497" t="s">
        <v>28</v>
      </c>
      <c r="P2497" t="s">
        <v>41</v>
      </c>
      <c r="Q2497" s="6">
        <v>1.8149206349206299</v>
      </c>
      <c r="R2497">
        <v>2.54</v>
      </c>
      <c r="S2497">
        <v>7.62</v>
      </c>
      <c r="T2497">
        <v>76.23</v>
      </c>
      <c r="U2497">
        <v>-0.73</v>
      </c>
      <c r="V2497">
        <v>75.67</v>
      </c>
      <c r="W2497">
        <v>0.99</v>
      </c>
    </row>
    <row r="2498" spans="1:23" x14ac:dyDescent="0.3">
      <c r="A2498">
        <v>2499</v>
      </c>
      <c r="B2498" t="s">
        <v>2541</v>
      </c>
      <c r="C2498" t="s">
        <v>43</v>
      </c>
      <c r="D2498">
        <v>171</v>
      </c>
      <c r="E2498">
        <v>4549</v>
      </c>
      <c r="F2498" s="3">
        <v>182</v>
      </c>
      <c r="G2498">
        <v>18</v>
      </c>
      <c r="H2498">
        <v>3</v>
      </c>
      <c r="I2498" s="5">
        <v>1.7543859649122799E-2</v>
      </c>
      <c r="J2498" s="3">
        <v>401</v>
      </c>
      <c r="K2498" s="1">
        <v>45605</v>
      </c>
      <c r="L2498" t="s">
        <v>25</v>
      </c>
      <c r="M2498" t="s">
        <v>31</v>
      </c>
      <c r="N2498" t="s">
        <v>49</v>
      </c>
      <c r="O2498" t="s">
        <v>28</v>
      </c>
      <c r="P2498" t="s">
        <v>29</v>
      </c>
      <c r="Q2498" s="6">
        <v>1.0635672514619801</v>
      </c>
      <c r="R2498">
        <v>3.76</v>
      </c>
      <c r="S2498">
        <v>10.1</v>
      </c>
      <c r="T2498">
        <v>60.62</v>
      </c>
      <c r="U2498">
        <v>120.49</v>
      </c>
      <c r="V2498">
        <v>133.66999999999999</v>
      </c>
      <c r="W2498">
        <v>2.2000000000000002</v>
      </c>
    </row>
    <row r="2499" spans="1:23" x14ac:dyDescent="0.3">
      <c r="A2499">
        <v>2500</v>
      </c>
      <c r="B2499" t="s">
        <v>2542</v>
      </c>
      <c r="C2499" t="s">
        <v>43</v>
      </c>
      <c r="D2499">
        <v>185</v>
      </c>
      <c r="E2499">
        <v>4803</v>
      </c>
      <c r="F2499" s="3">
        <v>249</v>
      </c>
      <c r="G2499">
        <v>30</v>
      </c>
      <c r="H2499">
        <v>5</v>
      </c>
      <c r="I2499" s="5">
        <v>2.7027027027027001E-2</v>
      </c>
      <c r="J2499" s="3">
        <v>369</v>
      </c>
      <c r="K2499" s="1">
        <v>45601</v>
      </c>
      <c r="L2499" t="s">
        <v>25</v>
      </c>
      <c r="M2499" t="s">
        <v>31</v>
      </c>
      <c r="N2499" t="s">
        <v>27</v>
      </c>
      <c r="O2499" t="s">
        <v>28</v>
      </c>
      <c r="P2499" t="s">
        <v>41</v>
      </c>
      <c r="Q2499" s="6">
        <v>1.3447027027027001</v>
      </c>
      <c r="R2499">
        <v>3.85</v>
      </c>
      <c r="S2499">
        <v>8.2899999999999991</v>
      </c>
      <c r="T2499">
        <v>49.75</v>
      </c>
      <c r="U2499">
        <v>48.33</v>
      </c>
      <c r="V2499">
        <v>73.8</v>
      </c>
      <c r="W2499">
        <v>1.48</v>
      </c>
    </row>
    <row r="2500" spans="1:23" x14ac:dyDescent="0.3">
      <c r="A2500">
        <v>2501</v>
      </c>
      <c r="B2500" t="s">
        <v>2543</v>
      </c>
      <c r="C2500" t="s">
        <v>35</v>
      </c>
      <c r="D2500">
        <v>157</v>
      </c>
      <c r="E2500">
        <v>3164</v>
      </c>
      <c r="F2500" s="3">
        <v>228</v>
      </c>
      <c r="G2500">
        <v>20</v>
      </c>
      <c r="H2500">
        <v>3</v>
      </c>
      <c r="I2500" s="5">
        <v>1.9108280254777E-2</v>
      </c>
      <c r="J2500" s="3">
        <v>140.142857142857</v>
      </c>
      <c r="K2500" s="1">
        <v>45616</v>
      </c>
      <c r="L2500" t="s">
        <v>25</v>
      </c>
      <c r="M2500" t="s">
        <v>31</v>
      </c>
      <c r="N2500" t="s">
        <v>40</v>
      </c>
      <c r="O2500" t="s">
        <v>28</v>
      </c>
      <c r="P2500" t="s">
        <v>33</v>
      </c>
      <c r="Q2500" s="6">
        <v>1.4505095541401201</v>
      </c>
      <c r="R2500">
        <v>4.96</v>
      </c>
      <c r="S2500">
        <v>11.39</v>
      </c>
      <c r="T2500">
        <v>75.91</v>
      </c>
      <c r="U2500">
        <v>-38.46</v>
      </c>
      <c r="V2500">
        <v>46.71</v>
      </c>
      <c r="W2500">
        <v>0.62</v>
      </c>
    </row>
    <row r="2501" spans="1:23" x14ac:dyDescent="0.3">
      <c r="A2501">
        <v>2502</v>
      </c>
      <c r="B2501" t="s">
        <v>2544</v>
      </c>
      <c r="C2501" t="s">
        <v>24</v>
      </c>
      <c r="D2501">
        <v>123</v>
      </c>
      <c r="E2501">
        <v>3343</v>
      </c>
      <c r="F2501" s="3">
        <v>191</v>
      </c>
      <c r="G2501">
        <v>14</v>
      </c>
      <c r="H2501">
        <v>5</v>
      </c>
      <c r="I2501" s="5">
        <v>4.0650406504064998E-2</v>
      </c>
      <c r="J2501" s="3">
        <v>319</v>
      </c>
      <c r="K2501" s="1">
        <v>45613</v>
      </c>
      <c r="L2501" t="s">
        <v>25</v>
      </c>
      <c r="M2501" t="s">
        <v>31</v>
      </c>
      <c r="N2501" t="s">
        <v>32</v>
      </c>
      <c r="O2501" t="s">
        <v>28</v>
      </c>
      <c r="P2501" t="s">
        <v>50</v>
      </c>
      <c r="Q2501" s="6">
        <v>1.5500813008130001</v>
      </c>
      <c r="R2501">
        <v>3.68</v>
      </c>
      <c r="S2501">
        <v>13.62</v>
      </c>
      <c r="T2501">
        <v>38.130000000000003</v>
      </c>
      <c r="U2501">
        <v>67.31</v>
      </c>
      <c r="V2501">
        <v>63.8</v>
      </c>
      <c r="W2501">
        <v>1.67</v>
      </c>
    </row>
    <row r="2502" spans="1:23" x14ac:dyDescent="0.3">
      <c r="A2502">
        <v>2503</v>
      </c>
      <c r="B2502" t="s">
        <v>2545</v>
      </c>
      <c r="C2502" t="s">
        <v>24</v>
      </c>
      <c r="D2502">
        <v>122</v>
      </c>
      <c r="E2502">
        <v>5718</v>
      </c>
      <c r="F2502" s="3">
        <v>212</v>
      </c>
      <c r="G2502">
        <v>14</v>
      </c>
      <c r="H2502">
        <v>4</v>
      </c>
      <c r="I2502" s="5">
        <v>3.2786885245901599E-2</v>
      </c>
      <c r="J2502" s="3">
        <v>379</v>
      </c>
      <c r="K2502" s="1">
        <v>45615</v>
      </c>
      <c r="L2502" t="s">
        <v>25</v>
      </c>
      <c r="M2502" t="s">
        <v>39</v>
      </c>
      <c r="N2502" t="s">
        <v>36</v>
      </c>
      <c r="O2502" t="s">
        <v>28</v>
      </c>
      <c r="P2502" t="s">
        <v>41</v>
      </c>
      <c r="Q2502" s="6">
        <v>1.73483606557377</v>
      </c>
      <c r="R2502">
        <v>2.13</v>
      </c>
      <c r="S2502">
        <v>15.12</v>
      </c>
      <c r="T2502">
        <v>52.91</v>
      </c>
      <c r="U2502">
        <v>79.069999999999993</v>
      </c>
      <c r="V2502">
        <v>94.75</v>
      </c>
      <c r="W2502">
        <v>1.79</v>
      </c>
    </row>
    <row r="2503" spans="1:23" x14ac:dyDescent="0.3">
      <c r="A2503">
        <v>2504</v>
      </c>
      <c r="B2503" t="s">
        <v>2546</v>
      </c>
      <c r="C2503" t="s">
        <v>24</v>
      </c>
      <c r="D2503">
        <v>97</v>
      </c>
      <c r="E2503">
        <v>3754</v>
      </c>
      <c r="F2503" s="3">
        <v>180</v>
      </c>
      <c r="G2503">
        <v>24</v>
      </c>
      <c r="H2503">
        <v>10</v>
      </c>
      <c r="I2503" s="5">
        <v>0.103092783505154</v>
      </c>
      <c r="J2503" s="3">
        <v>206</v>
      </c>
      <c r="K2503" s="1">
        <v>45612</v>
      </c>
      <c r="L2503" t="s">
        <v>25</v>
      </c>
      <c r="M2503" t="s">
        <v>39</v>
      </c>
      <c r="N2503" t="s">
        <v>49</v>
      </c>
      <c r="O2503" t="s">
        <v>28</v>
      </c>
      <c r="P2503" t="s">
        <v>29</v>
      </c>
      <c r="Q2503" s="6">
        <v>1.8599999999999901</v>
      </c>
      <c r="R2503">
        <v>2.58</v>
      </c>
      <c r="S2503">
        <v>7.52</v>
      </c>
      <c r="T2503">
        <v>18.04</v>
      </c>
      <c r="U2503">
        <v>14.18</v>
      </c>
      <c r="V2503">
        <v>20.6</v>
      </c>
      <c r="W2503">
        <v>1.1399999999999999</v>
      </c>
    </row>
    <row r="2504" spans="1:23" x14ac:dyDescent="0.3">
      <c r="A2504">
        <v>2505</v>
      </c>
      <c r="B2504" t="s">
        <v>2547</v>
      </c>
      <c r="C2504" t="s">
        <v>35</v>
      </c>
      <c r="D2504">
        <v>88</v>
      </c>
      <c r="E2504">
        <v>3684</v>
      </c>
      <c r="F2504" s="3">
        <v>199</v>
      </c>
      <c r="G2504">
        <v>30</v>
      </c>
      <c r="H2504">
        <v>4</v>
      </c>
      <c r="I2504" s="5">
        <v>4.54545454545454E-2</v>
      </c>
      <c r="J2504" s="3">
        <v>244</v>
      </c>
      <c r="K2504" s="1">
        <v>45598</v>
      </c>
      <c r="L2504" t="s">
        <v>25</v>
      </c>
      <c r="M2504" t="s">
        <v>31</v>
      </c>
      <c r="N2504" t="s">
        <v>44</v>
      </c>
      <c r="O2504" t="s">
        <v>28</v>
      </c>
      <c r="P2504" t="s">
        <v>29</v>
      </c>
      <c r="Q2504" s="6">
        <v>2.2582954545454501</v>
      </c>
      <c r="R2504">
        <v>2.39</v>
      </c>
      <c r="S2504">
        <v>6.62</v>
      </c>
      <c r="T2504">
        <v>49.68</v>
      </c>
      <c r="U2504">
        <v>22.78</v>
      </c>
      <c r="V2504">
        <v>61</v>
      </c>
      <c r="W2504">
        <v>1.23</v>
      </c>
    </row>
    <row r="2505" spans="1:23" x14ac:dyDescent="0.3">
      <c r="A2505">
        <v>2506</v>
      </c>
      <c r="B2505" t="s">
        <v>2548</v>
      </c>
      <c r="C2505" t="s">
        <v>24</v>
      </c>
      <c r="D2505">
        <v>81</v>
      </c>
      <c r="E2505">
        <v>5068</v>
      </c>
      <c r="F2505" s="3">
        <v>205</v>
      </c>
      <c r="G2505">
        <v>12</v>
      </c>
      <c r="H2505">
        <v>9</v>
      </c>
      <c r="I2505" s="5">
        <v>0.11111111111111099</v>
      </c>
      <c r="J2505" s="3">
        <v>362</v>
      </c>
      <c r="K2505" s="1">
        <v>45599</v>
      </c>
      <c r="L2505" t="s">
        <v>25</v>
      </c>
      <c r="M2505" t="s">
        <v>39</v>
      </c>
      <c r="N2505" t="s">
        <v>36</v>
      </c>
      <c r="O2505" t="s">
        <v>28</v>
      </c>
      <c r="P2505" t="s">
        <v>50</v>
      </c>
      <c r="Q2505" s="6">
        <v>2.5250617283950598</v>
      </c>
      <c r="R2505">
        <v>1.6</v>
      </c>
      <c r="S2505">
        <v>17.04</v>
      </c>
      <c r="T2505">
        <v>22.73</v>
      </c>
      <c r="U2505">
        <v>76.989999999999995</v>
      </c>
      <c r="V2505">
        <v>40.22</v>
      </c>
      <c r="W2505">
        <v>1.77</v>
      </c>
    </row>
    <row r="2506" spans="1:23" x14ac:dyDescent="0.3">
      <c r="A2506">
        <v>2507</v>
      </c>
      <c r="B2506" t="s">
        <v>2549</v>
      </c>
      <c r="C2506" t="s">
        <v>24</v>
      </c>
      <c r="D2506">
        <v>96</v>
      </c>
      <c r="E2506">
        <v>5538</v>
      </c>
      <c r="F2506" s="3">
        <v>189</v>
      </c>
      <c r="G2506">
        <v>28</v>
      </c>
      <c r="H2506">
        <v>6</v>
      </c>
      <c r="I2506" s="5">
        <v>6.25E-2</v>
      </c>
      <c r="J2506" s="3">
        <v>241</v>
      </c>
      <c r="K2506" s="1">
        <v>45614</v>
      </c>
      <c r="L2506" t="s">
        <v>25</v>
      </c>
      <c r="M2506" t="s">
        <v>31</v>
      </c>
      <c r="N2506" t="s">
        <v>44</v>
      </c>
      <c r="O2506" t="s">
        <v>28</v>
      </c>
      <c r="P2506" t="s">
        <v>59</v>
      </c>
      <c r="Q2506" s="6">
        <v>1.9665625</v>
      </c>
      <c r="R2506">
        <v>1.73</v>
      </c>
      <c r="S2506">
        <v>6.74</v>
      </c>
      <c r="T2506">
        <v>31.46</v>
      </c>
      <c r="U2506">
        <v>27.66</v>
      </c>
      <c r="V2506">
        <v>40.17</v>
      </c>
      <c r="W2506">
        <v>1.28</v>
      </c>
    </row>
    <row r="2507" spans="1:23" x14ac:dyDescent="0.3">
      <c r="A2507">
        <v>2508</v>
      </c>
      <c r="B2507" t="s">
        <v>2550</v>
      </c>
      <c r="C2507" t="s">
        <v>38</v>
      </c>
      <c r="D2507">
        <v>163</v>
      </c>
      <c r="E2507">
        <v>4813</v>
      </c>
      <c r="F2507" s="3">
        <v>191</v>
      </c>
      <c r="G2507">
        <v>22</v>
      </c>
      <c r="H2507">
        <v>8</v>
      </c>
      <c r="I2507" s="5">
        <v>4.9079754601226898E-2</v>
      </c>
      <c r="J2507" s="3">
        <v>373.71428571428498</v>
      </c>
      <c r="K2507" s="1">
        <v>45621</v>
      </c>
      <c r="L2507" t="s">
        <v>25</v>
      </c>
      <c r="M2507" t="s">
        <v>26</v>
      </c>
      <c r="N2507" t="s">
        <v>44</v>
      </c>
      <c r="O2507" t="s">
        <v>28</v>
      </c>
      <c r="P2507" t="s">
        <v>59</v>
      </c>
      <c r="Q2507" s="6">
        <v>1.1703680981594999</v>
      </c>
      <c r="R2507">
        <v>3.39</v>
      </c>
      <c r="S2507">
        <v>8.67</v>
      </c>
      <c r="T2507">
        <v>23.85</v>
      </c>
      <c r="U2507">
        <v>95.9</v>
      </c>
      <c r="V2507">
        <v>46.71</v>
      </c>
      <c r="W2507">
        <v>1.96</v>
      </c>
    </row>
    <row r="2508" spans="1:23" x14ac:dyDescent="0.3">
      <c r="A2508">
        <v>2509</v>
      </c>
      <c r="B2508" t="s">
        <v>2551</v>
      </c>
      <c r="C2508" t="s">
        <v>38</v>
      </c>
      <c r="D2508">
        <v>91</v>
      </c>
      <c r="E2508">
        <v>3003</v>
      </c>
      <c r="F2508" s="3">
        <v>211</v>
      </c>
      <c r="G2508">
        <v>16</v>
      </c>
      <c r="H2508">
        <v>10</v>
      </c>
      <c r="I2508" s="5">
        <v>0.109890109890109</v>
      </c>
      <c r="J2508" s="3">
        <v>358</v>
      </c>
      <c r="K2508" s="1">
        <v>45612</v>
      </c>
      <c r="L2508" t="s">
        <v>25</v>
      </c>
      <c r="M2508" t="s">
        <v>39</v>
      </c>
      <c r="N2508" t="s">
        <v>40</v>
      </c>
      <c r="O2508" t="s">
        <v>28</v>
      </c>
      <c r="P2508" t="s">
        <v>29</v>
      </c>
      <c r="Q2508" s="6">
        <v>2.3146153846153799</v>
      </c>
      <c r="R2508">
        <v>3.03</v>
      </c>
      <c r="S2508">
        <v>13.16</v>
      </c>
      <c r="T2508">
        <v>21.06</v>
      </c>
      <c r="U2508">
        <v>69.97</v>
      </c>
      <c r="V2508">
        <v>35.799999999999997</v>
      </c>
      <c r="W2508">
        <v>1.7</v>
      </c>
    </row>
    <row r="2509" spans="1:23" x14ac:dyDescent="0.3">
      <c r="A2509">
        <v>2510</v>
      </c>
      <c r="B2509" t="s">
        <v>2552</v>
      </c>
      <c r="C2509" t="s">
        <v>24</v>
      </c>
      <c r="D2509">
        <v>142</v>
      </c>
      <c r="E2509">
        <v>3348</v>
      </c>
      <c r="F2509" s="3">
        <v>242</v>
      </c>
      <c r="G2509">
        <v>12</v>
      </c>
      <c r="H2509">
        <v>8</v>
      </c>
      <c r="I2509" s="5">
        <v>5.6338028169014003E-2</v>
      </c>
      <c r="J2509" s="3">
        <v>249</v>
      </c>
      <c r="K2509" s="1">
        <v>45617</v>
      </c>
      <c r="L2509" t="s">
        <v>25</v>
      </c>
      <c r="M2509" t="s">
        <v>39</v>
      </c>
      <c r="N2509" t="s">
        <v>44</v>
      </c>
      <c r="O2509" t="s">
        <v>28</v>
      </c>
      <c r="P2509" t="s">
        <v>54</v>
      </c>
      <c r="Q2509" s="6">
        <v>1.7064084507042201</v>
      </c>
      <c r="R2509">
        <v>4.24</v>
      </c>
      <c r="S2509">
        <v>20.190000000000001</v>
      </c>
      <c r="T2509">
        <v>30.29</v>
      </c>
      <c r="U2509">
        <v>2.76</v>
      </c>
      <c r="V2509">
        <v>31.12</v>
      </c>
      <c r="W2509">
        <v>1.03</v>
      </c>
    </row>
    <row r="2510" spans="1:23" x14ac:dyDescent="0.3">
      <c r="A2510">
        <v>2511</v>
      </c>
      <c r="B2510" t="s">
        <v>2553</v>
      </c>
      <c r="C2510" t="s">
        <v>35</v>
      </c>
      <c r="D2510">
        <v>83</v>
      </c>
      <c r="E2510">
        <v>3926</v>
      </c>
      <c r="F2510" s="3">
        <v>187</v>
      </c>
      <c r="G2510">
        <v>21</v>
      </c>
      <c r="H2510">
        <v>5</v>
      </c>
      <c r="I2510" s="5">
        <v>6.0240963855421603E-2</v>
      </c>
      <c r="J2510" s="3">
        <v>287</v>
      </c>
      <c r="K2510" s="1">
        <v>45602</v>
      </c>
      <c r="L2510" t="s">
        <v>25</v>
      </c>
      <c r="M2510" t="s">
        <v>39</v>
      </c>
      <c r="N2510" t="s">
        <v>36</v>
      </c>
      <c r="O2510" t="s">
        <v>28</v>
      </c>
      <c r="P2510" t="s">
        <v>33</v>
      </c>
      <c r="Q2510" s="6">
        <v>2.2485542168674599</v>
      </c>
      <c r="R2510">
        <v>2.11</v>
      </c>
      <c r="S2510">
        <v>8.89</v>
      </c>
      <c r="T2510">
        <v>37.33</v>
      </c>
      <c r="U2510">
        <v>53.78</v>
      </c>
      <c r="V2510">
        <v>57.4</v>
      </c>
      <c r="W2510">
        <v>1.54</v>
      </c>
    </row>
    <row r="2511" spans="1:23" x14ac:dyDescent="0.3">
      <c r="A2511">
        <v>2512</v>
      </c>
      <c r="B2511" t="s">
        <v>2554</v>
      </c>
      <c r="C2511" t="s">
        <v>43</v>
      </c>
      <c r="D2511">
        <v>188</v>
      </c>
      <c r="E2511">
        <v>3069</v>
      </c>
      <c r="F2511" s="3">
        <v>214</v>
      </c>
      <c r="G2511">
        <v>26</v>
      </c>
      <c r="H2511">
        <v>4</v>
      </c>
      <c r="I2511" s="5">
        <v>2.1276595744680799E-2</v>
      </c>
      <c r="J2511" s="3">
        <v>319</v>
      </c>
      <c r="K2511" s="1">
        <v>45610</v>
      </c>
      <c r="L2511" t="s">
        <v>25</v>
      </c>
      <c r="M2511" t="s">
        <v>26</v>
      </c>
      <c r="N2511" t="s">
        <v>27</v>
      </c>
      <c r="O2511" t="s">
        <v>28</v>
      </c>
      <c r="P2511" t="s">
        <v>54</v>
      </c>
      <c r="Q2511" s="6">
        <v>1.1391489361702101</v>
      </c>
      <c r="R2511">
        <v>6.13</v>
      </c>
      <c r="S2511">
        <v>8.24</v>
      </c>
      <c r="T2511">
        <v>53.54</v>
      </c>
      <c r="U2511">
        <v>48.95</v>
      </c>
      <c r="V2511">
        <v>79.75</v>
      </c>
      <c r="W2511">
        <v>1.49</v>
      </c>
    </row>
    <row r="2512" spans="1:23" x14ac:dyDescent="0.3">
      <c r="A2512">
        <v>2513</v>
      </c>
      <c r="B2512" t="s">
        <v>2555</v>
      </c>
      <c r="C2512" t="s">
        <v>38</v>
      </c>
      <c r="D2512">
        <v>193</v>
      </c>
      <c r="E2512">
        <v>3978</v>
      </c>
      <c r="F2512" s="3">
        <v>232</v>
      </c>
      <c r="G2512">
        <v>20</v>
      </c>
      <c r="H2512">
        <v>3</v>
      </c>
      <c r="I2512" s="5">
        <v>1.55440414507772E-2</v>
      </c>
      <c r="J2512" s="3">
        <v>230</v>
      </c>
      <c r="K2512" s="1">
        <v>45612</v>
      </c>
      <c r="L2512" t="s">
        <v>25</v>
      </c>
      <c r="M2512" t="s">
        <v>31</v>
      </c>
      <c r="N2512" t="s">
        <v>44</v>
      </c>
      <c r="O2512" t="s">
        <v>28</v>
      </c>
      <c r="P2512" t="s">
        <v>29</v>
      </c>
      <c r="Q2512" s="6">
        <v>1.20103626943005</v>
      </c>
      <c r="R2512">
        <v>4.8499999999999996</v>
      </c>
      <c r="S2512">
        <v>11.59</v>
      </c>
      <c r="T2512">
        <v>77.27</v>
      </c>
      <c r="U2512">
        <v>-0.78</v>
      </c>
      <c r="V2512">
        <v>76.67</v>
      </c>
      <c r="W2512">
        <v>0.99</v>
      </c>
    </row>
    <row r="2513" spans="1:23" x14ac:dyDescent="0.3">
      <c r="A2513">
        <v>2514</v>
      </c>
      <c r="B2513" t="s">
        <v>2556</v>
      </c>
      <c r="C2513" t="s">
        <v>38</v>
      </c>
      <c r="D2513">
        <v>181</v>
      </c>
      <c r="E2513">
        <v>3652</v>
      </c>
      <c r="F2513" s="3">
        <v>206</v>
      </c>
      <c r="G2513">
        <v>27</v>
      </c>
      <c r="H2513">
        <v>7</v>
      </c>
      <c r="I2513" s="5">
        <v>3.86740331491712E-2</v>
      </c>
      <c r="J2513" s="3">
        <v>345</v>
      </c>
      <c r="K2513" s="1">
        <v>45599</v>
      </c>
      <c r="L2513" t="s">
        <v>25</v>
      </c>
      <c r="M2513" t="s">
        <v>39</v>
      </c>
      <c r="N2513" t="s">
        <v>49</v>
      </c>
      <c r="O2513" t="s">
        <v>28</v>
      </c>
      <c r="P2513" t="s">
        <v>50</v>
      </c>
      <c r="Q2513" s="6">
        <v>1.1392265193370099</v>
      </c>
      <c r="R2513">
        <v>4.96</v>
      </c>
      <c r="S2513">
        <v>7.64</v>
      </c>
      <c r="T2513">
        <v>29.46</v>
      </c>
      <c r="U2513">
        <v>67.31</v>
      </c>
      <c r="V2513">
        <v>49.29</v>
      </c>
      <c r="W2513">
        <v>1.67</v>
      </c>
    </row>
    <row r="2514" spans="1:23" x14ac:dyDescent="0.3">
      <c r="A2514">
        <v>2515</v>
      </c>
      <c r="B2514" t="s">
        <v>2557</v>
      </c>
      <c r="C2514" t="s">
        <v>24</v>
      </c>
      <c r="D2514">
        <v>199</v>
      </c>
      <c r="E2514">
        <v>4400</v>
      </c>
      <c r="F2514" s="3">
        <v>228</v>
      </c>
      <c r="G2514">
        <v>26</v>
      </c>
      <c r="H2514">
        <v>8</v>
      </c>
      <c r="I2514" s="5">
        <v>4.0201005025125601E-2</v>
      </c>
      <c r="J2514" s="3">
        <v>209</v>
      </c>
      <c r="K2514" s="1">
        <v>45605</v>
      </c>
      <c r="L2514" t="s">
        <v>25</v>
      </c>
      <c r="M2514" t="s">
        <v>39</v>
      </c>
      <c r="N2514" t="s">
        <v>27</v>
      </c>
      <c r="O2514" t="s">
        <v>28</v>
      </c>
      <c r="P2514" t="s">
        <v>29</v>
      </c>
      <c r="Q2514" s="6">
        <v>1.1459798994974799</v>
      </c>
      <c r="R2514">
        <v>4.5199999999999996</v>
      </c>
      <c r="S2514">
        <v>8.77</v>
      </c>
      <c r="T2514">
        <v>28.51</v>
      </c>
      <c r="U2514">
        <v>-8.35</v>
      </c>
      <c r="V2514">
        <v>26.12</v>
      </c>
      <c r="W2514">
        <v>0.92</v>
      </c>
    </row>
    <row r="2515" spans="1:23" x14ac:dyDescent="0.3">
      <c r="A2515">
        <v>2516</v>
      </c>
      <c r="B2515" t="s">
        <v>2558</v>
      </c>
      <c r="C2515" t="s">
        <v>38</v>
      </c>
      <c r="D2515">
        <v>167</v>
      </c>
      <c r="E2515">
        <v>5503</v>
      </c>
      <c r="F2515" s="3">
        <v>232</v>
      </c>
      <c r="G2515">
        <v>19</v>
      </c>
      <c r="H2515">
        <v>9</v>
      </c>
      <c r="I2515" s="5">
        <v>5.3892215568862201E-2</v>
      </c>
      <c r="J2515" s="3">
        <v>336</v>
      </c>
      <c r="K2515" s="1">
        <v>45601</v>
      </c>
      <c r="L2515" t="s">
        <v>25</v>
      </c>
      <c r="M2515" t="s">
        <v>31</v>
      </c>
      <c r="N2515" t="s">
        <v>40</v>
      </c>
      <c r="O2515" t="s">
        <v>28</v>
      </c>
      <c r="P2515" t="s">
        <v>41</v>
      </c>
      <c r="Q2515" s="6">
        <v>1.3908982035928099</v>
      </c>
      <c r="R2515">
        <v>3.03</v>
      </c>
      <c r="S2515">
        <v>12.23</v>
      </c>
      <c r="T2515">
        <v>25.81</v>
      </c>
      <c r="U2515">
        <v>44.65</v>
      </c>
      <c r="V2515">
        <v>37.33</v>
      </c>
      <c r="W2515">
        <v>1.45</v>
      </c>
    </row>
    <row r="2516" spans="1:23" x14ac:dyDescent="0.3">
      <c r="A2516">
        <v>2517</v>
      </c>
      <c r="B2516" t="s">
        <v>2559</v>
      </c>
      <c r="C2516" t="s">
        <v>35</v>
      </c>
      <c r="D2516">
        <v>189</v>
      </c>
      <c r="E2516">
        <v>4955</v>
      </c>
      <c r="F2516" s="3">
        <v>216</v>
      </c>
      <c r="G2516">
        <v>21</v>
      </c>
      <c r="H2516">
        <v>3</v>
      </c>
      <c r="I2516" s="5">
        <v>1.5873015873015799E-2</v>
      </c>
      <c r="J2516" s="3">
        <v>253</v>
      </c>
      <c r="K2516" s="1">
        <v>45613</v>
      </c>
      <c r="L2516" t="s">
        <v>25</v>
      </c>
      <c r="M2516" t="s">
        <v>31</v>
      </c>
      <c r="N2516" t="s">
        <v>36</v>
      </c>
      <c r="O2516" t="s">
        <v>28</v>
      </c>
      <c r="P2516" t="s">
        <v>50</v>
      </c>
      <c r="Q2516" s="6">
        <v>1.1421693121693099</v>
      </c>
      <c r="R2516">
        <v>3.81</v>
      </c>
      <c r="S2516">
        <v>10.28</v>
      </c>
      <c r="T2516">
        <v>71.959999999999994</v>
      </c>
      <c r="U2516">
        <v>17.2</v>
      </c>
      <c r="V2516">
        <v>84.33</v>
      </c>
      <c r="W2516">
        <v>1.17</v>
      </c>
    </row>
    <row r="2517" spans="1:23" x14ac:dyDescent="0.3">
      <c r="A2517">
        <v>2518</v>
      </c>
      <c r="B2517" t="s">
        <v>2560</v>
      </c>
      <c r="C2517" t="s">
        <v>35</v>
      </c>
      <c r="D2517">
        <v>125</v>
      </c>
      <c r="E2517">
        <v>3469</v>
      </c>
      <c r="F2517" s="3">
        <v>193</v>
      </c>
      <c r="G2517">
        <v>16</v>
      </c>
      <c r="H2517">
        <v>8</v>
      </c>
      <c r="I2517" s="5">
        <v>6.4000000000000001E-2</v>
      </c>
      <c r="J2517" s="3">
        <v>257</v>
      </c>
      <c r="K2517" s="1">
        <v>45613</v>
      </c>
      <c r="L2517" t="s">
        <v>25</v>
      </c>
      <c r="M2517" t="s">
        <v>26</v>
      </c>
      <c r="N2517" t="s">
        <v>32</v>
      </c>
      <c r="O2517" t="s">
        <v>28</v>
      </c>
      <c r="P2517" t="s">
        <v>50</v>
      </c>
      <c r="Q2517" s="6">
        <v>1.5427200000000001</v>
      </c>
      <c r="R2517">
        <v>3.6</v>
      </c>
      <c r="S2517">
        <v>12.05</v>
      </c>
      <c r="T2517">
        <v>24.1</v>
      </c>
      <c r="U2517">
        <v>33.270000000000003</v>
      </c>
      <c r="V2517">
        <v>32.119999999999997</v>
      </c>
      <c r="W2517">
        <v>1.33</v>
      </c>
    </row>
    <row r="2518" spans="1:23" x14ac:dyDescent="0.3">
      <c r="A2518">
        <v>2519</v>
      </c>
      <c r="B2518" t="s">
        <v>2561</v>
      </c>
      <c r="C2518" t="s">
        <v>35</v>
      </c>
      <c r="D2518">
        <v>166</v>
      </c>
      <c r="E2518">
        <v>4096</v>
      </c>
      <c r="F2518" s="3">
        <v>204</v>
      </c>
      <c r="G2518">
        <v>28</v>
      </c>
      <c r="H2518">
        <v>5</v>
      </c>
      <c r="I2518" s="5">
        <v>3.0120481927710802E-2</v>
      </c>
      <c r="J2518" s="3">
        <v>322</v>
      </c>
      <c r="K2518" s="1">
        <v>45602</v>
      </c>
      <c r="L2518" t="s">
        <v>25</v>
      </c>
      <c r="M2518" t="s">
        <v>26</v>
      </c>
      <c r="N2518" t="s">
        <v>27</v>
      </c>
      <c r="O2518" t="s">
        <v>28</v>
      </c>
      <c r="P2518" t="s">
        <v>33</v>
      </c>
      <c r="Q2518" s="6">
        <v>1.23150602409638</v>
      </c>
      <c r="R2518">
        <v>4.05</v>
      </c>
      <c r="S2518">
        <v>7.3</v>
      </c>
      <c r="T2518">
        <v>40.89</v>
      </c>
      <c r="U2518">
        <v>57.51</v>
      </c>
      <c r="V2518">
        <v>64.400000000000006</v>
      </c>
      <c r="W2518">
        <v>1.58</v>
      </c>
    </row>
    <row r="2519" spans="1:23" x14ac:dyDescent="0.3">
      <c r="A2519">
        <v>2520</v>
      </c>
      <c r="B2519" t="s">
        <v>2562</v>
      </c>
      <c r="C2519" t="s">
        <v>38</v>
      </c>
      <c r="D2519">
        <v>181</v>
      </c>
      <c r="E2519">
        <v>5171</v>
      </c>
      <c r="F2519" s="3">
        <v>209</v>
      </c>
      <c r="G2519">
        <v>14</v>
      </c>
      <c r="H2519">
        <v>4</v>
      </c>
      <c r="I2519" s="5">
        <v>2.2099447513812098E-2</v>
      </c>
      <c r="J2519" s="3">
        <v>332</v>
      </c>
      <c r="K2519" s="1">
        <v>45619</v>
      </c>
      <c r="L2519" t="s">
        <v>25</v>
      </c>
      <c r="M2519" t="s">
        <v>31</v>
      </c>
      <c r="N2519" t="s">
        <v>32</v>
      </c>
      <c r="O2519" t="s">
        <v>28</v>
      </c>
      <c r="P2519" t="s">
        <v>29</v>
      </c>
      <c r="Q2519" s="6">
        <v>1.1529834254143601</v>
      </c>
      <c r="R2519">
        <v>3.5</v>
      </c>
      <c r="S2519">
        <v>14.91</v>
      </c>
      <c r="T2519">
        <v>52.17</v>
      </c>
      <c r="U2519">
        <v>59.09</v>
      </c>
      <c r="V2519">
        <v>83</v>
      </c>
      <c r="W2519">
        <v>1.59</v>
      </c>
    </row>
    <row r="2520" spans="1:23" x14ac:dyDescent="0.3">
      <c r="A2520">
        <v>2521</v>
      </c>
      <c r="B2520" t="s">
        <v>2563</v>
      </c>
      <c r="C2520" t="s">
        <v>35</v>
      </c>
      <c r="D2520">
        <v>148</v>
      </c>
      <c r="E2520">
        <v>4878</v>
      </c>
      <c r="F2520" s="3">
        <v>183</v>
      </c>
      <c r="G2520">
        <v>25</v>
      </c>
      <c r="H2520">
        <v>3</v>
      </c>
      <c r="I2520" s="5">
        <v>2.0270270270270199E-2</v>
      </c>
      <c r="J2520" s="3">
        <v>405</v>
      </c>
      <c r="K2520" s="1">
        <v>45619</v>
      </c>
      <c r="L2520" t="s">
        <v>25</v>
      </c>
      <c r="M2520" t="s">
        <v>26</v>
      </c>
      <c r="N2520" t="s">
        <v>27</v>
      </c>
      <c r="O2520" t="s">
        <v>28</v>
      </c>
      <c r="P2520" t="s">
        <v>29</v>
      </c>
      <c r="Q2520" s="6">
        <v>1.23824324324324</v>
      </c>
      <c r="R2520">
        <v>3.03</v>
      </c>
      <c r="S2520">
        <v>7.33</v>
      </c>
      <c r="T2520">
        <v>61.09</v>
      </c>
      <c r="U2520">
        <v>121</v>
      </c>
      <c r="V2520">
        <v>135</v>
      </c>
      <c r="W2520">
        <v>2.21</v>
      </c>
    </row>
    <row r="2521" spans="1:23" x14ac:dyDescent="0.3">
      <c r="A2521">
        <v>2522</v>
      </c>
      <c r="B2521" t="s">
        <v>2564</v>
      </c>
      <c r="C2521" t="s">
        <v>43</v>
      </c>
      <c r="D2521">
        <v>127</v>
      </c>
      <c r="E2521">
        <v>3682</v>
      </c>
      <c r="F2521" s="3">
        <v>196</v>
      </c>
      <c r="G2521">
        <v>21</v>
      </c>
      <c r="H2521">
        <v>9</v>
      </c>
      <c r="I2521" s="5">
        <v>7.0866141732283394E-2</v>
      </c>
      <c r="J2521" s="3">
        <v>282</v>
      </c>
      <c r="K2521" s="1">
        <v>45618</v>
      </c>
      <c r="L2521" t="s">
        <v>25</v>
      </c>
      <c r="M2521" t="s">
        <v>39</v>
      </c>
      <c r="N2521" t="s">
        <v>40</v>
      </c>
      <c r="O2521" t="s">
        <v>28</v>
      </c>
      <c r="P2521" t="s">
        <v>45</v>
      </c>
      <c r="Q2521" s="6">
        <v>1.5454545454545401</v>
      </c>
      <c r="R2521">
        <v>3.45</v>
      </c>
      <c r="S2521">
        <v>9.35</v>
      </c>
      <c r="T2521">
        <v>21.81</v>
      </c>
      <c r="U2521">
        <v>43.68</v>
      </c>
      <c r="V2521">
        <v>31.33</v>
      </c>
      <c r="W2521">
        <v>1.44</v>
      </c>
    </row>
    <row r="2522" spans="1:23" x14ac:dyDescent="0.3">
      <c r="A2522">
        <v>2523</v>
      </c>
      <c r="B2522" t="s">
        <v>2565</v>
      </c>
      <c r="C2522" t="s">
        <v>35</v>
      </c>
      <c r="D2522">
        <v>83</v>
      </c>
      <c r="E2522">
        <v>3933</v>
      </c>
      <c r="F2522" s="3">
        <v>215</v>
      </c>
      <c r="G2522">
        <v>29</v>
      </c>
      <c r="H2522">
        <v>6</v>
      </c>
      <c r="I2522" s="5">
        <v>7.2289156626505993E-2</v>
      </c>
      <c r="J2522" s="3">
        <v>291</v>
      </c>
      <c r="K2522" s="1">
        <v>45616</v>
      </c>
      <c r="L2522" t="s">
        <v>25</v>
      </c>
      <c r="M2522" t="s">
        <v>39</v>
      </c>
      <c r="N2522" t="s">
        <v>40</v>
      </c>
      <c r="O2522" t="s">
        <v>28</v>
      </c>
      <c r="P2522" t="s">
        <v>33</v>
      </c>
      <c r="Q2522" s="6">
        <v>2.5856626506024099</v>
      </c>
      <c r="R2522">
        <v>2.11</v>
      </c>
      <c r="S2522">
        <v>7.4</v>
      </c>
      <c r="T2522">
        <v>35.770000000000003</v>
      </c>
      <c r="U2522">
        <v>35.590000000000003</v>
      </c>
      <c r="V2522">
        <v>48.5</v>
      </c>
      <c r="W2522">
        <v>1.36</v>
      </c>
    </row>
    <row r="2523" spans="1:23" x14ac:dyDescent="0.3">
      <c r="A2523">
        <v>2524</v>
      </c>
      <c r="B2523" t="s">
        <v>2566</v>
      </c>
      <c r="C2523" t="s">
        <v>43</v>
      </c>
      <c r="D2523">
        <v>80</v>
      </c>
      <c r="E2523">
        <v>3240</v>
      </c>
      <c r="F2523" s="3">
        <v>221</v>
      </c>
      <c r="G2523">
        <v>29</v>
      </c>
      <c r="H2523">
        <v>4</v>
      </c>
      <c r="I2523" s="5">
        <v>0.05</v>
      </c>
      <c r="J2523" s="3">
        <v>258</v>
      </c>
      <c r="K2523" s="1">
        <v>45610</v>
      </c>
      <c r="L2523" t="s">
        <v>25</v>
      </c>
      <c r="M2523" t="s">
        <v>26</v>
      </c>
      <c r="N2523" t="s">
        <v>27</v>
      </c>
      <c r="O2523" t="s">
        <v>28</v>
      </c>
      <c r="P2523" t="s">
        <v>54</v>
      </c>
      <c r="Q2523" s="6">
        <v>2.7638750000000001</v>
      </c>
      <c r="R2523">
        <v>2.4700000000000002</v>
      </c>
      <c r="S2523">
        <v>7.62</v>
      </c>
      <c r="T2523">
        <v>55.28</v>
      </c>
      <c r="U2523">
        <v>16.68</v>
      </c>
      <c r="V2523">
        <v>64.5</v>
      </c>
      <c r="W2523">
        <v>1.17</v>
      </c>
    </row>
    <row r="2524" spans="1:23" x14ac:dyDescent="0.3">
      <c r="A2524">
        <v>2525</v>
      </c>
      <c r="B2524" t="s">
        <v>2567</v>
      </c>
      <c r="C2524" t="s">
        <v>24</v>
      </c>
      <c r="D2524">
        <v>105</v>
      </c>
      <c r="E2524">
        <v>3030</v>
      </c>
      <c r="F2524" s="3">
        <v>186</v>
      </c>
      <c r="G2524">
        <v>24</v>
      </c>
      <c r="H2524">
        <v>5</v>
      </c>
      <c r="I2524" s="5">
        <v>4.7619047619047603E-2</v>
      </c>
      <c r="J2524" s="3">
        <v>258</v>
      </c>
      <c r="K2524" s="1">
        <v>45598</v>
      </c>
      <c r="L2524" t="s">
        <v>25</v>
      </c>
      <c r="M2524" t="s">
        <v>26</v>
      </c>
      <c r="N2524" t="s">
        <v>32</v>
      </c>
      <c r="O2524" t="s">
        <v>28</v>
      </c>
      <c r="P2524" t="s">
        <v>29</v>
      </c>
      <c r="Q2524" s="6">
        <v>1.77057142857142</v>
      </c>
      <c r="R2524">
        <v>3.47</v>
      </c>
      <c r="S2524">
        <v>7.75</v>
      </c>
      <c r="T2524">
        <v>37.18</v>
      </c>
      <c r="U2524">
        <v>38.78</v>
      </c>
      <c r="V2524">
        <v>51.6</v>
      </c>
      <c r="W2524">
        <v>1.39</v>
      </c>
    </row>
    <row r="2525" spans="1:23" x14ac:dyDescent="0.3">
      <c r="A2525">
        <v>2526</v>
      </c>
      <c r="B2525" t="s">
        <v>2568</v>
      </c>
      <c r="C2525" t="s">
        <v>43</v>
      </c>
      <c r="D2525">
        <v>155</v>
      </c>
      <c r="E2525">
        <v>4676</v>
      </c>
      <c r="F2525" s="3">
        <v>219</v>
      </c>
      <c r="G2525">
        <v>26</v>
      </c>
      <c r="H2525">
        <v>7</v>
      </c>
      <c r="I2525" s="5">
        <v>4.5161290322580601E-2</v>
      </c>
      <c r="J2525" s="3">
        <v>365</v>
      </c>
      <c r="K2525" s="1">
        <v>45598</v>
      </c>
      <c r="L2525" t="s">
        <v>25</v>
      </c>
      <c r="M2525" t="s">
        <v>39</v>
      </c>
      <c r="N2525" t="s">
        <v>27</v>
      </c>
      <c r="O2525" t="s">
        <v>28</v>
      </c>
      <c r="P2525" t="s">
        <v>29</v>
      </c>
      <c r="Q2525" s="6">
        <v>1.41483870967741</v>
      </c>
      <c r="R2525">
        <v>3.31</v>
      </c>
      <c r="S2525">
        <v>8.43</v>
      </c>
      <c r="T2525">
        <v>31.33</v>
      </c>
      <c r="U2525">
        <v>66.44</v>
      </c>
      <c r="V2525">
        <v>52.14</v>
      </c>
      <c r="W2525">
        <v>1.66</v>
      </c>
    </row>
    <row r="2526" spans="1:23" x14ac:dyDescent="0.3">
      <c r="A2526">
        <v>2527</v>
      </c>
      <c r="B2526" t="s">
        <v>2569</v>
      </c>
      <c r="C2526" t="s">
        <v>38</v>
      </c>
      <c r="D2526">
        <v>185</v>
      </c>
      <c r="E2526">
        <v>6101</v>
      </c>
      <c r="F2526" s="3">
        <v>208</v>
      </c>
      <c r="G2526">
        <v>25</v>
      </c>
      <c r="H2526">
        <v>3</v>
      </c>
      <c r="I2526" s="5">
        <v>1.62162162162162E-2</v>
      </c>
      <c r="J2526" s="3">
        <v>205</v>
      </c>
      <c r="K2526" s="1">
        <v>45609</v>
      </c>
      <c r="L2526" t="s">
        <v>25</v>
      </c>
      <c r="M2526" t="s">
        <v>31</v>
      </c>
      <c r="N2526" t="s">
        <v>40</v>
      </c>
      <c r="O2526" t="s">
        <v>28</v>
      </c>
      <c r="P2526" t="s">
        <v>33</v>
      </c>
      <c r="Q2526" s="6">
        <v>1.12654054054054</v>
      </c>
      <c r="R2526">
        <v>3.03</v>
      </c>
      <c r="S2526">
        <v>8.34</v>
      </c>
      <c r="T2526">
        <v>69.47</v>
      </c>
      <c r="U2526">
        <v>-1.64</v>
      </c>
      <c r="V2526">
        <v>68.33</v>
      </c>
      <c r="W2526">
        <v>0.98</v>
      </c>
    </row>
    <row r="2527" spans="1:23" x14ac:dyDescent="0.3">
      <c r="A2527">
        <v>2528</v>
      </c>
      <c r="B2527" t="s">
        <v>2570</v>
      </c>
      <c r="C2527" t="s">
        <v>24</v>
      </c>
      <c r="D2527">
        <v>132</v>
      </c>
      <c r="E2527">
        <v>5616</v>
      </c>
      <c r="F2527" s="3">
        <v>207</v>
      </c>
      <c r="G2527">
        <v>28</v>
      </c>
      <c r="H2527">
        <v>7</v>
      </c>
      <c r="I2527" s="5">
        <v>5.3030303030302997E-2</v>
      </c>
      <c r="J2527" s="3">
        <v>304</v>
      </c>
      <c r="K2527" s="1">
        <v>45622</v>
      </c>
      <c r="L2527" t="s">
        <v>25</v>
      </c>
      <c r="M2527" t="s">
        <v>26</v>
      </c>
      <c r="N2527" t="s">
        <v>36</v>
      </c>
      <c r="O2527" t="s">
        <v>28</v>
      </c>
      <c r="P2527" t="s">
        <v>41</v>
      </c>
      <c r="Q2527" s="6">
        <v>1.56753061615001</v>
      </c>
      <c r="R2527">
        <v>2.35</v>
      </c>
      <c r="S2527">
        <v>7.39</v>
      </c>
      <c r="T2527">
        <v>29.56</v>
      </c>
      <c r="U2527">
        <v>46.92</v>
      </c>
      <c r="V2527">
        <v>43.43</v>
      </c>
      <c r="W2527">
        <v>1.47</v>
      </c>
    </row>
    <row r="2528" spans="1:23" x14ac:dyDescent="0.3">
      <c r="A2528">
        <v>2529</v>
      </c>
      <c r="B2528" t="s">
        <v>2571</v>
      </c>
      <c r="C2528" t="s">
        <v>35</v>
      </c>
      <c r="D2528">
        <v>198</v>
      </c>
      <c r="E2528">
        <v>5736</v>
      </c>
      <c r="F2528" s="3">
        <v>228</v>
      </c>
      <c r="G2528">
        <v>14</v>
      </c>
      <c r="H2528">
        <v>9</v>
      </c>
      <c r="I2528" s="5">
        <v>4.54545454545454E-2</v>
      </c>
      <c r="J2528" s="3">
        <v>328</v>
      </c>
      <c r="K2528" s="1">
        <v>45614</v>
      </c>
      <c r="L2528" t="s">
        <v>25</v>
      </c>
      <c r="M2528" t="s">
        <v>31</v>
      </c>
      <c r="N2528" t="s">
        <v>27</v>
      </c>
      <c r="O2528" t="s">
        <v>28</v>
      </c>
      <c r="P2528" t="s">
        <v>59</v>
      </c>
      <c r="Q2528" s="6">
        <v>1.14914141414141</v>
      </c>
      <c r="R2528">
        <v>3.45</v>
      </c>
      <c r="S2528">
        <v>16.25</v>
      </c>
      <c r="T2528">
        <v>25.28</v>
      </c>
      <c r="U2528">
        <v>44.16</v>
      </c>
      <c r="V2528">
        <v>36.44</v>
      </c>
      <c r="W2528">
        <v>1.44</v>
      </c>
    </row>
    <row r="2529" spans="1:23" x14ac:dyDescent="0.3">
      <c r="A2529">
        <v>2530</v>
      </c>
      <c r="B2529" t="s">
        <v>2572</v>
      </c>
      <c r="C2529" t="s">
        <v>43</v>
      </c>
      <c r="D2529">
        <v>184</v>
      </c>
      <c r="E2529">
        <v>3641</v>
      </c>
      <c r="F2529" s="3">
        <v>189</v>
      </c>
      <c r="G2529">
        <v>22</v>
      </c>
      <c r="H2529">
        <v>7</v>
      </c>
      <c r="I2529" s="5">
        <v>3.8043478260869498E-2</v>
      </c>
      <c r="J2529" s="3">
        <v>389</v>
      </c>
      <c r="K2529" s="1">
        <v>45611</v>
      </c>
      <c r="L2529" t="s">
        <v>25</v>
      </c>
      <c r="M2529" t="s">
        <v>39</v>
      </c>
      <c r="N2529" t="s">
        <v>40</v>
      </c>
      <c r="O2529" t="s">
        <v>28</v>
      </c>
      <c r="P2529" t="s">
        <v>45</v>
      </c>
      <c r="Q2529" s="6">
        <v>1.0271739130434701</v>
      </c>
      <c r="R2529">
        <v>5.05</v>
      </c>
      <c r="S2529">
        <v>8.59</v>
      </c>
      <c r="T2529">
        <v>27</v>
      </c>
      <c r="U2529">
        <v>105.82</v>
      </c>
      <c r="V2529">
        <v>55.57</v>
      </c>
      <c r="W2529">
        <v>2.06</v>
      </c>
    </row>
    <row r="2530" spans="1:23" x14ac:dyDescent="0.3">
      <c r="A2530">
        <v>2531</v>
      </c>
      <c r="B2530" t="s">
        <v>2573</v>
      </c>
      <c r="C2530" t="s">
        <v>35</v>
      </c>
      <c r="D2530">
        <v>190</v>
      </c>
      <c r="E2530">
        <v>5429</v>
      </c>
      <c r="F2530" s="3">
        <v>244</v>
      </c>
      <c r="G2530">
        <v>23</v>
      </c>
      <c r="H2530">
        <v>8</v>
      </c>
      <c r="I2530" s="5">
        <v>4.2105263157894701E-2</v>
      </c>
      <c r="J2530" s="3">
        <v>373.71428571428498</v>
      </c>
      <c r="K2530" s="1">
        <v>45619</v>
      </c>
      <c r="L2530" t="s">
        <v>25</v>
      </c>
      <c r="M2530" t="s">
        <v>39</v>
      </c>
      <c r="N2530" t="s">
        <v>32</v>
      </c>
      <c r="O2530" t="s">
        <v>28</v>
      </c>
      <c r="P2530" t="s">
        <v>29</v>
      </c>
      <c r="Q2530" s="6">
        <v>1.28210526315789</v>
      </c>
      <c r="R2530">
        <v>3.5</v>
      </c>
      <c r="S2530">
        <v>10.59</v>
      </c>
      <c r="T2530">
        <v>30.45</v>
      </c>
      <c r="U2530">
        <v>53.41</v>
      </c>
      <c r="V2530">
        <v>46.71</v>
      </c>
      <c r="W2530">
        <v>1.53</v>
      </c>
    </row>
    <row r="2531" spans="1:23" x14ac:dyDescent="0.3">
      <c r="A2531">
        <v>2532</v>
      </c>
      <c r="B2531" t="s">
        <v>2574</v>
      </c>
      <c r="C2531" t="s">
        <v>24</v>
      </c>
      <c r="D2531">
        <v>127</v>
      </c>
      <c r="E2531">
        <v>4327</v>
      </c>
      <c r="F2531" s="3">
        <v>221</v>
      </c>
      <c r="G2531">
        <v>24</v>
      </c>
      <c r="H2531">
        <v>5</v>
      </c>
      <c r="I2531" s="5">
        <v>3.9370078740157403E-2</v>
      </c>
      <c r="J2531" s="3">
        <v>208</v>
      </c>
      <c r="K2531" s="1">
        <v>45617</v>
      </c>
      <c r="L2531" t="s">
        <v>25</v>
      </c>
      <c r="M2531" t="s">
        <v>31</v>
      </c>
      <c r="N2531" t="s">
        <v>32</v>
      </c>
      <c r="O2531" t="s">
        <v>28</v>
      </c>
      <c r="P2531" t="s">
        <v>54</v>
      </c>
      <c r="Q2531" s="6">
        <v>1.7367716535433</v>
      </c>
      <c r="R2531">
        <v>2.94</v>
      </c>
      <c r="S2531">
        <v>9.19</v>
      </c>
      <c r="T2531">
        <v>44.11</v>
      </c>
      <c r="U2531">
        <v>-5.7</v>
      </c>
      <c r="V2531">
        <v>41.6</v>
      </c>
      <c r="W2531">
        <v>0.94</v>
      </c>
    </row>
    <row r="2532" spans="1:23" x14ac:dyDescent="0.3">
      <c r="A2532">
        <v>2533</v>
      </c>
      <c r="B2532" t="s">
        <v>2575</v>
      </c>
      <c r="C2532" t="s">
        <v>35</v>
      </c>
      <c r="D2532">
        <v>130</v>
      </c>
      <c r="E2532">
        <v>5340</v>
      </c>
      <c r="F2532" s="3">
        <v>222</v>
      </c>
      <c r="G2532">
        <v>27</v>
      </c>
      <c r="H2532">
        <v>6</v>
      </c>
      <c r="I2532" s="5">
        <v>4.6153846153846101E-2</v>
      </c>
      <c r="J2532" s="3">
        <v>304</v>
      </c>
      <c r="K2532" s="1">
        <v>45598</v>
      </c>
      <c r="L2532" t="s">
        <v>25</v>
      </c>
      <c r="M2532" t="s">
        <v>39</v>
      </c>
      <c r="N2532" t="s">
        <v>36</v>
      </c>
      <c r="O2532" t="s">
        <v>28</v>
      </c>
      <c r="P2532" t="s">
        <v>29</v>
      </c>
      <c r="Q2532" s="6">
        <v>1.70730769230769</v>
      </c>
      <c r="R2532">
        <v>2.4300000000000002</v>
      </c>
      <c r="S2532">
        <v>8.2200000000000006</v>
      </c>
      <c r="T2532">
        <v>36.99</v>
      </c>
      <c r="U2532">
        <v>36.97</v>
      </c>
      <c r="V2532">
        <v>50.67</v>
      </c>
      <c r="W2532">
        <v>1.37</v>
      </c>
    </row>
    <row r="2533" spans="1:23" x14ac:dyDescent="0.3">
      <c r="A2533">
        <v>2534</v>
      </c>
      <c r="B2533" t="s">
        <v>2576</v>
      </c>
      <c r="C2533" t="s">
        <v>43</v>
      </c>
      <c r="D2533">
        <v>172</v>
      </c>
      <c r="E2533">
        <v>3612</v>
      </c>
      <c r="F2533" s="3">
        <v>191</v>
      </c>
      <c r="G2533">
        <v>25</v>
      </c>
      <c r="H2533">
        <v>10</v>
      </c>
      <c r="I2533" s="5">
        <v>5.8139534883720902E-2</v>
      </c>
      <c r="J2533" s="3">
        <v>254</v>
      </c>
      <c r="K2533" s="1">
        <v>45614</v>
      </c>
      <c r="L2533" t="s">
        <v>25</v>
      </c>
      <c r="M2533" t="s">
        <v>31</v>
      </c>
      <c r="N2533" t="s">
        <v>49</v>
      </c>
      <c r="O2533" t="s">
        <v>28</v>
      </c>
      <c r="P2533" t="s">
        <v>59</v>
      </c>
      <c r="Q2533" s="6">
        <v>1.11203488372093</v>
      </c>
      <c r="R2533">
        <v>4.76</v>
      </c>
      <c r="S2533">
        <v>7.65</v>
      </c>
      <c r="T2533">
        <v>19.13</v>
      </c>
      <c r="U2533">
        <v>32.799999999999997</v>
      </c>
      <c r="V2533">
        <v>25.4</v>
      </c>
      <c r="W2533">
        <v>1.33</v>
      </c>
    </row>
    <row r="2534" spans="1:23" x14ac:dyDescent="0.3">
      <c r="A2534">
        <v>2535</v>
      </c>
      <c r="B2534" t="s">
        <v>2577</v>
      </c>
      <c r="C2534" t="s">
        <v>35</v>
      </c>
      <c r="D2534">
        <v>127</v>
      </c>
      <c r="E2534">
        <v>4195</v>
      </c>
      <c r="F2534" s="3">
        <v>227</v>
      </c>
      <c r="G2534">
        <v>27</v>
      </c>
      <c r="H2534">
        <v>3</v>
      </c>
      <c r="I2534" s="5">
        <v>2.3622047244094401E-2</v>
      </c>
      <c r="J2534" s="3">
        <v>228</v>
      </c>
      <c r="K2534" s="1">
        <v>45609</v>
      </c>
      <c r="L2534" t="s">
        <v>25</v>
      </c>
      <c r="M2534" t="s">
        <v>26</v>
      </c>
      <c r="N2534" t="s">
        <v>32</v>
      </c>
      <c r="O2534" t="s">
        <v>28</v>
      </c>
      <c r="P2534" t="s">
        <v>33</v>
      </c>
      <c r="Q2534" s="6">
        <v>1.7857480314960601</v>
      </c>
      <c r="R2534">
        <v>3.03</v>
      </c>
      <c r="S2534">
        <v>8.4</v>
      </c>
      <c r="T2534">
        <v>75.599999999999994</v>
      </c>
      <c r="U2534">
        <v>0.53</v>
      </c>
      <c r="V2534">
        <v>76</v>
      </c>
      <c r="W2534">
        <v>1.01</v>
      </c>
    </row>
    <row r="2535" spans="1:23" x14ac:dyDescent="0.3">
      <c r="A2535">
        <v>2536</v>
      </c>
      <c r="B2535" t="s">
        <v>2578</v>
      </c>
      <c r="C2535" t="s">
        <v>24</v>
      </c>
      <c r="D2535">
        <v>144</v>
      </c>
      <c r="E2535">
        <v>5968</v>
      </c>
      <c r="F2535" s="3">
        <v>224</v>
      </c>
      <c r="G2535">
        <v>21</v>
      </c>
      <c r="H2535">
        <v>6</v>
      </c>
      <c r="I2535" s="5">
        <v>4.1666666666666602E-2</v>
      </c>
      <c r="J2535" s="3">
        <v>407</v>
      </c>
      <c r="K2535" s="1">
        <v>45606</v>
      </c>
      <c r="L2535" t="s">
        <v>25</v>
      </c>
      <c r="M2535" t="s">
        <v>26</v>
      </c>
      <c r="N2535" t="s">
        <v>44</v>
      </c>
      <c r="O2535" t="s">
        <v>28</v>
      </c>
      <c r="P2535" t="s">
        <v>50</v>
      </c>
      <c r="Q2535" s="6">
        <v>1.55701388888888</v>
      </c>
      <c r="R2535">
        <v>2.41</v>
      </c>
      <c r="S2535">
        <v>10.68</v>
      </c>
      <c r="T2535">
        <v>37.369999999999997</v>
      </c>
      <c r="U2535">
        <v>81.53</v>
      </c>
      <c r="V2535">
        <v>67.83</v>
      </c>
      <c r="W2535">
        <v>1.82</v>
      </c>
    </row>
    <row r="2536" spans="1:23" x14ac:dyDescent="0.3">
      <c r="A2536">
        <v>2537</v>
      </c>
      <c r="B2536" t="s">
        <v>2579</v>
      </c>
      <c r="C2536" t="s">
        <v>43</v>
      </c>
      <c r="D2536">
        <v>148</v>
      </c>
      <c r="E2536">
        <v>5431</v>
      </c>
      <c r="F2536" s="3">
        <v>217</v>
      </c>
      <c r="G2536">
        <v>20</v>
      </c>
      <c r="H2536">
        <v>6</v>
      </c>
      <c r="I2536" s="5">
        <v>4.0540540540540501E-2</v>
      </c>
      <c r="J2536" s="3">
        <v>245</v>
      </c>
      <c r="K2536" s="1">
        <v>45616</v>
      </c>
      <c r="L2536" t="s">
        <v>25</v>
      </c>
      <c r="M2536" t="s">
        <v>31</v>
      </c>
      <c r="N2536" t="s">
        <v>44</v>
      </c>
      <c r="O2536" t="s">
        <v>28</v>
      </c>
      <c r="P2536" t="s">
        <v>33</v>
      </c>
      <c r="Q2536" s="6">
        <v>1.4642567567567499</v>
      </c>
      <c r="R2536">
        <v>2.73</v>
      </c>
      <c r="S2536">
        <v>10.84</v>
      </c>
      <c r="T2536">
        <v>36.119999999999997</v>
      </c>
      <c r="U2536">
        <v>13.05</v>
      </c>
      <c r="V2536">
        <v>40.83</v>
      </c>
      <c r="W2536">
        <v>1.1299999999999999</v>
      </c>
    </row>
    <row r="2537" spans="1:23" x14ac:dyDescent="0.3">
      <c r="A2537">
        <v>2538</v>
      </c>
      <c r="B2537" t="s">
        <v>2580</v>
      </c>
      <c r="C2537" t="s">
        <v>43</v>
      </c>
      <c r="D2537">
        <v>189</v>
      </c>
      <c r="E2537">
        <v>3420</v>
      </c>
      <c r="F2537" s="3">
        <v>181</v>
      </c>
      <c r="G2537">
        <v>26</v>
      </c>
      <c r="H2537">
        <v>6</v>
      </c>
      <c r="I2537" s="5">
        <v>3.1746031746031703E-2</v>
      </c>
      <c r="J2537" s="3">
        <v>345</v>
      </c>
      <c r="K2537" s="1">
        <v>45614</v>
      </c>
      <c r="L2537" t="s">
        <v>25</v>
      </c>
      <c r="M2537" t="s">
        <v>26</v>
      </c>
      <c r="N2537" t="s">
        <v>40</v>
      </c>
      <c r="O2537" t="s">
        <v>28</v>
      </c>
      <c r="P2537" t="s">
        <v>59</v>
      </c>
      <c r="Q2537" s="6">
        <v>0.959523809523809</v>
      </c>
      <c r="R2537">
        <v>5.53</v>
      </c>
      <c r="S2537">
        <v>6.98</v>
      </c>
      <c r="T2537">
        <v>30.22</v>
      </c>
      <c r="U2537">
        <v>90.24</v>
      </c>
      <c r="V2537">
        <v>57.5</v>
      </c>
      <c r="W2537">
        <v>1.9</v>
      </c>
    </row>
    <row r="2538" spans="1:23" x14ac:dyDescent="0.3">
      <c r="A2538">
        <v>2539</v>
      </c>
      <c r="B2538" t="s">
        <v>2581</v>
      </c>
      <c r="C2538" t="s">
        <v>24</v>
      </c>
      <c r="D2538">
        <v>143</v>
      </c>
      <c r="E2538">
        <v>4701</v>
      </c>
      <c r="F2538" s="3">
        <v>222</v>
      </c>
      <c r="G2538">
        <v>29</v>
      </c>
      <c r="H2538">
        <v>4</v>
      </c>
      <c r="I2538" s="5">
        <v>2.7972027972027899E-2</v>
      </c>
      <c r="J2538" s="3">
        <v>399</v>
      </c>
      <c r="K2538" s="1">
        <v>45603</v>
      </c>
      <c r="L2538" t="s">
        <v>25</v>
      </c>
      <c r="M2538" t="s">
        <v>39</v>
      </c>
      <c r="N2538" t="s">
        <v>36</v>
      </c>
      <c r="O2538" t="s">
        <v>28</v>
      </c>
      <c r="P2538" t="s">
        <v>54</v>
      </c>
      <c r="Q2538" s="6">
        <v>1.5554545454545401</v>
      </c>
      <c r="R2538">
        <v>3.04</v>
      </c>
      <c r="S2538">
        <v>7.67</v>
      </c>
      <c r="T2538">
        <v>55.61</v>
      </c>
      <c r="U2538">
        <v>79.38</v>
      </c>
      <c r="V2538">
        <v>99.75</v>
      </c>
      <c r="W2538">
        <v>1.79</v>
      </c>
    </row>
    <row r="2539" spans="1:23" x14ac:dyDescent="0.3">
      <c r="A2539">
        <v>2540</v>
      </c>
      <c r="B2539" t="s">
        <v>2582</v>
      </c>
      <c r="C2539" t="s">
        <v>24</v>
      </c>
      <c r="D2539">
        <v>185</v>
      </c>
      <c r="E2539">
        <v>4958</v>
      </c>
      <c r="F2539" s="3">
        <v>201</v>
      </c>
      <c r="G2539">
        <v>21</v>
      </c>
      <c r="H2539">
        <v>5</v>
      </c>
      <c r="I2539" s="5">
        <v>2.7027027027027001E-2</v>
      </c>
      <c r="J2539" s="3">
        <v>401</v>
      </c>
      <c r="K2539" s="1">
        <v>45602</v>
      </c>
      <c r="L2539" t="s">
        <v>25</v>
      </c>
      <c r="M2539" t="s">
        <v>26</v>
      </c>
      <c r="N2539" t="s">
        <v>49</v>
      </c>
      <c r="O2539" t="s">
        <v>28</v>
      </c>
      <c r="P2539" t="s">
        <v>33</v>
      </c>
      <c r="Q2539" s="6">
        <v>1.0881081081081001</v>
      </c>
      <c r="R2539">
        <v>3.73</v>
      </c>
      <c r="S2539">
        <v>9.59</v>
      </c>
      <c r="T2539">
        <v>40.26</v>
      </c>
      <c r="U2539">
        <v>99.21</v>
      </c>
      <c r="V2539">
        <v>80.2</v>
      </c>
      <c r="W2539">
        <v>1.99</v>
      </c>
    </row>
    <row r="2540" spans="1:23" x14ac:dyDescent="0.3">
      <c r="A2540">
        <v>2541</v>
      </c>
      <c r="B2540" t="s">
        <v>2583</v>
      </c>
      <c r="C2540" t="s">
        <v>35</v>
      </c>
      <c r="D2540">
        <v>172</v>
      </c>
      <c r="E2540">
        <v>5295</v>
      </c>
      <c r="F2540" s="3">
        <v>204</v>
      </c>
      <c r="G2540">
        <v>26</v>
      </c>
      <c r="H2540">
        <v>8</v>
      </c>
      <c r="I2540" s="5">
        <v>4.6511627906976702E-2</v>
      </c>
      <c r="J2540" s="3">
        <v>249</v>
      </c>
      <c r="K2540" s="1">
        <v>45625</v>
      </c>
      <c r="L2540" t="s">
        <v>25</v>
      </c>
      <c r="M2540" t="s">
        <v>39</v>
      </c>
      <c r="N2540" t="s">
        <v>32</v>
      </c>
      <c r="O2540" t="s">
        <v>28</v>
      </c>
      <c r="P2540" t="s">
        <v>45</v>
      </c>
      <c r="Q2540" s="6">
        <v>1.1878488372092999</v>
      </c>
      <c r="R2540">
        <v>3.25</v>
      </c>
      <c r="S2540">
        <v>7.86</v>
      </c>
      <c r="T2540">
        <v>25.54</v>
      </c>
      <c r="U2540">
        <v>21.87</v>
      </c>
      <c r="V2540">
        <v>31.12</v>
      </c>
      <c r="W2540">
        <v>1.22</v>
      </c>
    </row>
    <row r="2541" spans="1:23" x14ac:dyDescent="0.3">
      <c r="A2541">
        <v>2542</v>
      </c>
      <c r="B2541" t="s">
        <v>2584</v>
      </c>
      <c r="C2541" t="s">
        <v>35</v>
      </c>
      <c r="D2541">
        <v>121</v>
      </c>
      <c r="E2541">
        <v>3577</v>
      </c>
      <c r="F2541" s="3">
        <v>239</v>
      </c>
      <c r="G2541">
        <v>29</v>
      </c>
      <c r="H2541">
        <v>3</v>
      </c>
      <c r="I2541" s="5">
        <v>2.4793388429752001E-2</v>
      </c>
      <c r="J2541" s="3">
        <v>354</v>
      </c>
      <c r="K2541" s="1">
        <v>45622</v>
      </c>
      <c r="L2541" t="s">
        <v>25</v>
      </c>
      <c r="M2541" t="s">
        <v>26</v>
      </c>
      <c r="N2541" t="s">
        <v>36</v>
      </c>
      <c r="O2541" t="s">
        <v>28</v>
      </c>
      <c r="P2541" t="s">
        <v>41</v>
      </c>
      <c r="Q2541" s="6">
        <v>1.97743801652892</v>
      </c>
      <c r="R2541">
        <v>3.38</v>
      </c>
      <c r="S2541">
        <v>8.25</v>
      </c>
      <c r="T2541">
        <v>79.760000000000005</v>
      </c>
      <c r="U2541">
        <v>47.95</v>
      </c>
      <c r="V2541">
        <v>118</v>
      </c>
      <c r="W2541">
        <v>1.48</v>
      </c>
    </row>
    <row r="2542" spans="1:23" x14ac:dyDescent="0.3">
      <c r="A2542">
        <v>2543</v>
      </c>
      <c r="B2542" t="s">
        <v>2585</v>
      </c>
      <c r="C2542" t="s">
        <v>38</v>
      </c>
      <c r="D2542">
        <v>158</v>
      </c>
      <c r="E2542">
        <v>3766</v>
      </c>
      <c r="F2542" s="3">
        <v>223</v>
      </c>
      <c r="G2542">
        <v>27</v>
      </c>
      <c r="H2542">
        <v>7</v>
      </c>
      <c r="I2542" s="5">
        <v>4.4303797468354403E-2</v>
      </c>
      <c r="J2542" s="3">
        <v>341</v>
      </c>
      <c r="K2542" s="1">
        <v>45618</v>
      </c>
      <c r="L2542" t="s">
        <v>25</v>
      </c>
      <c r="M2542" t="s">
        <v>31</v>
      </c>
      <c r="N2542" t="s">
        <v>27</v>
      </c>
      <c r="O2542" t="s">
        <v>28</v>
      </c>
      <c r="P2542" t="s">
        <v>45</v>
      </c>
      <c r="Q2542" s="6">
        <v>1.4106962025316401</v>
      </c>
      <c r="R2542">
        <v>4.2</v>
      </c>
      <c r="S2542">
        <v>8.26</v>
      </c>
      <c r="T2542">
        <v>31.84</v>
      </c>
      <c r="U2542">
        <v>52.99</v>
      </c>
      <c r="V2542">
        <v>48.71</v>
      </c>
      <c r="W2542">
        <v>1.53</v>
      </c>
    </row>
    <row r="2543" spans="1:23" x14ac:dyDescent="0.3">
      <c r="A2543">
        <v>2544</v>
      </c>
      <c r="B2543" t="s">
        <v>2586</v>
      </c>
      <c r="C2543" t="s">
        <v>24</v>
      </c>
      <c r="D2543">
        <v>137</v>
      </c>
      <c r="E2543">
        <v>4287</v>
      </c>
      <c r="F2543" s="3">
        <v>232</v>
      </c>
      <c r="G2543">
        <v>14</v>
      </c>
      <c r="H2543">
        <v>7</v>
      </c>
      <c r="I2543" s="5">
        <v>5.1094890510948898E-2</v>
      </c>
      <c r="J2543" s="3">
        <v>373</v>
      </c>
      <c r="K2543" s="1">
        <v>45625</v>
      </c>
      <c r="L2543" t="s">
        <v>25</v>
      </c>
      <c r="M2543" t="s">
        <v>26</v>
      </c>
      <c r="N2543" t="s">
        <v>49</v>
      </c>
      <c r="O2543" t="s">
        <v>28</v>
      </c>
      <c r="P2543" t="s">
        <v>45</v>
      </c>
      <c r="Q2543" s="6">
        <v>1.692700729927</v>
      </c>
      <c r="R2543">
        <v>3.2</v>
      </c>
      <c r="S2543">
        <v>16.559999999999999</v>
      </c>
      <c r="T2543">
        <v>33.130000000000003</v>
      </c>
      <c r="U2543">
        <v>60.85</v>
      </c>
      <c r="V2543">
        <v>53.29</v>
      </c>
      <c r="W2543">
        <v>1.61</v>
      </c>
    </row>
    <row r="2544" spans="1:23" x14ac:dyDescent="0.3">
      <c r="A2544">
        <v>2545</v>
      </c>
      <c r="B2544" t="s">
        <v>2587</v>
      </c>
      <c r="C2544" t="s">
        <v>43</v>
      </c>
      <c r="D2544">
        <v>150</v>
      </c>
      <c r="E2544">
        <v>5630</v>
      </c>
      <c r="F2544" s="3">
        <v>239</v>
      </c>
      <c r="G2544">
        <v>26</v>
      </c>
      <c r="H2544">
        <v>4</v>
      </c>
      <c r="I2544" s="5">
        <v>2.6666666666666599E-2</v>
      </c>
      <c r="J2544" s="3">
        <v>266</v>
      </c>
      <c r="K2544" s="1">
        <v>45626</v>
      </c>
      <c r="L2544" t="s">
        <v>25</v>
      </c>
      <c r="M2544" t="s">
        <v>39</v>
      </c>
      <c r="N2544" t="s">
        <v>49</v>
      </c>
      <c r="O2544" t="s">
        <v>28</v>
      </c>
      <c r="P2544" t="s">
        <v>29</v>
      </c>
      <c r="Q2544" s="6">
        <v>1.59473333333333</v>
      </c>
      <c r="R2544">
        <v>2.66</v>
      </c>
      <c r="S2544">
        <v>9.1999999999999993</v>
      </c>
      <c r="T2544">
        <v>59.8</v>
      </c>
      <c r="U2544">
        <v>11.2</v>
      </c>
      <c r="V2544">
        <v>66.5</v>
      </c>
      <c r="W2544">
        <v>1.1100000000000001</v>
      </c>
    </row>
    <row r="2545" spans="1:23" x14ac:dyDescent="0.3">
      <c r="A2545">
        <v>2546</v>
      </c>
      <c r="B2545" t="s">
        <v>2588</v>
      </c>
      <c r="C2545" t="s">
        <v>24</v>
      </c>
      <c r="D2545">
        <v>93</v>
      </c>
      <c r="E2545">
        <v>4157</v>
      </c>
      <c r="F2545" s="3">
        <v>206</v>
      </c>
      <c r="G2545">
        <v>30</v>
      </c>
      <c r="H2545">
        <v>8</v>
      </c>
      <c r="I2545" s="5">
        <v>8.6021505376343996E-2</v>
      </c>
      <c r="J2545" s="3">
        <v>230</v>
      </c>
      <c r="K2545" s="1">
        <v>45604</v>
      </c>
      <c r="L2545" t="s">
        <v>25</v>
      </c>
      <c r="M2545" t="s">
        <v>31</v>
      </c>
      <c r="N2545" t="s">
        <v>27</v>
      </c>
      <c r="O2545" t="s">
        <v>28</v>
      </c>
      <c r="P2545" t="s">
        <v>45</v>
      </c>
      <c r="Q2545" s="6">
        <v>2.2161290322580598</v>
      </c>
      <c r="R2545">
        <v>2.2400000000000002</v>
      </c>
      <c r="S2545">
        <v>6.87</v>
      </c>
      <c r="T2545">
        <v>25.76</v>
      </c>
      <c r="U2545">
        <v>11.6</v>
      </c>
      <c r="V2545">
        <v>28.75</v>
      </c>
      <c r="W2545">
        <v>1.1200000000000001</v>
      </c>
    </row>
    <row r="2546" spans="1:23" x14ac:dyDescent="0.3">
      <c r="A2546">
        <v>2547</v>
      </c>
      <c r="B2546" t="s">
        <v>2589</v>
      </c>
      <c r="C2546" t="s">
        <v>35</v>
      </c>
      <c r="D2546">
        <v>101</v>
      </c>
      <c r="E2546">
        <v>5983</v>
      </c>
      <c r="F2546" s="3">
        <v>186</v>
      </c>
      <c r="G2546">
        <v>10</v>
      </c>
      <c r="H2546">
        <v>5</v>
      </c>
      <c r="I2546" s="5">
        <v>4.95049504950495E-2</v>
      </c>
      <c r="J2546" s="3">
        <v>208</v>
      </c>
      <c r="K2546" s="1">
        <v>45602</v>
      </c>
      <c r="L2546" t="s">
        <v>25</v>
      </c>
      <c r="M2546" t="s">
        <v>39</v>
      </c>
      <c r="N2546" t="s">
        <v>44</v>
      </c>
      <c r="O2546" t="s">
        <v>28</v>
      </c>
      <c r="P2546" t="s">
        <v>33</v>
      </c>
      <c r="Q2546" s="6">
        <v>1.8401980198019801</v>
      </c>
      <c r="R2546">
        <v>1.69</v>
      </c>
      <c r="S2546">
        <v>18.59</v>
      </c>
      <c r="T2546">
        <v>37.17</v>
      </c>
      <c r="U2546">
        <v>11.91</v>
      </c>
      <c r="V2546">
        <v>41.6</v>
      </c>
      <c r="W2546">
        <v>1.1200000000000001</v>
      </c>
    </row>
    <row r="2547" spans="1:23" x14ac:dyDescent="0.3">
      <c r="A2547">
        <v>2548</v>
      </c>
      <c r="B2547" t="s">
        <v>2590</v>
      </c>
      <c r="C2547" t="s">
        <v>24</v>
      </c>
      <c r="D2547">
        <v>178</v>
      </c>
      <c r="E2547">
        <v>3109</v>
      </c>
      <c r="F2547" s="3">
        <v>181</v>
      </c>
      <c r="G2547">
        <v>25</v>
      </c>
      <c r="H2547">
        <v>10</v>
      </c>
      <c r="I2547" s="5">
        <v>5.6179775280898799E-2</v>
      </c>
      <c r="J2547" s="3">
        <v>349</v>
      </c>
      <c r="K2547" s="1">
        <v>45608</v>
      </c>
      <c r="L2547" t="s">
        <v>25</v>
      </c>
      <c r="M2547" t="s">
        <v>26</v>
      </c>
      <c r="N2547" t="s">
        <v>32</v>
      </c>
      <c r="O2547" t="s">
        <v>28</v>
      </c>
      <c r="P2547" t="s">
        <v>41</v>
      </c>
      <c r="Q2547" s="6">
        <v>1.0151685393258401</v>
      </c>
      <c r="R2547">
        <v>5.73</v>
      </c>
      <c r="S2547">
        <v>7.23</v>
      </c>
      <c r="T2547">
        <v>18.07</v>
      </c>
      <c r="U2547">
        <v>93.14</v>
      </c>
      <c r="V2547">
        <v>34.9</v>
      </c>
      <c r="W2547">
        <v>1.93</v>
      </c>
    </row>
    <row r="2548" spans="1:23" x14ac:dyDescent="0.3">
      <c r="A2548">
        <v>2549</v>
      </c>
      <c r="B2548" t="s">
        <v>2591</v>
      </c>
      <c r="C2548" t="s">
        <v>35</v>
      </c>
      <c r="D2548">
        <v>96</v>
      </c>
      <c r="E2548">
        <v>3365</v>
      </c>
      <c r="F2548" s="3">
        <v>226</v>
      </c>
      <c r="G2548">
        <v>27</v>
      </c>
      <c r="H2548">
        <v>8</v>
      </c>
      <c r="I2548" s="5">
        <v>8.3333333333333301E-2</v>
      </c>
      <c r="J2548" s="3">
        <v>384</v>
      </c>
      <c r="K2548" s="1">
        <v>45626</v>
      </c>
      <c r="L2548" t="s">
        <v>25</v>
      </c>
      <c r="M2548" t="s">
        <v>39</v>
      </c>
      <c r="N2548" t="s">
        <v>32</v>
      </c>
      <c r="O2548" t="s">
        <v>28</v>
      </c>
      <c r="P2548" t="s">
        <v>29</v>
      </c>
      <c r="Q2548" s="6">
        <v>2.35177083333333</v>
      </c>
      <c r="R2548">
        <v>2.85</v>
      </c>
      <c r="S2548">
        <v>8.36</v>
      </c>
      <c r="T2548">
        <v>28.22</v>
      </c>
      <c r="U2548">
        <v>70.08</v>
      </c>
      <c r="V2548">
        <v>48</v>
      </c>
      <c r="W2548">
        <v>1.7</v>
      </c>
    </row>
    <row r="2549" spans="1:23" x14ac:dyDescent="0.3">
      <c r="A2549">
        <v>2550</v>
      </c>
      <c r="B2549" t="s">
        <v>2592</v>
      </c>
      <c r="C2549" t="s">
        <v>35</v>
      </c>
      <c r="D2549">
        <v>170</v>
      </c>
      <c r="E2549">
        <v>5380</v>
      </c>
      <c r="F2549" s="3">
        <v>205</v>
      </c>
      <c r="G2549">
        <v>20</v>
      </c>
      <c r="H2549">
        <v>4</v>
      </c>
      <c r="I2549" s="5">
        <v>2.3529411764705799E-2</v>
      </c>
      <c r="J2549" s="3">
        <v>301</v>
      </c>
      <c r="K2549" s="1">
        <v>45611</v>
      </c>
      <c r="L2549" t="s">
        <v>25</v>
      </c>
      <c r="M2549" t="s">
        <v>26</v>
      </c>
      <c r="N2549" t="s">
        <v>32</v>
      </c>
      <c r="O2549" t="s">
        <v>28</v>
      </c>
      <c r="P2549" t="s">
        <v>45</v>
      </c>
      <c r="Q2549" s="6">
        <v>1.20364705882352</v>
      </c>
      <c r="R2549">
        <v>3.16</v>
      </c>
      <c r="S2549">
        <v>10.23</v>
      </c>
      <c r="T2549">
        <v>51.16</v>
      </c>
      <c r="U2549">
        <v>47.1</v>
      </c>
      <c r="V2549">
        <v>75.25</v>
      </c>
      <c r="W2549">
        <v>1.47</v>
      </c>
    </row>
    <row r="2550" spans="1:23" x14ac:dyDescent="0.3">
      <c r="A2550">
        <v>2551</v>
      </c>
      <c r="B2550" t="s">
        <v>2593</v>
      </c>
      <c r="C2550" t="s">
        <v>35</v>
      </c>
      <c r="D2550">
        <v>176</v>
      </c>
      <c r="E2550">
        <v>5036</v>
      </c>
      <c r="F2550" s="3">
        <v>221</v>
      </c>
      <c r="G2550">
        <v>13</v>
      </c>
      <c r="H2550">
        <v>3</v>
      </c>
      <c r="I2550" s="5">
        <v>1.7045454545454499E-2</v>
      </c>
      <c r="J2550" s="3">
        <v>219</v>
      </c>
      <c r="K2550" s="1">
        <v>45618</v>
      </c>
      <c r="L2550" t="s">
        <v>25</v>
      </c>
      <c r="M2550" t="s">
        <v>31</v>
      </c>
      <c r="N2550" t="s">
        <v>40</v>
      </c>
      <c r="O2550" t="s">
        <v>28</v>
      </c>
      <c r="P2550" t="s">
        <v>45</v>
      </c>
      <c r="Q2550" s="6">
        <v>1.2584090909090899</v>
      </c>
      <c r="R2550">
        <v>3.49</v>
      </c>
      <c r="S2550">
        <v>17.04</v>
      </c>
      <c r="T2550">
        <v>73.83</v>
      </c>
      <c r="U2550">
        <v>-1.1200000000000001</v>
      </c>
      <c r="V2550">
        <v>73</v>
      </c>
      <c r="W2550">
        <v>0.99</v>
      </c>
    </row>
    <row r="2551" spans="1:23" x14ac:dyDescent="0.3">
      <c r="A2551">
        <v>2552</v>
      </c>
      <c r="B2551" t="s">
        <v>2594</v>
      </c>
      <c r="C2551" t="s">
        <v>43</v>
      </c>
      <c r="D2551">
        <v>178</v>
      </c>
      <c r="E2551">
        <v>4176</v>
      </c>
      <c r="F2551" s="3">
        <v>198</v>
      </c>
      <c r="G2551">
        <v>30</v>
      </c>
      <c r="H2551">
        <v>4</v>
      </c>
      <c r="I2551" s="5">
        <v>2.2471910112359501E-2</v>
      </c>
      <c r="J2551" s="3">
        <v>350</v>
      </c>
      <c r="K2551" s="1">
        <v>45608</v>
      </c>
      <c r="L2551" t="s">
        <v>25</v>
      </c>
      <c r="M2551" t="s">
        <v>26</v>
      </c>
      <c r="N2551" t="s">
        <v>27</v>
      </c>
      <c r="O2551" t="s">
        <v>28</v>
      </c>
      <c r="P2551" t="s">
        <v>41</v>
      </c>
      <c r="Q2551" s="6">
        <v>1.1151123595505601</v>
      </c>
      <c r="R2551">
        <v>4.26</v>
      </c>
      <c r="S2551">
        <v>6.62</v>
      </c>
      <c r="T2551">
        <v>49.62</v>
      </c>
      <c r="U2551">
        <v>76.33</v>
      </c>
      <c r="V2551">
        <v>87.5</v>
      </c>
      <c r="W2551">
        <v>1.76</v>
      </c>
    </row>
    <row r="2552" spans="1:23" x14ac:dyDescent="0.3">
      <c r="A2552">
        <v>2553</v>
      </c>
      <c r="B2552" t="s">
        <v>2595</v>
      </c>
      <c r="C2552" t="s">
        <v>35</v>
      </c>
      <c r="D2552">
        <v>99</v>
      </c>
      <c r="E2552">
        <v>5663</v>
      </c>
      <c r="F2552" s="3">
        <v>187</v>
      </c>
      <c r="G2552">
        <v>22</v>
      </c>
      <c r="H2552">
        <v>5</v>
      </c>
      <c r="I2552" s="5">
        <v>5.0505050505050497E-2</v>
      </c>
      <c r="J2552" s="3">
        <v>284</v>
      </c>
      <c r="K2552" s="1">
        <v>45625</v>
      </c>
      <c r="L2552" t="s">
        <v>25</v>
      </c>
      <c r="M2552" t="s">
        <v>26</v>
      </c>
      <c r="N2552" t="s">
        <v>44</v>
      </c>
      <c r="O2552" t="s">
        <v>28</v>
      </c>
      <c r="P2552" t="s">
        <v>45</v>
      </c>
      <c r="Q2552" s="6">
        <v>1.8937373737373699</v>
      </c>
      <c r="R2552">
        <v>1.75</v>
      </c>
      <c r="S2552">
        <v>8.52</v>
      </c>
      <c r="T2552">
        <v>37.5</v>
      </c>
      <c r="U2552">
        <v>51.48</v>
      </c>
      <c r="V2552">
        <v>56.8</v>
      </c>
      <c r="W2552">
        <v>1.51</v>
      </c>
    </row>
    <row r="2553" spans="1:23" x14ac:dyDescent="0.3">
      <c r="A2553">
        <v>2554</v>
      </c>
      <c r="B2553" t="s">
        <v>2596</v>
      </c>
      <c r="C2553" t="s">
        <v>35</v>
      </c>
      <c r="D2553">
        <v>177</v>
      </c>
      <c r="E2553">
        <v>5852</v>
      </c>
      <c r="F2553" s="3">
        <v>182</v>
      </c>
      <c r="G2553">
        <v>19</v>
      </c>
      <c r="H2553">
        <v>4</v>
      </c>
      <c r="I2553" s="5">
        <v>2.2598870056497099E-2</v>
      </c>
      <c r="J2553" s="3">
        <v>371</v>
      </c>
      <c r="K2553" s="1">
        <v>45618</v>
      </c>
      <c r="L2553" t="s">
        <v>25</v>
      </c>
      <c r="M2553" t="s">
        <v>39</v>
      </c>
      <c r="N2553" t="s">
        <v>36</v>
      </c>
      <c r="O2553" t="s">
        <v>28</v>
      </c>
      <c r="P2553" t="s">
        <v>45</v>
      </c>
      <c r="Q2553" s="6">
        <v>1.02802259887005</v>
      </c>
      <c r="R2553">
        <v>3.02</v>
      </c>
      <c r="S2553">
        <v>9.58</v>
      </c>
      <c r="T2553">
        <v>45.49</v>
      </c>
      <c r="U2553">
        <v>103.89</v>
      </c>
      <c r="V2553">
        <v>92.75</v>
      </c>
      <c r="W2553">
        <v>2.04</v>
      </c>
    </row>
    <row r="2554" spans="1:23" x14ac:dyDescent="0.3">
      <c r="A2554">
        <v>2555</v>
      </c>
      <c r="B2554" t="s">
        <v>2597</v>
      </c>
      <c r="C2554" t="s">
        <v>43</v>
      </c>
      <c r="D2554">
        <v>164</v>
      </c>
      <c r="E2554">
        <v>4725</v>
      </c>
      <c r="F2554" s="3">
        <v>224</v>
      </c>
      <c r="G2554">
        <v>18</v>
      </c>
      <c r="H2554">
        <v>10</v>
      </c>
      <c r="I2554" s="5">
        <v>6.0975609756097497E-2</v>
      </c>
      <c r="J2554" s="3">
        <v>233</v>
      </c>
      <c r="K2554" s="1">
        <v>45626</v>
      </c>
      <c r="L2554" t="s">
        <v>25</v>
      </c>
      <c r="M2554" t="s">
        <v>31</v>
      </c>
      <c r="N2554" t="s">
        <v>40</v>
      </c>
      <c r="O2554" t="s">
        <v>28</v>
      </c>
      <c r="P2554" t="s">
        <v>29</v>
      </c>
      <c r="Q2554" s="6">
        <v>1.36847560975609</v>
      </c>
      <c r="R2554">
        <v>3.47</v>
      </c>
      <c r="S2554">
        <v>12.47</v>
      </c>
      <c r="T2554">
        <v>22.44</v>
      </c>
      <c r="U2554">
        <v>3.82</v>
      </c>
      <c r="V2554">
        <v>23.3</v>
      </c>
      <c r="W2554">
        <v>1.04</v>
      </c>
    </row>
    <row r="2555" spans="1:23" x14ac:dyDescent="0.3">
      <c r="A2555">
        <v>2556</v>
      </c>
      <c r="B2555" t="s">
        <v>2598</v>
      </c>
      <c r="C2555" t="s">
        <v>35</v>
      </c>
      <c r="D2555">
        <v>94</v>
      </c>
      <c r="E2555">
        <v>5762</v>
      </c>
      <c r="F2555" s="3">
        <v>202</v>
      </c>
      <c r="G2555">
        <v>23</v>
      </c>
      <c r="H2555">
        <v>5</v>
      </c>
      <c r="I2555" s="5">
        <v>5.31914893617021E-2</v>
      </c>
      <c r="J2555" s="3">
        <v>346</v>
      </c>
      <c r="K2555" s="1">
        <v>45619</v>
      </c>
      <c r="L2555" t="s">
        <v>25</v>
      </c>
      <c r="M2555" t="s">
        <v>39</v>
      </c>
      <c r="N2555" t="s">
        <v>44</v>
      </c>
      <c r="O2555" t="s">
        <v>28</v>
      </c>
      <c r="P2555" t="s">
        <v>29</v>
      </c>
      <c r="Q2555" s="6">
        <v>2.1502127659574399</v>
      </c>
      <c r="R2555">
        <v>1.63</v>
      </c>
      <c r="S2555">
        <v>8.7899999999999991</v>
      </c>
      <c r="T2555">
        <v>40.42</v>
      </c>
      <c r="U2555">
        <v>71.19</v>
      </c>
      <c r="V2555">
        <v>69.2</v>
      </c>
      <c r="W2555">
        <v>1.71</v>
      </c>
    </row>
    <row r="2556" spans="1:23" x14ac:dyDescent="0.3">
      <c r="A2556">
        <v>2557</v>
      </c>
      <c r="B2556" t="s">
        <v>2599</v>
      </c>
      <c r="C2556" t="s">
        <v>43</v>
      </c>
      <c r="D2556">
        <v>82</v>
      </c>
      <c r="E2556">
        <v>4773</v>
      </c>
      <c r="F2556" s="3">
        <v>227</v>
      </c>
      <c r="G2556">
        <v>10</v>
      </c>
      <c r="H2556">
        <v>6</v>
      </c>
      <c r="I2556" s="5">
        <v>7.3170731707316999E-2</v>
      </c>
      <c r="J2556" s="3">
        <v>243</v>
      </c>
      <c r="K2556" s="1">
        <v>45616</v>
      </c>
      <c r="L2556" t="s">
        <v>25</v>
      </c>
      <c r="M2556" t="s">
        <v>26</v>
      </c>
      <c r="N2556" t="s">
        <v>40</v>
      </c>
      <c r="O2556" t="s">
        <v>28</v>
      </c>
      <c r="P2556" t="s">
        <v>33</v>
      </c>
      <c r="Q2556" s="6">
        <v>2.7641463414634102</v>
      </c>
      <c r="R2556">
        <v>1.72</v>
      </c>
      <c r="S2556">
        <v>22.67</v>
      </c>
      <c r="T2556">
        <v>37.78</v>
      </c>
      <c r="U2556">
        <v>7.21</v>
      </c>
      <c r="V2556">
        <v>40.5</v>
      </c>
      <c r="W2556">
        <v>1.07</v>
      </c>
    </row>
    <row r="2557" spans="1:23" x14ac:dyDescent="0.3">
      <c r="A2557">
        <v>2558</v>
      </c>
      <c r="B2557" t="s">
        <v>2600</v>
      </c>
      <c r="C2557" t="s">
        <v>38</v>
      </c>
      <c r="D2557">
        <v>194</v>
      </c>
      <c r="E2557">
        <v>4198</v>
      </c>
      <c r="F2557" s="3">
        <v>218</v>
      </c>
      <c r="G2557">
        <v>16</v>
      </c>
      <c r="H2557">
        <v>10</v>
      </c>
      <c r="I2557" s="5">
        <v>5.1546391752577303E-2</v>
      </c>
      <c r="J2557" s="3">
        <v>330</v>
      </c>
      <c r="K2557" s="1">
        <v>45625</v>
      </c>
      <c r="L2557" t="s">
        <v>25</v>
      </c>
      <c r="M2557" t="s">
        <v>39</v>
      </c>
      <c r="N2557" t="s">
        <v>44</v>
      </c>
      <c r="O2557" t="s">
        <v>28</v>
      </c>
      <c r="P2557" t="s">
        <v>45</v>
      </c>
      <c r="Q2557" s="6">
        <v>1.1219587628865899</v>
      </c>
      <c r="R2557">
        <v>4.62</v>
      </c>
      <c r="S2557">
        <v>13.6</v>
      </c>
      <c r="T2557">
        <v>21.77</v>
      </c>
      <c r="U2557">
        <v>51.61</v>
      </c>
      <c r="V2557">
        <v>33</v>
      </c>
      <c r="W2557">
        <v>1.52</v>
      </c>
    </row>
    <row r="2558" spans="1:23" x14ac:dyDescent="0.3">
      <c r="A2558">
        <v>2559</v>
      </c>
      <c r="B2558" t="s">
        <v>2601</v>
      </c>
      <c r="C2558" t="s">
        <v>43</v>
      </c>
      <c r="D2558">
        <v>176</v>
      </c>
      <c r="E2558">
        <v>5314</v>
      </c>
      <c r="F2558" s="3">
        <v>188</v>
      </c>
      <c r="G2558">
        <v>17</v>
      </c>
      <c r="H2558">
        <v>8</v>
      </c>
      <c r="I2558" s="5">
        <v>4.54545454545454E-2</v>
      </c>
      <c r="J2558" s="3">
        <v>352</v>
      </c>
      <c r="K2558" s="1">
        <v>45600</v>
      </c>
      <c r="L2558" t="s">
        <v>25</v>
      </c>
      <c r="M2558" t="s">
        <v>31</v>
      </c>
      <c r="N2558" t="s">
        <v>49</v>
      </c>
      <c r="O2558" t="s">
        <v>28</v>
      </c>
      <c r="P2558" t="s">
        <v>59</v>
      </c>
      <c r="Q2558" s="6">
        <v>1.06948863636363</v>
      </c>
      <c r="R2558">
        <v>3.31</v>
      </c>
      <c r="S2558">
        <v>11.07</v>
      </c>
      <c r="T2558">
        <v>23.53</v>
      </c>
      <c r="U2558">
        <v>87.01</v>
      </c>
      <c r="V2558">
        <v>44</v>
      </c>
      <c r="W2558">
        <v>1.87</v>
      </c>
    </row>
    <row r="2559" spans="1:23" x14ac:dyDescent="0.3">
      <c r="A2559">
        <v>2560</v>
      </c>
      <c r="B2559" t="s">
        <v>2602</v>
      </c>
      <c r="C2559" t="s">
        <v>35</v>
      </c>
      <c r="D2559">
        <v>170</v>
      </c>
      <c r="E2559">
        <v>3401</v>
      </c>
      <c r="F2559" s="3">
        <v>236</v>
      </c>
      <c r="G2559">
        <v>10</v>
      </c>
      <c r="H2559">
        <v>8</v>
      </c>
      <c r="I2559" s="5">
        <v>4.7058823529411702E-2</v>
      </c>
      <c r="J2559" s="3">
        <v>214</v>
      </c>
      <c r="K2559" s="1">
        <v>45611</v>
      </c>
      <c r="L2559" t="s">
        <v>25</v>
      </c>
      <c r="M2559" t="s">
        <v>31</v>
      </c>
      <c r="N2559" t="s">
        <v>44</v>
      </c>
      <c r="O2559" t="s">
        <v>28</v>
      </c>
      <c r="P2559" t="s">
        <v>45</v>
      </c>
      <c r="Q2559" s="6">
        <v>1.3864705882352899</v>
      </c>
      <c r="R2559">
        <v>5</v>
      </c>
      <c r="S2559">
        <v>23.57</v>
      </c>
      <c r="T2559">
        <v>29.46</v>
      </c>
      <c r="U2559">
        <v>-9.2100000000000009</v>
      </c>
      <c r="V2559">
        <v>26.75</v>
      </c>
      <c r="W2559">
        <v>0.91</v>
      </c>
    </row>
    <row r="2560" spans="1:23" x14ac:dyDescent="0.3">
      <c r="A2560">
        <v>2561</v>
      </c>
      <c r="B2560" t="s">
        <v>2603</v>
      </c>
      <c r="C2560" t="s">
        <v>35</v>
      </c>
      <c r="D2560">
        <v>144</v>
      </c>
      <c r="E2560">
        <v>3509</v>
      </c>
      <c r="F2560" s="3">
        <v>194</v>
      </c>
      <c r="G2560">
        <v>28</v>
      </c>
      <c r="H2560">
        <v>3</v>
      </c>
      <c r="I2560" s="5">
        <v>2.0833333333333301E-2</v>
      </c>
      <c r="J2560" s="3">
        <v>278</v>
      </c>
      <c r="K2560" s="1">
        <v>45612</v>
      </c>
      <c r="L2560" t="s">
        <v>25</v>
      </c>
      <c r="M2560" t="s">
        <v>39</v>
      </c>
      <c r="N2560" t="s">
        <v>49</v>
      </c>
      <c r="O2560" t="s">
        <v>28</v>
      </c>
      <c r="P2560" t="s">
        <v>29</v>
      </c>
      <c r="Q2560" s="6">
        <v>1.3447916666666599</v>
      </c>
      <c r="R2560">
        <v>4.0999999999999996</v>
      </c>
      <c r="S2560">
        <v>6.92</v>
      </c>
      <c r="T2560">
        <v>64.55</v>
      </c>
      <c r="U2560">
        <v>43.56</v>
      </c>
      <c r="V2560">
        <v>92.67</v>
      </c>
      <c r="W2560">
        <v>1.44</v>
      </c>
    </row>
    <row r="2561" spans="1:23" x14ac:dyDescent="0.3">
      <c r="A2561">
        <v>2562</v>
      </c>
      <c r="B2561" t="s">
        <v>2604</v>
      </c>
      <c r="C2561" t="s">
        <v>43</v>
      </c>
      <c r="D2561">
        <v>127</v>
      </c>
      <c r="E2561">
        <v>4850</v>
      </c>
      <c r="F2561" s="3">
        <v>236</v>
      </c>
      <c r="G2561">
        <v>25</v>
      </c>
      <c r="H2561">
        <v>10</v>
      </c>
      <c r="I2561" s="5">
        <v>7.8740157480314904E-2</v>
      </c>
      <c r="J2561" s="3">
        <v>216</v>
      </c>
      <c r="K2561" s="1">
        <v>45608</v>
      </c>
      <c r="L2561" t="s">
        <v>25</v>
      </c>
      <c r="M2561" t="s">
        <v>26</v>
      </c>
      <c r="N2561" t="s">
        <v>32</v>
      </c>
      <c r="O2561" t="s">
        <v>28</v>
      </c>
      <c r="P2561" t="s">
        <v>41</v>
      </c>
      <c r="Q2561" s="6">
        <v>1.85763779527559</v>
      </c>
      <c r="R2561">
        <v>2.62</v>
      </c>
      <c r="S2561">
        <v>9.44</v>
      </c>
      <c r="T2561">
        <v>23.59</v>
      </c>
      <c r="U2561">
        <v>-8.44</v>
      </c>
      <c r="V2561">
        <v>21.6</v>
      </c>
      <c r="W2561">
        <v>0.92</v>
      </c>
    </row>
    <row r="2562" spans="1:23" x14ac:dyDescent="0.3">
      <c r="A2562">
        <v>2563</v>
      </c>
      <c r="B2562" t="s">
        <v>2605</v>
      </c>
      <c r="C2562" t="s">
        <v>24</v>
      </c>
      <c r="D2562">
        <v>108</v>
      </c>
      <c r="E2562">
        <v>5245</v>
      </c>
      <c r="F2562" s="3">
        <v>227</v>
      </c>
      <c r="G2562">
        <v>12</v>
      </c>
      <c r="H2562">
        <v>5</v>
      </c>
      <c r="I2562" s="5">
        <v>4.6296296296296197E-2</v>
      </c>
      <c r="J2562" s="3">
        <v>282</v>
      </c>
      <c r="K2562" s="1">
        <v>45623</v>
      </c>
      <c r="L2562" t="s">
        <v>25</v>
      </c>
      <c r="M2562" t="s">
        <v>39</v>
      </c>
      <c r="N2562" t="s">
        <v>40</v>
      </c>
      <c r="O2562" t="s">
        <v>28</v>
      </c>
      <c r="P2562" t="s">
        <v>33</v>
      </c>
      <c r="Q2562" s="6">
        <v>2.1050925925925901</v>
      </c>
      <c r="R2562">
        <v>2.06</v>
      </c>
      <c r="S2562">
        <v>18.95</v>
      </c>
      <c r="T2562">
        <v>45.47</v>
      </c>
      <c r="U2562">
        <v>24.04</v>
      </c>
      <c r="V2562">
        <v>56.4</v>
      </c>
      <c r="W2562">
        <v>1.24</v>
      </c>
    </row>
    <row r="2563" spans="1:23" x14ac:dyDescent="0.3">
      <c r="A2563">
        <v>2564</v>
      </c>
      <c r="B2563" t="s">
        <v>2606</v>
      </c>
      <c r="C2563" t="s">
        <v>38</v>
      </c>
      <c r="D2563">
        <v>96</v>
      </c>
      <c r="E2563">
        <v>5474</v>
      </c>
      <c r="F2563" s="3">
        <v>202</v>
      </c>
      <c r="G2563">
        <v>16</v>
      </c>
      <c r="H2563">
        <v>8</v>
      </c>
      <c r="I2563" s="5">
        <v>8.3333333333333301E-2</v>
      </c>
      <c r="J2563" s="3">
        <v>281</v>
      </c>
      <c r="K2563" s="1">
        <v>45625</v>
      </c>
      <c r="L2563" t="s">
        <v>25</v>
      </c>
      <c r="M2563" t="s">
        <v>31</v>
      </c>
      <c r="N2563" t="s">
        <v>27</v>
      </c>
      <c r="O2563" t="s">
        <v>28</v>
      </c>
      <c r="P2563" t="s">
        <v>45</v>
      </c>
      <c r="Q2563" s="6">
        <v>2.1005208333333298</v>
      </c>
      <c r="R2563">
        <v>1.75</v>
      </c>
      <c r="S2563">
        <v>12.6</v>
      </c>
      <c r="T2563">
        <v>25.21</v>
      </c>
      <c r="U2563">
        <v>39.35</v>
      </c>
      <c r="V2563">
        <v>35.119999999999997</v>
      </c>
      <c r="W2563">
        <v>1.39</v>
      </c>
    </row>
    <row r="2564" spans="1:23" x14ac:dyDescent="0.3">
      <c r="A2564">
        <v>2565</v>
      </c>
      <c r="B2564" t="s">
        <v>2607</v>
      </c>
      <c r="C2564" t="s">
        <v>24</v>
      </c>
      <c r="D2564">
        <v>103</v>
      </c>
      <c r="E2564">
        <v>4913</v>
      </c>
      <c r="F2564" s="3">
        <v>180</v>
      </c>
      <c r="G2564">
        <v>12</v>
      </c>
      <c r="H2564">
        <v>3</v>
      </c>
      <c r="I2564" s="5">
        <v>2.9126213592233E-2</v>
      </c>
      <c r="J2564" s="3">
        <v>240</v>
      </c>
      <c r="K2564" s="1">
        <v>45624</v>
      </c>
      <c r="L2564" t="s">
        <v>25</v>
      </c>
      <c r="M2564" t="s">
        <v>31</v>
      </c>
      <c r="N2564" t="s">
        <v>27</v>
      </c>
      <c r="O2564" t="s">
        <v>28</v>
      </c>
      <c r="P2564" t="s">
        <v>54</v>
      </c>
      <c r="Q2564" s="6">
        <v>1.7519417475728101</v>
      </c>
      <c r="R2564">
        <v>2.1</v>
      </c>
      <c r="S2564">
        <v>15.04</v>
      </c>
      <c r="T2564">
        <v>60.15</v>
      </c>
      <c r="U2564">
        <v>33</v>
      </c>
      <c r="V2564">
        <v>80</v>
      </c>
      <c r="W2564">
        <v>1.33</v>
      </c>
    </row>
    <row r="2565" spans="1:23" x14ac:dyDescent="0.3">
      <c r="A2565">
        <v>2566</v>
      </c>
      <c r="B2565" t="s">
        <v>2608</v>
      </c>
      <c r="C2565" t="s">
        <v>38</v>
      </c>
      <c r="D2565">
        <v>160</v>
      </c>
      <c r="E2565">
        <v>5975</v>
      </c>
      <c r="F2565" s="3">
        <v>212</v>
      </c>
      <c r="G2565">
        <v>14</v>
      </c>
      <c r="H2565">
        <v>8</v>
      </c>
      <c r="I2565" s="5">
        <v>0.05</v>
      </c>
      <c r="J2565" s="3">
        <v>308</v>
      </c>
      <c r="K2565" s="1">
        <v>45600</v>
      </c>
      <c r="L2565" t="s">
        <v>25</v>
      </c>
      <c r="M2565" t="s">
        <v>39</v>
      </c>
      <c r="N2565" t="s">
        <v>32</v>
      </c>
      <c r="O2565" t="s">
        <v>28</v>
      </c>
      <c r="P2565" t="s">
        <v>59</v>
      </c>
      <c r="Q2565" s="6">
        <v>1.326125</v>
      </c>
      <c r="R2565">
        <v>2.68</v>
      </c>
      <c r="S2565">
        <v>15.16</v>
      </c>
      <c r="T2565">
        <v>26.52</v>
      </c>
      <c r="U2565">
        <v>45.16</v>
      </c>
      <c r="V2565">
        <v>38.5</v>
      </c>
      <c r="W2565">
        <v>1.45</v>
      </c>
    </row>
    <row r="2566" spans="1:23" x14ac:dyDescent="0.3">
      <c r="A2566">
        <v>2567</v>
      </c>
      <c r="B2566" t="s">
        <v>2609</v>
      </c>
      <c r="C2566" t="s">
        <v>24</v>
      </c>
      <c r="D2566">
        <v>141</v>
      </c>
      <c r="E2566">
        <v>5451</v>
      </c>
      <c r="F2566" s="3">
        <v>247</v>
      </c>
      <c r="G2566">
        <v>13</v>
      </c>
      <c r="H2566">
        <v>4</v>
      </c>
      <c r="I2566" s="5">
        <v>2.8368794326241099E-2</v>
      </c>
      <c r="J2566" s="3">
        <v>352</v>
      </c>
      <c r="K2566" s="1">
        <v>45608</v>
      </c>
      <c r="L2566" t="s">
        <v>25</v>
      </c>
      <c r="M2566" t="s">
        <v>39</v>
      </c>
      <c r="N2566" t="s">
        <v>27</v>
      </c>
      <c r="O2566" t="s">
        <v>28</v>
      </c>
      <c r="P2566" t="s">
        <v>41</v>
      </c>
      <c r="Q2566" s="6">
        <v>1.7514893617021201</v>
      </c>
      <c r="R2566">
        <v>2.59</v>
      </c>
      <c r="S2566">
        <v>19</v>
      </c>
      <c r="T2566">
        <v>61.74</v>
      </c>
      <c r="U2566">
        <v>42.53</v>
      </c>
      <c r="V2566">
        <v>88</v>
      </c>
      <c r="W2566">
        <v>1.43</v>
      </c>
    </row>
    <row r="2567" spans="1:23" x14ac:dyDescent="0.3">
      <c r="A2567">
        <v>2568</v>
      </c>
      <c r="B2567" t="s">
        <v>2610</v>
      </c>
      <c r="C2567" t="s">
        <v>38</v>
      </c>
      <c r="D2567">
        <v>121</v>
      </c>
      <c r="E2567">
        <v>4538</v>
      </c>
      <c r="F2567" s="3">
        <v>217</v>
      </c>
      <c r="G2567">
        <v>27</v>
      </c>
      <c r="H2567">
        <v>4</v>
      </c>
      <c r="I2567" s="5">
        <v>3.3057851239669402E-2</v>
      </c>
      <c r="J2567" s="3">
        <v>382</v>
      </c>
      <c r="K2567" s="1">
        <v>45615</v>
      </c>
      <c r="L2567" t="s">
        <v>25</v>
      </c>
      <c r="M2567" t="s">
        <v>26</v>
      </c>
      <c r="N2567" t="s">
        <v>32</v>
      </c>
      <c r="O2567" t="s">
        <v>28</v>
      </c>
      <c r="P2567" t="s">
        <v>41</v>
      </c>
      <c r="Q2567" s="6">
        <v>1.7932231404958601</v>
      </c>
      <c r="R2567">
        <v>2.67</v>
      </c>
      <c r="S2567">
        <v>8.0399999999999991</v>
      </c>
      <c r="T2567">
        <v>54.24</v>
      </c>
      <c r="U2567">
        <v>76.05</v>
      </c>
      <c r="V2567">
        <v>95.5</v>
      </c>
      <c r="W2567">
        <v>1.76</v>
      </c>
    </row>
    <row r="2568" spans="1:23" x14ac:dyDescent="0.3">
      <c r="A2568">
        <v>2569</v>
      </c>
      <c r="B2568" t="s">
        <v>2611</v>
      </c>
      <c r="C2568" t="s">
        <v>35</v>
      </c>
      <c r="D2568">
        <v>176</v>
      </c>
      <c r="E2568">
        <v>4285</v>
      </c>
      <c r="F2568" s="3">
        <v>245</v>
      </c>
      <c r="G2568">
        <v>28</v>
      </c>
      <c r="H2568">
        <v>9</v>
      </c>
      <c r="I2568" s="5">
        <v>5.1136363636363598E-2</v>
      </c>
      <c r="J2568" s="3">
        <v>270</v>
      </c>
      <c r="K2568" s="1">
        <v>45604</v>
      </c>
      <c r="L2568" t="s">
        <v>25</v>
      </c>
      <c r="M2568" t="s">
        <v>31</v>
      </c>
      <c r="N2568" t="s">
        <v>27</v>
      </c>
      <c r="O2568" t="s">
        <v>28</v>
      </c>
      <c r="P2568" t="s">
        <v>45</v>
      </c>
      <c r="Q2568" s="6">
        <v>1.3927840909090901</v>
      </c>
      <c r="R2568">
        <v>4.1100000000000003</v>
      </c>
      <c r="S2568">
        <v>8.75</v>
      </c>
      <c r="T2568">
        <v>27.24</v>
      </c>
      <c r="U2568">
        <v>10.15</v>
      </c>
      <c r="V2568">
        <v>30</v>
      </c>
      <c r="W2568">
        <v>1.1000000000000001</v>
      </c>
    </row>
    <row r="2569" spans="1:23" x14ac:dyDescent="0.3">
      <c r="A2569">
        <v>2570</v>
      </c>
      <c r="B2569" t="s">
        <v>2612</v>
      </c>
      <c r="C2569" t="s">
        <v>43</v>
      </c>
      <c r="D2569">
        <v>125</v>
      </c>
      <c r="E2569">
        <v>5041</v>
      </c>
      <c r="F2569" s="3">
        <v>229</v>
      </c>
      <c r="G2569">
        <v>21</v>
      </c>
      <c r="H2569">
        <v>6</v>
      </c>
      <c r="I2569" s="5">
        <v>4.8000000000000001E-2</v>
      </c>
      <c r="J2569" s="3">
        <v>286</v>
      </c>
      <c r="K2569" s="1">
        <v>45625</v>
      </c>
      <c r="L2569" t="s">
        <v>25</v>
      </c>
      <c r="M2569" t="s">
        <v>26</v>
      </c>
      <c r="N2569" t="s">
        <v>44</v>
      </c>
      <c r="O2569" t="s">
        <v>28</v>
      </c>
      <c r="P2569" t="s">
        <v>45</v>
      </c>
      <c r="Q2569" s="6">
        <v>1.8291199999999901</v>
      </c>
      <c r="R2569">
        <v>2.48</v>
      </c>
      <c r="S2569">
        <v>10.89</v>
      </c>
      <c r="T2569">
        <v>38.11</v>
      </c>
      <c r="U2569">
        <v>25.09</v>
      </c>
      <c r="V2569">
        <v>47.67</v>
      </c>
      <c r="W2569">
        <v>1.25</v>
      </c>
    </row>
    <row r="2570" spans="1:23" x14ac:dyDescent="0.3">
      <c r="A2570">
        <v>2571</v>
      </c>
      <c r="B2570" t="s">
        <v>2613</v>
      </c>
      <c r="C2570" t="s">
        <v>24</v>
      </c>
      <c r="D2570">
        <v>163</v>
      </c>
      <c r="E2570">
        <v>5386</v>
      </c>
      <c r="F2570" s="3">
        <v>220</v>
      </c>
      <c r="G2570">
        <v>23</v>
      </c>
      <c r="H2570">
        <v>5</v>
      </c>
      <c r="I2570" s="5">
        <v>3.0674846625766802E-2</v>
      </c>
      <c r="J2570" s="3">
        <v>298</v>
      </c>
      <c r="K2570" s="1">
        <v>45604</v>
      </c>
      <c r="L2570" t="s">
        <v>25</v>
      </c>
      <c r="M2570" t="s">
        <v>26</v>
      </c>
      <c r="N2570" t="s">
        <v>36</v>
      </c>
      <c r="O2570" t="s">
        <v>28</v>
      </c>
      <c r="P2570" t="s">
        <v>45</v>
      </c>
      <c r="Q2570" s="6">
        <v>1.3511042944785201</v>
      </c>
      <c r="R2570">
        <v>3.03</v>
      </c>
      <c r="S2570">
        <v>9.58</v>
      </c>
      <c r="T2570">
        <v>44.05</v>
      </c>
      <c r="U2570">
        <v>35.31</v>
      </c>
      <c r="V2570">
        <v>59.6</v>
      </c>
      <c r="W2570">
        <v>1.35</v>
      </c>
    </row>
    <row r="2571" spans="1:23" x14ac:dyDescent="0.3">
      <c r="A2571">
        <v>2572</v>
      </c>
      <c r="B2571" t="s">
        <v>2614</v>
      </c>
      <c r="C2571" t="s">
        <v>43</v>
      </c>
      <c r="D2571">
        <v>137</v>
      </c>
      <c r="E2571">
        <v>5168</v>
      </c>
      <c r="F2571" s="3">
        <v>230</v>
      </c>
      <c r="G2571">
        <v>20</v>
      </c>
      <c r="H2571">
        <v>7</v>
      </c>
      <c r="I2571" s="5">
        <v>5.1094890510948898E-2</v>
      </c>
      <c r="J2571" s="3">
        <v>281</v>
      </c>
      <c r="K2571" s="1">
        <v>45609</v>
      </c>
      <c r="L2571" t="s">
        <v>25</v>
      </c>
      <c r="M2571" t="s">
        <v>26</v>
      </c>
      <c r="N2571" t="s">
        <v>32</v>
      </c>
      <c r="O2571" t="s">
        <v>28</v>
      </c>
      <c r="P2571" t="s">
        <v>33</v>
      </c>
      <c r="Q2571" s="6">
        <v>1.6791240875912401</v>
      </c>
      <c r="R2571">
        <v>2.65</v>
      </c>
      <c r="S2571">
        <v>11.5</v>
      </c>
      <c r="T2571">
        <v>32.86</v>
      </c>
      <c r="U2571">
        <v>22.15</v>
      </c>
      <c r="V2571">
        <v>40.14</v>
      </c>
      <c r="W2571">
        <v>1.22</v>
      </c>
    </row>
    <row r="2572" spans="1:23" x14ac:dyDescent="0.3">
      <c r="A2572">
        <v>2573</v>
      </c>
      <c r="B2572" t="s">
        <v>2615</v>
      </c>
      <c r="C2572" t="s">
        <v>43</v>
      </c>
      <c r="D2572">
        <v>174</v>
      </c>
      <c r="E2572">
        <v>4308</v>
      </c>
      <c r="F2572" s="3">
        <v>191</v>
      </c>
      <c r="G2572">
        <v>24</v>
      </c>
      <c r="H2572">
        <v>10</v>
      </c>
      <c r="I2572" s="5">
        <v>5.7471264367816001E-2</v>
      </c>
      <c r="J2572" s="3">
        <v>398</v>
      </c>
      <c r="K2572" s="1">
        <v>45617</v>
      </c>
      <c r="L2572" t="s">
        <v>25</v>
      </c>
      <c r="M2572" t="s">
        <v>39</v>
      </c>
      <c r="N2572" t="s">
        <v>36</v>
      </c>
      <c r="O2572" t="s">
        <v>28</v>
      </c>
      <c r="P2572" t="s">
        <v>54</v>
      </c>
      <c r="Q2572" s="6">
        <v>1.0950574712643599</v>
      </c>
      <c r="R2572">
        <v>4.04</v>
      </c>
      <c r="S2572">
        <v>7.94</v>
      </c>
      <c r="T2572">
        <v>19.05</v>
      </c>
      <c r="U2572">
        <v>108.88</v>
      </c>
      <c r="V2572">
        <v>39.799999999999997</v>
      </c>
      <c r="W2572">
        <v>2.09</v>
      </c>
    </row>
    <row r="2573" spans="1:23" x14ac:dyDescent="0.3">
      <c r="A2573">
        <v>2574</v>
      </c>
      <c r="B2573" t="s">
        <v>2616</v>
      </c>
      <c r="C2573" t="s">
        <v>24</v>
      </c>
      <c r="D2573">
        <v>177</v>
      </c>
      <c r="E2573">
        <v>3884</v>
      </c>
      <c r="F2573" s="3">
        <v>220</v>
      </c>
      <c r="G2573">
        <v>29</v>
      </c>
      <c r="H2573">
        <v>5</v>
      </c>
      <c r="I2573" s="5">
        <v>2.8248587570621399E-2</v>
      </c>
      <c r="J2573" s="3">
        <v>332</v>
      </c>
      <c r="K2573" s="1">
        <v>45601</v>
      </c>
      <c r="L2573" t="s">
        <v>25</v>
      </c>
      <c r="M2573" t="s">
        <v>26</v>
      </c>
      <c r="N2573" t="s">
        <v>49</v>
      </c>
      <c r="O2573" t="s">
        <v>28</v>
      </c>
      <c r="P2573" t="s">
        <v>41</v>
      </c>
      <c r="Q2573" s="6">
        <v>1.24152542372881</v>
      </c>
      <c r="R2573">
        <v>4.5599999999999996</v>
      </c>
      <c r="S2573">
        <v>7.58</v>
      </c>
      <c r="T2573">
        <v>43.95</v>
      </c>
      <c r="U2573">
        <v>51.08</v>
      </c>
      <c r="V2573">
        <v>66.400000000000006</v>
      </c>
      <c r="W2573">
        <v>1.51</v>
      </c>
    </row>
    <row r="2574" spans="1:23" x14ac:dyDescent="0.3">
      <c r="A2574">
        <v>2575</v>
      </c>
      <c r="B2574" t="s">
        <v>2617</v>
      </c>
      <c r="C2574" t="s">
        <v>38</v>
      </c>
      <c r="D2574">
        <v>155</v>
      </c>
      <c r="E2574">
        <v>4312</v>
      </c>
      <c r="F2574" s="3">
        <v>232</v>
      </c>
      <c r="G2574">
        <v>30</v>
      </c>
      <c r="H2574">
        <v>3</v>
      </c>
      <c r="I2574" s="5">
        <v>1.9354838709677399E-2</v>
      </c>
      <c r="J2574" s="3">
        <v>205</v>
      </c>
      <c r="K2574" s="1">
        <v>45602</v>
      </c>
      <c r="L2574" t="s">
        <v>25</v>
      </c>
      <c r="M2574" t="s">
        <v>31</v>
      </c>
      <c r="N2574" t="s">
        <v>32</v>
      </c>
      <c r="O2574" t="s">
        <v>28</v>
      </c>
      <c r="P2574" t="s">
        <v>33</v>
      </c>
      <c r="Q2574" s="6">
        <v>1.4936774193548299</v>
      </c>
      <c r="R2574">
        <v>3.59</v>
      </c>
      <c r="S2574">
        <v>7.72</v>
      </c>
      <c r="T2574">
        <v>77.17</v>
      </c>
      <c r="U2574">
        <v>-11.45</v>
      </c>
      <c r="V2574">
        <v>68.33</v>
      </c>
      <c r="W2574">
        <v>0.89</v>
      </c>
    </row>
    <row r="2575" spans="1:23" x14ac:dyDescent="0.3">
      <c r="A2575">
        <v>2576</v>
      </c>
      <c r="B2575" t="s">
        <v>2618</v>
      </c>
      <c r="C2575" t="s">
        <v>35</v>
      </c>
      <c r="D2575">
        <v>129</v>
      </c>
      <c r="E2575">
        <v>3482</v>
      </c>
      <c r="F2575" s="3">
        <v>185</v>
      </c>
      <c r="G2575">
        <v>23</v>
      </c>
      <c r="H2575">
        <v>9</v>
      </c>
      <c r="I2575" s="5">
        <v>6.9767441860465101E-2</v>
      </c>
      <c r="J2575" s="3">
        <v>340</v>
      </c>
      <c r="K2575" s="1">
        <v>45625</v>
      </c>
      <c r="L2575" t="s">
        <v>25</v>
      </c>
      <c r="M2575" t="s">
        <v>31</v>
      </c>
      <c r="N2575" t="s">
        <v>44</v>
      </c>
      <c r="O2575" t="s">
        <v>28</v>
      </c>
      <c r="P2575" t="s">
        <v>45</v>
      </c>
      <c r="Q2575" s="6">
        <v>1.4332558139534799</v>
      </c>
      <c r="R2575">
        <v>3.7</v>
      </c>
      <c r="S2575">
        <v>8.0399999999999991</v>
      </c>
      <c r="T2575">
        <v>20.54</v>
      </c>
      <c r="U2575">
        <v>83.89</v>
      </c>
      <c r="V2575">
        <v>37.78</v>
      </c>
      <c r="W2575">
        <v>1.84</v>
      </c>
    </row>
    <row r="2576" spans="1:23" x14ac:dyDescent="0.3">
      <c r="A2576">
        <v>2577</v>
      </c>
      <c r="B2576" t="s">
        <v>2619</v>
      </c>
      <c r="C2576" t="s">
        <v>38</v>
      </c>
      <c r="D2576">
        <v>91</v>
      </c>
      <c r="E2576">
        <v>4893</v>
      </c>
      <c r="F2576" s="3">
        <v>222</v>
      </c>
      <c r="G2576">
        <v>29</v>
      </c>
      <c r="H2576">
        <v>10</v>
      </c>
      <c r="I2576" s="5">
        <v>0.109890109890109</v>
      </c>
      <c r="J2576" s="3">
        <v>292</v>
      </c>
      <c r="K2576" s="1">
        <v>45617</v>
      </c>
      <c r="L2576" t="s">
        <v>25</v>
      </c>
      <c r="M2576" t="s">
        <v>31</v>
      </c>
      <c r="N2576" t="s">
        <v>27</v>
      </c>
      <c r="O2576" t="s">
        <v>28</v>
      </c>
      <c r="P2576" t="s">
        <v>54</v>
      </c>
      <c r="Q2576" s="6">
        <v>2.44285714285714</v>
      </c>
      <c r="R2576">
        <v>1.86</v>
      </c>
      <c r="S2576">
        <v>7.67</v>
      </c>
      <c r="T2576">
        <v>22.23</v>
      </c>
      <c r="U2576">
        <v>31.35</v>
      </c>
      <c r="V2576">
        <v>29.2</v>
      </c>
      <c r="W2576">
        <v>1.31</v>
      </c>
    </row>
    <row r="2577" spans="1:23" x14ac:dyDescent="0.3">
      <c r="A2577">
        <v>2578</v>
      </c>
      <c r="B2577" t="s">
        <v>2620</v>
      </c>
      <c r="C2577" t="s">
        <v>35</v>
      </c>
      <c r="D2577">
        <v>93</v>
      </c>
      <c r="E2577">
        <v>3075</v>
      </c>
      <c r="F2577" s="3">
        <v>239</v>
      </c>
      <c r="G2577">
        <v>12</v>
      </c>
      <c r="H2577">
        <v>10</v>
      </c>
      <c r="I2577" s="5">
        <v>0.10752688172043</v>
      </c>
      <c r="J2577" s="3">
        <v>401</v>
      </c>
      <c r="K2577" s="1">
        <v>45618</v>
      </c>
      <c r="L2577" t="s">
        <v>25</v>
      </c>
      <c r="M2577" t="s">
        <v>31</v>
      </c>
      <c r="N2577" t="s">
        <v>32</v>
      </c>
      <c r="O2577" t="s">
        <v>28</v>
      </c>
      <c r="P2577" t="s">
        <v>45</v>
      </c>
      <c r="Q2577" s="6">
        <v>2.5733333333333301</v>
      </c>
      <c r="R2577">
        <v>3.02</v>
      </c>
      <c r="S2577">
        <v>19.940000000000001</v>
      </c>
      <c r="T2577">
        <v>23.93</v>
      </c>
      <c r="U2577">
        <v>67.56</v>
      </c>
      <c r="V2577">
        <v>40.1</v>
      </c>
      <c r="W2577">
        <v>1.68</v>
      </c>
    </row>
    <row r="2578" spans="1:23" x14ac:dyDescent="0.3">
      <c r="A2578">
        <v>2579</v>
      </c>
      <c r="B2578" t="s">
        <v>2621</v>
      </c>
      <c r="C2578" t="s">
        <v>35</v>
      </c>
      <c r="D2578">
        <v>126</v>
      </c>
      <c r="E2578">
        <v>4558</v>
      </c>
      <c r="F2578" s="3">
        <v>195</v>
      </c>
      <c r="G2578">
        <v>23</v>
      </c>
      <c r="H2578">
        <v>3</v>
      </c>
      <c r="I2578" s="5">
        <v>2.3809523809523801E-2</v>
      </c>
      <c r="J2578" s="3">
        <v>208</v>
      </c>
      <c r="K2578" s="1">
        <v>45622</v>
      </c>
      <c r="L2578" t="s">
        <v>25</v>
      </c>
      <c r="M2578" t="s">
        <v>26</v>
      </c>
      <c r="N2578" t="s">
        <v>44</v>
      </c>
      <c r="O2578" t="s">
        <v>28</v>
      </c>
      <c r="P2578" t="s">
        <v>41</v>
      </c>
      <c r="Q2578" s="6">
        <v>1.5504761904761899</v>
      </c>
      <c r="R2578">
        <v>2.76</v>
      </c>
      <c r="S2578">
        <v>8.49</v>
      </c>
      <c r="T2578">
        <v>65.12</v>
      </c>
      <c r="U2578">
        <v>6.47</v>
      </c>
      <c r="V2578">
        <v>69.33</v>
      </c>
      <c r="W2578">
        <v>1.06</v>
      </c>
    </row>
    <row r="2579" spans="1:23" x14ac:dyDescent="0.3">
      <c r="A2579">
        <v>2580</v>
      </c>
      <c r="B2579" t="s">
        <v>2622</v>
      </c>
      <c r="C2579" t="s">
        <v>24</v>
      </c>
      <c r="D2579">
        <v>87</v>
      </c>
      <c r="E2579">
        <v>3248</v>
      </c>
      <c r="F2579" s="3">
        <v>220</v>
      </c>
      <c r="G2579">
        <v>13</v>
      </c>
      <c r="H2579">
        <v>6</v>
      </c>
      <c r="I2579" s="5">
        <v>6.8965517241379296E-2</v>
      </c>
      <c r="J2579" s="3">
        <v>382</v>
      </c>
      <c r="K2579" s="1">
        <v>45624</v>
      </c>
      <c r="L2579" t="s">
        <v>25</v>
      </c>
      <c r="M2579" t="s">
        <v>31</v>
      </c>
      <c r="N2579" t="s">
        <v>36</v>
      </c>
      <c r="O2579" t="s">
        <v>28</v>
      </c>
      <c r="P2579" t="s">
        <v>54</v>
      </c>
      <c r="Q2579" s="6">
        <v>2.5344827586206802</v>
      </c>
      <c r="R2579">
        <v>2.68</v>
      </c>
      <c r="S2579">
        <v>16.96</v>
      </c>
      <c r="T2579">
        <v>36.75</v>
      </c>
      <c r="U2579">
        <v>73.239999999999995</v>
      </c>
      <c r="V2579">
        <v>63.67</v>
      </c>
      <c r="W2579">
        <v>1.73</v>
      </c>
    </row>
    <row r="2580" spans="1:23" x14ac:dyDescent="0.3">
      <c r="A2580">
        <v>2581</v>
      </c>
      <c r="B2580" t="s">
        <v>2623</v>
      </c>
      <c r="C2580" t="s">
        <v>38</v>
      </c>
      <c r="D2580">
        <v>161</v>
      </c>
      <c r="E2580">
        <v>5297</v>
      </c>
      <c r="F2580" s="3">
        <v>252</v>
      </c>
      <c r="G2580">
        <v>27</v>
      </c>
      <c r="H2580">
        <v>9</v>
      </c>
      <c r="I2580" s="5">
        <v>5.5900621118012403E-2</v>
      </c>
      <c r="J2580" s="3">
        <v>259</v>
      </c>
      <c r="K2580" s="1">
        <v>45619</v>
      </c>
      <c r="L2580" t="s">
        <v>25</v>
      </c>
      <c r="M2580" t="s">
        <v>26</v>
      </c>
      <c r="N2580" t="s">
        <v>32</v>
      </c>
      <c r="O2580" t="s">
        <v>28</v>
      </c>
      <c r="P2580" t="s">
        <v>29</v>
      </c>
      <c r="Q2580" s="6">
        <v>1.5638953117966501</v>
      </c>
      <c r="R2580">
        <v>3.04</v>
      </c>
      <c r="S2580">
        <v>9.33</v>
      </c>
      <c r="T2580">
        <v>27.98</v>
      </c>
      <c r="U2580">
        <v>2.86</v>
      </c>
      <c r="V2580">
        <v>28.78</v>
      </c>
      <c r="W2580">
        <v>1.03</v>
      </c>
    </row>
    <row r="2581" spans="1:23" x14ac:dyDescent="0.3">
      <c r="A2581">
        <v>2582</v>
      </c>
      <c r="B2581" t="s">
        <v>2624</v>
      </c>
      <c r="C2581" t="s">
        <v>24</v>
      </c>
      <c r="D2581">
        <v>107</v>
      </c>
      <c r="E2581">
        <v>3589</v>
      </c>
      <c r="F2581" s="3">
        <v>183</v>
      </c>
      <c r="G2581">
        <v>19</v>
      </c>
      <c r="H2581">
        <v>5</v>
      </c>
      <c r="I2581" s="5">
        <v>4.67289719626168E-2</v>
      </c>
      <c r="J2581" s="3">
        <v>321</v>
      </c>
      <c r="K2581" s="1">
        <v>45625</v>
      </c>
      <c r="L2581" t="s">
        <v>25</v>
      </c>
      <c r="M2581" t="s">
        <v>26</v>
      </c>
      <c r="N2581" t="s">
        <v>32</v>
      </c>
      <c r="O2581" t="s">
        <v>28</v>
      </c>
      <c r="P2581" t="s">
        <v>45</v>
      </c>
      <c r="Q2581" s="6">
        <v>1.7126168224299001</v>
      </c>
      <c r="R2581">
        <v>2.98</v>
      </c>
      <c r="S2581">
        <v>9.64</v>
      </c>
      <c r="T2581">
        <v>36.65</v>
      </c>
      <c r="U2581">
        <v>75.17</v>
      </c>
      <c r="V2581">
        <v>64.2</v>
      </c>
      <c r="W2581">
        <v>1.75</v>
      </c>
    </row>
    <row r="2582" spans="1:23" x14ac:dyDescent="0.3">
      <c r="A2582">
        <v>2583</v>
      </c>
      <c r="B2582" t="s">
        <v>2625</v>
      </c>
      <c r="C2582" t="s">
        <v>24</v>
      </c>
      <c r="D2582">
        <v>124</v>
      </c>
      <c r="E2582">
        <v>3383</v>
      </c>
      <c r="F2582" s="3">
        <v>225</v>
      </c>
      <c r="G2582">
        <v>21</v>
      </c>
      <c r="H2582">
        <v>7</v>
      </c>
      <c r="I2582" s="5">
        <v>5.6451612903225798E-2</v>
      </c>
      <c r="J2582" s="3">
        <v>258</v>
      </c>
      <c r="K2582" s="1">
        <v>45606</v>
      </c>
      <c r="L2582" t="s">
        <v>25</v>
      </c>
      <c r="M2582" t="s">
        <v>26</v>
      </c>
      <c r="N2582" t="s">
        <v>36</v>
      </c>
      <c r="O2582" t="s">
        <v>28</v>
      </c>
      <c r="P2582" t="s">
        <v>50</v>
      </c>
      <c r="Q2582" s="6">
        <v>1.8115322580645099</v>
      </c>
      <c r="R2582">
        <v>3.67</v>
      </c>
      <c r="S2582">
        <v>10.7</v>
      </c>
      <c r="T2582">
        <v>32.090000000000003</v>
      </c>
      <c r="U2582">
        <v>14.86</v>
      </c>
      <c r="V2582">
        <v>36.86</v>
      </c>
      <c r="W2582">
        <v>1.1499999999999999</v>
      </c>
    </row>
    <row r="2583" spans="1:23" x14ac:dyDescent="0.3">
      <c r="A2583">
        <v>2584</v>
      </c>
      <c r="B2583" t="s">
        <v>2626</v>
      </c>
      <c r="C2583" t="s">
        <v>35</v>
      </c>
      <c r="D2583">
        <v>124</v>
      </c>
      <c r="E2583">
        <v>5629</v>
      </c>
      <c r="F2583" s="3">
        <v>190</v>
      </c>
      <c r="G2583">
        <v>14</v>
      </c>
      <c r="H2583">
        <v>9</v>
      </c>
      <c r="I2583" s="5">
        <v>7.25806451612903E-2</v>
      </c>
      <c r="J2583" s="3">
        <v>332</v>
      </c>
      <c r="K2583" s="1">
        <v>45623</v>
      </c>
      <c r="L2583" t="s">
        <v>25</v>
      </c>
      <c r="M2583" t="s">
        <v>26</v>
      </c>
      <c r="N2583" t="s">
        <v>40</v>
      </c>
      <c r="O2583" t="s">
        <v>28</v>
      </c>
      <c r="P2583" t="s">
        <v>33</v>
      </c>
      <c r="Q2583" s="6">
        <v>1.52919354838709</v>
      </c>
      <c r="R2583">
        <v>2.2000000000000002</v>
      </c>
      <c r="S2583">
        <v>13.54</v>
      </c>
      <c r="T2583">
        <v>21.07</v>
      </c>
      <c r="U2583">
        <v>75.09</v>
      </c>
      <c r="V2583">
        <v>36.89</v>
      </c>
      <c r="W2583">
        <v>1.75</v>
      </c>
    </row>
    <row r="2584" spans="1:23" x14ac:dyDescent="0.3">
      <c r="A2584">
        <v>2585</v>
      </c>
      <c r="B2584" t="s">
        <v>2627</v>
      </c>
      <c r="C2584" t="s">
        <v>38</v>
      </c>
      <c r="D2584">
        <v>97</v>
      </c>
      <c r="E2584">
        <v>5914</v>
      </c>
      <c r="F2584" s="3">
        <v>226</v>
      </c>
      <c r="G2584">
        <v>15</v>
      </c>
      <c r="H2584">
        <v>7</v>
      </c>
      <c r="I2584" s="5">
        <v>7.2164948453608199E-2</v>
      </c>
      <c r="J2584" s="3">
        <v>386</v>
      </c>
      <c r="K2584" s="1">
        <v>45604</v>
      </c>
      <c r="L2584" t="s">
        <v>25</v>
      </c>
      <c r="M2584" t="s">
        <v>39</v>
      </c>
      <c r="N2584" t="s">
        <v>44</v>
      </c>
      <c r="O2584" t="s">
        <v>28</v>
      </c>
      <c r="P2584" t="s">
        <v>45</v>
      </c>
      <c r="Q2584" s="6">
        <v>2.33474226804123</v>
      </c>
      <c r="R2584">
        <v>1.64</v>
      </c>
      <c r="S2584">
        <v>15.1</v>
      </c>
      <c r="T2584">
        <v>32.35</v>
      </c>
      <c r="U2584">
        <v>70.44</v>
      </c>
      <c r="V2584">
        <v>55.14</v>
      </c>
      <c r="W2584">
        <v>1.7</v>
      </c>
    </row>
    <row r="2585" spans="1:23" x14ac:dyDescent="0.3">
      <c r="A2585">
        <v>2586</v>
      </c>
      <c r="B2585" t="s">
        <v>2628</v>
      </c>
      <c r="C2585" t="s">
        <v>24</v>
      </c>
      <c r="D2585">
        <v>186</v>
      </c>
      <c r="E2585">
        <v>3314</v>
      </c>
      <c r="F2585" s="3">
        <v>238</v>
      </c>
      <c r="G2585">
        <v>11</v>
      </c>
      <c r="H2585">
        <v>5</v>
      </c>
      <c r="I2585" s="5">
        <v>2.68817204301075E-2</v>
      </c>
      <c r="J2585" s="3">
        <v>380</v>
      </c>
      <c r="K2585" s="1">
        <v>45601</v>
      </c>
      <c r="L2585" t="s">
        <v>25</v>
      </c>
      <c r="M2585" t="s">
        <v>39</v>
      </c>
      <c r="N2585" t="s">
        <v>36</v>
      </c>
      <c r="O2585" t="s">
        <v>28</v>
      </c>
      <c r="P2585" t="s">
        <v>41</v>
      </c>
      <c r="Q2585" s="6">
        <v>1.27870967741935</v>
      </c>
      <c r="R2585">
        <v>5.61</v>
      </c>
      <c r="S2585">
        <v>21.62</v>
      </c>
      <c r="T2585">
        <v>47.57</v>
      </c>
      <c r="U2585">
        <v>59.77</v>
      </c>
      <c r="V2585">
        <v>76</v>
      </c>
      <c r="W2585">
        <v>1.6</v>
      </c>
    </row>
    <row r="2586" spans="1:23" x14ac:dyDescent="0.3">
      <c r="A2586">
        <v>2587</v>
      </c>
      <c r="B2586" t="s">
        <v>2629</v>
      </c>
      <c r="C2586" t="s">
        <v>43</v>
      </c>
      <c r="D2586">
        <v>165</v>
      </c>
      <c r="E2586">
        <v>5262</v>
      </c>
      <c r="F2586" s="3">
        <v>211</v>
      </c>
      <c r="G2586">
        <v>24</v>
      </c>
      <c r="H2586">
        <v>3</v>
      </c>
      <c r="I2586" s="5">
        <v>1.8181818181818101E-2</v>
      </c>
      <c r="J2586" s="3">
        <v>219</v>
      </c>
      <c r="K2586" s="1">
        <v>45616</v>
      </c>
      <c r="L2586" t="s">
        <v>25</v>
      </c>
      <c r="M2586" t="s">
        <v>26</v>
      </c>
      <c r="N2586" t="s">
        <v>36</v>
      </c>
      <c r="O2586" t="s">
        <v>28</v>
      </c>
      <c r="P2586" t="s">
        <v>33</v>
      </c>
      <c r="Q2586" s="6">
        <v>1.2807878787878699</v>
      </c>
      <c r="R2586">
        <v>3.14</v>
      </c>
      <c r="S2586">
        <v>8.81</v>
      </c>
      <c r="T2586">
        <v>70.44</v>
      </c>
      <c r="U2586">
        <v>3.63</v>
      </c>
      <c r="V2586">
        <v>73</v>
      </c>
      <c r="W2586">
        <v>1.04</v>
      </c>
    </row>
    <row r="2587" spans="1:23" x14ac:dyDescent="0.3">
      <c r="A2587">
        <v>2588</v>
      </c>
      <c r="B2587" t="s">
        <v>2630</v>
      </c>
      <c r="C2587" t="s">
        <v>35</v>
      </c>
      <c r="D2587">
        <v>110</v>
      </c>
      <c r="E2587">
        <v>3088</v>
      </c>
      <c r="F2587" s="3">
        <v>205</v>
      </c>
      <c r="G2587">
        <v>13</v>
      </c>
      <c r="H2587">
        <v>7</v>
      </c>
      <c r="I2587" s="5">
        <v>6.3636363636363602E-2</v>
      </c>
      <c r="J2587" s="3">
        <v>217</v>
      </c>
      <c r="K2587" s="1">
        <v>45601</v>
      </c>
      <c r="L2587" t="s">
        <v>25</v>
      </c>
      <c r="M2587" t="s">
        <v>39</v>
      </c>
      <c r="N2587" t="s">
        <v>32</v>
      </c>
      <c r="O2587" t="s">
        <v>28</v>
      </c>
      <c r="P2587" t="s">
        <v>41</v>
      </c>
      <c r="Q2587" s="6">
        <v>1.86445454545454</v>
      </c>
      <c r="R2587">
        <v>3.56</v>
      </c>
      <c r="S2587">
        <v>15.78</v>
      </c>
      <c r="T2587">
        <v>29.3</v>
      </c>
      <c r="U2587">
        <v>5.81</v>
      </c>
      <c r="V2587">
        <v>31</v>
      </c>
      <c r="W2587">
        <v>1.06</v>
      </c>
    </row>
    <row r="2588" spans="1:23" x14ac:dyDescent="0.3">
      <c r="A2588">
        <v>2589</v>
      </c>
      <c r="B2588" t="s">
        <v>2631</v>
      </c>
      <c r="C2588" t="s">
        <v>35</v>
      </c>
      <c r="D2588">
        <v>191</v>
      </c>
      <c r="E2588">
        <v>4753</v>
      </c>
      <c r="F2588" s="3">
        <v>200</v>
      </c>
      <c r="G2588">
        <v>24</v>
      </c>
      <c r="H2588">
        <v>9</v>
      </c>
      <c r="I2588" s="5">
        <v>4.7120418848167499E-2</v>
      </c>
      <c r="J2588" s="3">
        <v>347</v>
      </c>
      <c r="K2588" s="1">
        <v>45601</v>
      </c>
      <c r="L2588" t="s">
        <v>25</v>
      </c>
      <c r="M2588" t="s">
        <v>31</v>
      </c>
      <c r="N2588" t="s">
        <v>49</v>
      </c>
      <c r="O2588" t="s">
        <v>28</v>
      </c>
      <c r="P2588" t="s">
        <v>41</v>
      </c>
      <c r="Q2588" s="6">
        <v>1.04916230366492</v>
      </c>
      <c r="R2588">
        <v>4.0199999999999996</v>
      </c>
      <c r="S2588">
        <v>8.35</v>
      </c>
      <c r="T2588">
        <v>22.27</v>
      </c>
      <c r="U2588">
        <v>73.16</v>
      </c>
      <c r="V2588">
        <v>38.56</v>
      </c>
      <c r="W2588">
        <v>1.73</v>
      </c>
    </row>
    <row r="2589" spans="1:23" x14ac:dyDescent="0.3">
      <c r="A2589">
        <v>2590</v>
      </c>
      <c r="B2589" t="s">
        <v>2632</v>
      </c>
      <c r="C2589" t="s">
        <v>38</v>
      </c>
      <c r="D2589">
        <v>136</v>
      </c>
      <c r="E2589">
        <v>3036</v>
      </c>
      <c r="F2589" s="3">
        <v>201</v>
      </c>
      <c r="G2589">
        <v>20</v>
      </c>
      <c r="H2589">
        <v>7</v>
      </c>
      <c r="I2589" s="5">
        <v>5.1470588235294101E-2</v>
      </c>
      <c r="J2589" s="3">
        <v>370</v>
      </c>
      <c r="K2589" s="1">
        <v>45609</v>
      </c>
      <c r="L2589" t="s">
        <v>25</v>
      </c>
      <c r="M2589" t="s">
        <v>39</v>
      </c>
      <c r="N2589" t="s">
        <v>40</v>
      </c>
      <c r="O2589" t="s">
        <v>28</v>
      </c>
      <c r="P2589" t="s">
        <v>33</v>
      </c>
      <c r="Q2589" s="6">
        <v>1.4814705882352901</v>
      </c>
      <c r="R2589">
        <v>4.4800000000000004</v>
      </c>
      <c r="S2589">
        <v>10.07</v>
      </c>
      <c r="T2589">
        <v>28.78</v>
      </c>
      <c r="U2589">
        <v>83.64</v>
      </c>
      <c r="V2589">
        <v>52.86</v>
      </c>
      <c r="W2589">
        <v>1.84</v>
      </c>
    </row>
    <row r="2590" spans="1:23" x14ac:dyDescent="0.3">
      <c r="A2590">
        <v>2591</v>
      </c>
      <c r="B2590" t="s">
        <v>2633</v>
      </c>
      <c r="C2590" t="s">
        <v>24</v>
      </c>
      <c r="D2590">
        <v>146</v>
      </c>
      <c r="E2590">
        <v>5743</v>
      </c>
      <c r="F2590" s="3">
        <v>190</v>
      </c>
      <c r="G2590">
        <v>18</v>
      </c>
      <c r="H2590">
        <v>3</v>
      </c>
      <c r="I2590" s="5">
        <v>2.0547945205479399E-2</v>
      </c>
      <c r="J2590" s="3">
        <v>226</v>
      </c>
      <c r="K2590" s="1">
        <v>45609</v>
      </c>
      <c r="L2590" t="s">
        <v>25</v>
      </c>
      <c r="M2590" t="s">
        <v>31</v>
      </c>
      <c r="N2590" t="s">
        <v>40</v>
      </c>
      <c r="O2590" t="s">
        <v>28</v>
      </c>
      <c r="P2590" t="s">
        <v>33</v>
      </c>
      <c r="Q2590" s="6">
        <v>1.3040410958904101</v>
      </c>
      <c r="R2590">
        <v>2.54</v>
      </c>
      <c r="S2590">
        <v>10.58</v>
      </c>
      <c r="T2590">
        <v>63.46</v>
      </c>
      <c r="U2590">
        <v>18.7</v>
      </c>
      <c r="V2590">
        <v>75.33</v>
      </c>
      <c r="W2590">
        <v>1.19</v>
      </c>
    </row>
    <row r="2591" spans="1:23" x14ac:dyDescent="0.3">
      <c r="A2591">
        <v>2592</v>
      </c>
      <c r="B2591" t="s">
        <v>2634</v>
      </c>
      <c r="C2591" t="s">
        <v>43</v>
      </c>
      <c r="D2591">
        <v>152</v>
      </c>
      <c r="E2591">
        <v>5061</v>
      </c>
      <c r="F2591" s="3">
        <v>234</v>
      </c>
      <c r="G2591">
        <v>12</v>
      </c>
      <c r="H2591">
        <v>5</v>
      </c>
      <c r="I2591" s="5">
        <v>3.2894736842105199E-2</v>
      </c>
      <c r="J2591" s="3">
        <v>320</v>
      </c>
      <c r="K2591" s="1">
        <v>45606</v>
      </c>
      <c r="L2591" t="s">
        <v>25</v>
      </c>
      <c r="M2591" t="s">
        <v>39</v>
      </c>
      <c r="N2591" t="s">
        <v>44</v>
      </c>
      <c r="O2591" t="s">
        <v>28</v>
      </c>
      <c r="P2591" t="s">
        <v>50</v>
      </c>
      <c r="Q2591" s="6">
        <v>1.5422368421052599</v>
      </c>
      <c r="R2591">
        <v>3</v>
      </c>
      <c r="S2591">
        <v>19.54</v>
      </c>
      <c r="T2591">
        <v>46.88</v>
      </c>
      <c r="U2591">
        <v>36.51</v>
      </c>
      <c r="V2591">
        <v>64</v>
      </c>
      <c r="W2591">
        <v>1.37</v>
      </c>
    </row>
    <row r="2592" spans="1:23" x14ac:dyDescent="0.3">
      <c r="A2592">
        <v>2593</v>
      </c>
      <c r="B2592" t="s">
        <v>2635</v>
      </c>
      <c r="C2592" t="s">
        <v>43</v>
      </c>
      <c r="D2592">
        <v>189</v>
      </c>
      <c r="E2592">
        <v>5944</v>
      </c>
      <c r="F2592" s="3">
        <v>203</v>
      </c>
      <c r="G2592">
        <v>28</v>
      </c>
      <c r="H2592">
        <v>5</v>
      </c>
      <c r="I2592" s="5">
        <v>2.6455026455026402E-2</v>
      </c>
      <c r="J2592" s="3">
        <v>278</v>
      </c>
      <c r="K2592" s="1">
        <v>45604</v>
      </c>
      <c r="L2592" t="s">
        <v>25</v>
      </c>
      <c r="M2592" t="s">
        <v>31</v>
      </c>
      <c r="N2592" t="s">
        <v>32</v>
      </c>
      <c r="O2592" t="s">
        <v>28</v>
      </c>
      <c r="P2592" t="s">
        <v>45</v>
      </c>
      <c r="Q2592" s="6">
        <v>1.0734920634920599</v>
      </c>
      <c r="R2592">
        <v>3.18</v>
      </c>
      <c r="S2592">
        <v>7.25</v>
      </c>
      <c r="T2592">
        <v>40.58</v>
      </c>
      <c r="U2592">
        <v>37.020000000000003</v>
      </c>
      <c r="V2592">
        <v>55.6</v>
      </c>
      <c r="W2592">
        <v>1.37</v>
      </c>
    </row>
    <row r="2593" spans="1:23" x14ac:dyDescent="0.3">
      <c r="A2593">
        <v>2594</v>
      </c>
      <c r="B2593" t="s">
        <v>2636</v>
      </c>
      <c r="C2593" t="s">
        <v>35</v>
      </c>
      <c r="D2593">
        <v>99</v>
      </c>
      <c r="E2593">
        <v>4446</v>
      </c>
      <c r="F2593" s="3">
        <v>234</v>
      </c>
      <c r="G2593">
        <v>11</v>
      </c>
      <c r="H2593">
        <v>6</v>
      </c>
      <c r="I2593" s="5">
        <v>6.0606060606060601E-2</v>
      </c>
      <c r="J2593" s="3">
        <v>243</v>
      </c>
      <c r="K2593" s="1">
        <v>45601</v>
      </c>
      <c r="L2593" t="s">
        <v>25</v>
      </c>
      <c r="M2593" t="s">
        <v>39</v>
      </c>
      <c r="N2593" t="s">
        <v>40</v>
      </c>
      <c r="O2593" t="s">
        <v>28</v>
      </c>
      <c r="P2593" t="s">
        <v>41</v>
      </c>
      <c r="Q2593" s="6">
        <v>2.3588888888888802</v>
      </c>
      <c r="R2593">
        <v>2.23</v>
      </c>
      <c r="S2593">
        <v>21.23</v>
      </c>
      <c r="T2593">
        <v>38.92</v>
      </c>
      <c r="U2593">
        <v>4.0599999999999996</v>
      </c>
      <c r="V2593">
        <v>40.5</v>
      </c>
      <c r="W2593">
        <v>1.04</v>
      </c>
    </row>
    <row r="2594" spans="1:23" x14ac:dyDescent="0.3">
      <c r="A2594">
        <v>2595</v>
      </c>
      <c r="B2594" t="s">
        <v>2637</v>
      </c>
      <c r="C2594" t="s">
        <v>24</v>
      </c>
      <c r="D2594">
        <v>88</v>
      </c>
      <c r="E2594">
        <v>5344</v>
      </c>
      <c r="F2594" s="3">
        <v>242</v>
      </c>
      <c r="G2594">
        <v>17</v>
      </c>
      <c r="H2594">
        <v>9</v>
      </c>
      <c r="I2594" s="5">
        <v>0.102272727272727</v>
      </c>
      <c r="J2594" s="3">
        <v>289</v>
      </c>
      <c r="K2594" s="1">
        <v>45625</v>
      </c>
      <c r="L2594" t="s">
        <v>25</v>
      </c>
      <c r="M2594" t="s">
        <v>31</v>
      </c>
      <c r="N2594" t="s">
        <v>44</v>
      </c>
      <c r="O2594" t="s">
        <v>28</v>
      </c>
      <c r="P2594" t="s">
        <v>45</v>
      </c>
      <c r="Q2594" s="6">
        <v>2.7507954545454498</v>
      </c>
      <c r="R2594">
        <v>1.65</v>
      </c>
      <c r="S2594">
        <v>14.24</v>
      </c>
      <c r="T2594">
        <v>26.9</v>
      </c>
      <c r="U2594">
        <v>19.39</v>
      </c>
      <c r="V2594">
        <v>32.11</v>
      </c>
      <c r="W2594">
        <v>1.19</v>
      </c>
    </row>
    <row r="2595" spans="1:23" x14ac:dyDescent="0.3">
      <c r="A2595">
        <v>2596</v>
      </c>
      <c r="B2595" t="s">
        <v>2638</v>
      </c>
      <c r="C2595" t="s">
        <v>24</v>
      </c>
      <c r="D2595">
        <v>154</v>
      </c>
      <c r="E2595">
        <v>3211</v>
      </c>
      <c r="F2595" s="3">
        <v>248</v>
      </c>
      <c r="G2595">
        <v>14</v>
      </c>
      <c r="H2595">
        <v>6</v>
      </c>
      <c r="I2595" s="5">
        <v>3.8961038961038898E-2</v>
      </c>
      <c r="J2595" s="3">
        <v>398</v>
      </c>
      <c r="K2595" s="1">
        <v>45624</v>
      </c>
      <c r="L2595" t="s">
        <v>25</v>
      </c>
      <c r="M2595" t="s">
        <v>39</v>
      </c>
      <c r="N2595" t="s">
        <v>36</v>
      </c>
      <c r="O2595" t="s">
        <v>28</v>
      </c>
      <c r="P2595" t="s">
        <v>54</v>
      </c>
      <c r="Q2595" s="6">
        <v>1.61220779220779</v>
      </c>
      <c r="R2595">
        <v>4.8</v>
      </c>
      <c r="S2595">
        <v>17.73</v>
      </c>
      <c r="T2595">
        <v>41.38</v>
      </c>
      <c r="U2595">
        <v>60.3</v>
      </c>
      <c r="V2595">
        <v>66.33</v>
      </c>
      <c r="W2595">
        <v>1.6</v>
      </c>
    </row>
    <row r="2596" spans="1:23" x14ac:dyDescent="0.3">
      <c r="A2596">
        <v>2597</v>
      </c>
      <c r="B2596" t="s">
        <v>2639</v>
      </c>
      <c r="C2596" t="s">
        <v>35</v>
      </c>
      <c r="D2596">
        <v>113</v>
      </c>
      <c r="E2596">
        <v>3808</v>
      </c>
      <c r="F2596" s="3">
        <v>233</v>
      </c>
      <c r="G2596">
        <v>18</v>
      </c>
      <c r="H2596">
        <v>4</v>
      </c>
      <c r="I2596" s="5">
        <v>3.5398230088495498E-2</v>
      </c>
      <c r="J2596" s="3">
        <v>221</v>
      </c>
      <c r="K2596" s="1">
        <v>45598</v>
      </c>
      <c r="L2596" t="s">
        <v>25</v>
      </c>
      <c r="M2596" t="s">
        <v>26</v>
      </c>
      <c r="N2596" t="s">
        <v>40</v>
      </c>
      <c r="O2596" t="s">
        <v>28</v>
      </c>
      <c r="P2596" t="s">
        <v>29</v>
      </c>
      <c r="Q2596" s="6">
        <v>2.0641592920353902</v>
      </c>
      <c r="R2596">
        <v>2.97</v>
      </c>
      <c r="S2596">
        <v>12.96</v>
      </c>
      <c r="T2596">
        <v>58.31</v>
      </c>
      <c r="U2596">
        <v>-5.25</v>
      </c>
      <c r="V2596">
        <v>55.25</v>
      </c>
      <c r="W2596">
        <v>0.95</v>
      </c>
    </row>
    <row r="2597" spans="1:23" x14ac:dyDescent="0.3">
      <c r="A2597">
        <v>2598</v>
      </c>
      <c r="B2597" t="s">
        <v>2640</v>
      </c>
      <c r="C2597" t="s">
        <v>43</v>
      </c>
      <c r="D2597">
        <v>196</v>
      </c>
      <c r="E2597">
        <v>5853</v>
      </c>
      <c r="F2597" s="3">
        <v>220</v>
      </c>
      <c r="G2597">
        <v>16</v>
      </c>
      <c r="H2597">
        <v>7</v>
      </c>
      <c r="I2597" s="5">
        <v>3.5714285714285698E-2</v>
      </c>
      <c r="J2597" s="3">
        <v>318</v>
      </c>
      <c r="K2597" s="1">
        <v>45604</v>
      </c>
      <c r="L2597" t="s">
        <v>25</v>
      </c>
      <c r="M2597" t="s">
        <v>39</v>
      </c>
      <c r="N2597" t="s">
        <v>40</v>
      </c>
      <c r="O2597" t="s">
        <v>28</v>
      </c>
      <c r="P2597" t="s">
        <v>45</v>
      </c>
      <c r="Q2597" s="6">
        <v>1.12311224489795</v>
      </c>
      <c r="R2597">
        <v>3.35</v>
      </c>
      <c r="S2597">
        <v>13.76</v>
      </c>
      <c r="T2597">
        <v>31.45</v>
      </c>
      <c r="U2597">
        <v>44.46</v>
      </c>
      <c r="V2597">
        <v>45.43</v>
      </c>
      <c r="W2597">
        <v>1.44</v>
      </c>
    </row>
    <row r="2598" spans="1:23" x14ac:dyDescent="0.3">
      <c r="A2598">
        <v>2599</v>
      </c>
      <c r="B2598" t="s">
        <v>2641</v>
      </c>
      <c r="C2598" t="s">
        <v>43</v>
      </c>
      <c r="D2598">
        <v>165</v>
      </c>
      <c r="E2598">
        <v>5453</v>
      </c>
      <c r="F2598" s="3">
        <v>259</v>
      </c>
      <c r="G2598">
        <v>12</v>
      </c>
      <c r="H2598">
        <v>5</v>
      </c>
      <c r="I2598" s="5">
        <v>3.03030303030303E-2</v>
      </c>
      <c r="J2598" s="3">
        <v>240</v>
      </c>
      <c r="K2598" s="1">
        <v>45618</v>
      </c>
      <c r="L2598" t="s">
        <v>25</v>
      </c>
      <c r="M2598" t="s">
        <v>26</v>
      </c>
      <c r="N2598" t="s">
        <v>49</v>
      </c>
      <c r="O2598" t="s">
        <v>28</v>
      </c>
      <c r="P2598" t="s">
        <v>45</v>
      </c>
      <c r="Q2598" s="6">
        <v>1.57092385372117</v>
      </c>
      <c r="R2598">
        <v>3.03</v>
      </c>
      <c r="S2598">
        <v>21.6</v>
      </c>
      <c r="T2598">
        <v>51.84</v>
      </c>
      <c r="U2598">
        <v>-7.41</v>
      </c>
      <c r="V2598">
        <v>48</v>
      </c>
      <c r="W2598">
        <v>0.93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D27A-6C95-47AB-A3B8-BF6B5961C930}">
  <dimension ref="B2:AX2598"/>
  <sheetViews>
    <sheetView topLeftCell="AF2" workbookViewId="0">
      <selection activeCell="AM8" sqref="AM8"/>
    </sheetView>
  </sheetViews>
  <sheetFormatPr defaultRowHeight="14.4" x14ac:dyDescent="0.3"/>
  <cols>
    <col min="2" max="2" width="12.77734375" customWidth="1"/>
    <col min="7" max="7" width="10.33203125" customWidth="1"/>
    <col min="16" max="16" width="12.44140625" bestFit="1" customWidth="1"/>
    <col min="17" max="17" width="17.33203125" bestFit="1" customWidth="1"/>
    <col min="18" max="18" width="14.109375" bestFit="1" customWidth="1"/>
    <col min="24" max="24" width="12.44140625" bestFit="1" customWidth="1"/>
    <col min="25" max="25" width="17.33203125" bestFit="1" customWidth="1"/>
    <col min="26" max="26" width="20.5546875" bestFit="1" customWidth="1"/>
    <col min="27" max="28" width="30.88671875" bestFit="1" customWidth="1"/>
    <col min="29" max="29" width="17.44140625" bestFit="1" customWidth="1"/>
    <col min="30" max="30" width="12.21875" bestFit="1" customWidth="1"/>
    <col min="31" max="31" width="11.88671875" bestFit="1" customWidth="1"/>
    <col min="32" max="32" width="14.109375" bestFit="1" customWidth="1"/>
    <col min="33" max="33" width="30.88671875" bestFit="1" customWidth="1"/>
    <col min="34" max="34" width="17.44140625" bestFit="1" customWidth="1"/>
    <col min="35" max="35" width="12.21875" bestFit="1" customWidth="1"/>
    <col min="36" max="36" width="11.88671875" bestFit="1" customWidth="1"/>
    <col min="37" max="37" width="17.33203125" bestFit="1" customWidth="1"/>
    <col min="38" max="38" width="11.88671875" bestFit="1" customWidth="1"/>
    <col min="39" max="39" width="14.33203125" bestFit="1" customWidth="1"/>
    <col min="40" max="41" width="8.88671875" bestFit="1" customWidth="1"/>
    <col min="48" max="48" width="30.88671875" bestFit="1" customWidth="1"/>
    <col min="49" max="49" width="6.109375" customWidth="1"/>
    <col min="50" max="50" width="7.21875" customWidth="1"/>
  </cols>
  <sheetData>
    <row r="2" spans="2:50" x14ac:dyDescent="0.3">
      <c r="C2" t="s">
        <v>2668</v>
      </c>
      <c r="D2" t="s">
        <v>2667</v>
      </c>
      <c r="E2" t="s">
        <v>2669</v>
      </c>
      <c r="H2" t="s">
        <v>2670</v>
      </c>
      <c r="AV2" t="str" cm="1">
        <f t="array" ref="AV2:AX2598">_xlfn.HSTACK(ads_dataset[Campaign_Name],ads_dataset[Cost],ads_dataset[ROAS])</f>
        <v>Data Analytics Course: Basics</v>
      </c>
      <c r="AW2">
        <v>232</v>
      </c>
      <c r="AX2">
        <v>1.66</v>
      </c>
    </row>
    <row r="3" spans="2:50" x14ac:dyDescent="0.3">
      <c r="B3" t="s">
        <v>4</v>
      </c>
      <c r="C3">
        <f>SUM(ads_dataset[Impressions])</f>
        <v>11761989</v>
      </c>
      <c r="D3" s="6">
        <f>CLicks/Impressions*100</f>
        <v>3.0652128649329633</v>
      </c>
      <c r="E3" t="str">
        <f ca="1">_xlfn.FORMULATEXT(C3)</f>
        <v>=SUM(ads_dataset[Impressions])</v>
      </c>
      <c r="H3" t="str">
        <f ca="1">_xlfn.FORMULATEXT(D3)</f>
        <v>=CLicks/Impressions*100</v>
      </c>
      <c r="X3" t="s">
        <v>2650</v>
      </c>
      <c r="AA3" t="s">
        <v>2651</v>
      </c>
      <c r="AD3" t="s">
        <v>2653</v>
      </c>
      <c r="AV3" t="str">
        <v>Data Analytics Course: Basics</v>
      </c>
      <c r="AW3">
        <v>217</v>
      </c>
      <c r="AX3">
        <v>1.58</v>
      </c>
    </row>
    <row r="4" spans="2:50" x14ac:dyDescent="0.3">
      <c r="B4" t="s">
        <v>3</v>
      </c>
      <c r="C4">
        <f>SUM(ads_dataset[Clicks])</f>
        <v>360530</v>
      </c>
      <c r="D4" s="6">
        <f>Leads/CLicks*100</f>
        <v>14.380772751227362</v>
      </c>
      <c r="E4" t="str">
        <f t="shared" ref="E4:E6" ca="1" si="0">_xlfn.FORMULATEXT(C4)</f>
        <v>=SUM(ads_dataset[Clicks])</v>
      </c>
      <c r="H4" t="str">
        <f t="shared" ref="H4:H6" ca="1" si="1">_xlfn.FORMULATEXT(D4)</f>
        <v>=Leads/CLicks*100</v>
      </c>
      <c r="AV4" t="str">
        <v>Data Analytics Course: Visualizations</v>
      </c>
      <c r="AW4">
        <v>204</v>
      </c>
      <c r="AX4">
        <v>1.63</v>
      </c>
    </row>
    <row r="5" spans="2:50" x14ac:dyDescent="0.3">
      <c r="B5" t="s">
        <v>6</v>
      </c>
      <c r="C5">
        <f>SUM(ads_dataset[Leads])</f>
        <v>51847</v>
      </c>
      <c r="D5" s="6">
        <f>Conversions/Leads*100</f>
        <v>32.64605473797905</v>
      </c>
      <c r="E5" t="str">
        <f t="shared" ca="1" si="0"/>
        <v>=SUM(ads_dataset[Leads])</v>
      </c>
      <c r="H5" t="str">
        <f t="shared" ca="1" si="1"/>
        <v>=Conversions/Leads*100</v>
      </c>
      <c r="X5" s="7" t="s">
        <v>2642</v>
      </c>
      <c r="Y5" t="s">
        <v>2644</v>
      </c>
      <c r="AA5" s="7" t="s">
        <v>2642</v>
      </c>
      <c r="AB5" t="s">
        <v>2649</v>
      </c>
      <c r="AD5" s="7" t="s">
        <v>2642</v>
      </c>
      <c r="AE5" t="s">
        <v>2652</v>
      </c>
      <c r="AG5" s="7" t="s">
        <v>2659</v>
      </c>
      <c r="AH5" t="s">
        <v>2646</v>
      </c>
      <c r="AI5" t="s">
        <v>2647</v>
      </c>
      <c r="AJ5" t="s">
        <v>2648</v>
      </c>
      <c r="AK5" t="s">
        <v>2645</v>
      </c>
      <c r="AL5" t="s">
        <v>2649</v>
      </c>
      <c r="AM5" t="s">
        <v>2644</v>
      </c>
      <c r="AV5" t="str">
        <v>Data Analytics Course: Advanced</v>
      </c>
      <c r="AW5">
        <v>238</v>
      </c>
      <c r="AX5">
        <v>1.05</v>
      </c>
    </row>
    <row r="6" spans="2:50" x14ac:dyDescent="0.3">
      <c r="B6" t="s">
        <v>7</v>
      </c>
      <c r="C6">
        <f>SUM(ads_dataset[Conversions])</f>
        <v>16926</v>
      </c>
      <c r="D6" s="6">
        <f>Conversions/Impressions*100</f>
        <v>0.14390423252393791</v>
      </c>
      <c r="E6" t="str">
        <f t="shared" ca="1" si="0"/>
        <v>=SUM(ads_dataset[Conversions])</v>
      </c>
      <c r="H6" t="str">
        <f t="shared" ca="1" si="1"/>
        <v>=Conversions/Impressions*100</v>
      </c>
      <c r="X6" s="8" t="s">
        <v>38</v>
      </c>
      <c r="Y6" s="11">
        <v>207886.10223214285</v>
      </c>
      <c r="AA6" s="8" t="s">
        <v>38</v>
      </c>
      <c r="AB6" s="3">
        <v>146276</v>
      </c>
      <c r="AD6" s="8" t="s">
        <v>38</v>
      </c>
      <c r="AE6" s="6">
        <v>43.821323529411707</v>
      </c>
      <c r="AG6" s="8" t="s">
        <v>38</v>
      </c>
      <c r="AH6">
        <v>287690</v>
      </c>
      <c r="AI6">
        <v>9050</v>
      </c>
      <c r="AJ6">
        <v>1316</v>
      </c>
      <c r="AK6">
        <v>446</v>
      </c>
      <c r="AL6" s="3">
        <v>14005</v>
      </c>
      <c r="AM6" s="3">
        <v>19883.999999999996</v>
      </c>
      <c r="AV6" t="str">
        <v>Data Analytics Course: ML</v>
      </c>
      <c r="AW6">
        <v>196</v>
      </c>
      <c r="AX6">
        <v>1.1399999999999999</v>
      </c>
    </row>
    <row r="7" spans="2:50" x14ac:dyDescent="0.3">
      <c r="X7" s="8" t="s">
        <v>43</v>
      </c>
      <c r="Y7" s="11">
        <v>197485.57142857145</v>
      </c>
      <c r="AA7" s="8" t="s">
        <v>43</v>
      </c>
      <c r="AB7" s="3">
        <v>139126</v>
      </c>
      <c r="AD7" s="8" t="s">
        <v>24</v>
      </c>
      <c r="AE7" s="6">
        <v>45.191527559055096</v>
      </c>
      <c r="AG7" s="8" t="s">
        <v>24</v>
      </c>
      <c r="AH7">
        <v>403585</v>
      </c>
      <c r="AI7">
        <v>12336</v>
      </c>
      <c r="AJ7">
        <v>1818</v>
      </c>
      <c r="AK7">
        <v>605</v>
      </c>
      <c r="AL7" s="3">
        <v>19352</v>
      </c>
      <c r="AM7" s="3">
        <v>27329.285714285717</v>
      </c>
      <c r="AV7" t="str">
        <v>Data Analytics Course: Basics</v>
      </c>
      <c r="AW7">
        <v>244</v>
      </c>
      <c r="AX7">
        <v>1.1000000000000001</v>
      </c>
    </row>
    <row r="8" spans="2:50" x14ac:dyDescent="0.3">
      <c r="B8" t="s">
        <v>17</v>
      </c>
      <c r="C8" s="6">
        <f>D3</f>
        <v>3.0652128649329633</v>
      </c>
      <c r="X8" s="8" t="s">
        <v>24</v>
      </c>
      <c r="Y8" s="11">
        <v>195553.96428571429</v>
      </c>
      <c r="AA8" s="8" t="s">
        <v>35</v>
      </c>
      <c r="AB8" s="3">
        <v>137039</v>
      </c>
      <c r="AD8" s="8" t="s">
        <v>43</v>
      </c>
      <c r="AE8" s="6">
        <v>43.30664086687306</v>
      </c>
      <c r="AG8" s="8" t="s">
        <v>43</v>
      </c>
      <c r="AH8">
        <v>403426</v>
      </c>
      <c r="AI8">
        <v>12507</v>
      </c>
      <c r="AJ8">
        <v>1723</v>
      </c>
      <c r="AK8">
        <v>560</v>
      </c>
      <c r="AL8" s="3">
        <v>19063</v>
      </c>
      <c r="AM8" s="3">
        <v>25882.999999999996</v>
      </c>
      <c r="AV8" t="str">
        <v>Data Analytics Course: ML</v>
      </c>
      <c r="AW8">
        <v>238</v>
      </c>
      <c r="AX8">
        <v>1.41</v>
      </c>
    </row>
    <row r="9" spans="2:50" x14ac:dyDescent="0.3">
      <c r="B9" t="s">
        <v>2671</v>
      </c>
      <c r="C9" s="6">
        <f>D4</f>
        <v>14.380772751227362</v>
      </c>
      <c r="X9" s="8" t="s">
        <v>35</v>
      </c>
      <c r="Y9" s="11">
        <v>193280.71428571438</v>
      </c>
      <c r="AA9" s="8" t="s">
        <v>24</v>
      </c>
      <c r="AB9" s="3">
        <v>136338</v>
      </c>
      <c r="AD9" s="8" t="s">
        <v>35</v>
      </c>
      <c r="AE9" s="6">
        <v>42.5385849056604</v>
      </c>
      <c r="AG9" s="8" t="s">
        <v>35</v>
      </c>
      <c r="AH9">
        <v>336759</v>
      </c>
      <c r="AI9">
        <v>10612</v>
      </c>
      <c r="AJ9">
        <v>1516</v>
      </c>
      <c r="AK9">
        <v>468</v>
      </c>
      <c r="AL9" s="3">
        <v>15996</v>
      </c>
      <c r="AM9" s="3">
        <v>22576.571428571428</v>
      </c>
      <c r="AV9" t="str">
        <v>Data Analytics Course: ML</v>
      </c>
      <c r="AW9">
        <v>230</v>
      </c>
      <c r="AX9">
        <v>1.34</v>
      </c>
    </row>
    <row r="10" spans="2:50" x14ac:dyDescent="0.3">
      <c r="B10" t="s">
        <v>2672</v>
      </c>
      <c r="C10" s="6">
        <f>D5</f>
        <v>32.64605473797905</v>
      </c>
      <c r="X10" s="8" t="s">
        <v>2643</v>
      </c>
      <c r="Y10" s="11">
        <v>794206.35223214305</v>
      </c>
      <c r="AA10" s="8" t="s">
        <v>2643</v>
      </c>
      <c r="AB10" s="11">
        <v>558779</v>
      </c>
      <c r="AD10" s="8" t="s">
        <v>2643</v>
      </c>
      <c r="AE10" s="6">
        <v>43.714189449364554</v>
      </c>
      <c r="AG10" s="8" t="s">
        <v>2666</v>
      </c>
      <c r="AH10">
        <v>1431460</v>
      </c>
      <c r="AI10">
        <v>44505</v>
      </c>
      <c r="AJ10">
        <v>6373</v>
      </c>
      <c r="AK10">
        <v>2079</v>
      </c>
      <c r="AL10" s="3">
        <v>68416</v>
      </c>
      <c r="AM10" s="3">
        <v>95672.85714285713</v>
      </c>
      <c r="AV10" t="str">
        <v>Data Analytics Course: ML</v>
      </c>
      <c r="AW10">
        <v>175</v>
      </c>
      <c r="AX10">
        <v>1.59</v>
      </c>
    </row>
    <row r="11" spans="2:50" x14ac:dyDescent="0.3">
      <c r="B11" t="s">
        <v>2673</v>
      </c>
      <c r="C11" s="6">
        <f>D6</f>
        <v>0.14390423252393791</v>
      </c>
      <c r="AN11" t="s">
        <v>35</v>
      </c>
      <c r="AV11" t="str">
        <v>Data Analytics Course: Advanced</v>
      </c>
      <c r="AW11">
        <v>187</v>
      </c>
      <c r="AX11">
        <v>1.1200000000000001</v>
      </c>
    </row>
    <row r="12" spans="2:50" x14ac:dyDescent="0.3">
      <c r="X12" s="8" t="s">
        <v>2654</v>
      </c>
      <c r="AA12" s="8" t="s">
        <v>2656</v>
      </c>
      <c r="AG12" s="7" t="s">
        <v>2642</v>
      </c>
      <c r="AH12" t="s">
        <v>2646</v>
      </c>
      <c r="AI12" t="s">
        <v>2647</v>
      </c>
      <c r="AJ12" t="s">
        <v>2648</v>
      </c>
      <c r="AK12" t="s">
        <v>2645</v>
      </c>
      <c r="AL12" t="s">
        <v>2649</v>
      </c>
      <c r="AM12" t="s">
        <v>2644</v>
      </c>
      <c r="AV12" t="str">
        <v>Data Analytics Course: Basics</v>
      </c>
      <c r="AW12">
        <v>237</v>
      </c>
      <c r="AX12">
        <v>1.64</v>
      </c>
    </row>
    <row r="13" spans="2:50" x14ac:dyDescent="0.3">
      <c r="AG13" s="8" t="s">
        <v>38</v>
      </c>
      <c r="AH13" s="10">
        <v>3060295</v>
      </c>
      <c r="AI13" s="10">
        <v>93021</v>
      </c>
      <c r="AJ13" s="10">
        <v>13739</v>
      </c>
      <c r="AK13" s="10">
        <v>4475</v>
      </c>
      <c r="AL13" s="11">
        <v>146276</v>
      </c>
      <c r="AM13" s="11">
        <v>207886.10223214285</v>
      </c>
      <c r="AV13" t="str">
        <v>Data Analytics Course: ML</v>
      </c>
      <c r="AW13">
        <v>208</v>
      </c>
      <c r="AX13">
        <v>1.1100000000000001</v>
      </c>
    </row>
    <row r="14" spans="2:50" x14ac:dyDescent="0.3">
      <c r="X14" s="7" t="s">
        <v>2642</v>
      </c>
      <c r="Y14" t="s">
        <v>2655</v>
      </c>
      <c r="AA14" s="7" t="s">
        <v>2642</v>
      </c>
      <c r="AB14" t="s">
        <v>2657</v>
      </c>
      <c r="AD14" s="7" t="s">
        <v>2642</v>
      </c>
      <c r="AE14" t="s">
        <v>2658</v>
      </c>
      <c r="AF14" t="s">
        <v>2649</v>
      </c>
      <c r="AG14" s="8" t="s">
        <v>24</v>
      </c>
      <c r="AH14" s="10">
        <v>2882552</v>
      </c>
      <c r="AI14" s="10">
        <v>88102</v>
      </c>
      <c r="AJ14" s="10">
        <v>12617</v>
      </c>
      <c r="AK14" s="10">
        <v>4133</v>
      </c>
      <c r="AL14" s="11">
        <v>136338</v>
      </c>
      <c r="AM14" s="11">
        <v>195553.96428571429</v>
      </c>
      <c r="AV14" t="str">
        <v>Data Analytics Course: Advanced</v>
      </c>
      <c r="AW14">
        <v>191</v>
      </c>
      <c r="AX14">
        <v>2.09</v>
      </c>
    </row>
    <row r="15" spans="2:50" x14ac:dyDescent="0.3">
      <c r="X15" s="8" t="s">
        <v>38</v>
      </c>
      <c r="Y15" s="5">
        <v>5.1061175652605456E-2</v>
      </c>
      <c r="AA15" s="8" t="s">
        <v>43</v>
      </c>
      <c r="AB15" s="9">
        <v>12.210913312693489</v>
      </c>
      <c r="AD15" s="8" t="s">
        <v>38</v>
      </c>
      <c r="AE15" s="6">
        <v>1.4381617647058833</v>
      </c>
      <c r="AF15" s="6">
        <v>146276</v>
      </c>
      <c r="AG15" s="8" t="s">
        <v>43</v>
      </c>
      <c r="AH15" s="10">
        <v>2934820</v>
      </c>
      <c r="AI15" s="10">
        <v>91462</v>
      </c>
      <c r="AJ15" s="10">
        <v>12747</v>
      </c>
      <c r="AK15" s="10">
        <v>4227</v>
      </c>
      <c r="AL15" s="11">
        <v>139126</v>
      </c>
      <c r="AM15" s="11">
        <v>197485.57142857145</v>
      </c>
      <c r="AV15" t="str">
        <v>Data Analytics Course: ML</v>
      </c>
      <c r="AW15">
        <v>207</v>
      </c>
      <c r="AX15">
        <v>1.6</v>
      </c>
    </row>
    <row r="16" spans="2:50" x14ac:dyDescent="0.3">
      <c r="X16" s="8" t="s">
        <v>24</v>
      </c>
      <c r="Y16" s="5">
        <v>4.9944615984456937E-2</v>
      </c>
      <c r="AA16" s="8" t="s">
        <v>24</v>
      </c>
      <c r="AB16" s="9">
        <v>11.940141732283456</v>
      </c>
      <c r="AD16" s="8" t="s">
        <v>24</v>
      </c>
      <c r="AE16" s="6">
        <v>1.4519055118110238</v>
      </c>
      <c r="AF16" s="6">
        <v>136338</v>
      </c>
      <c r="AG16" s="8" t="s">
        <v>35</v>
      </c>
      <c r="AH16" s="10">
        <v>2884322</v>
      </c>
      <c r="AI16" s="10">
        <v>87945</v>
      </c>
      <c r="AJ16" s="10">
        <v>12744</v>
      </c>
      <c r="AK16" s="10">
        <v>4091</v>
      </c>
      <c r="AL16" s="11">
        <v>137039</v>
      </c>
      <c r="AM16" s="11">
        <v>193280.71428571438</v>
      </c>
      <c r="AV16" t="str">
        <v>Data Analytics Course: Advanced</v>
      </c>
      <c r="AW16">
        <v>185</v>
      </c>
      <c r="AX16">
        <v>1.7</v>
      </c>
    </row>
    <row r="17" spans="16:50" x14ac:dyDescent="0.3">
      <c r="X17" s="8" t="s">
        <v>35</v>
      </c>
      <c r="Y17" s="5">
        <v>4.9729420495323855E-2</v>
      </c>
      <c r="AA17" s="8" t="s">
        <v>35</v>
      </c>
      <c r="AB17" s="9">
        <v>11.916210691823904</v>
      </c>
      <c r="AD17" s="8" t="s">
        <v>43</v>
      </c>
      <c r="AE17" s="6">
        <v>1.4329566563467497</v>
      </c>
      <c r="AF17" s="6">
        <v>139126</v>
      </c>
      <c r="AG17" s="8" t="s">
        <v>2666</v>
      </c>
      <c r="AH17" s="10">
        <v>11761989</v>
      </c>
      <c r="AI17" s="10">
        <v>360530</v>
      </c>
      <c r="AJ17" s="10">
        <v>51847</v>
      </c>
      <c r="AK17" s="10">
        <v>16926</v>
      </c>
      <c r="AL17" s="11">
        <v>558779</v>
      </c>
      <c r="AM17" s="11">
        <v>794206.35223214305</v>
      </c>
      <c r="AV17" t="str">
        <v>Data Analytics Course: Advanced</v>
      </c>
      <c r="AW17">
        <v>202</v>
      </c>
      <c r="AX17">
        <v>1.78</v>
      </c>
    </row>
    <row r="18" spans="16:50" x14ac:dyDescent="0.3">
      <c r="X18" s="8" t="s">
        <v>43</v>
      </c>
      <c r="Y18" s="5">
        <v>4.9551439345082562E-2</v>
      </c>
      <c r="AA18" s="8" t="s">
        <v>38</v>
      </c>
      <c r="AB18" s="9">
        <v>11.79358823529412</v>
      </c>
      <c r="AD18" s="8" t="s">
        <v>35</v>
      </c>
      <c r="AE18" s="6">
        <v>1.425393081761005</v>
      </c>
      <c r="AF18" s="6">
        <v>137039</v>
      </c>
      <c r="AV18" t="str">
        <v>Data Analytics Course: Advanced</v>
      </c>
      <c r="AW18">
        <v>294</v>
      </c>
      <c r="AX18">
        <v>1.1200000000000001</v>
      </c>
    </row>
    <row r="19" spans="16:50" x14ac:dyDescent="0.3">
      <c r="X19" s="8" t="s">
        <v>2643</v>
      </c>
      <c r="Y19" s="5">
        <v>5.0086473564055156E-2</v>
      </c>
      <c r="AA19" s="8" t="s">
        <v>2643</v>
      </c>
      <c r="AB19" s="6">
        <v>11.963261455525602</v>
      </c>
      <c r="AD19" s="8" t="s">
        <v>2643</v>
      </c>
      <c r="AE19" s="6">
        <v>1.4371005005775885</v>
      </c>
      <c r="AF19" s="6">
        <v>558779</v>
      </c>
      <c r="AG19" t="s">
        <v>2659</v>
      </c>
      <c r="AH19" t="s">
        <v>2661</v>
      </c>
      <c r="AI19" t="s">
        <v>2662</v>
      </c>
      <c r="AJ19" t="s">
        <v>2663</v>
      </c>
      <c r="AK19" t="s">
        <v>2664</v>
      </c>
      <c r="AL19" t="s">
        <v>5</v>
      </c>
      <c r="AM19" t="s">
        <v>9</v>
      </c>
      <c r="AN19" t="s">
        <v>16</v>
      </c>
      <c r="AO19" t="s">
        <v>17</v>
      </c>
      <c r="AP19" t="s">
        <v>18</v>
      </c>
      <c r="AQ19" t="s">
        <v>20</v>
      </c>
      <c r="AR19" t="s">
        <v>22</v>
      </c>
      <c r="AS19" t="s">
        <v>19</v>
      </c>
      <c r="AT19" t="s">
        <v>21</v>
      </c>
      <c r="AV19" t="str">
        <v>Data Analytics Course: Visualizations</v>
      </c>
      <c r="AW19">
        <v>207</v>
      </c>
      <c r="AX19">
        <v>1.67</v>
      </c>
    </row>
    <row r="20" spans="16:50" x14ac:dyDescent="0.3">
      <c r="AG20" t="str">
        <f>AG$13</f>
        <v>Data Analytics Course: Advanced</v>
      </c>
      <c r="AH20">
        <f t="shared" ref="AH20:AM20" si="2">AH$13</f>
        <v>3060295</v>
      </c>
      <c r="AI20">
        <f t="shared" si="2"/>
        <v>93021</v>
      </c>
      <c r="AJ20">
        <f t="shared" si="2"/>
        <v>13739</v>
      </c>
      <c r="AK20">
        <f t="shared" si="2"/>
        <v>4475</v>
      </c>
      <c r="AL20" s="11">
        <f t="shared" si="2"/>
        <v>146276</v>
      </c>
      <c r="AM20" s="11">
        <f t="shared" si="2"/>
        <v>207886.10223214285</v>
      </c>
      <c r="AN20" s="2">
        <f>totals[[#This Row],[Cost]]/totals[[#This Row],[Кліки]]</f>
        <v>1.5725051332494813</v>
      </c>
      <c r="AO20" s="6">
        <f>totals[[#This Row],[Кліки]]/totals[[#This Row],[Покази]]*100</f>
        <v>3.0396089265904105</v>
      </c>
      <c r="AP20" s="2">
        <f>totals[[#This Row],[Cost]]/totals[[#This Row],[Ліди]]</f>
        <v>10.646771963024966</v>
      </c>
      <c r="AQ20" s="6">
        <f>((totals[[#This Row],[Revenue]]-totals[[#This Row],[Cost]])/totals[[#This Row],[Cost]])</f>
        <v>0.42119077792763576</v>
      </c>
      <c r="AR20" s="6">
        <f>totals[[#This Row],[Revenue]]/totals[[#This Row],[Cost]]</f>
        <v>1.4211907779276358</v>
      </c>
      <c r="AS20" s="2">
        <f>totals[[#This Row],[Cost]]/totals[[#This Row],[Конверсії]]</f>
        <v>32.68737430167598</v>
      </c>
      <c r="AT20" s="3">
        <f>totals[[#This Row],[Cost]]/totals[[#This Row],[Конверсії]]</f>
        <v>32.68737430167598</v>
      </c>
      <c r="AV20" t="str">
        <v>Data Analytics Course: ML</v>
      </c>
      <c r="AW20">
        <v>217</v>
      </c>
      <c r="AX20">
        <v>1.67</v>
      </c>
    </row>
    <row r="21" spans="16:50" x14ac:dyDescent="0.3">
      <c r="X21" s="7" t="s">
        <v>2642</v>
      </c>
      <c r="Y21" t="s">
        <v>2645</v>
      </c>
      <c r="AA21" s="7" t="s">
        <v>2642</v>
      </c>
      <c r="AB21" t="s">
        <v>2645</v>
      </c>
      <c r="AD21" s="7" t="s">
        <v>2642</v>
      </c>
      <c r="AE21" t="s">
        <v>2645</v>
      </c>
      <c r="AG21" t="str">
        <f>AG$14</f>
        <v>Data Analytics Course: Basics</v>
      </c>
      <c r="AH21">
        <f t="shared" ref="AH21:AM21" si="3">AH$14</f>
        <v>2882552</v>
      </c>
      <c r="AI21">
        <f t="shared" si="3"/>
        <v>88102</v>
      </c>
      <c r="AJ21">
        <f t="shared" si="3"/>
        <v>12617</v>
      </c>
      <c r="AK21">
        <f t="shared" si="3"/>
        <v>4133</v>
      </c>
      <c r="AL21" s="11">
        <f t="shared" si="3"/>
        <v>136338</v>
      </c>
      <c r="AM21" s="11">
        <f t="shared" si="3"/>
        <v>195553.96428571429</v>
      </c>
      <c r="AN21" s="2">
        <f>totals[[#This Row],[Cost]]/totals[[#This Row],[Кліки]]</f>
        <v>1.5475017593244194</v>
      </c>
      <c r="AO21" s="6">
        <f>totals[[#This Row],[Кліки]]/totals[[#This Row],[Покази]]*100</f>
        <v>3.056388922038527</v>
      </c>
      <c r="AP21" s="2">
        <f>totals[[#This Row],[Cost]]/totals[[#This Row],[Ліди]]</f>
        <v>10.805896805896806</v>
      </c>
      <c r="AQ21" s="6">
        <f>((totals[[#This Row],[Revenue]]-totals[[#This Row],[Cost]])/totals[[#This Row],[Cost]])</f>
        <v>0.43433205918903234</v>
      </c>
      <c r="AR21" s="6">
        <f>totals[[#This Row],[Revenue]]/totals[[#This Row],[Cost]]</f>
        <v>1.4343320591890323</v>
      </c>
      <c r="AS21" s="2">
        <f>totals[[#This Row],[Cost]]/totals[[#This Row],[Конверсії]]</f>
        <v>32.987660295185094</v>
      </c>
      <c r="AT21" s="3">
        <f>totals[[#This Row],[Cost]]/totals[[#This Row],[Конверсії]]</f>
        <v>32.987660295185094</v>
      </c>
      <c r="AV21" t="str">
        <v>Data Analytics Course: Advanced</v>
      </c>
      <c r="AW21">
        <v>227</v>
      </c>
      <c r="AX21">
        <v>1.36</v>
      </c>
    </row>
    <row r="22" spans="16:50" x14ac:dyDescent="0.3">
      <c r="P22" s="7" t="s">
        <v>2642</v>
      </c>
      <c r="Q22" t="s">
        <v>2645</v>
      </c>
      <c r="R22" t="s">
        <v>2644</v>
      </c>
      <c r="X22" s="8" t="s">
        <v>59</v>
      </c>
      <c r="Y22" s="31">
        <v>2274</v>
      </c>
      <c r="AA22" s="8" t="s">
        <v>49</v>
      </c>
      <c r="AB22">
        <v>2744</v>
      </c>
      <c r="AD22" s="8" t="s">
        <v>26</v>
      </c>
      <c r="AE22">
        <v>5784</v>
      </c>
      <c r="AG22" t="str">
        <f>AG$15</f>
        <v>Data Analytics Course: ML</v>
      </c>
      <c r="AH22">
        <f t="shared" ref="AH22:AM22" si="4">AH$15</f>
        <v>2934820</v>
      </c>
      <c r="AI22">
        <f t="shared" si="4"/>
        <v>91462</v>
      </c>
      <c r="AJ22">
        <f t="shared" si="4"/>
        <v>12747</v>
      </c>
      <c r="AK22">
        <f t="shared" si="4"/>
        <v>4227</v>
      </c>
      <c r="AL22" s="11">
        <f t="shared" si="4"/>
        <v>139126</v>
      </c>
      <c r="AM22" s="11">
        <f t="shared" si="4"/>
        <v>197485.57142857145</v>
      </c>
      <c r="AN22" s="2">
        <f>totals[[#This Row],[Cost]]/totals[[#This Row],[Кліки]]</f>
        <v>1.5211344602129846</v>
      </c>
      <c r="AO22" s="6">
        <f>totals[[#This Row],[Кліки]]/totals[[#This Row],[Покази]]*100</f>
        <v>3.1164432571673903</v>
      </c>
      <c r="AP22" s="2">
        <f>totals[[#This Row],[Cost]]/totals[[#This Row],[Ліди]]</f>
        <v>10.914411234015846</v>
      </c>
      <c r="AQ22" s="6">
        <f>((totals[[#This Row],[Revenue]]-totals[[#This Row],[Cost]])/totals[[#This Row],[Cost]])</f>
        <v>0.4194727903380493</v>
      </c>
      <c r="AR22" s="6">
        <f>totals[[#This Row],[Revenue]]/totals[[#This Row],[Cost]]</f>
        <v>1.4194727903380493</v>
      </c>
      <c r="AS22" s="2">
        <f>totals[[#This Row],[Cost]]/totals[[#This Row],[Конверсії]]</f>
        <v>32.913650343032884</v>
      </c>
      <c r="AT22" s="3">
        <f>totals[[#This Row],[Cost]]/totals[[#This Row],[Конверсії]]</f>
        <v>32.913650343032884</v>
      </c>
      <c r="AV22" t="str">
        <v>Data Analytics Course: Advanced</v>
      </c>
      <c r="AW22">
        <v>223</v>
      </c>
      <c r="AX22">
        <v>1.59</v>
      </c>
    </row>
    <row r="23" spans="16:50" x14ac:dyDescent="0.3">
      <c r="P23" s="8" t="s">
        <v>59</v>
      </c>
      <c r="Q23" s="31">
        <v>2274</v>
      </c>
      <c r="R23" s="3">
        <v>110063.24508928572</v>
      </c>
      <c r="X23" s="8" t="s">
        <v>41</v>
      </c>
      <c r="Y23" s="31">
        <v>2277</v>
      </c>
      <c r="AA23" s="8" t="s">
        <v>32</v>
      </c>
      <c r="AB23">
        <v>2899</v>
      </c>
      <c r="AD23" s="8" t="s">
        <v>31</v>
      </c>
      <c r="AE23">
        <v>5796</v>
      </c>
      <c r="AG23" t="str">
        <f>AG$16</f>
        <v>Data Analytics Course: Visualizations</v>
      </c>
      <c r="AH23">
        <f t="shared" ref="AH23:AM23" si="5">AH$16</f>
        <v>2884322</v>
      </c>
      <c r="AI23">
        <f t="shared" si="5"/>
        <v>87945</v>
      </c>
      <c r="AJ23">
        <f t="shared" si="5"/>
        <v>12744</v>
      </c>
      <c r="AK23">
        <f t="shared" si="5"/>
        <v>4091</v>
      </c>
      <c r="AL23" s="11">
        <f t="shared" si="5"/>
        <v>137039</v>
      </c>
      <c r="AM23" s="11">
        <f t="shared" si="5"/>
        <v>193280.71428571438</v>
      </c>
      <c r="AN23" s="2">
        <f>totals[[#This Row],[Cost]]/totals[[#This Row],[Кліки]]</f>
        <v>1.5582352606742851</v>
      </c>
      <c r="AO23" s="6">
        <f>totals[[#This Row],[Кліки]]/totals[[#This Row],[Покази]]*100</f>
        <v>3.0490701107573979</v>
      </c>
      <c r="AP23" s="2">
        <f>totals[[#This Row],[Cost]]/totals[[#This Row],[Ліди]]</f>
        <v>10.753217200251099</v>
      </c>
      <c r="AQ23" s="6">
        <f>((totals[[#This Row],[Revenue]]-totals[[#This Row],[Cost]])/totals[[#This Row],[Cost]])</f>
        <v>0.41040663085482509</v>
      </c>
      <c r="AR23" s="6">
        <f>totals[[#This Row],[Revenue]]/totals[[#This Row],[Cost]]</f>
        <v>1.4104066308548251</v>
      </c>
      <c r="AS23" s="2">
        <f>totals[[#This Row],[Cost]]/totals[[#This Row],[Конверсії]]</f>
        <v>33.497677829381573</v>
      </c>
      <c r="AT23" s="3">
        <f>totals[[#This Row],[Cost]]/totals[[#This Row],[Конверсії]]</f>
        <v>33.497677829381573</v>
      </c>
      <c r="AV23" t="str">
        <v>Data Analytics Course: ML</v>
      </c>
      <c r="AW23">
        <v>184</v>
      </c>
      <c r="AX23">
        <v>2</v>
      </c>
    </row>
    <row r="24" spans="16:50" x14ac:dyDescent="0.3">
      <c r="P24" s="8" t="s">
        <v>41</v>
      </c>
      <c r="Q24" s="31">
        <v>2277</v>
      </c>
      <c r="R24" s="3">
        <v>106654.85714285713</v>
      </c>
      <c r="X24" s="8" t="s">
        <v>33</v>
      </c>
      <c r="Y24" s="31">
        <v>2277</v>
      </c>
      <c r="AA24" s="8" t="s">
        <v>36</v>
      </c>
      <c r="AB24">
        <v>2684</v>
      </c>
      <c r="AD24" s="8" t="s">
        <v>39</v>
      </c>
      <c r="AE24">
        <v>5346</v>
      </c>
      <c r="AG24" t="str">
        <f>AG$17</f>
        <v>Всі кампанії</v>
      </c>
      <c r="AH24">
        <f t="shared" ref="AH24:AM24" si="6">AH$17</f>
        <v>11761989</v>
      </c>
      <c r="AI24">
        <f t="shared" si="6"/>
        <v>360530</v>
      </c>
      <c r="AJ24">
        <f t="shared" si="6"/>
        <v>51847</v>
      </c>
      <c r="AK24">
        <f t="shared" si="6"/>
        <v>16926</v>
      </c>
      <c r="AL24" s="11">
        <f t="shared" si="6"/>
        <v>558779</v>
      </c>
      <c r="AM24" s="11">
        <f t="shared" si="6"/>
        <v>794206.35223214305</v>
      </c>
      <c r="AN24" s="2">
        <f>totals[[#This Row],[Cost]]/totals[[#This Row],[Кліки]]</f>
        <v>1.5498821179929547</v>
      </c>
      <c r="AO24" s="6">
        <f>totals[[#This Row],[Кліки]]/totals[[#This Row],[Покази]]*100</f>
        <v>3.0652128649329633</v>
      </c>
      <c r="AP24" s="2">
        <f>totals[[#This Row],[Cost]]/totals[[#This Row],[Ліди]]</f>
        <v>10.777460605242348</v>
      </c>
      <c r="AQ24" s="6">
        <f>((totals[[#This Row],[Revenue]]-totals[[#This Row],[Cost]])/totals[[#This Row],[Cost]])</f>
        <v>0.42132462428284356</v>
      </c>
      <c r="AR24" s="6">
        <f>totals[[#This Row],[Revenue]]/totals[[#This Row],[Cost]]</f>
        <v>1.4213246242828437</v>
      </c>
      <c r="AS24" s="2">
        <f>totals[[#This Row],[Cost]]/totals[[#This Row],[Конверсії]]</f>
        <v>33.013056835637478</v>
      </c>
      <c r="AT24" s="3">
        <f>totals[[#This Row],[Cost]]/totals[[#This Row],[Конверсії]]</f>
        <v>33.013056835637478</v>
      </c>
      <c r="AV24" t="str">
        <v>Data Analytics Course: Advanced</v>
      </c>
      <c r="AW24">
        <v>211</v>
      </c>
      <c r="AX24">
        <v>1.28</v>
      </c>
    </row>
    <row r="25" spans="16:50" x14ac:dyDescent="0.3">
      <c r="P25" s="8" t="s">
        <v>33</v>
      </c>
      <c r="Q25" s="31">
        <v>2277</v>
      </c>
      <c r="R25" s="3">
        <v>104315.28571428572</v>
      </c>
      <c r="X25" s="8" t="s">
        <v>54</v>
      </c>
      <c r="Y25" s="31">
        <v>2425</v>
      </c>
      <c r="AA25" s="8" t="s">
        <v>40</v>
      </c>
      <c r="AB25">
        <v>2728</v>
      </c>
      <c r="AD25" s="8" t="s">
        <v>2643</v>
      </c>
      <c r="AE25">
        <v>16926</v>
      </c>
      <c r="AL25" s="11"/>
      <c r="AM25" s="11"/>
      <c r="AN25" s="2"/>
      <c r="AO25" s="6"/>
      <c r="AP25" s="2"/>
      <c r="AQ25" s="33">
        <f>AQ24</f>
        <v>0.42132462428284356</v>
      </c>
      <c r="AR25" s="6"/>
      <c r="AS25" s="2"/>
      <c r="AT25" s="3"/>
      <c r="AV25" t="str">
        <v>Data Analytics Course: Visualizations</v>
      </c>
      <c r="AW25">
        <v>230</v>
      </c>
      <c r="AX25">
        <v>1.29</v>
      </c>
    </row>
    <row r="26" spans="16:50" x14ac:dyDescent="0.3">
      <c r="P26" s="8" t="s">
        <v>54</v>
      </c>
      <c r="Q26" s="31">
        <v>2425</v>
      </c>
      <c r="R26" s="3">
        <v>113418.03348214287</v>
      </c>
      <c r="X26" s="8" t="s">
        <v>45</v>
      </c>
      <c r="Y26" s="31">
        <v>2845</v>
      </c>
      <c r="AA26" s="8" t="s">
        <v>27</v>
      </c>
      <c r="AB26">
        <v>2881</v>
      </c>
      <c r="AV26" t="str">
        <v>Data Analytics Course: Basics</v>
      </c>
      <c r="AW26">
        <v>134</v>
      </c>
      <c r="AX26">
        <v>2.5099999999999998</v>
      </c>
    </row>
    <row r="27" spans="16:50" x14ac:dyDescent="0.3">
      <c r="P27" s="8" t="s">
        <v>45</v>
      </c>
      <c r="Q27" s="31">
        <v>2845</v>
      </c>
      <c r="R27" s="3">
        <v>133913.64508928574</v>
      </c>
      <c r="X27" s="8" t="s">
        <v>29</v>
      </c>
      <c r="Y27" s="31">
        <v>2749</v>
      </c>
      <c r="AA27" s="8" t="s">
        <v>44</v>
      </c>
      <c r="AB27">
        <v>2990</v>
      </c>
      <c r="AI27" s="7" t="s">
        <v>2642</v>
      </c>
      <c r="AJ27" t="s">
        <v>2649</v>
      </c>
      <c r="AK27" t="s">
        <v>2644</v>
      </c>
      <c r="AV27" t="str">
        <v>Data Analytics Course: Basics</v>
      </c>
      <c r="AW27">
        <v>182</v>
      </c>
      <c r="AX27">
        <v>1.63</v>
      </c>
    </row>
    <row r="28" spans="16:50" x14ac:dyDescent="0.3">
      <c r="P28" s="8" t="s">
        <v>29</v>
      </c>
      <c r="Q28" s="31">
        <v>2749</v>
      </c>
      <c r="R28" s="3">
        <v>130168.42857142857</v>
      </c>
      <c r="X28" s="8" t="s">
        <v>50</v>
      </c>
      <c r="Y28" s="31">
        <v>2079</v>
      </c>
      <c r="AA28" s="8" t="s">
        <v>2643</v>
      </c>
      <c r="AB28">
        <v>16926</v>
      </c>
      <c r="AI28" s="8" t="s">
        <v>38</v>
      </c>
      <c r="AJ28" s="3">
        <v>146276</v>
      </c>
      <c r="AK28" s="3">
        <v>207886.10223214285</v>
      </c>
      <c r="AV28" t="str">
        <v>Data Analytics Course: Visualizations</v>
      </c>
      <c r="AW28">
        <v>206</v>
      </c>
      <c r="AX28">
        <v>1.64</v>
      </c>
    </row>
    <row r="29" spans="16:50" x14ac:dyDescent="0.3">
      <c r="P29" s="8" t="s">
        <v>50</v>
      </c>
      <c r="Q29" s="31">
        <v>2079</v>
      </c>
      <c r="R29" s="3">
        <v>95672.857142857145</v>
      </c>
      <c r="X29" s="8" t="s">
        <v>2643</v>
      </c>
      <c r="Y29" s="31">
        <v>16926</v>
      </c>
      <c r="AI29" s="8" t="s">
        <v>24</v>
      </c>
      <c r="AJ29" s="3">
        <v>136338</v>
      </c>
      <c r="AK29" s="3">
        <v>195553.96428571429</v>
      </c>
      <c r="AV29" t="str">
        <v>Data Analytics Course: ML</v>
      </c>
      <c r="AW29">
        <v>235</v>
      </c>
      <c r="AX29">
        <v>1.46</v>
      </c>
    </row>
    <row r="30" spans="16:50" x14ac:dyDescent="0.3">
      <c r="P30" s="8" t="s">
        <v>2643</v>
      </c>
      <c r="Q30" s="31">
        <v>16926</v>
      </c>
      <c r="R30" s="3">
        <v>794206.35223214282</v>
      </c>
      <c r="AI30" s="8" t="s">
        <v>43</v>
      </c>
      <c r="AJ30" s="3">
        <v>139126</v>
      </c>
      <c r="AK30" s="3">
        <v>197485.57142857145</v>
      </c>
      <c r="AV30" t="str">
        <v>Data Analytics Course: Visualizations</v>
      </c>
      <c r="AW30">
        <v>188</v>
      </c>
      <c r="AX30">
        <v>1.93</v>
      </c>
    </row>
    <row r="31" spans="16:50" x14ac:dyDescent="0.3">
      <c r="AI31" s="8" t="s">
        <v>35</v>
      </c>
      <c r="AJ31" s="3">
        <v>137039</v>
      </c>
      <c r="AK31" s="3">
        <v>193280.71428571438</v>
      </c>
      <c r="AV31" t="str">
        <v>Data Analytics Course: Advanced</v>
      </c>
      <c r="AW31">
        <v>238</v>
      </c>
      <c r="AX31">
        <v>1.7</v>
      </c>
    </row>
    <row r="32" spans="16:50" x14ac:dyDescent="0.3">
      <c r="AI32" s="8" t="s">
        <v>2643</v>
      </c>
      <c r="AJ32" s="3">
        <v>558779</v>
      </c>
      <c r="AK32" s="3">
        <v>794206.35223214305</v>
      </c>
      <c r="AV32" t="str">
        <v>Data Analytics Course: ML</v>
      </c>
      <c r="AW32">
        <v>214</v>
      </c>
      <c r="AX32">
        <v>1.52</v>
      </c>
    </row>
    <row r="33" spans="28:50" x14ac:dyDescent="0.3">
      <c r="AV33" t="str">
        <v>Data Analytics Course: Basics</v>
      </c>
      <c r="AW33">
        <v>212</v>
      </c>
      <c r="AX33">
        <v>1.07</v>
      </c>
    </row>
    <row r="34" spans="28:50" x14ac:dyDescent="0.3">
      <c r="AV34" t="str">
        <v>Data Analytics Course: Advanced</v>
      </c>
      <c r="AW34">
        <v>244</v>
      </c>
      <c r="AX34">
        <v>0.87</v>
      </c>
    </row>
    <row r="35" spans="28:50" x14ac:dyDescent="0.3">
      <c r="AV35" t="str">
        <v>Data Analytics Course: ML</v>
      </c>
      <c r="AW35">
        <v>235</v>
      </c>
      <c r="AX35">
        <v>1.49</v>
      </c>
    </row>
    <row r="36" spans="28:50" x14ac:dyDescent="0.3">
      <c r="AV36" t="str">
        <v>Data Analytics Course: Advanced</v>
      </c>
      <c r="AW36">
        <v>215</v>
      </c>
      <c r="AX36">
        <v>1.74</v>
      </c>
    </row>
    <row r="37" spans="28:50" x14ac:dyDescent="0.3">
      <c r="AV37" t="str">
        <v>Data Analytics Course: Basics</v>
      </c>
      <c r="AW37">
        <v>236</v>
      </c>
      <c r="AX37">
        <v>1.57</v>
      </c>
    </row>
    <row r="38" spans="28:50" x14ac:dyDescent="0.3">
      <c r="AV38" t="str">
        <v>Data Analytics Course: Visualizations</v>
      </c>
      <c r="AW38">
        <v>243</v>
      </c>
      <c r="AX38">
        <v>1.54</v>
      </c>
    </row>
    <row r="39" spans="28:50" x14ac:dyDescent="0.3">
      <c r="AV39" t="str">
        <v>Data Analytics Course: Advanced</v>
      </c>
      <c r="AW39">
        <v>187</v>
      </c>
      <c r="AX39">
        <v>1.42</v>
      </c>
    </row>
    <row r="40" spans="28:50" x14ac:dyDescent="0.3">
      <c r="AV40" t="str">
        <v>Data Analytics Course: Advanced</v>
      </c>
      <c r="AW40">
        <v>198</v>
      </c>
      <c r="AX40">
        <v>1.76</v>
      </c>
    </row>
    <row r="41" spans="28:50" x14ac:dyDescent="0.3">
      <c r="AV41" t="str">
        <v>Data Analytics Course: Advanced</v>
      </c>
      <c r="AW41">
        <v>193</v>
      </c>
      <c r="AX41">
        <v>1.51</v>
      </c>
    </row>
    <row r="42" spans="28:50" x14ac:dyDescent="0.3">
      <c r="AV42" t="str">
        <v>Data Analytics Course: ML</v>
      </c>
      <c r="AW42">
        <v>231</v>
      </c>
      <c r="AX42">
        <v>1.63</v>
      </c>
    </row>
    <row r="43" spans="28:50" x14ac:dyDescent="0.3">
      <c r="AV43" t="str">
        <v>Data Analytics Course: ML</v>
      </c>
      <c r="AW43">
        <v>196</v>
      </c>
      <c r="AX43">
        <v>1.26</v>
      </c>
    </row>
    <row r="44" spans="28:50" x14ac:dyDescent="0.3">
      <c r="AV44" t="str">
        <v>Data Analytics Course: Advanced</v>
      </c>
      <c r="AW44">
        <v>192</v>
      </c>
      <c r="AX44">
        <v>1.74</v>
      </c>
    </row>
    <row r="45" spans="28:50" x14ac:dyDescent="0.3">
      <c r="AV45" t="str">
        <v>Data Analytics Course: Visualizations</v>
      </c>
      <c r="AW45">
        <v>181</v>
      </c>
      <c r="AX45">
        <v>2.21</v>
      </c>
    </row>
    <row r="46" spans="28:50" x14ac:dyDescent="0.3">
      <c r="AV46" t="str">
        <v>Data Analytics Course: Basics</v>
      </c>
      <c r="AW46">
        <v>204</v>
      </c>
      <c r="AX46">
        <v>1.73</v>
      </c>
    </row>
    <row r="47" spans="28:50" x14ac:dyDescent="0.3">
      <c r="AB47" s="7" t="s">
        <v>2642</v>
      </c>
      <c r="AC47" t="s">
        <v>2646</v>
      </c>
      <c r="AD47" t="s">
        <v>2647</v>
      </c>
      <c r="AE47" t="s">
        <v>2649</v>
      </c>
      <c r="AF47" t="s">
        <v>2644</v>
      </c>
      <c r="AV47" t="str">
        <v>Data Analytics Course: Basics</v>
      </c>
      <c r="AW47">
        <v>237</v>
      </c>
      <c r="AX47">
        <v>1.36</v>
      </c>
    </row>
    <row r="48" spans="28:50" x14ac:dyDescent="0.3">
      <c r="AB48" s="8" t="s">
        <v>38</v>
      </c>
      <c r="AC48">
        <v>3060295</v>
      </c>
      <c r="AD48">
        <v>93021</v>
      </c>
      <c r="AE48" s="3">
        <v>146276</v>
      </c>
      <c r="AF48" s="3">
        <v>207886.10223214285</v>
      </c>
      <c r="AV48" t="str">
        <v>Data Analytics Course: Visualizations</v>
      </c>
      <c r="AW48">
        <v>223</v>
      </c>
      <c r="AX48">
        <v>1.19</v>
      </c>
    </row>
    <row r="49" spans="28:50" x14ac:dyDescent="0.3">
      <c r="AB49" s="8" t="s">
        <v>24</v>
      </c>
      <c r="AC49">
        <v>2882552</v>
      </c>
      <c r="AD49">
        <v>88102</v>
      </c>
      <c r="AE49" s="3">
        <v>136338</v>
      </c>
      <c r="AF49" s="3">
        <v>195553.96428571429</v>
      </c>
      <c r="AV49" t="str">
        <v>Data Analytics Course: ML</v>
      </c>
      <c r="AW49">
        <v>234</v>
      </c>
      <c r="AX49">
        <v>1.6</v>
      </c>
    </row>
    <row r="50" spans="28:50" x14ac:dyDescent="0.3">
      <c r="AB50" s="8" t="s">
        <v>43</v>
      </c>
      <c r="AC50">
        <v>2934820</v>
      </c>
      <c r="AD50">
        <v>91462</v>
      </c>
      <c r="AE50" s="3">
        <v>139126</v>
      </c>
      <c r="AF50" s="3">
        <v>197485.57142857145</v>
      </c>
      <c r="AV50" t="str">
        <v>Data Analytics Course: Advanced</v>
      </c>
      <c r="AW50">
        <v>241</v>
      </c>
      <c r="AX50">
        <v>1.1599999999999999</v>
      </c>
    </row>
    <row r="51" spans="28:50" x14ac:dyDescent="0.3">
      <c r="AB51" s="8" t="s">
        <v>35</v>
      </c>
      <c r="AC51">
        <v>2884322</v>
      </c>
      <c r="AD51">
        <v>87945</v>
      </c>
      <c r="AE51" s="3">
        <v>137039</v>
      </c>
      <c r="AF51" s="3">
        <v>193280.71428571438</v>
      </c>
      <c r="AV51" t="str">
        <v>Data Analytics Course: Advanced</v>
      </c>
      <c r="AW51">
        <v>249</v>
      </c>
      <c r="AX51">
        <v>1.25</v>
      </c>
    </row>
    <row r="52" spans="28:50" x14ac:dyDescent="0.3">
      <c r="AB52" s="8" t="s">
        <v>2643</v>
      </c>
      <c r="AC52" s="11">
        <v>11761989</v>
      </c>
      <c r="AD52" s="11">
        <v>360530</v>
      </c>
      <c r="AE52" s="11">
        <v>558779</v>
      </c>
      <c r="AF52" s="11">
        <v>794206.35223214305</v>
      </c>
      <c r="AV52" t="str">
        <v>Data Analytics Course: Advanced</v>
      </c>
      <c r="AW52">
        <v>183</v>
      </c>
      <c r="AX52">
        <v>1.2</v>
      </c>
    </row>
    <row r="53" spans="28:50" x14ac:dyDescent="0.3">
      <c r="AV53" t="str">
        <v>Data Analytics Course: ML</v>
      </c>
      <c r="AW53">
        <v>207</v>
      </c>
      <c r="AX53">
        <v>1.72</v>
      </c>
    </row>
    <row r="54" spans="28:50" x14ac:dyDescent="0.3">
      <c r="AV54" t="str">
        <v>Data Analytics Course: ML</v>
      </c>
      <c r="AW54">
        <v>190</v>
      </c>
      <c r="AX54">
        <v>1.1000000000000001</v>
      </c>
    </row>
    <row r="55" spans="28:50" x14ac:dyDescent="0.3">
      <c r="AV55" t="str">
        <v>Data Analytics Course: Visualizations</v>
      </c>
      <c r="AW55">
        <v>188</v>
      </c>
      <c r="AX55">
        <v>1.7</v>
      </c>
    </row>
    <row r="56" spans="28:50" x14ac:dyDescent="0.3">
      <c r="AV56" t="str">
        <v>Data Analytics Course: Advanced</v>
      </c>
      <c r="AW56">
        <v>196</v>
      </c>
      <c r="AX56">
        <v>1.98</v>
      </c>
    </row>
    <row r="57" spans="28:50" x14ac:dyDescent="0.3">
      <c r="AV57" t="str">
        <v>Data Analytics Course: Advanced</v>
      </c>
      <c r="AW57">
        <v>184</v>
      </c>
      <c r="AX57">
        <v>1.41</v>
      </c>
    </row>
    <row r="58" spans="28:50" x14ac:dyDescent="0.3">
      <c r="AV58" t="str">
        <v>Data Analytics Course: Advanced</v>
      </c>
      <c r="AW58">
        <v>210</v>
      </c>
      <c r="AX58">
        <v>1.3</v>
      </c>
    </row>
    <row r="59" spans="28:50" x14ac:dyDescent="0.3">
      <c r="AV59" t="str">
        <v>Data Analytics Course: Visualizations</v>
      </c>
      <c r="AW59">
        <v>209</v>
      </c>
      <c r="AX59">
        <v>1.65</v>
      </c>
    </row>
    <row r="60" spans="28:50" x14ac:dyDescent="0.3">
      <c r="AV60" t="str">
        <v>Data Analytics Course: Basics</v>
      </c>
      <c r="AW60">
        <v>219</v>
      </c>
      <c r="AX60">
        <v>0.98</v>
      </c>
    </row>
    <row r="61" spans="28:50" x14ac:dyDescent="0.3">
      <c r="AV61" t="str">
        <v>Data Analytics Course: ML</v>
      </c>
      <c r="AW61">
        <v>239</v>
      </c>
      <c r="AX61">
        <v>0.59</v>
      </c>
    </row>
    <row r="62" spans="28:50" x14ac:dyDescent="0.3">
      <c r="AV62" t="str">
        <v>Data Analytics Course: ML</v>
      </c>
      <c r="AW62">
        <v>190</v>
      </c>
      <c r="AX62">
        <v>1.31</v>
      </c>
    </row>
    <row r="63" spans="28:50" x14ac:dyDescent="0.3">
      <c r="AV63" t="str">
        <v>Data Analytics Course: Advanced</v>
      </c>
      <c r="AW63">
        <v>257</v>
      </c>
      <c r="AX63">
        <v>1.55</v>
      </c>
    </row>
    <row r="64" spans="28:50" x14ac:dyDescent="0.3">
      <c r="AV64" t="str">
        <v>Data Analytics Course: Visualizations</v>
      </c>
      <c r="AW64">
        <v>204</v>
      </c>
      <c r="AX64">
        <v>1.83</v>
      </c>
    </row>
    <row r="65" spans="48:50" x14ac:dyDescent="0.3">
      <c r="AV65" t="str">
        <v>Data Analytics Course: Basics</v>
      </c>
      <c r="AW65">
        <v>222</v>
      </c>
      <c r="AX65">
        <v>1.8</v>
      </c>
    </row>
    <row r="66" spans="48:50" x14ac:dyDescent="0.3">
      <c r="AV66" t="str">
        <v>Data Analytics Course: Advanced</v>
      </c>
      <c r="AW66">
        <v>232</v>
      </c>
      <c r="AX66">
        <v>1.19</v>
      </c>
    </row>
    <row r="67" spans="48:50" x14ac:dyDescent="0.3">
      <c r="AV67" t="str">
        <v>Data Analytics Course: ML</v>
      </c>
      <c r="AW67">
        <v>184</v>
      </c>
      <c r="AX67">
        <v>1.4</v>
      </c>
    </row>
    <row r="68" spans="48:50" x14ac:dyDescent="0.3">
      <c r="AV68" t="str">
        <v>Data Analytics Course: Basics</v>
      </c>
      <c r="AW68">
        <v>221</v>
      </c>
      <c r="AX68">
        <v>1.63</v>
      </c>
    </row>
    <row r="69" spans="48:50" x14ac:dyDescent="0.3">
      <c r="AV69" t="str">
        <v>Data Analytics Course: Advanced</v>
      </c>
      <c r="AW69">
        <v>199</v>
      </c>
      <c r="AX69">
        <v>1.37</v>
      </c>
    </row>
    <row r="70" spans="48:50" x14ac:dyDescent="0.3">
      <c r="AV70" t="str">
        <v>Data Analytics Course: Advanced</v>
      </c>
      <c r="AW70">
        <v>234</v>
      </c>
      <c r="AX70">
        <v>1.1200000000000001</v>
      </c>
    </row>
    <row r="71" spans="48:50" x14ac:dyDescent="0.3">
      <c r="AV71" t="str">
        <v>Data Analytics Course: Basics</v>
      </c>
      <c r="AW71">
        <v>241</v>
      </c>
      <c r="AX71">
        <v>1.63</v>
      </c>
    </row>
    <row r="72" spans="48:50" x14ac:dyDescent="0.3">
      <c r="AV72" t="str">
        <v>Data Analytics Course: Advanced</v>
      </c>
      <c r="AW72">
        <v>215</v>
      </c>
      <c r="AX72">
        <v>1.87</v>
      </c>
    </row>
    <row r="73" spans="48:50" x14ac:dyDescent="0.3">
      <c r="AV73" t="str">
        <v>Data Analytics Course: ML</v>
      </c>
      <c r="AW73">
        <v>228</v>
      </c>
      <c r="AX73">
        <v>1.39</v>
      </c>
    </row>
    <row r="74" spans="48:50" x14ac:dyDescent="0.3">
      <c r="AV74" t="str">
        <v>Data Analytics Course: Basics</v>
      </c>
      <c r="AW74">
        <v>199</v>
      </c>
      <c r="AX74">
        <v>2.35</v>
      </c>
    </row>
    <row r="75" spans="48:50" x14ac:dyDescent="0.3">
      <c r="AV75" t="str">
        <v>Data Analytics Course: Basics</v>
      </c>
      <c r="AW75">
        <v>225</v>
      </c>
      <c r="AX75">
        <v>1.57</v>
      </c>
    </row>
    <row r="76" spans="48:50" x14ac:dyDescent="0.3">
      <c r="AV76" t="str">
        <v>Data Analytics Course: ML</v>
      </c>
      <c r="AW76">
        <v>246</v>
      </c>
      <c r="AX76">
        <v>1.29</v>
      </c>
    </row>
    <row r="77" spans="48:50" x14ac:dyDescent="0.3">
      <c r="AV77" t="str">
        <v>Data Analytics Course: Advanced</v>
      </c>
      <c r="AW77">
        <v>213</v>
      </c>
      <c r="AX77">
        <v>1.91</v>
      </c>
    </row>
    <row r="78" spans="48:50" x14ac:dyDescent="0.3">
      <c r="AV78" t="str">
        <v>Data Analytics Course: Visualizations</v>
      </c>
      <c r="AW78">
        <v>228</v>
      </c>
      <c r="AX78">
        <v>1.45</v>
      </c>
    </row>
    <row r="79" spans="48:50" x14ac:dyDescent="0.3">
      <c r="AV79" t="str">
        <v>Data Analytics Course: ML</v>
      </c>
      <c r="AW79">
        <v>234</v>
      </c>
      <c r="AX79">
        <v>0.95</v>
      </c>
    </row>
    <row r="80" spans="48:50" x14ac:dyDescent="0.3">
      <c r="AV80" t="str">
        <v>Data Analytics Course: Visualizations</v>
      </c>
      <c r="AW80">
        <v>234</v>
      </c>
      <c r="AX80">
        <v>1.19</v>
      </c>
    </row>
    <row r="81" spans="48:50" x14ac:dyDescent="0.3">
      <c r="AV81" t="str">
        <v>Data Analytics Course: Advanced</v>
      </c>
      <c r="AW81">
        <v>187</v>
      </c>
      <c r="AX81">
        <v>2</v>
      </c>
    </row>
    <row r="82" spans="48:50" x14ac:dyDescent="0.3">
      <c r="AV82" t="str">
        <v>Data Analytics Course: Advanced</v>
      </c>
      <c r="AW82">
        <v>199</v>
      </c>
      <c r="AX82">
        <v>1.98</v>
      </c>
    </row>
    <row r="83" spans="48:50" x14ac:dyDescent="0.3">
      <c r="AV83" t="str">
        <v>Data Analytics Course: ML</v>
      </c>
      <c r="AW83">
        <v>241</v>
      </c>
      <c r="AX83">
        <v>0.88</v>
      </c>
    </row>
    <row r="84" spans="48:50" x14ac:dyDescent="0.3">
      <c r="AV84" t="str">
        <v>Data Analytics Course: Advanced</v>
      </c>
      <c r="AW84">
        <v>218</v>
      </c>
      <c r="AX84">
        <v>1.72</v>
      </c>
    </row>
    <row r="85" spans="48:50" x14ac:dyDescent="0.3">
      <c r="AV85" t="str">
        <v>Data Analytics Course: Basics</v>
      </c>
      <c r="AW85">
        <v>215</v>
      </c>
      <c r="AX85">
        <v>1.26</v>
      </c>
    </row>
    <row r="86" spans="48:50" x14ac:dyDescent="0.3">
      <c r="AV86" t="str">
        <v>Data Analytics Course: Basics</v>
      </c>
      <c r="AW86">
        <v>227</v>
      </c>
      <c r="AX86">
        <v>1.31</v>
      </c>
    </row>
    <row r="87" spans="48:50" x14ac:dyDescent="0.3">
      <c r="AV87" t="str">
        <v>Data Analytics Course: Basics</v>
      </c>
      <c r="AW87">
        <v>233</v>
      </c>
      <c r="AX87">
        <v>1.03</v>
      </c>
    </row>
    <row r="88" spans="48:50" x14ac:dyDescent="0.3">
      <c r="AV88" t="str">
        <v>Data Analytics Course: Visualizations</v>
      </c>
      <c r="AW88">
        <v>206</v>
      </c>
      <c r="AX88">
        <v>1.05</v>
      </c>
    </row>
    <row r="89" spans="48:50" x14ac:dyDescent="0.3">
      <c r="AV89" t="str">
        <v>Data Analytics Course: ML</v>
      </c>
      <c r="AW89">
        <v>221</v>
      </c>
      <c r="AX89">
        <v>1.1100000000000001</v>
      </c>
    </row>
    <row r="90" spans="48:50" x14ac:dyDescent="0.3">
      <c r="AV90" t="str">
        <v>Data Analytics Course: Advanced</v>
      </c>
      <c r="AW90">
        <v>210</v>
      </c>
      <c r="AX90">
        <v>1.91</v>
      </c>
    </row>
    <row r="91" spans="48:50" x14ac:dyDescent="0.3">
      <c r="AV91" t="str">
        <v>Data Analytics Course: Basics</v>
      </c>
      <c r="AW91">
        <v>241</v>
      </c>
      <c r="AX91">
        <v>1.01</v>
      </c>
    </row>
    <row r="92" spans="48:50" x14ac:dyDescent="0.3">
      <c r="AV92" t="str">
        <v>Data Analytics Course: Visualizations</v>
      </c>
      <c r="AW92">
        <v>227</v>
      </c>
      <c r="AX92">
        <v>1.64</v>
      </c>
    </row>
    <row r="93" spans="48:50" x14ac:dyDescent="0.3">
      <c r="AV93" t="str">
        <v>Data Analytics Course: ML</v>
      </c>
      <c r="AW93">
        <v>204</v>
      </c>
      <c r="AX93">
        <v>1.73</v>
      </c>
    </row>
    <row r="94" spans="48:50" x14ac:dyDescent="0.3">
      <c r="AV94" t="str">
        <v>Data Analytics Course: Visualizations</v>
      </c>
      <c r="AW94">
        <v>173</v>
      </c>
      <c r="AX94">
        <v>2.19</v>
      </c>
    </row>
    <row r="95" spans="48:50" x14ac:dyDescent="0.3">
      <c r="AV95" t="str">
        <v>Data Analytics Course: Basics</v>
      </c>
      <c r="AW95">
        <v>184</v>
      </c>
      <c r="AX95">
        <v>1.31</v>
      </c>
    </row>
    <row r="96" spans="48:50" x14ac:dyDescent="0.3">
      <c r="AV96" t="str">
        <v>Data Analytics Course: Advanced</v>
      </c>
      <c r="AW96">
        <v>216</v>
      </c>
      <c r="AX96">
        <v>1.41</v>
      </c>
    </row>
    <row r="97" spans="48:50" x14ac:dyDescent="0.3">
      <c r="AV97" t="str">
        <v>Data Analytics Course: Visualizations</v>
      </c>
      <c r="AW97">
        <v>197</v>
      </c>
      <c r="AX97">
        <v>1.7</v>
      </c>
    </row>
    <row r="98" spans="48:50" x14ac:dyDescent="0.3">
      <c r="AV98" t="str">
        <v>Data Analytics Course: Basics</v>
      </c>
      <c r="AW98">
        <v>229</v>
      </c>
      <c r="AX98">
        <v>1.7</v>
      </c>
    </row>
    <row r="99" spans="48:50" x14ac:dyDescent="0.3">
      <c r="AV99" t="str">
        <v>Data Analytics Course: Advanced</v>
      </c>
      <c r="AW99">
        <v>187</v>
      </c>
      <c r="AX99">
        <v>1.76</v>
      </c>
    </row>
    <row r="100" spans="48:50" x14ac:dyDescent="0.3">
      <c r="AV100" t="str">
        <v>Data Analytics Course: Basics</v>
      </c>
      <c r="AW100">
        <v>222</v>
      </c>
      <c r="AX100">
        <v>1.69</v>
      </c>
    </row>
    <row r="101" spans="48:50" x14ac:dyDescent="0.3">
      <c r="AV101" t="str">
        <v>Data Analytics Course: Visualizations</v>
      </c>
      <c r="AW101">
        <v>236</v>
      </c>
      <c r="AX101">
        <v>0.89</v>
      </c>
    </row>
    <row r="102" spans="48:50" x14ac:dyDescent="0.3">
      <c r="AV102" t="str">
        <v>Data Analytics Course: Visualizations</v>
      </c>
      <c r="AW102">
        <v>247</v>
      </c>
      <c r="AX102">
        <v>0.87</v>
      </c>
    </row>
    <row r="103" spans="48:50" x14ac:dyDescent="0.3">
      <c r="AV103" t="str">
        <v>Data Analytics Course: ML</v>
      </c>
      <c r="AW103">
        <v>244</v>
      </c>
      <c r="AX103">
        <v>0.91</v>
      </c>
    </row>
    <row r="104" spans="48:50" x14ac:dyDescent="0.3">
      <c r="AV104" t="str">
        <v>Data Analytics Course: Visualizations</v>
      </c>
      <c r="AW104">
        <v>197</v>
      </c>
      <c r="AX104">
        <v>1.98</v>
      </c>
    </row>
    <row r="105" spans="48:50" x14ac:dyDescent="0.3">
      <c r="AV105" t="str">
        <v>Data Analytics Course: Advanced</v>
      </c>
      <c r="AW105">
        <v>221</v>
      </c>
      <c r="AX105">
        <v>1.69</v>
      </c>
    </row>
    <row r="106" spans="48:50" x14ac:dyDescent="0.3">
      <c r="AV106" t="str">
        <v>Data Analytics Course: Advanced</v>
      </c>
      <c r="AW106">
        <v>138</v>
      </c>
      <c r="AX106">
        <v>1.52</v>
      </c>
    </row>
    <row r="107" spans="48:50" x14ac:dyDescent="0.3">
      <c r="AV107" t="str">
        <v>Data Analytics Course: Advanced</v>
      </c>
      <c r="AW107">
        <v>230</v>
      </c>
      <c r="AX107">
        <v>1.72</v>
      </c>
    </row>
    <row r="108" spans="48:50" x14ac:dyDescent="0.3">
      <c r="AV108" t="str">
        <v>Data Analytics Course: ML</v>
      </c>
      <c r="AW108">
        <v>184</v>
      </c>
      <c r="AX108">
        <v>1.27</v>
      </c>
    </row>
    <row r="109" spans="48:50" x14ac:dyDescent="0.3">
      <c r="AV109" t="str">
        <v>Data Analytics Course: Visualizations</v>
      </c>
      <c r="AW109">
        <v>197</v>
      </c>
      <c r="AX109">
        <v>1.93</v>
      </c>
    </row>
    <row r="110" spans="48:50" x14ac:dyDescent="0.3">
      <c r="AV110" t="str">
        <v>Data Analytics Course: Visualizations</v>
      </c>
      <c r="AW110">
        <v>235</v>
      </c>
      <c r="AX110">
        <v>1.3</v>
      </c>
    </row>
    <row r="111" spans="48:50" x14ac:dyDescent="0.3">
      <c r="AV111" t="str">
        <v>Data Analytics Course: Visualizations</v>
      </c>
      <c r="AW111">
        <v>237</v>
      </c>
      <c r="AX111">
        <v>1.59</v>
      </c>
    </row>
    <row r="112" spans="48:50" x14ac:dyDescent="0.3">
      <c r="AV112" t="str">
        <v>Data Analytics Course: ML</v>
      </c>
      <c r="AW112">
        <v>235</v>
      </c>
      <c r="AX112">
        <v>0.97</v>
      </c>
    </row>
    <row r="113" spans="48:50" x14ac:dyDescent="0.3">
      <c r="AV113" t="str">
        <v>Data Analytics Course: Basics</v>
      </c>
      <c r="AW113">
        <v>192</v>
      </c>
      <c r="AX113">
        <v>1.59</v>
      </c>
    </row>
    <row r="114" spans="48:50" x14ac:dyDescent="0.3">
      <c r="AV114" t="str">
        <v>Data Analytics Course: ML</v>
      </c>
      <c r="AW114">
        <v>236</v>
      </c>
      <c r="AX114">
        <v>1.64</v>
      </c>
    </row>
    <row r="115" spans="48:50" x14ac:dyDescent="0.3">
      <c r="AV115" t="str">
        <v>Data Analytics Course: Basics</v>
      </c>
      <c r="AW115">
        <v>224</v>
      </c>
      <c r="AX115">
        <v>1.08</v>
      </c>
    </row>
    <row r="116" spans="48:50" x14ac:dyDescent="0.3">
      <c r="AV116" t="str">
        <v>Data Analytics Course: ML</v>
      </c>
      <c r="AW116">
        <v>204</v>
      </c>
      <c r="AX116">
        <v>1.84</v>
      </c>
    </row>
    <row r="117" spans="48:50" x14ac:dyDescent="0.3">
      <c r="AV117" t="str">
        <v>Data Analytics Course: Advanced</v>
      </c>
      <c r="AW117">
        <v>196</v>
      </c>
      <c r="AX117">
        <v>1.1399999999999999</v>
      </c>
    </row>
    <row r="118" spans="48:50" x14ac:dyDescent="0.3">
      <c r="AV118" t="str">
        <v>Data Analytics Course: Basics</v>
      </c>
      <c r="AW118">
        <v>230</v>
      </c>
      <c r="AX118">
        <v>1.19</v>
      </c>
    </row>
    <row r="119" spans="48:50" x14ac:dyDescent="0.3">
      <c r="AV119" t="str">
        <v>Data Analytics Course: Advanced</v>
      </c>
      <c r="AW119">
        <v>189</v>
      </c>
      <c r="AX119">
        <v>1.55</v>
      </c>
    </row>
    <row r="120" spans="48:50" x14ac:dyDescent="0.3">
      <c r="AV120" t="str">
        <v>Data Analytics Course: Visualizations</v>
      </c>
      <c r="AW120">
        <v>266</v>
      </c>
      <c r="AX120">
        <v>1.35</v>
      </c>
    </row>
    <row r="121" spans="48:50" x14ac:dyDescent="0.3">
      <c r="AV121" t="str">
        <v>Data Analytics Course: Advanced</v>
      </c>
      <c r="AW121">
        <v>194</v>
      </c>
      <c r="AX121">
        <v>1.29</v>
      </c>
    </row>
    <row r="122" spans="48:50" x14ac:dyDescent="0.3">
      <c r="AV122" t="str">
        <v>Data Analytics Course: Visualizations</v>
      </c>
      <c r="AW122">
        <v>214</v>
      </c>
      <c r="AX122">
        <v>1.28</v>
      </c>
    </row>
    <row r="123" spans="48:50" x14ac:dyDescent="0.3">
      <c r="AV123" t="str">
        <v>Data Analytics Course: Basics</v>
      </c>
      <c r="AW123">
        <v>216</v>
      </c>
      <c r="AX123">
        <v>1.06</v>
      </c>
    </row>
    <row r="124" spans="48:50" x14ac:dyDescent="0.3">
      <c r="AV124" t="str">
        <v>Data Analytics Course: ML</v>
      </c>
      <c r="AW124">
        <v>240</v>
      </c>
      <c r="AX124">
        <v>1.68</v>
      </c>
    </row>
    <row r="125" spans="48:50" x14ac:dyDescent="0.3">
      <c r="AV125" t="str">
        <v>Data Analytics Course: Visualizations</v>
      </c>
      <c r="AW125">
        <v>226</v>
      </c>
      <c r="AX125">
        <v>1.03</v>
      </c>
    </row>
    <row r="126" spans="48:50" x14ac:dyDescent="0.3">
      <c r="AV126" t="str">
        <v>Data Analytics Course: Basics</v>
      </c>
      <c r="AW126">
        <v>193</v>
      </c>
      <c r="AX126">
        <v>2.0699999999999998</v>
      </c>
    </row>
    <row r="127" spans="48:50" x14ac:dyDescent="0.3">
      <c r="AV127" t="str">
        <v>Data Analytics Course: Advanced</v>
      </c>
      <c r="AW127">
        <v>188</v>
      </c>
      <c r="AX127">
        <v>1.27</v>
      </c>
    </row>
    <row r="128" spans="48:50" x14ac:dyDescent="0.3">
      <c r="AV128" t="str">
        <v>Data Analytics Course: Visualizations</v>
      </c>
      <c r="AW128">
        <v>238</v>
      </c>
      <c r="AX128">
        <v>1.46</v>
      </c>
    </row>
    <row r="129" spans="48:50" x14ac:dyDescent="0.3">
      <c r="AV129" t="str">
        <v>Data Analytics Course: Basics</v>
      </c>
      <c r="AW129">
        <v>236</v>
      </c>
      <c r="AX129">
        <v>1.23</v>
      </c>
    </row>
    <row r="130" spans="48:50" x14ac:dyDescent="0.3">
      <c r="AV130" t="str">
        <v>Data Analytics Course: Basics</v>
      </c>
      <c r="AW130">
        <v>193</v>
      </c>
      <c r="AX130">
        <v>1.53</v>
      </c>
    </row>
    <row r="131" spans="48:50" x14ac:dyDescent="0.3">
      <c r="AV131" t="str">
        <v>Data Analytics Course: Visualizations</v>
      </c>
      <c r="AW131">
        <v>219</v>
      </c>
      <c r="AX131">
        <v>1.21</v>
      </c>
    </row>
    <row r="132" spans="48:50" x14ac:dyDescent="0.3">
      <c r="AV132" t="str">
        <v>Data Analytics Course: Visualizations</v>
      </c>
      <c r="AW132">
        <v>195</v>
      </c>
      <c r="AX132">
        <v>1.31</v>
      </c>
    </row>
    <row r="133" spans="48:50" x14ac:dyDescent="0.3">
      <c r="AV133" t="str">
        <v>Data Analytics Course: ML</v>
      </c>
      <c r="AW133">
        <v>225</v>
      </c>
      <c r="AX133">
        <v>1.35</v>
      </c>
    </row>
    <row r="134" spans="48:50" x14ac:dyDescent="0.3">
      <c r="AV134" t="str">
        <v>Data Analytics Course: Basics</v>
      </c>
      <c r="AW134">
        <v>220</v>
      </c>
      <c r="AX134">
        <v>1.01</v>
      </c>
    </row>
    <row r="135" spans="48:50" x14ac:dyDescent="0.3">
      <c r="AV135" t="str">
        <v>Data Analytics Course: Visualizations</v>
      </c>
      <c r="AW135">
        <v>186</v>
      </c>
      <c r="AX135">
        <v>1.1100000000000001</v>
      </c>
    </row>
    <row r="136" spans="48:50" x14ac:dyDescent="0.3">
      <c r="AV136" t="str">
        <v>Data Analytics Course: Advanced</v>
      </c>
      <c r="AW136">
        <v>206</v>
      </c>
      <c r="AX136">
        <v>2.04</v>
      </c>
    </row>
    <row r="137" spans="48:50" x14ac:dyDescent="0.3">
      <c r="AV137" t="str">
        <v>Data Analytics Course: Advanced</v>
      </c>
      <c r="AW137">
        <v>228</v>
      </c>
      <c r="AX137">
        <v>1.1100000000000001</v>
      </c>
    </row>
    <row r="138" spans="48:50" x14ac:dyDescent="0.3">
      <c r="AV138" t="str">
        <v>Data Analytics Course: Visualizations</v>
      </c>
      <c r="AW138">
        <v>205</v>
      </c>
      <c r="AX138">
        <v>1.69</v>
      </c>
    </row>
    <row r="139" spans="48:50" x14ac:dyDescent="0.3">
      <c r="AV139" t="str">
        <v>Data Analytics Course: ML</v>
      </c>
      <c r="AW139">
        <v>202</v>
      </c>
      <c r="AX139">
        <v>2.31</v>
      </c>
    </row>
    <row r="140" spans="48:50" x14ac:dyDescent="0.3">
      <c r="AV140" t="str">
        <v>Data Analytics Course: Advanced</v>
      </c>
      <c r="AW140">
        <v>238</v>
      </c>
      <c r="AX140">
        <v>1.3</v>
      </c>
    </row>
    <row r="141" spans="48:50" x14ac:dyDescent="0.3">
      <c r="AV141" t="str">
        <v>Data Analytics Course: Basics</v>
      </c>
      <c r="AW141">
        <v>229</v>
      </c>
      <c r="AX141">
        <v>1.28</v>
      </c>
    </row>
    <row r="142" spans="48:50" x14ac:dyDescent="0.3">
      <c r="AV142" t="str">
        <v>Data Analytics Course: Visualizations</v>
      </c>
      <c r="AW142">
        <v>249</v>
      </c>
      <c r="AX142">
        <v>1.45</v>
      </c>
    </row>
    <row r="143" spans="48:50" x14ac:dyDescent="0.3">
      <c r="AV143" t="str">
        <v>Data Analytics Course: Advanced</v>
      </c>
      <c r="AW143">
        <v>183</v>
      </c>
      <c r="AX143">
        <v>1.17</v>
      </c>
    </row>
    <row r="144" spans="48:50" x14ac:dyDescent="0.3">
      <c r="AV144" t="str">
        <v>Data Analytics Course: Basics</v>
      </c>
      <c r="AW144">
        <v>221</v>
      </c>
      <c r="AX144">
        <v>1.45</v>
      </c>
    </row>
    <row r="145" spans="48:50" x14ac:dyDescent="0.3">
      <c r="AV145" t="str">
        <v>Data Analytics Course: ML</v>
      </c>
      <c r="AW145">
        <v>125</v>
      </c>
      <c r="AX145">
        <v>2.85</v>
      </c>
    </row>
    <row r="146" spans="48:50" x14ac:dyDescent="0.3">
      <c r="AV146" t="str">
        <v>Data Analytics Course: Visualizations</v>
      </c>
      <c r="AW146">
        <v>188</v>
      </c>
      <c r="AX146">
        <v>2.0499999999999998</v>
      </c>
    </row>
    <row r="147" spans="48:50" x14ac:dyDescent="0.3">
      <c r="AV147" t="str">
        <v>Data Analytics Course: Visualizations</v>
      </c>
      <c r="AW147">
        <v>242</v>
      </c>
      <c r="AX147">
        <v>1.35</v>
      </c>
    </row>
    <row r="148" spans="48:50" x14ac:dyDescent="0.3">
      <c r="AV148" t="str">
        <v>Data Analytics Course: ML</v>
      </c>
      <c r="AW148">
        <v>192</v>
      </c>
      <c r="AX148">
        <v>1.1100000000000001</v>
      </c>
    </row>
    <row r="149" spans="48:50" x14ac:dyDescent="0.3">
      <c r="AV149" t="str">
        <v>Data Analytics Course: ML</v>
      </c>
      <c r="AW149">
        <v>228</v>
      </c>
      <c r="AX149">
        <v>1.67</v>
      </c>
    </row>
    <row r="150" spans="48:50" x14ac:dyDescent="0.3">
      <c r="AV150" t="str">
        <v>Data Analytics Course: ML</v>
      </c>
      <c r="AW150">
        <v>222</v>
      </c>
      <c r="AX150">
        <v>1.31</v>
      </c>
    </row>
    <row r="151" spans="48:50" x14ac:dyDescent="0.3">
      <c r="AV151" t="str">
        <v>Data Analytics Course: Advanced</v>
      </c>
      <c r="AW151">
        <v>223</v>
      </c>
      <c r="AX151">
        <v>1.66</v>
      </c>
    </row>
    <row r="152" spans="48:50" x14ac:dyDescent="0.3">
      <c r="AV152" t="str">
        <v>Data Analytics Course: Visualizations</v>
      </c>
      <c r="AW152">
        <v>185</v>
      </c>
      <c r="AX152">
        <v>1.67</v>
      </c>
    </row>
    <row r="153" spans="48:50" x14ac:dyDescent="0.3">
      <c r="AV153" t="str">
        <v>Data Analytics Course: Visualizations</v>
      </c>
      <c r="AW153">
        <v>199</v>
      </c>
      <c r="AX153">
        <v>1.07</v>
      </c>
    </row>
    <row r="154" spans="48:50" x14ac:dyDescent="0.3">
      <c r="AV154" t="str">
        <v>Data Analytics Course: ML</v>
      </c>
      <c r="AW154">
        <v>179</v>
      </c>
      <c r="AX154">
        <v>1.69</v>
      </c>
    </row>
    <row r="155" spans="48:50" x14ac:dyDescent="0.3">
      <c r="AV155" t="str">
        <v>Data Analytics Course: ML</v>
      </c>
      <c r="AW155">
        <v>237</v>
      </c>
      <c r="AX155">
        <v>0.98</v>
      </c>
    </row>
    <row r="156" spans="48:50" x14ac:dyDescent="0.3">
      <c r="AV156" t="str">
        <v>Data Analytics Course: ML</v>
      </c>
      <c r="AW156">
        <v>211</v>
      </c>
      <c r="AX156">
        <v>1.1299999999999999</v>
      </c>
    </row>
    <row r="157" spans="48:50" x14ac:dyDescent="0.3">
      <c r="AV157" t="str">
        <v>Data Analytics Course: Basics</v>
      </c>
      <c r="AW157">
        <v>215</v>
      </c>
      <c r="AX157">
        <v>1.8</v>
      </c>
    </row>
    <row r="158" spans="48:50" x14ac:dyDescent="0.3">
      <c r="AV158" t="str">
        <v>Data Analytics Course: Basics</v>
      </c>
      <c r="AW158">
        <v>184</v>
      </c>
      <c r="AX158">
        <v>1.27</v>
      </c>
    </row>
    <row r="159" spans="48:50" x14ac:dyDescent="0.3">
      <c r="AV159" t="str">
        <v>Data Analytics Course: Advanced</v>
      </c>
      <c r="AW159">
        <v>191</v>
      </c>
      <c r="AX159">
        <v>1.76</v>
      </c>
    </row>
    <row r="160" spans="48:50" x14ac:dyDescent="0.3">
      <c r="AV160" t="str">
        <v>Data Analytics Course: ML</v>
      </c>
      <c r="AW160">
        <v>245</v>
      </c>
      <c r="AX160">
        <v>1.1499999999999999</v>
      </c>
    </row>
    <row r="161" spans="48:50" x14ac:dyDescent="0.3">
      <c r="AV161" t="str">
        <v>Data Analytics Course: ML</v>
      </c>
      <c r="AW161">
        <v>245</v>
      </c>
      <c r="AX161">
        <v>1.34</v>
      </c>
    </row>
    <row r="162" spans="48:50" x14ac:dyDescent="0.3">
      <c r="AV162" t="str">
        <v>Data Analytics Course: Visualizations</v>
      </c>
      <c r="AW162">
        <v>246</v>
      </c>
      <c r="AX162">
        <v>1.1399999999999999</v>
      </c>
    </row>
    <row r="163" spans="48:50" x14ac:dyDescent="0.3">
      <c r="AV163" t="str">
        <v>Data Analytics Course: Visualizations</v>
      </c>
      <c r="AW163">
        <v>191</v>
      </c>
      <c r="AX163">
        <v>1.9</v>
      </c>
    </row>
    <row r="164" spans="48:50" x14ac:dyDescent="0.3">
      <c r="AV164" t="str">
        <v>Data Analytics Course: Visualizations</v>
      </c>
      <c r="AW164">
        <v>222</v>
      </c>
      <c r="AX164">
        <v>1.1200000000000001</v>
      </c>
    </row>
    <row r="165" spans="48:50" x14ac:dyDescent="0.3">
      <c r="AV165" t="str">
        <v>Data Analytics Course: Basics</v>
      </c>
      <c r="AW165">
        <v>209</v>
      </c>
      <c r="AX165">
        <v>1.69</v>
      </c>
    </row>
    <row r="166" spans="48:50" x14ac:dyDescent="0.3">
      <c r="AV166" t="str">
        <v>Data Analytics Course: Basics</v>
      </c>
      <c r="AW166">
        <v>238</v>
      </c>
      <c r="AX166">
        <v>1.18</v>
      </c>
    </row>
    <row r="167" spans="48:50" x14ac:dyDescent="0.3">
      <c r="AV167" t="str">
        <v>Data Analytics Course: Advanced</v>
      </c>
      <c r="AW167">
        <v>247</v>
      </c>
      <c r="AX167">
        <v>1.24</v>
      </c>
    </row>
    <row r="168" spans="48:50" x14ac:dyDescent="0.3">
      <c r="AV168" t="str">
        <v>Data Analytics Course: ML</v>
      </c>
      <c r="AW168">
        <v>218</v>
      </c>
      <c r="AX168">
        <v>1.46</v>
      </c>
    </row>
    <row r="169" spans="48:50" x14ac:dyDescent="0.3">
      <c r="AV169" t="str">
        <v>Data Analytics Course: Basics</v>
      </c>
      <c r="AW169">
        <v>193</v>
      </c>
      <c r="AX169">
        <v>1.44</v>
      </c>
    </row>
    <row r="170" spans="48:50" x14ac:dyDescent="0.3">
      <c r="AV170" t="str">
        <v>Data Analytics Course: Advanced</v>
      </c>
      <c r="AW170">
        <v>184</v>
      </c>
      <c r="AX170">
        <v>1.26</v>
      </c>
    </row>
    <row r="171" spans="48:50" x14ac:dyDescent="0.3">
      <c r="AV171" t="str">
        <v>Data Analytics Course: Visualizations</v>
      </c>
      <c r="AW171">
        <v>238</v>
      </c>
      <c r="AX171">
        <v>1.02</v>
      </c>
    </row>
    <row r="172" spans="48:50" x14ac:dyDescent="0.3">
      <c r="AV172" t="str">
        <v>Data Analytics Course: Advanced</v>
      </c>
      <c r="AW172">
        <v>192</v>
      </c>
      <c r="AX172">
        <v>1.86</v>
      </c>
    </row>
    <row r="173" spans="48:50" x14ac:dyDescent="0.3">
      <c r="AV173" t="str">
        <v>Data Analytics Course: Advanced</v>
      </c>
      <c r="AW173">
        <v>140</v>
      </c>
      <c r="AX173">
        <v>1.81</v>
      </c>
    </row>
    <row r="174" spans="48:50" x14ac:dyDescent="0.3">
      <c r="AV174" t="str">
        <v>Data Analytics Course: Basics</v>
      </c>
      <c r="AW174">
        <v>214</v>
      </c>
      <c r="AX174">
        <v>1.72</v>
      </c>
    </row>
    <row r="175" spans="48:50" x14ac:dyDescent="0.3">
      <c r="AV175" t="str">
        <v>Data Analytics Course: Advanced</v>
      </c>
      <c r="AW175">
        <v>241</v>
      </c>
      <c r="AX175">
        <v>0.86</v>
      </c>
    </row>
    <row r="176" spans="48:50" x14ac:dyDescent="0.3">
      <c r="AV176" t="str">
        <v>Data Analytics Course: Advanced</v>
      </c>
      <c r="AW176">
        <v>240</v>
      </c>
      <c r="AX176">
        <v>1.43</v>
      </c>
    </row>
    <row r="177" spans="48:50" x14ac:dyDescent="0.3">
      <c r="AV177" t="str">
        <v>Data Analytics Course: Visualizations</v>
      </c>
      <c r="AW177">
        <v>205</v>
      </c>
      <c r="AX177">
        <v>1.63</v>
      </c>
    </row>
    <row r="178" spans="48:50" x14ac:dyDescent="0.3">
      <c r="AV178" t="str">
        <v>Data Analytics Course: Visualizations</v>
      </c>
      <c r="AW178">
        <v>226</v>
      </c>
      <c r="AX178">
        <v>1.77</v>
      </c>
    </row>
    <row r="179" spans="48:50" x14ac:dyDescent="0.3">
      <c r="AV179" t="str">
        <v>Data Analytics Course: ML</v>
      </c>
      <c r="AW179">
        <v>185</v>
      </c>
      <c r="AX179">
        <v>2.12</v>
      </c>
    </row>
    <row r="180" spans="48:50" x14ac:dyDescent="0.3">
      <c r="AV180" t="str">
        <v>Data Analytics Course: Basics</v>
      </c>
      <c r="AW180">
        <v>210</v>
      </c>
      <c r="AX180">
        <v>1.65</v>
      </c>
    </row>
    <row r="181" spans="48:50" x14ac:dyDescent="0.3">
      <c r="AV181" t="str">
        <v>Data Analytics Course: Advanced</v>
      </c>
      <c r="AW181">
        <v>214</v>
      </c>
      <c r="AX181">
        <v>0.66</v>
      </c>
    </row>
    <row r="182" spans="48:50" x14ac:dyDescent="0.3">
      <c r="AV182" t="str">
        <v>Data Analytics Course: ML</v>
      </c>
      <c r="AW182">
        <v>193</v>
      </c>
      <c r="AX182">
        <v>1.33</v>
      </c>
    </row>
    <row r="183" spans="48:50" x14ac:dyDescent="0.3">
      <c r="AV183" t="str">
        <v>Data Analytics Course: Advanced</v>
      </c>
      <c r="AW183">
        <v>206</v>
      </c>
      <c r="AX183">
        <v>1.8</v>
      </c>
    </row>
    <row r="184" spans="48:50" x14ac:dyDescent="0.3">
      <c r="AV184" t="str">
        <v>Data Analytics Course: Visualizations</v>
      </c>
      <c r="AW184">
        <v>184</v>
      </c>
      <c r="AX184">
        <v>1.1599999999999999</v>
      </c>
    </row>
    <row r="185" spans="48:50" x14ac:dyDescent="0.3">
      <c r="AV185" t="str">
        <v>Data Analytics Course: Advanced</v>
      </c>
      <c r="AW185">
        <v>239</v>
      </c>
      <c r="AX185">
        <v>1.07</v>
      </c>
    </row>
    <row r="186" spans="48:50" x14ac:dyDescent="0.3">
      <c r="AV186" t="str">
        <v>Data Analytics Course: Advanced</v>
      </c>
      <c r="AW186">
        <v>204</v>
      </c>
      <c r="AX186">
        <v>1.08</v>
      </c>
    </row>
    <row r="187" spans="48:50" x14ac:dyDescent="0.3">
      <c r="AV187" t="str">
        <v>Data Analytics Course: Advanced</v>
      </c>
      <c r="AW187">
        <v>204</v>
      </c>
      <c r="AX187">
        <v>1.45</v>
      </c>
    </row>
    <row r="188" spans="48:50" x14ac:dyDescent="0.3">
      <c r="AV188" t="str">
        <v>Data Analytics Course: Visualizations</v>
      </c>
      <c r="AW188">
        <v>221</v>
      </c>
      <c r="AX188">
        <v>1.83</v>
      </c>
    </row>
    <row r="189" spans="48:50" x14ac:dyDescent="0.3">
      <c r="AV189" t="str">
        <v>Data Analytics Course: ML</v>
      </c>
      <c r="AW189">
        <v>235</v>
      </c>
      <c r="AX189">
        <v>1.46</v>
      </c>
    </row>
    <row r="190" spans="48:50" x14ac:dyDescent="0.3">
      <c r="AV190" t="str">
        <v>Data Analytics Course: Basics</v>
      </c>
      <c r="AW190">
        <v>182</v>
      </c>
      <c r="AX190">
        <v>2.21</v>
      </c>
    </row>
    <row r="191" spans="48:50" x14ac:dyDescent="0.3">
      <c r="AV191" t="str">
        <v>Data Analytics Course: ML</v>
      </c>
      <c r="AW191">
        <v>221</v>
      </c>
      <c r="AX191">
        <v>1.41</v>
      </c>
    </row>
    <row r="192" spans="48:50" x14ac:dyDescent="0.3">
      <c r="AV192" t="str">
        <v>Data Analytics Course: Visualizations</v>
      </c>
      <c r="AW192">
        <v>218</v>
      </c>
      <c r="AX192">
        <v>1.75</v>
      </c>
    </row>
    <row r="193" spans="48:50" x14ac:dyDescent="0.3">
      <c r="AV193" t="str">
        <v>Data Analytics Course: ML</v>
      </c>
      <c r="AW193">
        <v>208</v>
      </c>
      <c r="AX193">
        <v>1.62</v>
      </c>
    </row>
    <row r="194" spans="48:50" x14ac:dyDescent="0.3">
      <c r="AV194" t="str">
        <v>Data Analytics Course: ML</v>
      </c>
      <c r="AW194">
        <v>231</v>
      </c>
      <c r="AX194">
        <v>0.92</v>
      </c>
    </row>
    <row r="195" spans="48:50" x14ac:dyDescent="0.3">
      <c r="AV195" t="str">
        <v>Data Analytics Course: ML</v>
      </c>
      <c r="AW195">
        <v>248</v>
      </c>
      <c r="AX195">
        <v>1.51</v>
      </c>
    </row>
    <row r="196" spans="48:50" x14ac:dyDescent="0.3">
      <c r="AV196" t="str">
        <v>Data Analytics Course: Advanced</v>
      </c>
      <c r="AW196">
        <v>238</v>
      </c>
      <c r="AX196">
        <v>1.51</v>
      </c>
    </row>
    <row r="197" spans="48:50" x14ac:dyDescent="0.3">
      <c r="AV197" t="str">
        <v>Data Analytics Course: Basics</v>
      </c>
      <c r="AW197">
        <v>182</v>
      </c>
      <c r="AX197">
        <v>1.58</v>
      </c>
    </row>
    <row r="198" spans="48:50" x14ac:dyDescent="0.3">
      <c r="AV198" t="str">
        <v>Data Analytics Course: Visualizations</v>
      </c>
      <c r="AW198">
        <v>201</v>
      </c>
      <c r="AX198">
        <v>1.59</v>
      </c>
    </row>
    <row r="199" spans="48:50" x14ac:dyDescent="0.3">
      <c r="AV199" t="str">
        <v>Data Analytics Course: Advanced</v>
      </c>
      <c r="AW199">
        <v>239</v>
      </c>
      <c r="AX199">
        <v>1.39</v>
      </c>
    </row>
    <row r="200" spans="48:50" x14ac:dyDescent="0.3">
      <c r="AV200" t="str">
        <v>Data Analytics Course: Visualizations</v>
      </c>
      <c r="AW200">
        <v>208</v>
      </c>
      <c r="AX200">
        <v>1.61</v>
      </c>
    </row>
    <row r="201" spans="48:50" x14ac:dyDescent="0.3">
      <c r="AV201" t="str">
        <v>Data Analytics Course: Visualizations</v>
      </c>
      <c r="AW201">
        <v>209</v>
      </c>
      <c r="AX201">
        <v>1.41</v>
      </c>
    </row>
    <row r="202" spans="48:50" x14ac:dyDescent="0.3">
      <c r="AV202" t="str">
        <v>Data Analytics Course: ML</v>
      </c>
      <c r="AW202">
        <v>247</v>
      </c>
      <c r="AX202">
        <v>1.1299999999999999</v>
      </c>
    </row>
    <row r="203" spans="48:50" x14ac:dyDescent="0.3">
      <c r="AV203" t="str">
        <v>Data Analytics Course: Advanced</v>
      </c>
      <c r="AW203">
        <v>185</v>
      </c>
      <c r="AX203">
        <v>1.9</v>
      </c>
    </row>
    <row r="204" spans="48:50" x14ac:dyDescent="0.3">
      <c r="AV204" t="str">
        <v>Data Analytics Course: Advanced</v>
      </c>
      <c r="AW204">
        <v>236</v>
      </c>
      <c r="AX204">
        <v>1.0900000000000001</v>
      </c>
    </row>
    <row r="205" spans="48:50" x14ac:dyDescent="0.3">
      <c r="AV205" t="str">
        <v>Data Analytics Course: Visualizations</v>
      </c>
      <c r="AW205">
        <v>186</v>
      </c>
      <c r="AX205">
        <v>1.89</v>
      </c>
    </row>
    <row r="206" spans="48:50" x14ac:dyDescent="0.3">
      <c r="AV206" t="str">
        <v>Data Analytics Course: Advanced</v>
      </c>
      <c r="AW206">
        <v>204</v>
      </c>
      <c r="AX206">
        <v>1.84</v>
      </c>
    </row>
    <row r="207" spans="48:50" x14ac:dyDescent="0.3">
      <c r="AV207" t="str">
        <v>Data Analytics Course: Basics</v>
      </c>
      <c r="AW207">
        <v>248</v>
      </c>
      <c r="AX207">
        <v>1.1200000000000001</v>
      </c>
    </row>
    <row r="208" spans="48:50" x14ac:dyDescent="0.3">
      <c r="AV208" t="str">
        <v>Data Analytics Course: Visualizations</v>
      </c>
      <c r="AW208">
        <v>220</v>
      </c>
      <c r="AX208">
        <v>1.1100000000000001</v>
      </c>
    </row>
    <row r="209" spans="48:50" x14ac:dyDescent="0.3">
      <c r="AV209" t="str">
        <v>Data Analytics Course: Basics</v>
      </c>
      <c r="AW209">
        <v>227</v>
      </c>
      <c r="AX209">
        <v>1.21</v>
      </c>
    </row>
    <row r="210" spans="48:50" x14ac:dyDescent="0.3">
      <c r="AV210" t="str">
        <v>Data Analytics Course: ML</v>
      </c>
      <c r="AW210">
        <v>224</v>
      </c>
      <c r="AX210">
        <v>1.29</v>
      </c>
    </row>
    <row r="211" spans="48:50" x14ac:dyDescent="0.3">
      <c r="AV211" t="str">
        <v>Data Analytics Course: Advanced</v>
      </c>
      <c r="AW211">
        <v>225</v>
      </c>
      <c r="AX211">
        <v>1.51</v>
      </c>
    </row>
    <row r="212" spans="48:50" x14ac:dyDescent="0.3">
      <c r="AV212" t="str">
        <v>Data Analytics Course: Advanced</v>
      </c>
      <c r="AW212">
        <v>200</v>
      </c>
      <c r="AX212">
        <v>1.5</v>
      </c>
    </row>
    <row r="213" spans="48:50" x14ac:dyDescent="0.3">
      <c r="AV213" t="str">
        <v>Data Analytics Course: Basics</v>
      </c>
      <c r="AW213">
        <v>183</v>
      </c>
      <c r="AX213">
        <v>1.65</v>
      </c>
    </row>
    <row r="214" spans="48:50" x14ac:dyDescent="0.3">
      <c r="AV214" t="str">
        <v>Data Analytics Course: Visualizations</v>
      </c>
      <c r="AW214">
        <v>185</v>
      </c>
      <c r="AX214">
        <v>1.1399999999999999</v>
      </c>
    </row>
    <row r="215" spans="48:50" x14ac:dyDescent="0.3">
      <c r="AV215" t="str">
        <v>Data Analytics Course: ML</v>
      </c>
      <c r="AW215">
        <v>248</v>
      </c>
      <c r="AX215">
        <v>1.2</v>
      </c>
    </row>
    <row r="216" spans="48:50" x14ac:dyDescent="0.3">
      <c r="AV216" t="str">
        <v>Data Analytics Course: Basics</v>
      </c>
      <c r="AW216">
        <v>238</v>
      </c>
      <c r="AX216">
        <v>1.23</v>
      </c>
    </row>
    <row r="217" spans="48:50" x14ac:dyDescent="0.3">
      <c r="AV217" t="str">
        <v>Data Analytics Course: Visualizations</v>
      </c>
      <c r="AW217">
        <v>234</v>
      </c>
      <c r="AX217">
        <v>1.75</v>
      </c>
    </row>
    <row r="218" spans="48:50" x14ac:dyDescent="0.3">
      <c r="AV218" t="str">
        <v>Data Analytics Course: Visualizations</v>
      </c>
      <c r="AW218">
        <v>308</v>
      </c>
      <c r="AX218">
        <v>1.19</v>
      </c>
    </row>
    <row r="219" spans="48:50" x14ac:dyDescent="0.3">
      <c r="AV219" t="str">
        <v>Data Analytics Course: Basics</v>
      </c>
      <c r="AW219">
        <v>201</v>
      </c>
      <c r="AX219">
        <v>1.26</v>
      </c>
    </row>
    <row r="220" spans="48:50" x14ac:dyDescent="0.3">
      <c r="AV220" t="str">
        <v>Data Analytics Course: Visualizations</v>
      </c>
      <c r="AW220">
        <v>250</v>
      </c>
      <c r="AX220">
        <v>1.2</v>
      </c>
    </row>
    <row r="221" spans="48:50" x14ac:dyDescent="0.3">
      <c r="AV221" t="str">
        <v>Data Analytics Course: Basics</v>
      </c>
      <c r="AW221">
        <v>208</v>
      </c>
      <c r="AX221">
        <v>1.27</v>
      </c>
    </row>
    <row r="222" spans="48:50" x14ac:dyDescent="0.3">
      <c r="AV222" t="str">
        <v>Data Analytics Course: Visualizations</v>
      </c>
      <c r="AW222">
        <v>225</v>
      </c>
      <c r="AX222">
        <v>1.27</v>
      </c>
    </row>
    <row r="223" spans="48:50" x14ac:dyDescent="0.3">
      <c r="AV223" t="str">
        <v>Data Analytics Course: Basics</v>
      </c>
      <c r="AW223">
        <v>223</v>
      </c>
      <c r="AX223">
        <v>1.61</v>
      </c>
    </row>
    <row r="224" spans="48:50" x14ac:dyDescent="0.3">
      <c r="AV224" t="str">
        <v>Data Analytics Course: ML</v>
      </c>
      <c r="AW224">
        <v>187</v>
      </c>
      <c r="AX224">
        <v>2.14</v>
      </c>
    </row>
    <row r="225" spans="48:50" x14ac:dyDescent="0.3">
      <c r="AV225" t="str">
        <v>Data Analytics Course: Basics</v>
      </c>
      <c r="AW225">
        <v>195</v>
      </c>
      <c r="AX225">
        <v>1.57</v>
      </c>
    </row>
    <row r="226" spans="48:50" x14ac:dyDescent="0.3">
      <c r="AV226" t="str">
        <v>Data Analytics Course: Advanced</v>
      </c>
      <c r="AW226">
        <v>202</v>
      </c>
      <c r="AX226">
        <v>1.45</v>
      </c>
    </row>
    <row r="227" spans="48:50" x14ac:dyDescent="0.3">
      <c r="AV227" t="str">
        <v>Data Analytics Course: Basics</v>
      </c>
      <c r="AW227">
        <v>229</v>
      </c>
      <c r="AX227">
        <v>1.01</v>
      </c>
    </row>
    <row r="228" spans="48:50" x14ac:dyDescent="0.3">
      <c r="AV228" t="str">
        <v>Data Analytics Course: Visualizations</v>
      </c>
      <c r="AW228">
        <v>214</v>
      </c>
      <c r="AX228">
        <v>1.72</v>
      </c>
    </row>
    <row r="229" spans="48:50" x14ac:dyDescent="0.3">
      <c r="AV229" t="str">
        <v>Data Analytics Course: Visualizations</v>
      </c>
      <c r="AW229">
        <v>217</v>
      </c>
      <c r="AX229">
        <v>1.57</v>
      </c>
    </row>
    <row r="230" spans="48:50" x14ac:dyDescent="0.3">
      <c r="AV230" t="str">
        <v>Data Analytics Course: ML</v>
      </c>
      <c r="AW230">
        <v>188</v>
      </c>
      <c r="AX230">
        <v>1.0900000000000001</v>
      </c>
    </row>
    <row r="231" spans="48:50" x14ac:dyDescent="0.3">
      <c r="AV231" t="str">
        <v>Data Analytics Course: Visualizations</v>
      </c>
      <c r="AW231">
        <v>185</v>
      </c>
      <c r="AX231">
        <v>1.83</v>
      </c>
    </row>
    <row r="232" spans="48:50" x14ac:dyDescent="0.3">
      <c r="AV232" t="str">
        <v>Data Analytics Course: ML</v>
      </c>
      <c r="AW232">
        <v>202</v>
      </c>
      <c r="AX232">
        <v>1.2</v>
      </c>
    </row>
    <row r="233" spans="48:50" x14ac:dyDescent="0.3">
      <c r="AV233" t="str">
        <v>Data Analytics Course: ML</v>
      </c>
      <c r="AW233">
        <v>232</v>
      </c>
      <c r="AX233">
        <v>1.66</v>
      </c>
    </row>
    <row r="234" spans="48:50" x14ac:dyDescent="0.3">
      <c r="AV234" t="str">
        <v>Data Analytics Course: Visualizations</v>
      </c>
      <c r="AW234">
        <v>234</v>
      </c>
      <c r="AX234">
        <v>1.37</v>
      </c>
    </row>
    <row r="235" spans="48:50" x14ac:dyDescent="0.3">
      <c r="AV235" t="str">
        <v>Data Analytics Course: Visualizations</v>
      </c>
      <c r="AW235">
        <v>193</v>
      </c>
      <c r="AX235">
        <v>1.44</v>
      </c>
    </row>
    <row r="236" spans="48:50" x14ac:dyDescent="0.3">
      <c r="AV236" t="str">
        <v>Data Analytics Course: Visualizations</v>
      </c>
      <c r="AW236">
        <v>188</v>
      </c>
      <c r="AX236">
        <v>1.35</v>
      </c>
    </row>
    <row r="237" spans="48:50" x14ac:dyDescent="0.3">
      <c r="AV237" t="str">
        <v>Data Analytics Course: Advanced</v>
      </c>
      <c r="AW237">
        <v>233</v>
      </c>
      <c r="AX237">
        <v>1.34</v>
      </c>
    </row>
    <row r="238" spans="48:50" x14ac:dyDescent="0.3">
      <c r="AV238" t="str">
        <v>Data Analytics Course: ML</v>
      </c>
      <c r="AW238">
        <v>181</v>
      </c>
      <c r="AX238">
        <v>1.81</v>
      </c>
    </row>
    <row r="239" spans="48:50" x14ac:dyDescent="0.3">
      <c r="AV239" t="str">
        <v>Data Analytics Course: Visualizations</v>
      </c>
      <c r="AW239">
        <v>182</v>
      </c>
      <c r="AX239">
        <v>1.76</v>
      </c>
    </row>
    <row r="240" spans="48:50" x14ac:dyDescent="0.3">
      <c r="AV240" t="str">
        <v>Data Analytics Course: Basics</v>
      </c>
      <c r="AW240">
        <v>238</v>
      </c>
      <c r="AX240">
        <v>1.31</v>
      </c>
    </row>
    <row r="241" spans="48:50" x14ac:dyDescent="0.3">
      <c r="AV241" t="str">
        <v>Data Analytics Course: Basics</v>
      </c>
      <c r="AW241">
        <v>196</v>
      </c>
      <c r="AX241">
        <v>1.68</v>
      </c>
    </row>
    <row r="242" spans="48:50" x14ac:dyDescent="0.3">
      <c r="AV242" t="str">
        <v>Data Analytics Course: ML</v>
      </c>
      <c r="AW242">
        <v>198</v>
      </c>
      <c r="AX242">
        <v>1.73</v>
      </c>
    </row>
    <row r="243" spans="48:50" x14ac:dyDescent="0.3">
      <c r="AV243" t="str">
        <v>Data Analytics Course: Advanced</v>
      </c>
      <c r="AW243">
        <v>234</v>
      </c>
      <c r="AX243">
        <v>1.8</v>
      </c>
    </row>
    <row r="244" spans="48:50" x14ac:dyDescent="0.3">
      <c r="AV244" t="str">
        <v>Data Analytics Course: Basics</v>
      </c>
      <c r="AW244">
        <v>203</v>
      </c>
      <c r="AX244">
        <v>1.56</v>
      </c>
    </row>
    <row r="245" spans="48:50" x14ac:dyDescent="0.3">
      <c r="AV245" t="str">
        <v>Data Analytics Course: Visualizations</v>
      </c>
      <c r="AW245">
        <v>248</v>
      </c>
      <c r="AX245">
        <v>1.48</v>
      </c>
    </row>
    <row r="246" spans="48:50" x14ac:dyDescent="0.3">
      <c r="AV246" t="str">
        <v>Data Analytics Course: Basics</v>
      </c>
      <c r="AW246">
        <v>215</v>
      </c>
      <c r="AX246">
        <v>1.49</v>
      </c>
    </row>
    <row r="247" spans="48:50" x14ac:dyDescent="0.3">
      <c r="AV247" t="str">
        <v>Data Analytics Course: Visualizations</v>
      </c>
      <c r="AW247">
        <v>197</v>
      </c>
      <c r="AX247">
        <v>1.5</v>
      </c>
    </row>
    <row r="248" spans="48:50" x14ac:dyDescent="0.3">
      <c r="AV248" t="str">
        <v>Data Analytics Course: Advanced</v>
      </c>
      <c r="AW248">
        <v>145</v>
      </c>
      <c r="AX248">
        <v>2.7</v>
      </c>
    </row>
    <row r="249" spans="48:50" x14ac:dyDescent="0.3">
      <c r="AV249" t="str">
        <v>Data Analytics Course: ML</v>
      </c>
      <c r="AW249">
        <v>237</v>
      </c>
      <c r="AX249">
        <v>1</v>
      </c>
    </row>
    <row r="250" spans="48:50" x14ac:dyDescent="0.3">
      <c r="AV250" t="str">
        <v>Data Analytics Course: Basics</v>
      </c>
      <c r="AW250">
        <v>183</v>
      </c>
      <c r="AX250">
        <v>1.82</v>
      </c>
    </row>
    <row r="251" spans="48:50" x14ac:dyDescent="0.3">
      <c r="AV251" t="str">
        <v>Data Analytics Course: Advanced</v>
      </c>
      <c r="AW251">
        <v>191</v>
      </c>
      <c r="AX251">
        <v>1.89</v>
      </c>
    </row>
    <row r="252" spans="48:50" x14ac:dyDescent="0.3">
      <c r="AV252" t="str">
        <v>Data Analytics Course: Advanced</v>
      </c>
      <c r="AW252">
        <v>242</v>
      </c>
      <c r="AX252">
        <v>1.6</v>
      </c>
    </row>
    <row r="253" spans="48:50" x14ac:dyDescent="0.3">
      <c r="AV253" t="str">
        <v>Data Analytics Course: ML</v>
      </c>
      <c r="AW253">
        <v>237</v>
      </c>
      <c r="AX253">
        <v>1.02</v>
      </c>
    </row>
    <row r="254" spans="48:50" x14ac:dyDescent="0.3">
      <c r="AV254" t="str">
        <v>Data Analytics Course: Visualizations</v>
      </c>
      <c r="AW254">
        <v>247</v>
      </c>
      <c r="AX254">
        <v>0.83</v>
      </c>
    </row>
    <row r="255" spans="48:50" x14ac:dyDescent="0.3">
      <c r="AV255" t="str">
        <v>Data Analytics Course: ML</v>
      </c>
      <c r="AW255">
        <v>241</v>
      </c>
      <c r="AX255">
        <v>1.56</v>
      </c>
    </row>
    <row r="256" spans="48:50" x14ac:dyDescent="0.3">
      <c r="AV256" t="str">
        <v>Data Analytics Course: Visualizations</v>
      </c>
      <c r="AW256">
        <v>243</v>
      </c>
      <c r="AX256">
        <v>1.3</v>
      </c>
    </row>
    <row r="257" spans="48:50" x14ac:dyDescent="0.3">
      <c r="AV257" t="str">
        <v>Data Analytics Course: Advanced</v>
      </c>
      <c r="AW257">
        <v>232</v>
      </c>
      <c r="AX257">
        <v>1.64</v>
      </c>
    </row>
    <row r="258" spans="48:50" x14ac:dyDescent="0.3">
      <c r="AV258" t="str">
        <v>Data Analytics Course: Basics</v>
      </c>
      <c r="AW258">
        <v>191</v>
      </c>
      <c r="AX258">
        <v>1.71</v>
      </c>
    </row>
    <row r="259" spans="48:50" x14ac:dyDescent="0.3">
      <c r="AV259" t="str">
        <v>Data Analytics Course: Basics</v>
      </c>
      <c r="AW259">
        <v>202</v>
      </c>
      <c r="AX259">
        <v>1.41</v>
      </c>
    </row>
    <row r="260" spans="48:50" x14ac:dyDescent="0.3">
      <c r="AV260" t="str">
        <v>Data Analytics Course: Basics</v>
      </c>
      <c r="AW260">
        <v>220</v>
      </c>
      <c r="AX260">
        <v>1.07</v>
      </c>
    </row>
    <row r="261" spans="48:50" x14ac:dyDescent="0.3">
      <c r="AV261" t="str">
        <v>Data Analytics Course: Visualizations</v>
      </c>
      <c r="AW261">
        <v>218</v>
      </c>
      <c r="AX261">
        <v>0.95</v>
      </c>
    </row>
    <row r="262" spans="48:50" x14ac:dyDescent="0.3">
      <c r="AV262" t="str">
        <v>Data Analytics Course: Advanced</v>
      </c>
      <c r="AW262">
        <v>187</v>
      </c>
      <c r="AX262">
        <v>1.9</v>
      </c>
    </row>
    <row r="263" spans="48:50" x14ac:dyDescent="0.3">
      <c r="AV263" t="str">
        <v>Data Analytics Course: Advanced</v>
      </c>
      <c r="AW263">
        <v>212</v>
      </c>
      <c r="AX263">
        <v>1.66</v>
      </c>
    </row>
    <row r="264" spans="48:50" x14ac:dyDescent="0.3">
      <c r="AV264" t="str">
        <v>Data Analytics Course: Visualizations</v>
      </c>
      <c r="AW264">
        <v>226</v>
      </c>
      <c r="AX264">
        <v>1.36</v>
      </c>
    </row>
    <row r="265" spans="48:50" x14ac:dyDescent="0.3">
      <c r="AV265" t="str">
        <v>Data Analytics Course: ML</v>
      </c>
      <c r="AW265">
        <v>221</v>
      </c>
      <c r="AX265">
        <v>1.1299999999999999</v>
      </c>
    </row>
    <row r="266" spans="48:50" x14ac:dyDescent="0.3">
      <c r="AV266" t="str">
        <v>Data Analytics Course: ML</v>
      </c>
      <c r="AW266">
        <v>235</v>
      </c>
      <c r="AX266">
        <v>1.07</v>
      </c>
    </row>
    <row r="267" spans="48:50" x14ac:dyDescent="0.3">
      <c r="AV267" t="str">
        <v>Data Analytics Course: ML</v>
      </c>
      <c r="AW267">
        <v>243</v>
      </c>
      <c r="AX267">
        <v>1.1000000000000001</v>
      </c>
    </row>
    <row r="268" spans="48:50" x14ac:dyDescent="0.3">
      <c r="AV268" t="str">
        <v>Data Analytics Course: ML</v>
      </c>
      <c r="AW268">
        <v>202</v>
      </c>
      <c r="AX268">
        <v>1.35</v>
      </c>
    </row>
    <row r="269" spans="48:50" x14ac:dyDescent="0.3">
      <c r="AV269" t="str">
        <v>Data Analytics Course: Advanced</v>
      </c>
      <c r="AW269">
        <v>211</v>
      </c>
      <c r="AX269">
        <v>1.33</v>
      </c>
    </row>
    <row r="270" spans="48:50" x14ac:dyDescent="0.3">
      <c r="AV270" t="str">
        <v>Data Analytics Course: Advanced</v>
      </c>
      <c r="AW270">
        <v>212</v>
      </c>
      <c r="AX270">
        <v>1.4</v>
      </c>
    </row>
    <row r="271" spans="48:50" x14ac:dyDescent="0.3">
      <c r="AV271" t="str">
        <v>Data Analytics Course: ML</v>
      </c>
      <c r="AW271">
        <v>190</v>
      </c>
      <c r="AX271">
        <v>1.62</v>
      </c>
    </row>
    <row r="272" spans="48:50" x14ac:dyDescent="0.3">
      <c r="AV272" t="str">
        <v>Data Analytics Course: Basics</v>
      </c>
      <c r="AW272">
        <v>205</v>
      </c>
      <c r="AX272">
        <v>1.29</v>
      </c>
    </row>
    <row r="273" spans="48:50" x14ac:dyDescent="0.3">
      <c r="AV273" t="str">
        <v>Data Analytics Course: Advanced</v>
      </c>
      <c r="AW273">
        <v>198</v>
      </c>
      <c r="AX273">
        <v>1.1499999999999999</v>
      </c>
    </row>
    <row r="274" spans="48:50" x14ac:dyDescent="0.3">
      <c r="AV274" t="str">
        <v>Data Analytics Course: Advanced</v>
      </c>
      <c r="AW274">
        <v>207</v>
      </c>
      <c r="AX274">
        <v>1.9</v>
      </c>
    </row>
    <row r="275" spans="48:50" x14ac:dyDescent="0.3">
      <c r="AV275" t="str">
        <v>Data Analytics Course: Visualizations</v>
      </c>
      <c r="AW275">
        <v>233</v>
      </c>
      <c r="AX275">
        <v>1.29</v>
      </c>
    </row>
    <row r="276" spans="48:50" x14ac:dyDescent="0.3">
      <c r="AV276" t="str">
        <v>Data Analytics Course: Basics</v>
      </c>
      <c r="AW276">
        <v>194</v>
      </c>
      <c r="AX276">
        <v>1.78</v>
      </c>
    </row>
    <row r="277" spans="48:50" x14ac:dyDescent="0.3">
      <c r="AV277" t="str">
        <v>Data Analytics Course: Advanced</v>
      </c>
      <c r="AW277">
        <v>226</v>
      </c>
      <c r="AX277">
        <v>1.21</v>
      </c>
    </row>
    <row r="278" spans="48:50" x14ac:dyDescent="0.3">
      <c r="AV278" t="str">
        <v>Data Analytics Course: Advanced</v>
      </c>
      <c r="AW278">
        <v>234</v>
      </c>
      <c r="AX278">
        <v>1.03</v>
      </c>
    </row>
    <row r="279" spans="48:50" x14ac:dyDescent="0.3">
      <c r="AV279" t="str">
        <v>Data Analytics Course: ML</v>
      </c>
      <c r="AW279">
        <v>210</v>
      </c>
      <c r="AX279">
        <v>1.78</v>
      </c>
    </row>
    <row r="280" spans="48:50" x14ac:dyDescent="0.3">
      <c r="AV280" t="str">
        <v>Data Analytics Course: Advanced</v>
      </c>
      <c r="AW280">
        <v>228</v>
      </c>
      <c r="AX280">
        <v>1.1200000000000001</v>
      </c>
    </row>
    <row r="281" spans="48:50" x14ac:dyDescent="0.3">
      <c r="AV281" t="str">
        <v>Data Analytics Course: Advanced</v>
      </c>
      <c r="AW281">
        <v>193</v>
      </c>
      <c r="AX281">
        <v>1.37</v>
      </c>
    </row>
    <row r="282" spans="48:50" x14ac:dyDescent="0.3">
      <c r="AV282" t="str">
        <v>Data Analytics Course: Advanced</v>
      </c>
      <c r="AW282">
        <v>192</v>
      </c>
      <c r="AX282">
        <v>1.1299999999999999</v>
      </c>
    </row>
    <row r="283" spans="48:50" x14ac:dyDescent="0.3">
      <c r="AV283" t="str">
        <v>Data Analytics Course: ML</v>
      </c>
      <c r="AW283">
        <v>242</v>
      </c>
      <c r="AX283">
        <v>1.27</v>
      </c>
    </row>
    <row r="284" spans="48:50" x14ac:dyDescent="0.3">
      <c r="AV284" t="str">
        <v>Data Analytics Course: ML</v>
      </c>
      <c r="AW284">
        <v>189</v>
      </c>
      <c r="AX284">
        <v>2.0299999999999998</v>
      </c>
    </row>
    <row r="285" spans="48:50" x14ac:dyDescent="0.3">
      <c r="AV285" t="str">
        <v>Data Analytics Course: Visualizations</v>
      </c>
      <c r="AW285">
        <v>242</v>
      </c>
      <c r="AX285">
        <v>1.28</v>
      </c>
    </row>
    <row r="286" spans="48:50" x14ac:dyDescent="0.3">
      <c r="AV286" t="str">
        <v>Data Analytics Course: ML</v>
      </c>
      <c r="AW286">
        <v>223</v>
      </c>
      <c r="AX286">
        <v>1.8</v>
      </c>
    </row>
    <row r="287" spans="48:50" x14ac:dyDescent="0.3">
      <c r="AV287" t="str">
        <v>Data Analytics Course: Basics</v>
      </c>
      <c r="AW287">
        <v>226</v>
      </c>
      <c r="AX287">
        <v>0.91</v>
      </c>
    </row>
    <row r="288" spans="48:50" x14ac:dyDescent="0.3">
      <c r="AV288" t="str">
        <v>Data Analytics Course: ML</v>
      </c>
      <c r="AW288">
        <v>231</v>
      </c>
      <c r="AX288">
        <v>0.99</v>
      </c>
    </row>
    <row r="289" spans="35:50" x14ac:dyDescent="0.3">
      <c r="AV289" t="str">
        <v>Data Analytics Course: ML</v>
      </c>
      <c r="AW289">
        <v>187</v>
      </c>
      <c r="AX289">
        <v>1.37</v>
      </c>
    </row>
    <row r="290" spans="35:50" x14ac:dyDescent="0.3">
      <c r="AV290" t="str">
        <v>Data Analytics Course: ML</v>
      </c>
      <c r="AW290">
        <v>229</v>
      </c>
      <c r="AX290">
        <v>1.1499999999999999</v>
      </c>
    </row>
    <row r="291" spans="35:50" x14ac:dyDescent="0.3">
      <c r="AV291" t="str">
        <v>Data Analytics Course: Visualizations</v>
      </c>
      <c r="AW291">
        <v>227</v>
      </c>
      <c r="AX291">
        <v>1.38</v>
      </c>
    </row>
    <row r="292" spans="35:50" x14ac:dyDescent="0.3">
      <c r="AV292" t="str">
        <v>Data Analytics Course: Visualizations</v>
      </c>
      <c r="AW292">
        <v>206</v>
      </c>
      <c r="AX292">
        <v>1.85</v>
      </c>
    </row>
    <row r="293" spans="35:50" x14ac:dyDescent="0.3">
      <c r="AV293" t="str">
        <v>Data Analytics Course: ML</v>
      </c>
      <c r="AW293">
        <v>211</v>
      </c>
      <c r="AX293">
        <v>1.85</v>
      </c>
    </row>
    <row r="294" spans="35:50" x14ac:dyDescent="0.3">
      <c r="AV294" t="str">
        <v>Data Analytics Course: ML</v>
      </c>
      <c r="AW294">
        <v>236</v>
      </c>
      <c r="AX294">
        <v>1.05</v>
      </c>
    </row>
    <row r="295" spans="35:50" x14ac:dyDescent="0.3">
      <c r="AI295" s="27" t="s">
        <v>2660</v>
      </c>
      <c r="AJ295" s="27"/>
      <c r="AK295" s="28" t="s">
        <v>2665</v>
      </c>
      <c r="AL295" s="30" t="s">
        <v>2666</v>
      </c>
      <c r="AM295" s="30"/>
      <c r="AN295" s="30"/>
      <c r="AV295" t="str">
        <v>Data Analytics Course: Visualizations</v>
      </c>
      <c r="AW295">
        <v>237</v>
      </c>
      <c r="AX295">
        <v>1.56</v>
      </c>
    </row>
    <row r="296" spans="35:50" x14ac:dyDescent="0.3">
      <c r="AI296" s="27"/>
      <c r="AJ296" s="27"/>
      <c r="AK296" s="29"/>
      <c r="AL296" s="30"/>
      <c r="AM296" s="30"/>
      <c r="AN296" s="30"/>
      <c r="AV296" t="str">
        <v>Data Analytics Course: Visualizations</v>
      </c>
      <c r="AW296">
        <v>249</v>
      </c>
      <c r="AX296">
        <v>1.02</v>
      </c>
    </row>
    <row r="297" spans="35:50" ht="18.600000000000001" x14ac:dyDescent="0.45">
      <c r="AI297" s="17" t="s">
        <v>2661</v>
      </c>
      <c r="AJ297" s="18">
        <f>_xlfn.XLOOKUP($AL$295,totals[Campaign Name],totals[Покази])</f>
        <v>11761989</v>
      </c>
      <c r="AK297" s="16"/>
      <c r="AL297" s="19" t="s">
        <v>17</v>
      </c>
      <c r="AM297" s="20">
        <f>_xlfn.XLOOKUP($AL$295,totals[Campaign Name],totals[CTR])</f>
        <v>3.0652128649329633</v>
      </c>
      <c r="AN297" s="16"/>
      <c r="AV297" t="str">
        <v>Data Analytics Course: ML</v>
      </c>
      <c r="AW297">
        <v>212</v>
      </c>
      <c r="AX297">
        <v>1.08</v>
      </c>
    </row>
    <row r="298" spans="35:50" ht="18.600000000000001" x14ac:dyDescent="0.45">
      <c r="AI298" s="17" t="s">
        <v>2662</v>
      </c>
      <c r="AJ298" s="18">
        <f>_xlfn.XLOOKUP($AL$295,totals[Campaign Name],totals[Кліки])</f>
        <v>360530</v>
      </c>
      <c r="AK298" s="16"/>
      <c r="AL298" s="19" t="s">
        <v>16</v>
      </c>
      <c r="AM298" s="20">
        <f>_xlfn.XLOOKUP($AL$295,totals[Campaign Name],totals[CPC])</f>
        <v>1.5498821179929547</v>
      </c>
      <c r="AN298" s="16"/>
      <c r="AV298" t="str">
        <v>Data Analytics Course: Visualizations</v>
      </c>
      <c r="AW298">
        <v>194</v>
      </c>
      <c r="AX298">
        <v>1.71</v>
      </c>
    </row>
    <row r="299" spans="35:50" ht="18.600000000000001" x14ac:dyDescent="0.45">
      <c r="AI299" s="17" t="s">
        <v>2663</v>
      </c>
      <c r="AJ299" s="18">
        <f>_xlfn.XLOOKUP($AL$295,totals[Campaign Name],totals[Ліди])</f>
        <v>51847</v>
      </c>
      <c r="AK299" s="16"/>
      <c r="AL299" s="19" t="s">
        <v>18</v>
      </c>
      <c r="AM299" s="20">
        <f>_xlfn.XLOOKUP($AL$295,totals[Campaign Name],totals[CPL])</f>
        <v>10.777460605242348</v>
      </c>
      <c r="AN299" s="16"/>
      <c r="AV299" t="str">
        <v>Data Analytics Course: Basics</v>
      </c>
      <c r="AW299">
        <v>230</v>
      </c>
      <c r="AX299">
        <v>1.41</v>
      </c>
    </row>
    <row r="300" spans="35:50" ht="18.600000000000001" x14ac:dyDescent="0.45">
      <c r="AI300" s="17" t="s">
        <v>2664</v>
      </c>
      <c r="AJ300" s="18">
        <f>_xlfn.XLOOKUP($AL$295,totals[Campaign Name],totals[Конверсії])</f>
        <v>16926</v>
      </c>
      <c r="AK300" s="16"/>
      <c r="AL300" s="19" t="s">
        <v>19</v>
      </c>
      <c r="AM300" s="20">
        <f>_xlfn.XLOOKUP($AL$295,totals[Campaign Name],totals[CPA])</f>
        <v>33.013056835637478</v>
      </c>
      <c r="AN300" s="16"/>
      <c r="AV300" t="str">
        <v>Data Analytics Course: ML</v>
      </c>
      <c r="AW300">
        <v>182</v>
      </c>
      <c r="AX300">
        <v>1.75</v>
      </c>
    </row>
    <row r="301" spans="35:50" x14ac:dyDescent="0.3">
      <c r="AV301" t="str">
        <v>Data Analytics Course: ML</v>
      </c>
      <c r="AW301">
        <v>246</v>
      </c>
      <c r="AX301">
        <v>0.84</v>
      </c>
    </row>
    <row r="302" spans="35:50" x14ac:dyDescent="0.3">
      <c r="AV302" t="str">
        <v>Data Analytics Course: Advanced</v>
      </c>
      <c r="AW302">
        <v>218</v>
      </c>
      <c r="AX302">
        <v>1.29</v>
      </c>
    </row>
    <row r="303" spans="35:50" x14ac:dyDescent="0.3">
      <c r="AV303" t="str">
        <v>Data Analytics Course: Advanced</v>
      </c>
      <c r="AW303">
        <v>217</v>
      </c>
      <c r="AX303">
        <v>1.64</v>
      </c>
    </row>
    <row r="304" spans="35:50" x14ac:dyDescent="0.3">
      <c r="AV304" t="str">
        <v>Data Analytics Course: Basics</v>
      </c>
      <c r="AW304">
        <v>189</v>
      </c>
      <c r="AX304">
        <v>1.44</v>
      </c>
    </row>
    <row r="305" spans="48:50" x14ac:dyDescent="0.3">
      <c r="AV305" t="str">
        <v>Data Analytics Course: Basics</v>
      </c>
      <c r="AW305">
        <v>246</v>
      </c>
      <c r="AX305">
        <v>1.37</v>
      </c>
    </row>
    <row r="306" spans="48:50" x14ac:dyDescent="0.3">
      <c r="AV306" t="str">
        <v>Data Analytics Course: Visualizations</v>
      </c>
      <c r="AW306">
        <v>212</v>
      </c>
      <c r="AX306">
        <v>1.34</v>
      </c>
    </row>
    <row r="307" spans="48:50" x14ac:dyDescent="0.3">
      <c r="AV307" t="str">
        <v>Data Analytics Course: Advanced</v>
      </c>
      <c r="AW307">
        <v>219</v>
      </c>
      <c r="AX307">
        <v>1.78</v>
      </c>
    </row>
    <row r="308" spans="48:50" x14ac:dyDescent="0.3">
      <c r="AV308" t="str">
        <v>Data Analytics Course: Basics</v>
      </c>
      <c r="AW308">
        <v>190</v>
      </c>
      <c r="AX308">
        <v>2.1</v>
      </c>
    </row>
    <row r="309" spans="48:50" x14ac:dyDescent="0.3">
      <c r="AV309" t="str">
        <v>Data Analytics Course: Basics</v>
      </c>
      <c r="AW309">
        <v>246</v>
      </c>
      <c r="AX309">
        <v>1.07</v>
      </c>
    </row>
    <row r="310" spans="48:50" x14ac:dyDescent="0.3">
      <c r="AV310" t="str">
        <v>Data Analytics Course: Visualizations</v>
      </c>
      <c r="AW310">
        <v>224</v>
      </c>
      <c r="AX310">
        <v>1.59</v>
      </c>
    </row>
    <row r="311" spans="48:50" x14ac:dyDescent="0.3">
      <c r="AV311" t="str">
        <v>Data Analytics Course: Basics</v>
      </c>
      <c r="AW311">
        <v>186</v>
      </c>
      <c r="AX311">
        <v>1.1200000000000001</v>
      </c>
    </row>
    <row r="312" spans="48:50" x14ac:dyDescent="0.3">
      <c r="AV312" t="str">
        <v>Data Analytics Course: Basics</v>
      </c>
      <c r="AW312">
        <v>185</v>
      </c>
      <c r="AX312">
        <v>1.2</v>
      </c>
    </row>
    <row r="313" spans="48:50" x14ac:dyDescent="0.3">
      <c r="AV313" t="str">
        <v>Data Analytics Course: Advanced</v>
      </c>
      <c r="AW313">
        <v>225</v>
      </c>
      <c r="AX313">
        <v>0.99</v>
      </c>
    </row>
    <row r="314" spans="48:50" x14ac:dyDescent="0.3">
      <c r="AV314" t="str">
        <v>Data Analytics Course: ML</v>
      </c>
      <c r="AW314">
        <v>219</v>
      </c>
      <c r="AX314">
        <v>1.1499999999999999</v>
      </c>
    </row>
    <row r="315" spans="48:50" x14ac:dyDescent="0.3">
      <c r="AV315" t="str">
        <v>Data Analytics Course: Advanced</v>
      </c>
      <c r="AW315">
        <v>220</v>
      </c>
      <c r="AX315">
        <v>1.06</v>
      </c>
    </row>
    <row r="316" spans="48:50" x14ac:dyDescent="0.3">
      <c r="AV316" t="str">
        <v>Data Analytics Course: ML</v>
      </c>
      <c r="AW316">
        <v>242</v>
      </c>
      <c r="AX316">
        <v>1.36</v>
      </c>
    </row>
    <row r="317" spans="48:50" x14ac:dyDescent="0.3">
      <c r="AV317" t="str">
        <v>Data Analytics Course: Visualizations</v>
      </c>
      <c r="AW317">
        <v>205</v>
      </c>
      <c r="AX317">
        <v>1.71</v>
      </c>
    </row>
    <row r="318" spans="48:50" x14ac:dyDescent="0.3">
      <c r="AV318" t="str">
        <v>Data Analytics Course: Basics</v>
      </c>
      <c r="AW318">
        <v>193</v>
      </c>
      <c r="AX318">
        <v>1.24</v>
      </c>
    </row>
    <row r="319" spans="48:50" x14ac:dyDescent="0.3">
      <c r="AV319" t="str">
        <v>Data Analytics Course: Advanced</v>
      </c>
      <c r="AW319">
        <v>242</v>
      </c>
      <c r="AX319">
        <v>0.87</v>
      </c>
    </row>
    <row r="320" spans="48:50" x14ac:dyDescent="0.3">
      <c r="AV320" t="str">
        <v>Data Analytics Course: Visualizations</v>
      </c>
      <c r="AW320">
        <v>181</v>
      </c>
      <c r="AX320">
        <v>2.04</v>
      </c>
    </row>
    <row r="321" spans="48:50" x14ac:dyDescent="0.3">
      <c r="AV321" t="str">
        <v>Data Analytics Course: Advanced</v>
      </c>
      <c r="AW321">
        <v>227</v>
      </c>
      <c r="AX321">
        <v>1.77</v>
      </c>
    </row>
    <row r="322" spans="48:50" x14ac:dyDescent="0.3">
      <c r="AV322" t="str">
        <v>Data Analytics Course: Advanced</v>
      </c>
      <c r="AW322">
        <v>188</v>
      </c>
      <c r="AX322">
        <v>1.92</v>
      </c>
    </row>
    <row r="323" spans="48:50" x14ac:dyDescent="0.3">
      <c r="AV323" t="str">
        <v>Data Analytics Course: Visualizations</v>
      </c>
      <c r="AW323">
        <v>246</v>
      </c>
      <c r="AX323">
        <v>1.2</v>
      </c>
    </row>
    <row r="324" spans="48:50" x14ac:dyDescent="0.3">
      <c r="AV324" t="str">
        <v>Data Analytics Course: Visualizations</v>
      </c>
      <c r="AW324">
        <v>239</v>
      </c>
      <c r="AX324">
        <v>1.57</v>
      </c>
    </row>
    <row r="325" spans="48:50" x14ac:dyDescent="0.3">
      <c r="AV325" t="str">
        <v>Data Analytics Course: ML</v>
      </c>
      <c r="AW325">
        <v>202</v>
      </c>
      <c r="AX325">
        <v>1.64</v>
      </c>
    </row>
    <row r="326" spans="48:50" x14ac:dyDescent="0.3">
      <c r="AV326" t="str">
        <v>Data Analytics Course: Advanced</v>
      </c>
      <c r="AW326">
        <v>239</v>
      </c>
      <c r="AX326">
        <v>1.17</v>
      </c>
    </row>
    <row r="327" spans="48:50" x14ac:dyDescent="0.3">
      <c r="AV327" t="str">
        <v>Data Analytics Course: Basics</v>
      </c>
      <c r="AW327">
        <v>230</v>
      </c>
      <c r="AX327">
        <v>1.23</v>
      </c>
    </row>
    <row r="328" spans="48:50" x14ac:dyDescent="0.3">
      <c r="AV328" t="str">
        <v>Data Analytics Course: ML</v>
      </c>
      <c r="AW328">
        <v>199</v>
      </c>
      <c r="AX328">
        <v>1.88</v>
      </c>
    </row>
    <row r="329" spans="48:50" x14ac:dyDescent="0.3">
      <c r="AV329" t="str">
        <v>Data Analytics Course: Basics</v>
      </c>
      <c r="AW329">
        <v>228</v>
      </c>
      <c r="AX329">
        <v>1.23</v>
      </c>
    </row>
    <row r="330" spans="48:50" x14ac:dyDescent="0.3">
      <c r="AV330" t="str">
        <v>Data Analytics Course: Visualizations</v>
      </c>
      <c r="AW330">
        <v>270</v>
      </c>
      <c r="AX330">
        <v>1.39</v>
      </c>
    </row>
    <row r="331" spans="48:50" x14ac:dyDescent="0.3">
      <c r="AV331" t="str">
        <v>Data Analytics Course: ML</v>
      </c>
      <c r="AW331">
        <v>214</v>
      </c>
      <c r="AX331">
        <v>1.08</v>
      </c>
    </row>
    <row r="332" spans="48:50" x14ac:dyDescent="0.3">
      <c r="AV332" t="str">
        <v>Data Analytics Course: Basics</v>
      </c>
      <c r="AW332">
        <v>195</v>
      </c>
      <c r="AX332">
        <v>2.0099999999999998</v>
      </c>
    </row>
    <row r="333" spans="48:50" x14ac:dyDescent="0.3">
      <c r="AV333" t="str">
        <v>Data Analytics Course: ML</v>
      </c>
      <c r="AW333">
        <v>185</v>
      </c>
      <c r="AX333">
        <v>1.46</v>
      </c>
    </row>
    <row r="334" spans="48:50" x14ac:dyDescent="0.3">
      <c r="AV334" t="str">
        <v>Data Analytics Course: Basics</v>
      </c>
      <c r="AW334">
        <v>218</v>
      </c>
      <c r="AX334">
        <v>1.33</v>
      </c>
    </row>
    <row r="335" spans="48:50" x14ac:dyDescent="0.3">
      <c r="AV335" t="str">
        <v>Data Analytics Course: Basics</v>
      </c>
      <c r="AW335">
        <v>193</v>
      </c>
      <c r="AX335">
        <v>2.42</v>
      </c>
    </row>
    <row r="336" spans="48:50" x14ac:dyDescent="0.3">
      <c r="AV336" t="str">
        <v>Data Analytics Course: ML</v>
      </c>
      <c r="AW336">
        <v>239</v>
      </c>
      <c r="AX336">
        <v>1.24</v>
      </c>
    </row>
    <row r="337" spans="48:50" x14ac:dyDescent="0.3">
      <c r="AV337" t="str">
        <v>Data Analytics Course: Visualizations</v>
      </c>
      <c r="AW337">
        <v>184</v>
      </c>
      <c r="AX337">
        <v>1.18</v>
      </c>
    </row>
    <row r="338" spans="48:50" x14ac:dyDescent="0.3">
      <c r="AV338" t="str">
        <v>Data Analytics Course: Visualizations</v>
      </c>
      <c r="AW338">
        <v>207</v>
      </c>
      <c r="AX338">
        <v>1.66</v>
      </c>
    </row>
    <row r="339" spans="48:50" x14ac:dyDescent="0.3">
      <c r="AV339" t="str">
        <v>Data Analytics Course: ML</v>
      </c>
      <c r="AW339">
        <v>199</v>
      </c>
      <c r="AX339">
        <v>1.07</v>
      </c>
    </row>
    <row r="340" spans="48:50" x14ac:dyDescent="0.3">
      <c r="AV340" t="str">
        <v>Data Analytics Course: ML</v>
      </c>
      <c r="AW340">
        <v>204</v>
      </c>
      <c r="AX340">
        <v>1.66</v>
      </c>
    </row>
    <row r="341" spans="48:50" x14ac:dyDescent="0.3">
      <c r="AV341" t="str">
        <v>Data Analytics Course: Basics</v>
      </c>
      <c r="AW341">
        <v>246</v>
      </c>
      <c r="AX341">
        <v>1.62</v>
      </c>
    </row>
    <row r="342" spans="48:50" x14ac:dyDescent="0.3">
      <c r="AV342" t="str">
        <v>Data Analytics Course: Advanced</v>
      </c>
      <c r="AW342">
        <v>240</v>
      </c>
      <c r="AX342">
        <v>0.78</v>
      </c>
    </row>
    <row r="343" spans="48:50" x14ac:dyDescent="0.3">
      <c r="AV343" t="str">
        <v>Data Analytics Course: Visualizations</v>
      </c>
      <c r="AW343">
        <v>187</v>
      </c>
      <c r="AX343">
        <v>1.17</v>
      </c>
    </row>
    <row r="344" spans="48:50" x14ac:dyDescent="0.3">
      <c r="AV344" t="str">
        <v>Data Analytics Course: Advanced</v>
      </c>
      <c r="AW344">
        <v>183</v>
      </c>
      <c r="AX344">
        <v>1.45</v>
      </c>
    </row>
    <row r="345" spans="48:50" x14ac:dyDescent="0.3">
      <c r="AV345" t="str">
        <v>Data Analytics Course: Basics</v>
      </c>
      <c r="AW345">
        <v>243</v>
      </c>
      <c r="AX345">
        <v>1.22</v>
      </c>
    </row>
    <row r="346" spans="48:50" x14ac:dyDescent="0.3">
      <c r="AV346" t="str">
        <v>Data Analytics Course: Visualizations</v>
      </c>
      <c r="AW346">
        <v>198</v>
      </c>
      <c r="AX346">
        <v>1.35</v>
      </c>
    </row>
    <row r="347" spans="48:50" x14ac:dyDescent="0.3">
      <c r="AV347" t="str">
        <v>Data Analytics Course: Advanced</v>
      </c>
      <c r="AW347">
        <v>239</v>
      </c>
      <c r="AX347">
        <v>1.28</v>
      </c>
    </row>
    <row r="348" spans="48:50" x14ac:dyDescent="0.3">
      <c r="AV348" t="str">
        <v>Data Analytics Course: ML</v>
      </c>
      <c r="AW348">
        <v>209</v>
      </c>
      <c r="AX348">
        <v>1.08</v>
      </c>
    </row>
    <row r="349" spans="48:50" x14ac:dyDescent="0.3">
      <c r="AV349" t="str">
        <v>Data Analytics Course: Advanced</v>
      </c>
      <c r="AW349">
        <v>225</v>
      </c>
      <c r="AX349">
        <v>1.1100000000000001</v>
      </c>
    </row>
    <row r="350" spans="48:50" x14ac:dyDescent="0.3">
      <c r="AV350" t="str">
        <v>Data Analytics Course: Visualizations</v>
      </c>
      <c r="AW350">
        <v>212</v>
      </c>
      <c r="AX350">
        <v>1.88</v>
      </c>
    </row>
    <row r="351" spans="48:50" x14ac:dyDescent="0.3">
      <c r="AV351" t="str">
        <v>Data Analytics Course: ML</v>
      </c>
      <c r="AW351">
        <v>225</v>
      </c>
      <c r="AX351">
        <v>1.48</v>
      </c>
    </row>
    <row r="352" spans="48:50" x14ac:dyDescent="0.3">
      <c r="AV352" t="str">
        <v>Data Analytics Course: Advanced</v>
      </c>
      <c r="AW352">
        <v>208</v>
      </c>
      <c r="AX352">
        <v>1.81</v>
      </c>
    </row>
    <row r="353" spans="48:50" x14ac:dyDescent="0.3">
      <c r="AV353" t="str">
        <v>Data Analytics Course: Basics</v>
      </c>
      <c r="AW353">
        <v>195</v>
      </c>
      <c r="AX353">
        <v>1.66</v>
      </c>
    </row>
    <row r="354" spans="48:50" x14ac:dyDescent="0.3">
      <c r="AV354" t="str">
        <v>Data Analytics Course: Visualizations</v>
      </c>
      <c r="AW354">
        <v>209</v>
      </c>
      <c r="AX354">
        <v>1.78</v>
      </c>
    </row>
    <row r="355" spans="48:50" x14ac:dyDescent="0.3">
      <c r="AV355" t="str">
        <v>Data Analytics Course: ML</v>
      </c>
      <c r="AW355">
        <v>244</v>
      </c>
      <c r="AX355">
        <v>0.56999999999999995</v>
      </c>
    </row>
    <row r="356" spans="48:50" x14ac:dyDescent="0.3">
      <c r="AV356" t="str">
        <v>Data Analytics Course: ML</v>
      </c>
      <c r="AW356">
        <v>228</v>
      </c>
      <c r="AX356">
        <v>0.91</v>
      </c>
    </row>
    <row r="357" spans="48:50" x14ac:dyDescent="0.3">
      <c r="AV357" t="str">
        <v>Data Analytics Course: ML</v>
      </c>
      <c r="AW357">
        <v>190</v>
      </c>
      <c r="AX357">
        <v>1.5</v>
      </c>
    </row>
    <row r="358" spans="48:50" x14ac:dyDescent="0.3">
      <c r="AV358" t="str">
        <v>Data Analytics Course: Basics</v>
      </c>
      <c r="AW358">
        <v>223</v>
      </c>
      <c r="AX358">
        <v>1.04</v>
      </c>
    </row>
    <row r="359" spans="48:50" x14ac:dyDescent="0.3">
      <c r="AV359" t="str">
        <v>Data Analytics Course: Visualizations</v>
      </c>
      <c r="AW359">
        <v>222</v>
      </c>
      <c r="AX359">
        <v>1.42</v>
      </c>
    </row>
    <row r="360" spans="48:50" x14ac:dyDescent="0.3">
      <c r="AV360" t="str">
        <v>Data Analytics Course: Basics</v>
      </c>
      <c r="AW360">
        <v>208</v>
      </c>
      <c r="AX360">
        <v>0.99</v>
      </c>
    </row>
    <row r="361" spans="48:50" x14ac:dyDescent="0.3">
      <c r="AV361" t="str">
        <v>Data Analytics Course: Advanced</v>
      </c>
      <c r="AW361">
        <v>235</v>
      </c>
      <c r="AX361">
        <v>1.69</v>
      </c>
    </row>
    <row r="362" spans="48:50" x14ac:dyDescent="0.3">
      <c r="AV362" t="str">
        <v>Data Analytics Course: Visualizations</v>
      </c>
      <c r="AW362">
        <v>185</v>
      </c>
      <c r="AX362">
        <v>1.52</v>
      </c>
    </row>
    <row r="363" spans="48:50" x14ac:dyDescent="0.3">
      <c r="AV363" t="str">
        <v>Data Analytics Course: Advanced</v>
      </c>
      <c r="AW363">
        <v>244</v>
      </c>
      <c r="AX363">
        <v>1.62</v>
      </c>
    </row>
    <row r="364" spans="48:50" x14ac:dyDescent="0.3">
      <c r="AV364" t="str">
        <v>Data Analytics Course: ML</v>
      </c>
      <c r="AW364">
        <v>201</v>
      </c>
      <c r="AX364">
        <v>2.3199999999999998</v>
      </c>
    </row>
    <row r="365" spans="48:50" x14ac:dyDescent="0.3">
      <c r="AV365" t="str">
        <v>Data Analytics Course: ML</v>
      </c>
      <c r="AW365">
        <v>198</v>
      </c>
      <c r="AX365">
        <v>1.6</v>
      </c>
    </row>
    <row r="366" spans="48:50" x14ac:dyDescent="0.3">
      <c r="AV366" t="str">
        <v>Data Analytics Course: ML</v>
      </c>
      <c r="AW366">
        <v>248</v>
      </c>
      <c r="AX366">
        <v>1.64</v>
      </c>
    </row>
    <row r="367" spans="48:50" x14ac:dyDescent="0.3">
      <c r="AV367" t="str">
        <v>Data Analytics Course: Basics</v>
      </c>
      <c r="AW367">
        <v>194</v>
      </c>
      <c r="AX367">
        <v>1.96</v>
      </c>
    </row>
    <row r="368" spans="48:50" x14ac:dyDescent="0.3">
      <c r="AV368" t="str">
        <v>Data Analytics Course: Basics</v>
      </c>
      <c r="AW368">
        <v>211</v>
      </c>
      <c r="AX368">
        <v>0.99</v>
      </c>
    </row>
    <row r="369" spans="48:50" x14ac:dyDescent="0.3">
      <c r="AV369" t="str">
        <v>Data Analytics Course: Visualizations</v>
      </c>
      <c r="AW369">
        <v>213</v>
      </c>
      <c r="AX369">
        <v>1.81</v>
      </c>
    </row>
    <row r="370" spans="48:50" x14ac:dyDescent="0.3">
      <c r="AV370" t="str">
        <v>Data Analytics Course: Basics</v>
      </c>
      <c r="AW370">
        <v>200</v>
      </c>
      <c r="AX370">
        <v>1.07</v>
      </c>
    </row>
    <row r="371" spans="48:50" x14ac:dyDescent="0.3">
      <c r="AV371" t="str">
        <v>Data Analytics Course: Basics</v>
      </c>
      <c r="AW371">
        <v>244</v>
      </c>
      <c r="AX371">
        <v>1.56</v>
      </c>
    </row>
    <row r="372" spans="48:50" x14ac:dyDescent="0.3">
      <c r="AV372" t="str">
        <v>Data Analytics Course: ML</v>
      </c>
      <c r="AW372">
        <v>235</v>
      </c>
      <c r="AX372">
        <v>1.59</v>
      </c>
    </row>
    <row r="373" spans="48:50" x14ac:dyDescent="0.3">
      <c r="AV373" t="str">
        <v>Data Analytics Course: Advanced</v>
      </c>
      <c r="AW373">
        <v>210</v>
      </c>
      <c r="AX373">
        <v>1.23</v>
      </c>
    </row>
    <row r="374" spans="48:50" x14ac:dyDescent="0.3">
      <c r="AV374" t="str">
        <v>Data Analytics Course: Basics</v>
      </c>
      <c r="AW374">
        <v>190</v>
      </c>
      <c r="AX374">
        <v>1.55</v>
      </c>
    </row>
    <row r="375" spans="48:50" x14ac:dyDescent="0.3">
      <c r="AV375" t="str">
        <v>Data Analytics Course: Visualizations</v>
      </c>
      <c r="AW375">
        <v>238</v>
      </c>
      <c r="AX375">
        <v>1.17</v>
      </c>
    </row>
    <row r="376" spans="48:50" x14ac:dyDescent="0.3">
      <c r="AV376" t="str">
        <v>Data Analytics Course: ML</v>
      </c>
      <c r="AW376">
        <v>201</v>
      </c>
      <c r="AX376">
        <v>1.8</v>
      </c>
    </row>
    <row r="377" spans="48:50" x14ac:dyDescent="0.3">
      <c r="AV377" t="str">
        <v>Data Analytics Course: Advanced</v>
      </c>
      <c r="AW377">
        <v>240</v>
      </c>
      <c r="AX377">
        <v>1.1599999999999999</v>
      </c>
    </row>
    <row r="378" spans="48:50" x14ac:dyDescent="0.3">
      <c r="AV378" t="str">
        <v>Data Analytics Course: Advanced</v>
      </c>
      <c r="AW378">
        <v>230</v>
      </c>
      <c r="AX378">
        <v>1.31</v>
      </c>
    </row>
    <row r="379" spans="48:50" x14ac:dyDescent="0.3">
      <c r="AV379" t="str">
        <v>Data Analytics Course: Basics</v>
      </c>
      <c r="AW379">
        <v>189</v>
      </c>
      <c r="AX379">
        <v>2.15</v>
      </c>
    </row>
    <row r="380" spans="48:50" x14ac:dyDescent="0.3">
      <c r="AV380" t="str">
        <v>Data Analytics Course: Advanced</v>
      </c>
      <c r="AW380">
        <v>180</v>
      </c>
      <c r="AX380">
        <v>1.66</v>
      </c>
    </row>
    <row r="381" spans="48:50" x14ac:dyDescent="0.3">
      <c r="AV381" t="str">
        <v>Data Analytics Course: Visualizations</v>
      </c>
      <c r="AW381">
        <v>237</v>
      </c>
      <c r="AX381">
        <v>0.98</v>
      </c>
    </row>
    <row r="382" spans="48:50" x14ac:dyDescent="0.3">
      <c r="AV382" t="str">
        <v>Data Analytics Course: Advanced</v>
      </c>
      <c r="AW382">
        <v>219</v>
      </c>
      <c r="AX382">
        <v>0.98</v>
      </c>
    </row>
    <row r="383" spans="48:50" x14ac:dyDescent="0.3">
      <c r="AV383" t="str">
        <v>Data Analytics Course: Visualizations</v>
      </c>
      <c r="AW383">
        <v>228</v>
      </c>
      <c r="AX383">
        <v>0.95</v>
      </c>
    </row>
    <row r="384" spans="48:50" x14ac:dyDescent="0.3">
      <c r="AV384" t="str">
        <v>Data Analytics Course: Visualizations</v>
      </c>
      <c r="AW384">
        <v>202</v>
      </c>
      <c r="AX384">
        <v>1.66</v>
      </c>
    </row>
    <row r="385" spans="48:50" x14ac:dyDescent="0.3">
      <c r="AV385" t="str">
        <v>Data Analytics Course: Visualizations</v>
      </c>
      <c r="AW385">
        <v>235</v>
      </c>
      <c r="AX385">
        <v>1.51</v>
      </c>
    </row>
    <row r="386" spans="48:50" x14ac:dyDescent="0.3">
      <c r="AV386" t="str">
        <v>Data Analytics Course: Visualizations</v>
      </c>
      <c r="AW386">
        <v>250</v>
      </c>
      <c r="AX386">
        <v>1.29</v>
      </c>
    </row>
    <row r="387" spans="48:50" x14ac:dyDescent="0.3">
      <c r="AV387" t="str">
        <v>Data Analytics Course: Advanced</v>
      </c>
      <c r="AW387">
        <v>232</v>
      </c>
      <c r="AX387">
        <v>1.29</v>
      </c>
    </row>
    <row r="388" spans="48:50" x14ac:dyDescent="0.3">
      <c r="AV388" t="str">
        <v>Data Analytics Course: Basics</v>
      </c>
      <c r="AW388">
        <v>206</v>
      </c>
      <c r="AX388">
        <v>1.36</v>
      </c>
    </row>
    <row r="389" spans="48:50" x14ac:dyDescent="0.3">
      <c r="AV389" t="str">
        <v>Data Analytics Course: ML</v>
      </c>
      <c r="AW389">
        <v>220</v>
      </c>
      <c r="AX389">
        <v>1.39</v>
      </c>
    </row>
    <row r="390" spans="48:50" x14ac:dyDescent="0.3">
      <c r="AV390" t="str">
        <v>Data Analytics Course: ML</v>
      </c>
      <c r="AW390">
        <v>201</v>
      </c>
      <c r="AX390">
        <v>1.37</v>
      </c>
    </row>
    <row r="391" spans="48:50" x14ac:dyDescent="0.3">
      <c r="AV391" t="str">
        <v>Data Analytics Course: Basics</v>
      </c>
      <c r="AW391">
        <v>200</v>
      </c>
      <c r="AX391">
        <v>1.1100000000000001</v>
      </c>
    </row>
    <row r="392" spans="48:50" x14ac:dyDescent="0.3">
      <c r="AV392" t="str">
        <v>Data Analytics Course: ML</v>
      </c>
      <c r="AW392">
        <v>222</v>
      </c>
      <c r="AX392">
        <v>1.29</v>
      </c>
    </row>
    <row r="393" spans="48:50" x14ac:dyDescent="0.3">
      <c r="AV393" t="str">
        <v>Data Analytics Course: Basics</v>
      </c>
      <c r="AW393">
        <v>189</v>
      </c>
      <c r="AX393">
        <v>1.54</v>
      </c>
    </row>
    <row r="394" spans="48:50" x14ac:dyDescent="0.3">
      <c r="AV394" t="str">
        <v>Data Analytics Course: ML</v>
      </c>
      <c r="AW394">
        <v>218</v>
      </c>
      <c r="AX394">
        <v>1.54</v>
      </c>
    </row>
    <row r="395" spans="48:50" x14ac:dyDescent="0.3">
      <c r="AV395" t="str">
        <v>Data Analytics Course: Visualizations</v>
      </c>
      <c r="AW395">
        <v>186</v>
      </c>
      <c r="AX395">
        <v>1.1599999999999999</v>
      </c>
    </row>
    <row r="396" spans="48:50" x14ac:dyDescent="0.3">
      <c r="AV396" t="str">
        <v>Data Analytics Course: ML</v>
      </c>
      <c r="AW396">
        <v>241</v>
      </c>
      <c r="AX396">
        <v>0.97</v>
      </c>
    </row>
    <row r="397" spans="48:50" x14ac:dyDescent="0.3">
      <c r="AV397" t="str">
        <v>Data Analytics Course: Advanced</v>
      </c>
      <c r="AW397">
        <v>196</v>
      </c>
      <c r="AX397">
        <v>1.58</v>
      </c>
    </row>
    <row r="398" spans="48:50" x14ac:dyDescent="0.3">
      <c r="AV398" t="str">
        <v>Data Analytics Course: Visualizations</v>
      </c>
      <c r="AW398">
        <v>215</v>
      </c>
      <c r="AX398">
        <v>1.43</v>
      </c>
    </row>
    <row r="399" spans="48:50" x14ac:dyDescent="0.3">
      <c r="AV399" t="str">
        <v>Data Analytics Course: Visualizations</v>
      </c>
      <c r="AW399">
        <v>183</v>
      </c>
      <c r="AX399">
        <v>0.76</v>
      </c>
    </row>
    <row r="400" spans="48:50" x14ac:dyDescent="0.3">
      <c r="AV400" t="str">
        <v>Data Analytics Course: Advanced</v>
      </c>
      <c r="AW400">
        <v>206</v>
      </c>
      <c r="AX400">
        <v>1.0900000000000001</v>
      </c>
    </row>
    <row r="401" spans="48:50" x14ac:dyDescent="0.3">
      <c r="AV401" t="str">
        <v>Data Analytics Course: Advanced</v>
      </c>
      <c r="AW401">
        <v>302</v>
      </c>
      <c r="AX401">
        <v>0.8</v>
      </c>
    </row>
    <row r="402" spans="48:50" x14ac:dyDescent="0.3">
      <c r="AV402" t="str">
        <v>Data Analytics Course: Advanced</v>
      </c>
      <c r="AW402">
        <v>225</v>
      </c>
      <c r="AX402">
        <v>1.08</v>
      </c>
    </row>
    <row r="403" spans="48:50" x14ac:dyDescent="0.3">
      <c r="AV403" t="str">
        <v>Data Analytics Course: Advanced</v>
      </c>
      <c r="AW403">
        <v>219</v>
      </c>
      <c r="AX403">
        <v>1.38</v>
      </c>
    </row>
    <row r="404" spans="48:50" x14ac:dyDescent="0.3">
      <c r="AV404" t="str">
        <v>Data Analytics Course: ML</v>
      </c>
      <c r="AW404">
        <v>237</v>
      </c>
      <c r="AX404">
        <v>1</v>
      </c>
    </row>
    <row r="405" spans="48:50" x14ac:dyDescent="0.3">
      <c r="AV405" t="str">
        <v>Data Analytics Course: Basics</v>
      </c>
      <c r="AW405">
        <v>232</v>
      </c>
      <c r="AX405">
        <v>1.52</v>
      </c>
    </row>
    <row r="406" spans="48:50" x14ac:dyDescent="0.3">
      <c r="AV406" t="str">
        <v>Data Analytics Course: Advanced</v>
      </c>
      <c r="AW406">
        <v>185</v>
      </c>
      <c r="AX406">
        <v>1.1499999999999999</v>
      </c>
    </row>
    <row r="407" spans="48:50" x14ac:dyDescent="0.3">
      <c r="AV407" t="str">
        <v>Data Analytics Course: Visualizations</v>
      </c>
      <c r="AW407">
        <v>199</v>
      </c>
      <c r="AX407">
        <v>1.1100000000000001</v>
      </c>
    </row>
    <row r="408" spans="48:50" x14ac:dyDescent="0.3">
      <c r="AV408" t="str">
        <v>Data Analytics Course: Advanced</v>
      </c>
      <c r="AW408">
        <v>239</v>
      </c>
      <c r="AX408">
        <v>1.56</v>
      </c>
    </row>
    <row r="409" spans="48:50" x14ac:dyDescent="0.3">
      <c r="AV409" t="str">
        <v>Data Analytics Course: ML</v>
      </c>
      <c r="AW409">
        <v>211</v>
      </c>
      <c r="AX409">
        <v>1.65</v>
      </c>
    </row>
    <row r="410" spans="48:50" x14ac:dyDescent="0.3">
      <c r="AV410" t="str">
        <v>Data Analytics Course: Visualizations</v>
      </c>
      <c r="AW410">
        <v>248</v>
      </c>
      <c r="AX410">
        <v>1.54</v>
      </c>
    </row>
    <row r="411" spans="48:50" x14ac:dyDescent="0.3">
      <c r="AV411" t="str">
        <v>Data Analytics Course: Advanced</v>
      </c>
      <c r="AW411">
        <v>224</v>
      </c>
      <c r="AX411">
        <v>0.97</v>
      </c>
    </row>
    <row r="412" spans="48:50" x14ac:dyDescent="0.3">
      <c r="AV412" t="str">
        <v>Data Analytics Course: Visualizations</v>
      </c>
      <c r="AW412">
        <v>215</v>
      </c>
      <c r="AX412">
        <v>1.46</v>
      </c>
    </row>
    <row r="413" spans="48:50" x14ac:dyDescent="0.3">
      <c r="AV413" t="str">
        <v>Data Analytics Course: ML</v>
      </c>
      <c r="AW413">
        <v>185</v>
      </c>
      <c r="AX413">
        <v>1.96</v>
      </c>
    </row>
    <row r="414" spans="48:50" x14ac:dyDescent="0.3">
      <c r="AV414" t="str">
        <v>Data Analytics Course: Visualizations</v>
      </c>
      <c r="AW414">
        <v>212</v>
      </c>
      <c r="AX414">
        <v>1.24</v>
      </c>
    </row>
    <row r="415" spans="48:50" x14ac:dyDescent="0.3">
      <c r="AV415" t="str">
        <v>Data Analytics Course: Basics</v>
      </c>
      <c r="AW415">
        <v>223</v>
      </c>
      <c r="AX415">
        <v>1.77</v>
      </c>
    </row>
    <row r="416" spans="48:50" x14ac:dyDescent="0.3">
      <c r="AV416" t="str">
        <v>Data Analytics Course: Advanced</v>
      </c>
      <c r="AW416">
        <v>153</v>
      </c>
      <c r="AX416">
        <v>2.0099999999999998</v>
      </c>
    </row>
    <row r="417" spans="48:50" x14ac:dyDescent="0.3">
      <c r="AV417" t="str">
        <v>Data Analytics Course: Basics</v>
      </c>
      <c r="AW417">
        <v>201</v>
      </c>
      <c r="AX417">
        <v>1.62</v>
      </c>
    </row>
    <row r="418" spans="48:50" x14ac:dyDescent="0.3">
      <c r="AV418" t="str">
        <v>Data Analytics Course: ML</v>
      </c>
      <c r="AW418">
        <v>229</v>
      </c>
      <c r="AX418">
        <v>1.63</v>
      </c>
    </row>
    <row r="419" spans="48:50" x14ac:dyDescent="0.3">
      <c r="AV419" t="str">
        <v>Data Analytics Course: Basics</v>
      </c>
      <c r="AW419">
        <v>242</v>
      </c>
      <c r="AX419">
        <v>0.96</v>
      </c>
    </row>
    <row r="420" spans="48:50" x14ac:dyDescent="0.3">
      <c r="AV420" t="str">
        <v>Data Analytics Course: ML</v>
      </c>
      <c r="AW420">
        <v>232</v>
      </c>
      <c r="AX420">
        <v>0.94</v>
      </c>
    </row>
    <row r="421" spans="48:50" x14ac:dyDescent="0.3">
      <c r="AV421" t="str">
        <v>Data Analytics Course: Basics</v>
      </c>
      <c r="AW421">
        <v>247</v>
      </c>
      <c r="AX421">
        <v>0.87</v>
      </c>
    </row>
    <row r="422" spans="48:50" x14ac:dyDescent="0.3">
      <c r="AV422" t="str">
        <v>Data Analytics Course: Advanced</v>
      </c>
      <c r="AW422">
        <v>247</v>
      </c>
      <c r="AX422">
        <v>1.59</v>
      </c>
    </row>
    <row r="423" spans="48:50" x14ac:dyDescent="0.3">
      <c r="AV423" t="str">
        <v>Data Analytics Course: Visualizations</v>
      </c>
      <c r="AW423">
        <v>218</v>
      </c>
      <c r="AX423">
        <v>1</v>
      </c>
    </row>
    <row r="424" spans="48:50" x14ac:dyDescent="0.3">
      <c r="AV424" t="str">
        <v>Data Analytics Course: ML</v>
      </c>
      <c r="AW424">
        <v>227</v>
      </c>
      <c r="AX424">
        <v>0.94</v>
      </c>
    </row>
    <row r="425" spans="48:50" x14ac:dyDescent="0.3">
      <c r="AV425" t="str">
        <v>Data Analytics Course: Basics</v>
      </c>
      <c r="AW425">
        <v>198</v>
      </c>
      <c r="AX425">
        <v>1.99</v>
      </c>
    </row>
    <row r="426" spans="48:50" x14ac:dyDescent="0.3">
      <c r="AV426" t="str">
        <v>Data Analytics Course: Basics</v>
      </c>
      <c r="AW426">
        <v>194</v>
      </c>
      <c r="AX426">
        <v>1.42</v>
      </c>
    </row>
    <row r="427" spans="48:50" x14ac:dyDescent="0.3">
      <c r="AV427" t="str">
        <v>Data Analytics Course: Basics</v>
      </c>
      <c r="AW427">
        <v>221</v>
      </c>
      <c r="AX427">
        <v>1.57</v>
      </c>
    </row>
    <row r="428" spans="48:50" x14ac:dyDescent="0.3">
      <c r="AV428" t="str">
        <v>Data Analytics Course: Basics</v>
      </c>
      <c r="AW428">
        <v>204</v>
      </c>
      <c r="AX428">
        <v>1.01</v>
      </c>
    </row>
    <row r="429" spans="48:50" x14ac:dyDescent="0.3">
      <c r="AV429" t="str">
        <v>Data Analytics Course: Advanced</v>
      </c>
      <c r="AW429">
        <v>185</v>
      </c>
      <c r="AX429">
        <v>2.0099999999999998</v>
      </c>
    </row>
    <row r="430" spans="48:50" x14ac:dyDescent="0.3">
      <c r="AV430" t="str">
        <v>Data Analytics Course: Visualizations</v>
      </c>
      <c r="AW430">
        <v>224</v>
      </c>
      <c r="AX430">
        <v>1.35</v>
      </c>
    </row>
    <row r="431" spans="48:50" x14ac:dyDescent="0.3">
      <c r="AV431" t="str">
        <v>Data Analytics Course: ML</v>
      </c>
      <c r="AW431">
        <v>249</v>
      </c>
      <c r="AX431">
        <v>0.85</v>
      </c>
    </row>
    <row r="432" spans="48:50" x14ac:dyDescent="0.3">
      <c r="AV432" t="str">
        <v>Data Analytics Course: Advanced</v>
      </c>
      <c r="AW432">
        <v>208</v>
      </c>
      <c r="AX432">
        <v>1.05</v>
      </c>
    </row>
    <row r="433" spans="48:50" x14ac:dyDescent="0.3">
      <c r="AV433" t="str">
        <v>Data Analytics Course: ML</v>
      </c>
      <c r="AW433">
        <v>243</v>
      </c>
      <c r="AX433">
        <v>1.57</v>
      </c>
    </row>
    <row r="434" spans="48:50" x14ac:dyDescent="0.3">
      <c r="AV434" t="str">
        <v>Data Analytics Course: Advanced</v>
      </c>
      <c r="AW434">
        <v>212</v>
      </c>
      <c r="AX434">
        <v>1.81</v>
      </c>
    </row>
    <row r="435" spans="48:50" x14ac:dyDescent="0.3">
      <c r="AV435" t="str">
        <v>Data Analytics Course: Visualizations</v>
      </c>
      <c r="AW435">
        <v>203</v>
      </c>
      <c r="AX435">
        <v>1.78</v>
      </c>
    </row>
    <row r="436" spans="48:50" x14ac:dyDescent="0.3">
      <c r="AV436" t="str">
        <v>Data Analytics Course: ML</v>
      </c>
      <c r="AW436">
        <v>210</v>
      </c>
      <c r="AX436">
        <v>1.78</v>
      </c>
    </row>
    <row r="437" spans="48:50" x14ac:dyDescent="0.3">
      <c r="AV437" t="str">
        <v>Data Analytics Course: Visualizations</v>
      </c>
      <c r="AW437">
        <v>234</v>
      </c>
      <c r="AX437">
        <v>1.54</v>
      </c>
    </row>
    <row r="438" spans="48:50" x14ac:dyDescent="0.3">
      <c r="AV438" t="str">
        <v>Data Analytics Course: Basics</v>
      </c>
      <c r="AW438">
        <v>198</v>
      </c>
      <c r="AX438">
        <v>1.8</v>
      </c>
    </row>
    <row r="439" spans="48:50" x14ac:dyDescent="0.3">
      <c r="AV439" t="str">
        <v>Data Analytics Course: Advanced</v>
      </c>
      <c r="AW439">
        <v>219</v>
      </c>
      <c r="AX439">
        <v>1.3</v>
      </c>
    </row>
    <row r="440" spans="48:50" x14ac:dyDescent="0.3">
      <c r="AV440" t="str">
        <v>Data Analytics Course: Basics</v>
      </c>
      <c r="AW440">
        <v>233</v>
      </c>
      <c r="AX440">
        <v>1.08</v>
      </c>
    </row>
    <row r="441" spans="48:50" x14ac:dyDescent="0.3">
      <c r="AV441" t="str">
        <v>Data Analytics Course: ML</v>
      </c>
      <c r="AW441">
        <v>181</v>
      </c>
      <c r="AX441">
        <v>1.34</v>
      </c>
    </row>
    <row r="442" spans="48:50" x14ac:dyDescent="0.3">
      <c r="AV442" t="str">
        <v>Data Analytics Course: Visualizations</v>
      </c>
      <c r="AW442">
        <v>192</v>
      </c>
      <c r="AX442">
        <v>2.09</v>
      </c>
    </row>
    <row r="443" spans="48:50" x14ac:dyDescent="0.3">
      <c r="AV443" t="str">
        <v>Data Analytics Course: Visualizations</v>
      </c>
      <c r="AW443">
        <v>186</v>
      </c>
      <c r="AX443">
        <v>1.1499999999999999</v>
      </c>
    </row>
    <row r="444" spans="48:50" x14ac:dyDescent="0.3">
      <c r="AV444" t="str">
        <v>Data Analytics Course: Advanced</v>
      </c>
      <c r="AW444">
        <v>186</v>
      </c>
      <c r="AX444">
        <v>1.1599999999999999</v>
      </c>
    </row>
    <row r="445" spans="48:50" x14ac:dyDescent="0.3">
      <c r="AV445" t="str">
        <v>Data Analytics Course: Basics</v>
      </c>
      <c r="AW445">
        <v>240</v>
      </c>
      <c r="AX445">
        <v>1.27</v>
      </c>
    </row>
    <row r="446" spans="48:50" x14ac:dyDescent="0.3">
      <c r="AV446" t="str">
        <v>Data Analytics Course: Visualizations</v>
      </c>
      <c r="AW446">
        <v>200</v>
      </c>
      <c r="AX446">
        <v>1.08</v>
      </c>
    </row>
    <row r="447" spans="48:50" x14ac:dyDescent="0.3">
      <c r="AV447" t="str">
        <v>Data Analytics Course: Basics</v>
      </c>
      <c r="AW447">
        <v>212</v>
      </c>
      <c r="AX447">
        <v>1.26</v>
      </c>
    </row>
    <row r="448" spans="48:50" x14ac:dyDescent="0.3">
      <c r="AV448" t="str">
        <v>Data Analytics Course: Advanced</v>
      </c>
      <c r="AW448">
        <v>236</v>
      </c>
      <c r="AX448">
        <v>1.05</v>
      </c>
    </row>
    <row r="449" spans="48:50" x14ac:dyDescent="0.3">
      <c r="AV449" t="str">
        <v>Data Analytics Course: Advanced</v>
      </c>
      <c r="AW449">
        <v>230</v>
      </c>
      <c r="AX449">
        <v>1.3</v>
      </c>
    </row>
    <row r="450" spans="48:50" x14ac:dyDescent="0.3">
      <c r="AV450" t="str">
        <v>Data Analytics Course: Visualizations</v>
      </c>
      <c r="AW450">
        <v>239</v>
      </c>
      <c r="AX450">
        <v>1.31</v>
      </c>
    </row>
    <row r="451" spans="48:50" x14ac:dyDescent="0.3">
      <c r="AV451" t="str">
        <v>Data Analytics Course: ML</v>
      </c>
      <c r="AW451">
        <v>210</v>
      </c>
      <c r="AX451">
        <v>1.26</v>
      </c>
    </row>
    <row r="452" spans="48:50" x14ac:dyDescent="0.3">
      <c r="AV452" t="str">
        <v>Data Analytics Course: Basics</v>
      </c>
      <c r="AW452">
        <v>245</v>
      </c>
      <c r="AX452">
        <v>1.59</v>
      </c>
    </row>
    <row r="453" spans="48:50" x14ac:dyDescent="0.3">
      <c r="AV453" t="str">
        <v>Data Analytics Course: Visualizations</v>
      </c>
      <c r="AW453">
        <v>212</v>
      </c>
      <c r="AX453">
        <v>0.88</v>
      </c>
    </row>
    <row r="454" spans="48:50" x14ac:dyDescent="0.3">
      <c r="AV454" t="str">
        <v>Data Analytics Course: Basics</v>
      </c>
      <c r="AW454">
        <v>207</v>
      </c>
      <c r="AX454">
        <v>1</v>
      </c>
    </row>
    <row r="455" spans="48:50" x14ac:dyDescent="0.3">
      <c r="AV455" t="str">
        <v>Data Analytics Course: Advanced</v>
      </c>
      <c r="AW455">
        <v>207</v>
      </c>
      <c r="AX455">
        <v>1.4</v>
      </c>
    </row>
    <row r="456" spans="48:50" x14ac:dyDescent="0.3">
      <c r="AV456" t="str">
        <v>Data Analytics Course: Advanced</v>
      </c>
      <c r="AW456">
        <v>242</v>
      </c>
      <c r="AX456">
        <v>0.91</v>
      </c>
    </row>
    <row r="457" spans="48:50" x14ac:dyDescent="0.3">
      <c r="AV457" t="str">
        <v>Data Analytics Course: Basics</v>
      </c>
      <c r="AW457">
        <v>249</v>
      </c>
      <c r="AX457">
        <v>1.54</v>
      </c>
    </row>
    <row r="458" spans="48:50" x14ac:dyDescent="0.3">
      <c r="AV458" t="str">
        <v>Data Analytics Course: Visualizations</v>
      </c>
      <c r="AW458">
        <v>201</v>
      </c>
      <c r="AX458">
        <v>1.0900000000000001</v>
      </c>
    </row>
    <row r="459" spans="48:50" x14ac:dyDescent="0.3">
      <c r="AV459" t="str">
        <v>Data Analytics Course: ML</v>
      </c>
      <c r="AW459">
        <v>235</v>
      </c>
      <c r="AX459">
        <v>0.91</v>
      </c>
    </row>
    <row r="460" spans="48:50" x14ac:dyDescent="0.3">
      <c r="AV460" t="str">
        <v>Data Analytics Course: ML</v>
      </c>
      <c r="AW460">
        <v>207</v>
      </c>
      <c r="AX460">
        <v>1.03</v>
      </c>
    </row>
    <row r="461" spans="48:50" x14ac:dyDescent="0.3">
      <c r="AV461" t="str">
        <v>Data Analytics Course: Advanced</v>
      </c>
      <c r="AW461">
        <v>183</v>
      </c>
      <c r="AX461">
        <v>1.75</v>
      </c>
    </row>
    <row r="462" spans="48:50" x14ac:dyDescent="0.3">
      <c r="AV462" t="str">
        <v>Data Analytics Course: Basics</v>
      </c>
      <c r="AW462">
        <v>246</v>
      </c>
      <c r="AX462">
        <v>1.58</v>
      </c>
    </row>
    <row r="463" spans="48:50" x14ac:dyDescent="0.3">
      <c r="AV463" t="str">
        <v>Data Analytics Course: Advanced</v>
      </c>
      <c r="AW463">
        <v>214</v>
      </c>
      <c r="AX463">
        <v>1.68</v>
      </c>
    </row>
    <row r="464" spans="48:50" x14ac:dyDescent="0.3">
      <c r="AV464" t="str">
        <v>Data Analytics Course: ML</v>
      </c>
      <c r="AW464">
        <v>238</v>
      </c>
      <c r="AX464">
        <v>1.48</v>
      </c>
    </row>
    <row r="465" spans="48:50" x14ac:dyDescent="0.3">
      <c r="AV465" t="str">
        <v>Data Analytics Course: Basics</v>
      </c>
      <c r="AW465">
        <v>223</v>
      </c>
      <c r="AX465">
        <v>1.41</v>
      </c>
    </row>
    <row r="466" spans="48:50" x14ac:dyDescent="0.3">
      <c r="AV466" t="str">
        <v>Data Analytics Course: Basics</v>
      </c>
      <c r="AW466">
        <v>203</v>
      </c>
      <c r="AX466">
        <v>1.59</v>
      </c>
    </row>
    <row r="467" spans="48:50" x14ac:dyDescent="0.3">
      <c r="AV467" t="str">
        <v>Data Analytics Course: Basics</v>
      </c>
      <c r="AW467">
        <v>195</v>
      </c>
      <c r="AX467">
        <v>1.4</v>
      </c>
    </row>
    <row r="468" spans="48:50" x14ac:dyDescent="0.3">
      <c r="AV468" t="str">
        <v>Data Analytics Course: Advanced</v>
      </c>
      <c r="AW468">
        <v>207</v>
      </c>
      <c r="AX468">
        <v>1.79</v>
      </c>
    </row>
    <row r="469" spans="48:50" x14ac:dyDescent="0.3">
      <c r="AV469" t="str">
        <v>Data Analytics Course: ML</v>
      </c>
      <c r="AW469">
        <v>189</v>
      </c>
      <c r="AX469">
        <v>0.74</v>
      </c>
    </row>
    <row r="470" spans="48:50" x14ac:dyDescent="0.3">
      <c r="AV470" t="str">
        <v>Data Analytics Course: Basics</v>
      </c>
      <c r="AW470">
        <v>208</v>
      </c>
      <c r="AX470">
        <v>1.89</v>
      </c>
    </row>
    <row r="471" spans="48:50" x14ac:dyDescent="0.3">
      <c r="AV471" t="str">
        <v>Data Analytics Course: Advanced</v>
      </c>
      <c r="AW471">
        <v>211</v>
      </c>
      <c r="AX471">
        <v>1.49</v>
      </c>
    </row>
    <row r="472" spans="48:50" x14ac:dyDescent="0.3">
      <c r="AV472" t="str">
        <v>Data Analytics Course: Advanced</v>
      </c>
      <c r="AW472">
        <v>213</v>
      </c>
      <c r="AX472">
        <v>1.08</v>
      </c>
    </row>
    <row r="473" spans="48:50" x14ac:dyDescent="0.3">
      <c r="AV473" t="str">
        <v>Data Analytics Course: Visualizations</v>
      </c>
      <c r="AW473">
        <v>230</v>
      </c>
      <c r="AX473">
        <v>1.77</v>
      </c>
    </row>
    <row r="474" spans="48:50" x14ac:dyDescent="0.3">
      <c r="AV474" t="str">
        <v>Data Analytics Course: Advanced</v>
      </c>
      <c r="AW474">
        <v>192</v>
      </c>
      <c r="AX474">
        <v>1.84</v>
      </c>
    </row>
    <row r="475" spans="48:50" x14ac:dyDescent="0.3">
      <c r="AV475" t="str">
        <v>Data Analytics Course: Advanced</v>
      </c>
      <c r="AW475">
        <v>183</v>
      </c>
      <c r="AX475">
        <v>1.59</v>
      </c>
    </row>
    <row r="476" spans="48:50" x14ac:dyDescent="0.3">
      <c r="AV476" t="str">
        <v>Data Analytics Course: Advanced</v>
      </c>
      <c r="AW476">
        <v>211</v>
      </c>
      <c r="AX476">
        <v>1.2</v>
      </c>
    </row>
    <row r="477" spans="48:50" x14ac:dyDescent="0.3">
      <c r="AV477" t="str">
        <v>Data Analytics Course: Visualizations</v>
      </c>
      <c r="AW477">
        <v>225</v>
      </c>
      <c r="AX477">
        <v>1.43</v>
      </c>
    </row>
    <row r="478" spans="48:50" x14ac:dyDescent="0.3">
      <c r="AV478" t="str">
        <v>Data Analytics Course: Advanced</v>
      </c>
      <c r="AW478">
        <v>189</v>
      </c>
      <c r="AX478">
        <v>1.99</v>
      </c>
    </row>
    <row r="479" spans="48:50" x14ac:dyDescent="0.3">
      <c r="AV479" t="str">
        <v>Data Analytics Course: ML</v>
      </c>
      <c r="AW479">
        <v>225</v>
      </c>
      <c r="AX479">
        <v>1.42</v>
      </c>
    </row>
    <row r="480" spans="48:50" x14ac:dyDescent="0.3">
      <c r="AV480" t="str">
        <v>Data Analytics Course: Visualizations</v>
      </c>
      <c r="AW480">
        <v>232</v>
      </c>
      <c r="AX480">
        <v>1.66</v>
      </c>
    </row>
    <row r="481" spans="48:50" x14ac:dyDescent="0.3">
      <c r="AV481" t="str">
        <v>Data Analytics Course: Visualizations</v>
      </c>
      <c r="AW481">
        <v>181</v>
      </c>
      <c r="AX481">
        <v>1.84</v>
      </c>
    </row>
    <row r="482" spans="48:50" x14ac:dyDescent="0.3">
      <c r="AV482" t="str">
        <v>Data Analytics Course: ML</v>
      </c>
      <c r="AW482">
        <v>214</v>
      </c>
      <c r="AX482">
        <v>1.51</v>
      </c>
    </row>
    <row r="483" spans="48:50" x14ac:dyDescent="0.3">
      <c r="AV483" t="str">
        <v>Data Analytics Course: Basics</v>
      </c>
      <c r="AW483">
        <v>181</v>
      </c>
      <c r="AX483">
        <v>1.43</v>
      </c>
    </row>
    <row r="484" spans="48:50" x14ac:dyDescent="0.3">
      <c r="AV484" t="str">
        <v>Data Analytics Course: ML</v>
      </c>
      <c r="AW484">
        <v>246</v>
      </c>
      <c r="AX484">
        <v>1.32</v>
      </c>
    </row>
    <row r="485" spans="48:50" x14ac:dyDescent="0.3">
      <c r="AV485" t="str">
        <v>Data Analytics Course: Advanced</v>
      </c>
      <c r="AW485">
        <v>218</v>
      </c>
      <c r="AX485">
        <v>1.19</v>
      </c>
    </row>
    <row r="486" spans="48:50" x14ac:dyDescent="0.3">
      <c r="AV486" t="str">
        <v>Data Analytics Course: ML</v>
      </c>
      <c r="AW486">
        <v>244</v>
      </c>
      <c r="AX486">
        <v>1.48</v>
      </c>
    </row>
    <row r="487" spans="48:50" x14ac:dyDescent="0.3">
      <c r="AV487" t="str">
        <v>Data Analytics Course: Basics</v>
      </c>
      <c r="AW487">
        <v>237</v>
      </c>
      <c r="AX487">
        <v>1.39</v>
      </c>
    </row>
    <row r="488" spans="48:50" x14ac:dyDescent="0.3">
      <c r="AV488" t="str">
        <v>Data Analytics Course: ML</v>
      </c>
      <c r="AW488">
        <v>185</v>
      </c>
      <c r="AX488">
        <v>1.1000000000000001</v>
      </c>
    </row>
    <row r="489" spans="48:50" x14ac:dyDescent="0.3">
      <c r="AV489" t="str">
        <v>Data Analytics Course: ML</v>
      </c>
      <c r="AW489">
        <v>223</v>
      </c>
      <c r="AX489">
        <v>1.41</v>
      </c>
    </row>
    <row r="490" spans="48:50" x14ac:dyDescent="0.3">
      <c r="AV490" t="str">
        <v>Data Analytics Course: Visualizations</v>
      </c>
      <c r="AW490">
        <v>241</v>
      </c>
      <c r="AX490">
        <v>1.62</v>
      </c>
    </row>
    <row r="491" spans="48:50" x14ac:dyDescent="0.3">
      <c r="AV491" t="str">
        <v>Data Analytics Course: Visualizations</v>
      </c>
      <c r="AW491">
        <v>222</v>
      </c>
      <c r="AX491">
        <v>0.92</v>
      </c>
    </row>
    <row r="492" spans="48:50" x14ac:dyDescent="0.3">
      <c r="AV492" t="str">
        <v>Data Analytics Course: ML</v>
      </c>
      <c r="AW492">
        <v>200</v>
      </c>
      <c r="AX492">
        <v>1.92</v>
      </c>
    </row>
    <row r="493" spans="48:50" x14ac:dyDescent="0.3">
      <c r="AV493" t="str">
        <v>Data Analytics Course: Visualizations</v>
      </c>
      <c r="AW493">
        <v>211</v>
      </c>
      <c r="AX493">
        <v>1.1100000000000001</v>
      </c>
    </row>
    <row r="494" spans="48:50" x14ac:dyDescent="0.3">
      <c r="AV494" t="str">
        <v>Data Analytics Course: Advanced</v>
      </c>
      <c r="AW494">
        <v>201</v>
      </c>
      <c r="AX494">
        <v>1.1399999999999999</v>
      </c>
    </row>
    <row r="495" spans="48:50" x14ac:dyDescent="0.3">
      <c r="AV495" t="str">
        <v>Data Analytics Course: Visualizations</v>
      </c>
      <c r="AW495">
        <v>233</v>
      </c>
      <c r="AX495">
        <v>1.24</v>
      </c>
    </row>
    <row r="496" spans="48:50" x14ac:dyDescent="0.3">
      <c r="AV496" t="str">
        <v>Data Analytics Course: Advanced</v>
      </c>
      <c r="AW496">
        <v>228</v>
      </c>
      <c r="AX496">
        <v>1.5</v>
      </c>
    </row>
    <row r="497" spans="48:50" x14ac:dyDescent="0.3">
      <c r="AV497" t="str">
        <v>Data Analytics Course: ML</v>
      </c>
      <c r="AW497">
        <v>204</v>
      </c>
      <c r="AX497">
        <v>1.21</v>
      </c>
    </row>
    <row r="498" spans="48:50" x14ac:dyDescent="0.3">
      <c r="AV498" t="str">
        <v>Data Analytics Course: Advanced</v>
      </c>
      <c r="AW498">
        <v>248</v>
      </c>
      <c r="AX498">
        <v>0.93</v>
      </c>
    </row>
    <row r="499" spans="48:50" x14ac:dyDescent="0.3">
      <c r="AV499" t="str">
        <v>Data Analytics Course: ML</v>
      </c>
      <c r="AW499">
        <v>239</v>
      </c>
      <c r="AX499">
        <v>1.28</v>
      </c>
    </row>
    <row r="500" spans="48:50" x14ac:dyDescent="0.3">
      <c r="AV500" t="str">
        <v>Data Analytics Course: Basics</v>
      </c>
      <c r="AW500">
        <v>202</v>
      </c>
      <c r="AX500">
        <v>1.93</v>
      </c>
    </row>
    <row r="501" spans="48:50" x14ac:dyDescent="0.3">
      <c r="AV501" t="str">
        <v>Data Analytics Course: ML</v>
      </c>
      <c r="AW501">
        <v>189</v>
      </c>
      <c r="AX501">
        <v>2.04</v>
      </c>
    </row>
    <row r="502" spans="48:50" x14ac:dyDescent="0.3">
      <c r="AV502" t="str">
        <v>Data Analytics Course: Visualizations</v>
      </c>
      <c r="AW502">
        <v>211</v>
      </c>
      <c r="AX502">
        <v>1.77</v>
      </c>
    </row>
    <row r="503" spans="48:50" x14ac:dyDescent="0.3">
      <c r="AV503" t="str">
        <v>Data Analytics Course: ML</v>
      </c>
      <c r="AW503">
        <v>212</v>
      </c>
      <c r="AX503">
        <v>1.39</v>
      </c>
    </row>
    <row r="504" spans="48:50" x14ac:dyDescent="0.3">
      <c r="AV504" t="str">
        <v>Data Analytics Course: Basics</v>
      </c>
      <c r="AW504">
        <v>205</v>
      </c>
      <c r="AX504">
        <v>1.59</v>
      </c>
    </row>
    <row r="505" spans="48:50" x14ac:dyDescent="0.3">
      <c r="AV505" t="str">
        <v>Data Analytics Course: Visualizations</v>
      </c>
      <c r="AW505">
        <v>218</v>
      </c>
      <c r="AX505">
        <v>1.78</v>
      </c>
    </row>
    <row r="506" spans="48:50" x14ac:dyDescent="0.3">
      <c r="AV506" t="str">
        <v>Data Analytics Course: Advanced</v>
      </c>
      <c r="AW506">
        <v>225</v>
      </c>
      <c r="AX506">
        <v>1.42</v>
      </c>
    </row>
    <row r="507" spans="48:50" x14ac:dyDescent="0.3">
      <c r="AV507" t="str">
        <v>Data Analytics Course: Basics</v>
      </c>
      <c r="AW507">
        <v>183</v>
      </c>
      <c r="AX507">
        <v>1.23</v>
      </c>
    </row>
    <row r="508" spans="48:50" x14ac:dyDescent="0.3">
      <c r="AV508" t="str">
        <v>Data Analytics Course: Advanced</v>
      </c>
      <c r="AW508">
        <v>199</v>
      </c>
      <c r="AX508">
        <v>1.8</v>
      </c>
    </row>
    <row r="509" spans="48:50" x14ac:dyDescent="0.3">
      <c r="AV509" t="str">
        <v>Data Analytics Course: Basics</v>
      </c>
      <c r="AW509">
        <v>248</v>
      </c>
      <c r="AX509">
        <v>1.07</v>
      </c>
    </row>
    <row r="510" spans="48:50" x14ac:dyDescent="0.3">
      <c r="AV510" t="str">
        <v>Data Analytics Course: Basics</v>
      </c>
      <c r="AW510">
        <v>222</v>
      </c>
      <c r="AX510">
        <v>1.23</v>
      </c>
    </row>
    <row r="511" spans="48:50" x14ac:dyDescent="0.3">
      <c r="AV511" t="str">
        <v>Data Analytics Course: Basics</v>
      </c>
      <c r="AW511">
        <v>256</v>
      </c>
      <c r="AX511">
        <v>1.01</v>
      </c>
    </row>
    <row r="512" spans="48:50" x14ac:dyDescent="0.3">
      <c r="AV512" t="str">
        <v>Data Analytics Course: Advanced</v>
      </c>
      <c r="AW512">
        <v>224</v>
      </c>
      <c r="AX512">
        <v>1.74</v>
      </c>
    </row>
    <row r="513" spans="48:50" x14ac:dyDescent="0.3">
      <c r="AV513" t="str">
        <v>Data Analytics Course: Visualizations</v>
      </c>
      <c r="AW513">
        <v>238</v>
      </c>
      <c r="AX513">
        <v>1.07</v>
      </c>
    </row>
    <row r="514" spans="48:50" x14ac:dyDescent="0.3">
      <c r="AV514" t="str">
        <v>Data Analytics Course: Advanced</v>
      </c>
      <c r="AW514">
        <v>196</v>
      </c>
      <c r="AX514">
        <v>1.43</v>
      </c>
    </row>
    <row r="515" spans="48:50" x14ac:dyDescent="0.3">
      <c r="AV515" t="str">
        <v>Data Analytics Course: Basics</v>
      </c>
      <c r="AW515">
        <v>285</v>
      </c>
      <c r="AX515">
        <v>0.9</v>
      </c>
    </row>
    <row r="516" spans="48:50" x14ac:dyDescent="0.3">
      <c r="AV516" t="str">
        <v>Data Analytics Course: Visualizations</v>
      </c>
      <c r="AW516">
        <v>237</v>
      </c>
      <c r="AX516">
        <v>1.43</v>
      </c>
    </row>
    <row r="517" spans="48:50" x14ac:dyDescent="0.3">
      <c r="AV517" t="str">
        <v>Data Analytics Course: Basics</v>
      </c>
      <c r="AW517">
        <v>222</v>
      </c>
      <c r="AX517">
        <v>1.19</v>
      </c>
    </row>
    <row r="518" spans="48:50" x14ac:dyDescent="0.3">
      <c r="AV518" t="str">
        <v>Data Analytics Course: Visualizations</v>
      </c>
      <c r="AW518">
        <v>208</v>
      </c>
      <c r="AX518">
        <v>1.85</v>
      </c>
    </row>
    <row r="519" spans="48:50" x14ac:dyDescent="0.3">
      <c r="AV519" t="str">
        <v>Data Analytics Course: Visualizations</v>
      </c>
      <c r="AW519">
        <v>182</v>
      </c>
      <c r="AX519">
        <v>1.4</v>
      </c>
    </row>
    <row r="520" spans="48:50" x14ac:dyDescent="0.3">
      <c r="AV520" t="str">
        <v>Data Analytics Course: ML</v>
      </c>
      <c r="AW520">
        <v>244</v>
      </c>
      <c r="AX520">
        <v>1.1499999999999999</v>
      </c>
    </row>
    <row r="521" spans="48:50" x14ac:dyDescent="0.3">
      <c r="AV521" t="str">
        <v>Data Analytics Course: Advanced</v>
      </c>
      <c r="AW521">
        <v>226</v>
      </c>
      <c r="AX521">
        <v>1.44</v>
      </c>
    </row>
    <row r="522" spans="48:50" x14ac:dyDescent="0.3">
      <c r="AV522" t="str">
        <v>Data Analytics Course: Advanced</v>
      </c>
      <c r="AW522">
        <v>182</v>
      </c>
      <c r="AX522">
        <v>1.67</v>
      </c>
    </row>
    <row r="523" spans="48:50" x14ac:dyDescent="0.3">
      <c r="AV523" t="str">
        <v>Data Analytics Course: Advanced</v>
      </c>
      <c r="AW523">
        <v>187</v>
      </c>
      <c r="AX523">
        <v>1.73</v>
      </c>
    </row>
    <row r="524" spans="48:50" x14ac:dyDescent="0.3">
      <c r="AV524" t="str">
        <v>Data Analytics Course: Basics</v>
      </c>
      <c r="AW524">
        <v>234</v>
      </c>
      <c r="AX524">
        <v>1.75</v>
      </c>
    </row>
    <row r="525" spans="48:50" x14ac:dyDescent="0.3">
      <c r="AV525" t="str">
        <v>Data Analytics Course: Advanced</v>
      </c>
      <c r="AW525">
        <v>247</v>
      </c>
      <c r="AX525">
        <v>1.32</v>
      </c>
    </row>
    <row r="526" spans="48:50" x14ac:dyDescent="0.3">
      <c r="AV526" t="str">
        <v>Data Analytics Course: Basics</v>
      </c>
      <c r="AW526">
        <v>214</v>
      </c>
      <c r="AX526">
        <v>1.52</v>
      </c>
    </row>
    <row r="527" spans="48:50" x14ac:dyDescent="0.3">
      <c r="AV527" t="str">
        <v>Data Analytics Course: Advanced</v>
      </c>
      <c r="AW527">
        <v>245</v>
      </c>
      <c r="AX527">
        <v>1.1399999999999999</v>
      </c>
    </row>
    <row r="528" spans="48:50" x14ac:dyDescent="0.3">
      <c r="AV528" t="str">
        <v>Data Analytics Course: ML</v>
      </c>
      <c r="AW528">
        <v>209</v>
      </c>
      <c r="AX528">
        <v>1.41</v>
      </c>
    </row>
    <row r="529" spans="48:50" x14ac:dyDescent="0.3">
      <c r="AV529" t="str">
        <v>Data Analytics Course: Visualizations</v>
      </c>
      <c r="AW529">
        <v>202</v>
      </c>
      <c r="AX529">
        <v>1.22</v>
      </c>
    </row>
    <row r="530" spans="48:50" x14ac:dyDescent="0.3">
      <c r="AV530" t="str">
        <v>Data Analytics Course: Basics</v>
      </c>
      <c r="AW530">
        <v>235</v>
      </c>
      <c r="AX530">
        <v>0.9</v>
      </c>
    </row>
    <row r="531" spans="48:50" x14ac:dyDescent="0.3">
      <c r="AV531" t="str">
        <v>Data Analytics Course: ML</v>
      </c>
      <c r="AW531">
        <v>240</v>
      </c>
      <c r="AX531">
        <v>1.44</v>
      </c>
    </row>
    <row r="532" spans="48:50" x14ac:dyDescent="0.3">
      <c r="AV532" t="str">
        <v>Data Analytics Course: ML</v>
      </c>
      <c r="AW532">
        <v>201</v>
      </c>
      <c r="AX532">
        <v>1.45</v>
      </c>
    </row>
    <row r="533" spans="48:50" x14ac:dyDescent="0.3">
      <c r="AV533" t="str">
        <v>Data Analytics Course: Visualizations</v>
      </c>
      <c r="AW533">
        <v>216</v>
      </c>
      <c r="AX533">
        <v>1.56</v>
      </c>
    </row>
    <row r="534" spans="48:50" x14ac:dyDescent="0.3">
      <c r="AV534" t="str">
        <v>Data Analytics Course: Advanced</v>
      </c>
      <c r="AW534">
        <v>191</v>
      </c>
      <c r="AX534">
        <v>1.21</v>
      </c>
    </row>
    <row r="535" spans="48:50" x14ac:dyDescent="0.3">
      <c r="AV535" t="str">
        <v>Data Analytics Course: Visualizations</v>
      </c>
      <c r="AW535">
        <v>203</v>
      </c>
      <c r="AX535">
        <v>1.75</v>
      </c>
    </row>
    <row r="536" spans="48:50" x14ac:dyDescent="0.3">
      <c r="AV536" t="str">
        <v>Data Analytics Course: ML</v>
      </c>
      <c r="AW536">
        <v>202</v>
      </c>
      <c r="AX536">
        <v>1.07</v>
      </c>
    </row>
    <row r="537" spans="48:50" x14ac:dyDescent="0.3">
      <c r="AV537" t="str">
        <v>Data Analytics Course: Advanced</v>
      </c>
      <c r="AW537">
        <v>218</v>
      </c>
      <c r="AX537">
        <v>1.1499999999999999</v>
      </c>
    </row>
    <row r="538" spans="48:50" x14ac:dyDescent="0.3">
      <c r="AV538" t="str">
        <v>Data Analytics Course: Basics</v>
      </c>
      <c r="AW538">
        <v>206</v>
      </c>
      <c r="AX538">
        <v>1.23</v>
      </c>
    </row>
    <row r="539" spans="48:50" x14ac:dyDescent="0.3">
      <c r="AV539" t="str">
        <v>Data Analytics Course: Advanced</v>
      </c>
      <c r="AW539">
        <v>247</v>
      </c>
      <c r="AX539">
        <v>0.96</v>
      </c>
    </row>
    <row r="540" spans="48:50" x14ac:dyDescent="0.3">
      <c r="AV540" t="str">
        <v>Data Analytics Course: Visualizations</v>
      </c>
      <c r="AW540">
        <v>233</v>
      </c>
      <c r="AX540">
        <v>0.88</v>
      </c>
    </row>
    <row r="541" spans="48:50" x14ac:dyDescent="0.3">
      <c r="AV541" t="str">
        <v>Data Analytics Course: Visualizations</v>
      </c>
      <c r="AW541">
        <v>201</v>
      </c>
      <c r="AX541">
        <v>1.5</v>
      </c>
    </row>
    <row r="542" spans="48:50" x14ac:dyDescent="0.3">
      <c r="AV542" t="str">
        <v>Data Analytics Course: Advanced</v>
      </c>
      <c r="AW542">
        <v>219</v>
      </c>
      <c r="AX542">
        <v>1.82</v>
      </c>
    </row>
    <row r="543" spans="48:50" x14ac:dyDescent="0.3">
      <c r="AV543" t="str">
        <v>Data Analytics Course: ML</v>
      </c>
      <c r="AW543">
        <v>245</v>
      </c>
      <c r="AX543">
        <v>1.24</v>
      </c>
    </row>
    <row r="544" spans="48:50" x14ac:dyDescent="0.3">
      <c r="AV544" t="str">
        <v>Data Analytics Course: ML</v>
      </c>
      <c r="AW544">
        <v>197</v>
      </c>
      <c r="AX544">
        <v>1.9</v>
      </c>
    </row>
    <row r="545" spans="48:50" x14ac:dyDescent="0.3">
      <c r="AV545" t="str">
        <v>Data Analytics Course: Basics</v>
      </c>
      <c r="AW545">
        <v>208</v>
      </c>
      <c r="AX545">
        <v>1.78</v>
      </c>
    </row>
    <row r="546" spans="48:50" x14ac:dyDescent="0.3">
      <c r="AV546" t="str">
        <v>Data Analytics Course: Visualizations</v>
      </c>
      <c r="AW546">
        <v>196</v>
      </c>
      <c r="AX546">
        <v>1.95</v>
      </c>
    </row>
    <row r="547" spans="48:50" x14ac:dyDescent="0.3">
      <c r="AV547" t="str">
        <v>Data Analytics Course: Basics</v>
      </c>
      <c r="AW547">
        <v>197</v>
      </c>
      <c r="AX547">
        <v>2.02</v>
      </c>
    </row>
    <row r="548" spans="48:50" x14ac:dyDescent="0.3">
      <c r="AV548" t="str">
        <v>Data Analytics Course: Advanced</v>
      </c>
      <c r="AW548">
        <v>198</v>
      </c>
      <c r="AX548">
        <v>1.2</v>
      </c>
    </row>
    <row r="549" spans="48:50" x14ac:dyDescent="0.3">
      <c r="AV549" t="str">
        <v>Data Analytics Course: ML</v>
      </c>
      <c r="AW549">
        <v>231</v>
      </c>
      <c r="AX549">
        <v>1.33</v>
      </c>
    </row>
    <row r="550" spans="48:50" x14ac:dyDescent="0.3">
      <c r="AV550" t="str">
        <v>Data Analytics Course: Visualizations</v>
      </c>
      <c r="AW550">
        <v>223</v>
      </c>
      <c r="AX550">
        <v>1.7</v>
      </c>
    </row>
    <row r="551" spans="48:50" x14ac:dyDescent="0.3">
      <c r="AV551" t="str">
        <v>Data Analytics Course: Visualizations</v>
      </c>
      <c r="AW551">
        <v>217</v>
      </c>
      <c r="AX551">
        <v>1.64</v>
      </c>
    </row>
    <row r="552" spans="48:50" x14ac:dyDescent="0.3">
      <c r="AV552" t="str">
        <v>Data Analytics Course: ML</v>
      </c>
      <c r="AW552">
        <v>193</v>
      </c>
      <c r="AX552">
        <v>1.29</v>
      </c>
    </row>
    <row r="553" spans="48:50" x14ac:dyDescent="0.3">
      <c r="AV553" t="str">
        <v>Data Analytics Course: Visualizations</v>
      </c>
      <c r="AW553">
        <v>181</v>
      </c>
      <c r="AX553">
        <v>2.06</v>
      </c>
    </row>
    <row r="554" spans="48:50" x14ac:dyDescent="0.3">
      <c r="AV554" t="str">
        <v>Data Analytics Course: ML</v>
      </c>
      <c r="AW554">
        <v>234</v>
      </c>
      <c r="AX554">
        <v>1.72</v>
      </c>
    </row>
    <row r="555" spans="48:50" x14ac:dyDescent="0.3">
      <c r="AV555" t="str">
        <v>Data Analytics Course: Basics</v>
      </c>
      <c r="AW555">
        <v>184</v>
      </c>
      <c r="AX555">
        <v>2.2000000000000002</v>
      </c>
    </row>
    <row r="556" spans="48:50" x14ac:dyDescent="0.3">
      <c r="AV556" t="str">
        <v>Data Analytics Course: Visualizations</v>
      </c>
      <c r="AW556">
        <v>247</v>
      </c>
      <c r="AX556">
        <v>1.59</v>
      </c>
    </row>
    <row r="557" spans="48:50" x14ac:dyDescent="0.3">
      <c r="AV557" t="str">
        <v>Data Analytics Course: Basics</v>
      </c>
      <c r="AW557">
        <v>200</v>
      </c>
      <c r="AX557">
        <v>1.49</v>
      </c>
    </row>
    <row r="558" spans="48:50" x14ac:dyDescent="0.3">
      <c r="AV558" t="str">
        <v>Data Analytics Course: ML</v>
      </c>
      <c r="AW558">
        <v>204</v>
      </c>
      <c r="AX558">
        <v>1.39</v>
      </c>
    </row>
    <row r="559" spans="48:50" x14ac:dyDescent="0.3">
      <c r="AV559" t="str">
        <v>Data Analytics Course: Visualizations</v>
      </c>
      <c r="AW559">
        <v>214</v>
      </c>
      <c r="AX559">
        <v>1.1200000000000001</v>
      </c>
    </row>
    <row r="560" spans="48:50" x14ac:dyDescent="0.3">
      <c r="AV560" t="str">
        <v>Data Analytics Course: Basics</v>
      </c>
      <c r="AW560">
        <v>210</v>
      </c>
      <c r="AX560">
        <v>1.89</v>
      </c>
    </row>
    <row r="561" spans="48:50" x14ac:dyDescent="0.3">
      <c r="AV561" t="str">
        <v>Data Analytics Course: Advanced</v>
      </c>
      <c r="AW561">
        <v>192</v>
      </c>
      <c r="AX561">
        <v>1.52</v>
      </c>
    </row>
    <row r="562" spans="48:50" x14ac:dyDescent="0.3">
      <c r="AV562" t="str">
        <v>Data Analytics Course: ML</v>
      </c>
      <c r="AW562">
        <v>178</v>
      </c>
      <c r="AX562">
        <v>1.7</v>
      </c>
    </row>
    <row r="563" spans="48:50" x14ac:dyDescent="0.3">
      <c r="AV563" t="str">
        <v>Data Analytics Course: Visualizations</v>
      </c>
      <c r="AW563">
        <v>206</v>
      </c>
      <c r="AX563">
        <v>1.41</v>
      </c>
    </row>
    <row r="564" spans="48:50" x14ac:dyDescent="0.3">
      <c r="AV564" t="str">
        <v>Data Analytics Course: Basics</v>
      </c>
      <c r="AW564">
        <v>222</v>
      </c>
      <c r="AX564">
        <v>1.29</v>
      </c>
    </row>
    <row r="565" spans="48:50" x14ac:dyDescent="0.3">
      <c r="AV565" t="str">
        <v>Data Analytics Course: Basics</v>
      </c>
      <c r="AW565">
        <v>241</v>
      </c>
      <c r="AX565">
        <v>1.65</v>
      </c>
    </row>
    <row r="566" spans="48:50" x14ac:dyDescent="0.3">
      <c r="AV566" t="str">
        <v>Data Analytics Course: Advanced</v>
      </c>
      <c r="AW566">
        <v>223</v>
      </c>
      <c r="AX566">
        <v>1.52</v>
      </c>
    </row>
    <row r="567" spans="48:50" x14ac:dyDescent="0.3">
      <c r="AV567" t="str">
        <v>Data Analytics Course: ML</v>
      </c>
      <c r="AW567">
        <v>196</v>
      </c>
      <c r="AX567">
        <v>1.52</v>
      </c>
    </row>
    <row r="568" spans="48:50" x14ac:dyDescent="0.3">
      <c r="AV568" t="str">
        <v>Data Analytics Course: ML</v>
      </c>
      <c r="AW568">
        <v>222</v>
      </c>
      <c r="AX568">
        <v>1.5</v>
      </c>
    </row>
    <row r="569" spans="48:50" x14ac:dyDescent="0.3">
      <c r="AV569" t="str">
        <v>Data Analytics Course: ML</v>
      </c>
      <c r="AW569">
        <v>196</v>
      </c>
      <c r="AX569">
        <v>1.19</v>
      </c>
    </row>
    <row r="570" spans="48:50" x14ac:dyDescent="0.3">
      <c r="AV570" t="str">
        <v>Data Analytics Course: Advanced</v>
      </c>
      <c r="AW570">
        <v>240</v>
      </c>
      <c r="AX570">
        <v>1.48</v>
      </c>
    </row>
    <row r="571" spans="48:50" x14ac:dyDescent="0.3">
      <c r="AV571" t="str">
        <v>Data Analytics Course: Advanced</v>
      </c>
      <c r="AW571">
        <v>181</v>
      </c>
      <c r="AX571">
        <v>2.21</v>
      </c>
    </row>
    <row r="572" spans="48:50" x14ac:dyDescent="0.3">
      <c r="AV572" t="str">
        <v>Data Analytics Course: Basics</v>
      </c>
      <c r="AW572">
        <v>235</v>
      </c>
      <c r="AX572">
        <v>1.1000000000000001</v>
      </c>
    </row>
    <row r="573" spans="48:50" x14ac:dyDescent="0.3">
      <c r="AV573" t="str">
        <v>Data Analytics Course: Visualizations</v>
      </c>
      <c r="AW573">
        <v>206</v>
      </c>
      <c r="AX573">
        <v>1.72</v>
      </c>
    </row>
    <row r="574" spans="48:50" x14ac:dyDescent="0.3">
      <c r="AV574" t="str">
        <v>Data Analytics Course: Visualizations</v>
      </c>
      <c r="AW574">
        <v>248</v>
      </c>
      <c r="AX574">
        <v>1.39</v>
      </c>
    </row>
    <row r="575" spans="48:50" x14ac:dyDescent="0.3">
      <c r="AV575" t="str">
        <v>Data Analytics Course: Visualizations</v>
      </c>
      <c r="AW575">
        <v>220</v>
      </c>
      <c r="AX575">
        <v>1.1299999999999999</v>
      </c>
    </row>
    <row r="576" spans="48:50" x14ac:dyDescent="0.3">
      <c r="AV576" t="str">
        <v>Data Analytics Course: Basics</v>
      </c>
      <c r="AW576">
        <v>242</v>
      </c>
      <c r="AX576">
        <v>1.01</v>
      </c>
    </row>
    <row r="577" spans="48:50" x14ac:dyDescent="0.3">
      <c r="AV577" t="str">
        <v>Data Analytics Course: Visualizations</v>
      </c>
      <c r="AW577">
        <v>224</v>
      </c>
      <c r="AX577">
        <v>0.99</v>
      </c>
    </row>
    <row r="578" spans="48:50" x14ac:dyDescent="0.3">
      <c r="AV578" t="str">
        <v>Data Analytics Course: Advanced</v>
      </c>
      <c r="AW578">
        <v>200</v>
      </c>
      <c r="AX578">
        <v>1.43</v>
      </c>
    </row>
    <row r="579" spans="48:50" x14ac:dyDescent="0.3">
      <c r="AV579" t="str">
        <v>Data Analytics Course: ML</v>
      </c>
      <c r="AW579">
        <v>243</v>
      </c>
      <c r="AX579">
        <v>1.66</v>
      </c>
    </row>
    <row r="580" spans="48:50" x14ac:dyDescent="0.3">
      <c r="AV580" t="str">
        <v>Data Analytics Course: Advanced</v>
      </c>
      <c r="AW580">
        <v>250</v>
      </c>
      <c r="AX580">
        <v>1.1299999999999999</v>
      </c>
    </row>
    <row r="581" spans="48:50" x14ac:dyDescent="0.3">
      <c r="AV581" t="str">
        <v>Data Analytics Course: Advanced</v>
      </c>
      <c r="AW581">
        <v>189</v>
      </c>
      <c r="AX581">
        <v>1.24</v>
      </c>
    </row>
    <row r="582" spans="48:50" x14ac:dyDescent="0.3">
      <c r="AV582" t="str">
        <v>Data Analytics Course: ML</v>
      </c>
      <c r="AW582">
        <v>181</v>
      </c>
      <c r="AX582">
        <v>2.08</v>
      </c>
    </row>
    <row r="583" spans="48:50" x14ac:dyDescent="0.3">
      <c r="AV583" t="str">
        <v>Data Analytics Course: Advanced</v>
      </c>
      <c r="AW583">
        <v>195</v>
      </c>
      <c r="AX583">
        <v>1.29</v>
      </c>
    </row>
    <row r="584" spans="48:50" x14ac:dyDescent="0.3">
      <c r="AV584" t="str">
        <v>Data Analytics Course: Visualizations</v>
      </c>
      <c r="AW584">
        <v>205</v>
      </c>
      <c r="AX584">
        <v>1.66</v>
      </c>
    </row>
    <row r="585" spans="48:50" x14ac:dyDescent="0.3">
      <c r="AV585" t="str">
        <v>Data Analytics Course: Basics</v>
      </c>
      <c r="AW585">
        <v>233</v>
      </c>
      <c r="AX585">
        <v>1.2</v>
      </c>
    </row>
    <row r="586" spans="48:50" x14ac:dyDescent="0.3">
      <c r="AV586" t="str">
        <v>Data Analytics Course: Visualizations</v>
      </c>
      <c r="AW586">
        <v>205</v>
      </c>
      <c r="AX586">
        <v>1.73</v>
      </c>
    </row>
    <row r="587" spans="48:50" x14ac:dyDescent="0.3">
      <c r="AV587" t="str">
        <v>Data Analytics Course: Basics</v>
      </c>
      <c r="AW587">
        <v>224</v>
      </c>
      <c r="AX587">
        <v>1.01</v>
      </c>
    </row>
    <row r="588" spans="48:50" x14ac:dyDescent="0.3">
      <c r="AV588" t="str">
        <v>Data Analytics Course: Basics</v>
      </c>
      <c r="AW588">
        <v>188</v>
      </c>
      <c r="AX588">
        <v>1.48</v>
      </c>
    </row>
    <row r="589" spans="48:50" x14ac:dyDescent="0.3">
      <c r="AV589" t="str">
        <v>Data Analytics Course: Basics</v>
      </c>
      <c r="AW589">
        <v>210</v>
      </c>
      <c r="AX589">
        <v>1.2</v>
      </c>
    </row>
    <row r="590" spans="48:50" x14ac:dyDescent="0.3">
      <c r="AV590" t="str">
        <v>Data Analytics Course: ML</v>
      </c>
      <c r="AW590">
        <v>247</v>
      </c>
      <c r="AX590">
        <v>1.01</v>
      </c>
    </row>
    <row r="591" spans="48:50" x14ac:dyDescent="0.3">
      <c r="AV591" t="str">
        <v>Data Analytics Course: Advanced</v>
      </c>
      <c r="AW591">
        <v>197</v>
      </c>
      <c r="AX591">
        <v>1.48</v>
      </c>
    </row>
    <row r="592" spans="48:50" x14ac:dyDescent="0.3">
      <c r="AV592" t="str">
        <v>Data Analytics Course: ML</v>
      </c>
      <c r="AW592">
        <v>240</v>
      </c>
      <c r="AX592">
        <v>1.63</v>
      </c>
    </row>
    <row r="593" spans="48:50" x14ac:dyDescent="0.3">
      <c r="AV593" t="str">
        <v>Data Analytics Course: Basics</v>
      </c>
      <c r="AW593">
        <v>243</v>
      </c>
      <c r="AX593">
        <v>1.29</v>
      </c>
    </row>
    <row r="594" spans="48:50" x14ac:dyDescent="0.3">
      <c r="AV594" t="str">
        <v>Data Analytics Course: Advanced</v>
      </c>
      <c r="AW594">
        <v>228</v>
      </c>
      <c r="AX594">
        <v>1.4</v>
      </c>
    </row>
    <row r="595" spans="48:50" x14ac:dyDescent="0.3">
      <c r="AV595" t="str">
        <v>Data Analytics Course: Basics</v>
      </c>
      <c r="AW595">
        <v>227</v>
      </c>
      <c r="AX595">
        <v>0.82</v>
      </c>
    </row>
    <row r="596" spans="48:50" x14ac:dyDescent="0.3">
      <c r="AV596" t="str">
        <v>Data Analytics Course: ML</v>
      </c>
      <c r="AW596">
        <v>243</v>
      </c>
      <c r="AX596">
        <v>1.5</v>
      </c>
    </row>
    <row r="597" spans="48:50" x14ac:dyDescent="0.3">
      <c r="AV597" t="str">
        <v>Data Analytics Course: Advanced</v>
      </c>
      <c r="AW597">
        <v>216</v>
      </c>
      <c r="AX597">
        <v>1.8</v>
      </c>
    </row>
    <row r="598" spans="48:50" x14ac:dyDescent="0.3">
      <c r="AV598" t="str">
        <v>Data Analytics Course: ML</v>
      </c>
      <c r="AW598">
        <v>204</v>
      </c>
      <c r="AX598">
        <v>1.73</v>
      </c>
    </row>
    <row r="599" spans="48:50" x14ac:dyDescent="0.3">
      <c r="AV599" t="str">
        <v>Data Analytics Course: Basics</v>
      </c>
      <c r="AW599">
        <v>224</v>
      </c>
      <c r="AX599">
        <v>1.29</v>
      </c>
    </row>
    <row r="600" spans="48:50" x14ac:dyDescent="0.3">
      <c r="AV600" t="str">
        <v>Data Analytics Course: Visualizations</v>
      </c>
      <c r="AW600">
        <v>219</v>
      </c>
      <c r="AX600">
        <v>1.46</v>
      </c>
    </row>
    <row r="601" spans="48:50" x14ac:dyDescent="0.3">
      <c r="AV601" t="str">
        <v>Data Analytics Course: ML</v>
      </c>
      <c r="AW601">
        <v>242</v>
      </c>
      <c r="AX601">
        <v>1.1599999999999999</v>
      </c>
    </row>
    <row r="602" spans="48:50" x14ac:dyDescent="0.3">
      <c r="AV602" t="str">
        <v>Data Analytics Course: Visualizations</v>
      </c>
      <c r="AW602">
        <v>214</v>
      </c>
      <c r="AX602">
        <v>1.01</v>
      </c>
    </row>
    <row r="603" spans="48:50" x14ac:dyDescent="0.3">
      <c r="AV603" t="str">
        <v>Data Analytics Course: Visualizations</v>
      </c>
      <c r="AW603">
        <v>223</v>
      </c>
      <c r="AX603">
        <v>1.57</v>
      </c>
    </row>
    <row r="604" spans="48:50" x14ac:dyDescent="0.3">
      <c r="AV604" t="str">
        <v>Data Analytics Course: ML</v>
      </c>
      <c r="AW604">
        <v>193</v>
      </c>
      <c r="AX604">
        <v>1.89</v>
      </c>
    </row>
    <row r="605" spans="48:50" x14ac:dyDescent="0.3">
      <c r="AV605" t="str">
        <v>Data Analytics Course: Basics</v>
      </c>
      <c r="AW605">
        <v>222</v>
      </c>
      <c r="AX605">
        <v>1.39</v>
      </c>
    </row>
    <row r="606" spans="48:50" x14ac:dyDescent="0.3">
      <c r="AV606" t="str">
        <v>Data Analytics Course: Basics</v>
      </c>
      <c r="AW606">
        <v>213</v>
      </c>
      <c r="AX606">
        <v>1.65</v>
      </c>
    </row>
    <row r="607" spans="48:50" x14ac:dyDescent="0.3">
      <c r="AV607" t="str">
        <v>Data Analytics Course: Basics</v>
      </c>
      <c r="AW607">
        <v>226</v>
      </c>
      <c r="AX607">
        <v>0.62</v>
      </c>
    </row>
    <row r="608" spans="48:50" x14ac:dyDescent="0.3">
      <c r="AV608" t="str">
        <v>Data Analytics Course: Visualizations</v>
      </c>
      <c r="AW608">
        <v>229</v>
      </c>
      <c r="AX608">
        <v>1.18</v>
      </c>
    </row>
    <row r="609" spans="48:50" x14ac:dyDescent="0.3">
      <c r="AV609" t="str">
        <v>Data Analytics Course: Basics</v>
      </c>
      <c r="AW609">
        <v>219</v>
      </c>
      <c r="AX609">
        <v>1.52</v>
      </c>
    </row>
    <row r="610" spans="48:50" x14ac:dyDescent="0.3">
      <c r="AV610" t="str">
        <v>Data Analytics Course: Visualizations</v>
      </c>
      <c r="AW610">
        <v>213</v>
      </c>
      <c r="AX610">
        <v>1.22</v>
      </c>
    </row>
    <row r="611" spans="48:50" x14ac:dyDescent="0.3">
      <c r="AV611" t="str">
        <v>Data Analytics Course: Advanced</v>
      </c>
      <c r="AW611">
        <v>208</v>
      </c>
      <c r="AX611">
        <v>1.18</v>
      </c>
    </row>
    <row r="612" spans="48:50" x14ac:dyDescent="0.3">
      <c r="AV612" t="str">
        <v>Data Analytics Course: Basics</v>
      </c>
      <c r="AW612">
        <v>230</v>
      </c>
      <c r="AX612">
        <v>1.25</v>
      </c>
    </row>
    <row r="613" spans="48:50" x14ac:dyDescent="0.3">
      <c r="AV613" t="str">
        <v>Data Analytics Course: Advanced</v>
      </c>
      <c r="AW613">
        <v>198</v>
      </c>
      <c r="AX613">
        <v>1.18</v>
      </c>
    </row>
    <row r="614" spans="48:50" x14ac:dyDescent="0.3">
      <c r="AV614" t="str">
        <v>Data Analytics Course: Advanced</v>
      </c>
      <c r="AW614">
        <v>181</v>
      </c>
      <c r="AX614">
        <v>1.29</v>
      </c>
    </row>
    <row r="615" spans="48:50" x14ac:dyDescent="0.3">
      <c r="AV615" t="str">
        <v>Data Analytics Course: ML</v>
      </c>
      <c r="AW615">
        <v>189</v>
      </c>
      <c r="AX615">
        <v>1.57</v>
      </c>
    </row>
    <row r="616" spans="48:50" x14ac:dyDescent="0.3">
      <c r="AV616" t="str">
        <v>Data Analytics Course: ML</v>
      </c>
      <c r="AW616">
        <v>224</v>
      </c>
      <c r="AX616">
        <v>1.74</v>
      </c>
    </row>
    <row r="617" spans="48:50" x14ac:dyDescent="0.3">
      <c r="AV617" t="str">
        <v>Data Analytics Course: ML</v>
      </c>
      <c r="AW617">
        <v>212</v>
      </c>
      <c r="AX617">
        <v>0.99</v>
      </c>
    </row>
    <row r="618" spans="48:50" x14ac:dyDescent="0.3">
      <c r="AV618" t="str">
        <v>Data Analytics Course: Advanced</v>
      </c>
      <c r="AW618">
        <v>245</v>
      </c>
      <c r="AX618">
        <v>1.52</v>
      </c>
    </row>
    <row r="619" spans="48:50" x14ac:dyDescent="0.3">
      <c r="AV619" t="str">
        <v>Data Analytics Course: Advanced</v>
      </c>
      <c r="AW619">
        <v>138</v>
      </c>
      <c r="AX619">
        <v>2.04</v>
      </c>
    </row>
    <row r="620" spans="48:50" x14ac:dyDescent="0.3">
      <c r="AV620" t="str">
        <v>Data Analytics Course: Basics</v>
      </c>
      <c r="AW620">
        <v>227</v>
      </c>
      <c r="AX620">
        <v>1.79</v>
      </c>
    </row>
    <row r="621" spans="48:50" x14ac:dyDescent="0.3">
      <c r="AV621" t="str">
        <v>Data Analytics Course: Visualizations</v>
      </c>
      <c r="AW621">
        <v>220</v>
      </c>
      <c r="AX621">
        <v>1.5</v>
      </c>
    </row>
    <row r="622" spans="48:50" x14ac:dyDescent="0.3">
      <c r="AV622" t="str">
        <v>Data Analytics Course: Visualizations</v>
      </c>
      <c r="AW622">
        <v>203</v>
      </c>
      <c r="AX622">
        <v>1.64</v>
      </c>
    </row>
    <row r="623" spans="48:50" x14ac:dyDescent="0.3">
      <c r="AV623" t="str">
        <v>Data Analytics Course: Visualizations</v>
      </c>
      <c r="AW623">
        <v>202</v>
      </c>
      <c r="AX623">
        <v>1.49</v>
      </c>
    </row>
    <row r="624" spans="48:50" x14ac:dyDescent="0.3">
      <c r="AV624" t="str">
        <v>Data Analytics Course: Visualizations</v>
      </c>
      <c r="AW624">
        <v>197</v>
      </c>
      <c r="AX624">
        <v>1.84</v>
      </c>
    </row>
    <row r="625" spans="48:50" x14ac:dyDescent="0.3">
      <c r="AV625" t="str">
        <v>Data Analytics Course: Basics</v>
      </c>
      <c r="AW625">
        <v>224</v>
      </c>
      <c r="AX625">
        <v>1.35</v>
      </c>
    </row>
    <row r="626" spans="48:50" x14ac:dyDescent="0.3">
      <c r="AV626" t="str">
        <v>Data Analytics Course: Visualizations</v>
      </c>
      <c r="AW626">
        <v>229</v>
      </c>
      <c r="AX626">
        <v>1.35</v>
      </c>
    </row>
    <row r="627" spans="48:50" x14ac:dyDescent="0.3">
      <c r="AV627" t="str">
        <v>Data Analytics Course: Advanced</v>
      </c>
      <c r="AW627">
        <v>231</v>
      </c>
      <c r="AX627">
        <v>1.48</v>
      </c>
    </row>
    <row r="628" spans="48:50" x14ac:dyDescent="0.3">
      <c r="AV628" t="str">
        <v>Data Analytics Course: Basics</v>
      </c>
      <c r="AW628">
        <v>215</v>
      </c>
      <c r="AX628">
        <v>0.96</v>
      </c>
    </row>
    <row r="629" spans="48:50" x14ac:dyDescent="0.3">
      <c r="AV629" t="str">
        <v>Data Analytics Course: Advanced</v>
      </c>
      <c r="AW629">
        <v>218</v>
      </c>
      <c r="AX629">
        <v>1.77</v>
      </c>
    </row>
    <row r="630" spans="48:50" x14ac:dyDescent="0.3">
      <c r="AV630" t="str">
        <v>Data Analytics Course: Visualizations</v>
      </c>
      <c r="AW630">
        <v>181</v>
      </c>
      <c r="AX630">
        <v>2.06</v>
      </c>
    </row>
    <row r="631" spans="48:50" x14ac:dyDescent="0.3">
      <c r="AV631" t="str">
        <v>Data Analytics Course: Basics</v>
      </c>
      <c r="AW631">
        <v>227</v>
      </c>
      <c r="AX631">
        <v>0.93</v>
      </c>
    </row>
    <row r="632" spans="48:50" x14ac:dyDescent="0.3">
      <c r="AV632" t="str">
        <v>Data Analytics Course: Basics</v>
      </c>
      <c r="AW632">
        <v>218</v>
      </c>
      <c r="AX632">
        <v>1.52</v>
      </c>
    </row>
    <row r="633" spans="48:50" x14ac:dyDescent="0.3">
      <c r="AV633" t="str">
        <v>Data Analytics Course: Basics</v>
      </c>
      <c r="AW633">
        <v>205</v>
      </c>
      <c r="AX633">
        <v>1.79</v>
      </c>
    </row>
    <row r="634" spans="48:50" x14ac:dyDescent="0.3">
      <c r="AV634" t="str">
        <v>Data Analytics Course: Basics</v>
      </c>
      <c r="AW634">
        <v>183</v>
      </c>
      <c r="AX634">
        <v>1.89</v>
      </c>
    </row>
    <row r="635" spans="48:50" x14ac:dyDescent="0.3">
      <c r="AV635" t="str">
        <v>Data Analytics Course: Advanced</v>
      </c>
      <c r="AW635">
        <v>229</v>
      </c>
      <c r="AX635">
        <v>1.02</v>
      </c>
    </row>
    <row r="636" spans="48:50" x14ac:dyDescent="0.3">
      <c r="AV636" t="str">
        <v>Data Analytics Course: Basics</v>
      </c>
      <c r="AW636">
        <v>185</v>
      </c>
      <c r="AX636">
        <v>2.02</v>
      </c>
    </row>
    <row r="637" spans="48:50" x14ac:dyDescent="0.3">
      <c r="AV637" t="str">
        <v>Data Analytics Course: Advanced</v>
      </c>
      <c r="AW637">
        <v>186</v>
      </c>
      <c r="AX637">
        <v>1.58</v>
      </c>
    </row>
    <row r="638" spans="48:50" x14ac:dyDescent="0.3">
      <c r="AV638" t="str">
        <v>Data Analytics Course: Advanced</v>
      </c>
      <c r="AW638">
        <v>181</v>
      </c>
      <c r="AX638">
        <v>1.91</v>
      </c>
    </row>
    <row r="639" spans="48:50" x14ac:dyDescent="0.3">
      <c r="AV639" t="str">
        <v>Data Analytics Course: Basics</v>
      </c>
      <c r="AW639">
        <v>192</v>
      </c>
      <c r="AX639">
        <v>1.55</v>
      </c>
    </row>
    <row r="640" spans="48:50" x14ac:dyDescent="0.3">
      <c r="AV640" t="str">
        <v>Data Analytics Course: Visualizations</v>
      </c>
      <c r="AW640">
        <v>229</v>
      </c>
      <c r="AX640">
        <v>0.92</v>
      </c>
    </row>
    <row r="641" spans="48:50" x14ac:dyDescent="0.3">
      <c r="AV641" t="str">
        <v>Data Analytics Course: Basics</v>
      </c>
      <c r="AW641">
        <v>199</v>
      </c>
      <c r="AX641">
        <v>1.96</v>
      </c>
    </row>
    <row r="642" spans="48:50" x14ac:dyDescent="0.3">
      <c r="AV642" t="str">
        <v>Data Analytics Course: ML</v>
      </c>
      <c r="AW642">
        <v>239</v>
      </c>
      <c r="AX642">
        <v>1.48</v>
      </c>
    </row>
    <row r="643" spans="48:50" x14ac:dyDescent="0.3">
      <c r="AV643" t="str">
        <v>Data Analytics Course: Advanced</v>
      </c>
      <c r="AW643">
        <v>228</v>
      </c>
      <c r="AX643">
        <v>1.31</v>
      </c>
    </row>
    <row r="644" spans="48:50" x14ac:dyDescent="0.3">
      <c r="AV644" t="str">
        <v>Data Analytics Course: Advanced</v>
      </c>
      <c r="AW644">
        <v>200</v>
      </c>
      <c r="AX644">
        <v>1.99</v>
      </c>
    </row>
    <row r="645" spans="48:50" x14ac:dyDescent="0.3">
      <c r="AV645" t="str">
        <v>Data Analytics Course: Advanced</v>
      </c>
      <c r="AW645">
        <v>236</v>
      </c>
      <c r="AX645">
        <v>1.1000000000000001</v>
      </c>
    </row>
    <row r="646" spans="48:50" x14ac:dyDescent="0.3">
      <c r="AV646" t="str">
        <v>Data Analytics Course: Basics</v>
      </c>
      <c r="AW646">
        <v>188</v>
      </c>
      <c r="AX646">
        <v>1.47</v>
      </c>
    </row>
    <row r="647" spans="48:50" x14ac:dyDescent="0.3">
      <c r="AV647" t="str">
        <v>Data Analytics Course: Basics</v>
      </c>
      <c r="AW647">
        <v>212</v>
      </c>
      <c r="AX647">
        <v>1.55</v>
      </c>
    </row>
    <row r="648" spans="48:50" x14ac:dyDescent="0.3">
      <c r="AV648" t="str">
        <v>Data Analytics Course: Basics</v>
      </c>
      <c r="AW648">
        <v>192</v>
      </c>
      <c r="AX648">
        <v>1.28</v>
      </c>
    </row>
    <row r="649" spans="48:50" x14ac:dyDescent="0.3">
      <c r="AV649" t="str">
        <v>Data Analytics Course: ML</v>
      </c>
      <c r="AW649">
        <v>180</v>
      </c>
      <c r="AX649">
        <v>1.65</v>
      </c>
    </row>
    <row r="650" spans="48:50" x14ac:dyDescent="0.3">
      <c r="AV650" t="str">
        <v>Data Analytics Course: ML</v>
      </c>
      <c r="AW650">
        <v>221</v>
      </c>
      <c r="AX650">
        <v>1.1399999999999999</v>
      </c>
    </row>
    <row r="651" spans="48:50" x14ac:dyDescent="0.3">
      <c r="AV651" t="str">
        <v>Data Analytics Course: ML</v>
      </c>
      <c r="AW651">
        <v>181</v>
      </c>
      <c r="AX651">
        <v>1.83</v>
      </c>
    </row>
    <row r="652" spans="48:50" x14ac:dyDescent="0.3">
      <c r="AV652" t="str">
        <v>Data Analytics Course: Advanced</v>
      </c>
      <c r="AW652">
        <v>180</v>
      </c>
      <c r="AX652">
        <v>1.56</v>
      </c>
    </row>
    <row r="653" spans="48:50" x14ac:dyDescent="0.3">
      <c r="AV653" t="str">
        <v>Data Analytics Course: Basics</v>
      </c>
      <c r="AW653">
        <v>245</v>
      </c>
      <c r="AX653">
        <v>1</v>
      </c>
    </row>
    <row r="654" spans="48:50" x14ac:dyDescent="0.3">
      <c r="AV654" t="str">
        <v>Data Analytics Course: Visualizations</v>
      </c>
      <c r="AW654">
        <v>194</v>
      </c>
      <c r="AX654">
        <v>2.1</v>
      </c>
    </row>
    <row r="655" spans="48:50" x14ac:dyDescent="0.3">
      <c r="AV655" t="str">
        <v>Data Analytics Course: Advanced</v>
      </c>
      <c r="AW655">
        <v>222</v>
      </c>
      <c r="AX655">
        <v>1.01</v>
      </c>
    </row>
    <row r="656" spans="48:50" x14ac:dyDescent="0.3">
      <c r="AV656" t="str">
        <v>Data Analytics Course: Basics</v>
      </c>
      <c r="AW656">
        <v>196</v>
      </c>
      <c r="AX656">
        <v>1.1000000000000001</v>
      </c>
    </row>
    <row r="657" spans="48:50" x14ac:dyDescent="0.3">
      <c r="AV657" t="str">
        <v>Data Analytics Course: Advanced</v>
      </c>
      <c r="AW657">
        <v>205</v>
      </c>
      <c r="AX657">
        <v>1.97</v>
      </c>
    </row>
    <row r="658" spans="48:50" x14ac:dyDescent="0.3">
      <c r="AV658" t="str">
        <v>Data Analytics Course: Visualizations</v>
      </c>
      <c r="AW658">
        <v>187</v>
      </c>
      <c r="AX658">
        <v>1.75</v>
      </c>
    </row>
    <row r="659" spans="48:50" x14ac:dyDescent="0.3">
      <c r="AV659" t="str">
        <v>Data Analytics Course: Advanced</v>
      </c>
      <c r="AW659">
        <v>226</v>
      </c>
      <c r="AX659">
        <v>0.97</v>
      </c>
    </row>
    <row r="660" spans="48:50" x14ac:dyDescent="0.3">
      <c r="AV660" t="str">
        <v>Data Analytics Course: Advanced</v>
      </c>
      <c r="AW660">
        <v>196</v>
      </c>
      <c r="AX660">
        <v>1.23</v>
      </c>
    </row>
    <row r="661" spans="48:50" x14ac:dyDescent="0.3">
      <c r="AV661" t="str">
        <v>Data Analytics Course: Basics</v>
      </c>
      <c r="AW661">
        <v>221</v>
      </c>
      <c r="AX661">
        <v>1.37</v>
      </c>
    </row>
    <row r="662" spans="48:50" x14ac:dyDescent="0.3">
      <c r="AV662" t="str">
        <v>Data Analytics Course: ML</v>
      </c>
      <c r="AW662">
        <v>218</v>
      </c>
      <c r="AX662">
        <v>1.68</v>
      </c>
    </row>
    <row r="663" spans="48:50" x14ac:dyDescent="0.3">
      <c r="AV663" t="str">
        <v>Data Analytics Course: Visualizations</v>
      </c>
      <c r="AW663">
        <v>208</v>
      </c>
      <c r="AX663">
        <v>1.48</v>
      </c>
    </row>
    <row r="664" spans="48:50" x14ac:dyDescent="0.3">
      <c r="AV664" t="str">
        <v>Data Analytics Course: Advanced</v>
      </c>
      <c r="AW664">
        <v>239</v>
      </c>
      <c r="AX664">
        <v>0.94</v>
      </c>
    </row>
    <row r="665" spans="48:50" x14ac:dyDescent="0.3">
      <c r="AV665" t="str">
        <v>Data Analytics Course: ML</v>
      </c>
      <c r="AW665">
        <v>210</v>
      </c>
      <c r="AX665">
        <v>1.87</v>
      </c>
    </row>
    <row r="666" spans="48:50" x14ac:dyDescent="0.3">
      <c r="AV666" t="str">
        <v>Data Analytics Course: Visualizations</v>
      </c>
      <c r="AW666">
        <v>207</v>
      </c>
      <c r="AX666">
        <v>1.54</v>
      </c>
    </row>
    <row r="667" spans="48:50" x14ac:dyDescent="0.3">
      <c r="AV667" t="str">
        <v>Data Analytics Course: Visualizations</v>
      </c>
      <c r="AW667">
        <v>237</v>
      </c>
      <c r="AX667">
        <v>1.08</v>
      </c>
    </row>
    <row r="668" spans="48:50" x14ac:dyDescent="0.3">
      <c r="AV668" t="str">
        <v>Data Analytics Course: Basics</v>
      </c>
      <c r="AW668">
        <v>188</v>
      </c>
      <c r="AX668">
        <v>1.82</v>
      </c>
    </row>
    <row r="669" spans="48:50" x14ac:dyDescent="0.3">
      <c r="AV669" t="str">
        <v>Data Analytics Course: Advanced</v>
      </c>
      <c r="AW669">
        <v>195</v>
      </c>
      <c r="AX669">
        <v>1.94</v>
      </c>
    </row>
    <row r="670" spans="48:50" x14ac:dyDescent="0.3">
      <c r="AV670" t="str">
        <v>Data Analytics Course: ML</v>
      </c>
      <c r="AW670">
        <v>193</v>
      </c>
      <c r="AX670">
        <v>1.08</v>
      </c>
    </row>
    <row r="671" spans="48:50" x14ac:dyDescent="0.3">
      <c r="AV671" t="str">
        <v>Data Analytics Course: Visualizations</v>
      </c>
      <c r="AW671">
        <v>252</v>
      </c>
      <c r="AX671">
        <v>1.47</v>
      </c>
    </row>
    <row r="672" spans="48:50" x14ac:dyDescent="0.3">
      <c r="AV672" t="str">
        <v>Data Analytics Course: ML</v>
      </c>
      <c r="AW672">
        <v>230</v>
      </c>
      <c r="AX672">
        <v>1.08</v>
      </c>
    </row>
    <row r="673" spans="48:50" x14ac:dyDescent="0.3">
      <c r="AV673" t="str">
        <v>Data Analytics Course: Advanced</v>
      </c>
      <c r="AW673">
        <v>212</v>
      </c>
      <c r="AX673">
        <v>1.47</v>
      </c>
    </row>
    <row r="674" spans="48:50" x14ac:dyDescent="0.3">
      <c r="AV674" t="str">
        <v>Data Analytics Course: Advanced</v>
      </c>
      <c r="AW674">
        <v>188</v>
      </c>
      <c r="AX674">
        <v>2.16</v>
      </c>
    </row>
    <row r="675" spans="48:50" x14ac:dyDescent="0.3">
      <c r="AV675" t="str">
        <v>Data Analytics Course: Basics</v>
      </c>
      <c r="AW675">
        <v>181</v>
      </c>
      <c r="AX675">
        <v>1.81</v>
      </c>
    </row>
    <row r="676" spans="48:50" x14ac:dyDescent="0.3">
      <c r="AV676" t="str">
        <v>Data Analytics Course: Visualizations</v>
      </c>
      <c r="AW676">
        <v>242</v>
      </c>
      <c r="AX676">
        <v>1.1599999999999999</v>
      </c>
    </row>
    <row r="677" spans="48:50" x14ac:dyDescent="0.3">
      <c r="AV677" t="str">
        <v>Data Analytics Course: Visualizations</v>
      </c>
      <c r="AW677">
        <v>236</v>
      </c>
      <c r="AX677">
        <v>0.99</v>
      </c>
    </row>
    <row r="678" spans="48:50" x14ac:dyDescent="0.3">
      <c r="AV678" t="str">
        <v>Data Analytics Course: Visualizations</v>
      </c>
      <c r="AW678">
        <v>232</v>
      </c>
      <c r="AX678">
        <v>1.45</v>
      </c>
    </row>
    <row r="679" spans="48:50" x14ac:dyDescent="0.3">
      <c r="AV679" t="str">
        <v>Data Analytics Course: ML</v>
      </c>
      <c r="AW679">
        <v>239</v>
      </c>
      <c r="AX679">
        <v>1.08</v>
      </c>
    </row>
    <row r="680" spans="48:50" x14ac:dyDescent="0.3">
      <c r="AV680" t="str">
        <v>Data Analytics Course: Advanced</v>
      </c>
      <c r="AW680">
        <v>191</v>
      </c>
      <c r="AX680">
        <v>1.5</v>
      </c>
    </row>
    <row r="681" spans="48:50" x14ac:dyDescent="0.3">
      <c r="AV681" t="str">
        <v>Data Analytics Course: Visualizations</v>
      </c>
      <c r="AW681">
        <v>222</v>
      </c>
      <c r="AX681">
        <v>1.51</v>
      </c>
    </row>
    <row r="682" spans="48:50" x14ac:dyDescent="0.3">
      <c r="AV682" t="str">
        <v>Data Analytics Course: Basics</v>
      </c>
      <c r="AW682">
        <v>192</v>
      </c>
      <c r="AX682">
        <v>1.66</v>
      </c>
    </row>
    <row r="683" spans="48:50" x14ac:dyDescent="0.3">
      <c r="AV683" t="str">
        <v>Data Analytics Course: Basics</v>
      </c>
      <c r="AW683">
        <v>248</v>
      </c>
      <c r="AX683">
        <v>0.92</v>
      </c>
    </row>
    <row r="684" spans="48:50" x14ac:dyDescent="0.3">
      <c r="AV684" t="str">
        <v>Data Analytics Course: Basics</v>
      </c>
      <c r="AW684">
        <v>213</v>
      </c>
      <c r="AX684">
        <v>1.01</v>
      </c>
    </row>
    <row r="685" spans="48:50" x14ac:dyDescent="0.3">
      <c r="AV685" t="str">
        <v>Data Analytics Course: Advanced</v>
      </c>
      <c r="AW685">
        <v>194</v>
      </c>
      <c r="AX685">
        <v>1.43</v>
      </c>
    </row>
    <row r="686" spans="48:50" x14ac:dyDescent="0.3">
      <c r="AV686" t="str">
        <v>Data Analytics Course: Basics</v>
      </c>
      <c r="AW686">
        <v>202</v>
      </c>
      <c r="AX686">
        <v>1.97</v>
      </c>
    </row>
    <row r="687" spans="48:50" x14ac:dyDescent="0.3">
      <c r="AV687" t="str">
        <v>Data Analytics Course: Basics</v>
      </c>
      <c r="AW687">
        <v>249</v>
      </c>
      <c r="AX687">
        <v>1.18</v>
      </c>
    </row>
    <row r="688" spans="48:50" x14ac:dyDescent="0.3">
      <c r="AV688" t="str">
        <v>Data Analytics Course: ML</v>
      </c>
      <c r="AW688">
        <v>223</v>
      </c>
      <c r="AX688">
        <v>0.96</v>
      </c>
    </row>
    <row r="689" spans="48:50" x14ac:dyDescent="0.3">
      <c r="AV689" t="str">
        <v>Data Analytics Course: Basics</v>
      </c>
      <c r="AW689">
        <v>193</v>
      </c>
      <c r="AX689">
        <v>1.46</v>
      </c>
    </row>
    <row r="690" spans="48:50" x14ac:dyDescent="0.3">
      <c r="AV690" t="str">
        <v>Data Analytics Course: ML</v>
      </c>
      <c r="AW690">
        <v>234</v>
      </c>
      <c r="AX690">
        <v>1.6</v>
      </c>
    </row>
    <row r="691" spans="48:50" x14ac:dyDescent="0.3">
      <c r="AV691" t="str">
        <v>Data Analytics Course: ML</v>
      </c>
      <c r="AW691">
        <v>187</v>
      </c>
      <c r="AX691">
        <v>1.97</v>
      </c>
    </row>
    <row r="692" spans="48:50" x14ac:dyDescent="0.3">
      <c r="AV692" t="str">
        <v>Data Analytics Course: Advanced</v>
      </c>
      <c r="AW692">
        <v>231</v>
      </c>
      <c r="AX692">
        <v>1.38</v>
      </c>
    </row>
    <row r="693" spans="48:50" x14ac:dyDescent="0.3">
      <c r="AV693" t="str">
        <v>Data Analytics Course: Advanced</v>
      </c>
      <c r="AW693">
        <v>203</v>
      </c>
      <c r="AX693">
        <v>1.28</v>
      </c>
    </row>
    <row r="694" spans="48:50" x14ac:dyDescent="0.3">
      <c r="AV694" t="str">
        <v>Data Analytics Course: ML</v>
      </c>
      <c r="AW694">
        <v>224</v>
      </c>
      <c r="AX694">
        <v>1.71</v>
      </c>
    </row>
    <row r="695" spans="48:50" x14ac:dyDescent="0.3">
      <c r="AV695" t="str">
        <v>Data Analytics Course: Advanced</v>
      </c>
      <c r="AW695">
        <v>186</v>
      </c>
      <c r="AX695">
        <v>1.61</v>
      </c>
    </row>
    <row r="696" spans="48:50" x14ac:dyDescent="0.3">
      <c r="AV696" t="str">
        <v>Data Analytics Course: Visualizations</v>
      </c>
      <c r="AW696">
        <v>229</v>
      </c>
      <c r="AX696">
        <v>1.23</v>
      </c>
    </row>
    <row r="697" spans="48:50" x14ac:dyDescent="0.3">
      <c r="AV697" t="str">
        <v>Data Analytics Course: Advanced</v>
      </c>
      <c r="AW697">
        <v>244</v>
      </c>
      <c r="AX697">
        <v>0.97</v>
      </c>
    </row>
    <row r="698" spans="48:50" x14ac:dyDescent="0.3">
      <c r="AV698" t="str">
        <v>Data Analytics Course: ML</v>
      </c>
      <c r="AW698">
        <v>192</v>
      </c>
      <c r="AX698">
        <v>1.93</v>
      </c>
    </row>
    <row r="699" spans="48:50" x14ac:dyDescent="0.3">
      <c r="AV699" t="str">
        <v>Data Analytics Course: Advanced</v>
      </c>
      <c r="AW699">
        <v>229</v>
      </c>
      <c r="AX699">
        <v>1.51</v>
      </c>
    </row>
    <row r="700" spans="48:50" x14ac:dyDescent="0.3">
      <c r="AV700" t="str">
        <v>Data Analytics Course: Visualizations</v>
      </c>
      <c r="AW700">
        <v>246</v>
      </c>
      <c r="AX700">
        <v>1.52</v>
      </c>
    </row>
    <row r="701" spans="48:50" x14ac:dyDescent="0.3">
      <c r="AV701" t="str">
        <v>Data Analytics Course: Basics</v>
      </c>
      <c r="AW701">
        <v>217</v>
      </c>
      <c r="AX701">
        <v>1.41</v>
      </c>
    </row>
    <row r="702" spans="48:50" x14ac:dyDescent="0.3">
      <c r="AV702" t="str">
        <v>Data Analytics Course: Basics</v>
      </c>
      <c r="AW702">
        <v>229</v>
      </c>
      <c r="AX702">
        <v>1.06</v>
      </c>
    </row>
    <row r="703" spans="48:50" x14ac:dyDescent="0.3">
      <c r="AV703" t="str">
        <v>Data Analytics Course: Visualizations</v>
      </c>
      <c r="AW703">
        <v>189</v>
      </c>
      <c r="AX703">
        <v>1.73</v>
      </c>
    </row>
    <row r="704" spans="48:50" x14ac:dyDescent="0.3">
      <c r="AV704" t="str">
        <v>Data Analytics Course: Visualizations</v>
      </c>
      <c r="AW704">
        <v>186</v>
      </c>
      <c r="AX704">
        <v>1.92</v>
      </c>
    </row>
    <row r="705" spans="48:50" x14ac:dyDescent="0.3">
      <c r="AV705" t="str">
        <v>Data Analytics Course: Advanced</v>
      </c>
      <c r="AW705">
        <v>236</v>
      </c>
      <c r="AX705">
        <v>1.1599999999999999</v>
      </c>
    </row>
    <row r="706" spans="48:50" x14ac:dyDescent="0.3">
      <c r="AV706" t="str">
        <v>Data Analytics Course: Advanced</v>
      </c>
      <c r="AW706">
        <v>218</v>
      </c>
      <c r="AX706">
        <v>1.85</v>
      </c>
    </row>
    <row r="707" spans="48:50" x14ac:dyDescent="0.3">
      <c r="AV707" t="str">
        <v>Data Analytics Course: Basics</v>
      </c>
      <c r="AW707">
        <v>193</v>
      </c>
      <c r="AX707">
        <v>1.24</v>
      </c>
    </row>
    <row r="708" spans="48:50" x14ac:dyDescent="0.3">
      <c r="AV708" t="str">
        <v>Data Analytics Course: Advanced</v>
      </c>
      <c r="AW708">
        <v>203</v>
      </c>
      <c r="AX708">
        <v>1.1299999999999999</v>
      </c>
    </row>
    <row r="709" spans="48:50" x14ac:dyDescent="0.3">
      <c r="AV709" t="str">
        <v>Data Analytics Course: ML</v>
      </c>
      <c r="AW709">
        <v>213</v>
      </c>
      <c r="AX709">
        <v>1.48</v>
      </c>
    </row>
    <row r="710" spans="48:50" x14ac:dyDescent="0.3">
      <c r="AV710" t="str">
        <v>Data Analytics Course: Advanced</v>
      </c>
      <c r="AW710">
        <v>243</v>
      </c>
      <c r="AX710">
        <v>1.51</v>
      </c>
    </row>
    <row r="711" spans="48:50" x14ac:dyDescent="0.3">
      <c r="AV711" t="str">
        <v>Data Analytics Course: Visualizations</v>
      </c>
      <c r="AW711">
        <v>193</v>
      </c>
      <c r="AX711">
        <v>1.08</v>
      </c>
    </row>
    <row r="712" spans="48:50" x14ac:dyDescent="0.3">
      <c r="AV712" t="str">
        <v>Data Analytics Course: Visualizations</v>
      </c>
      <c r="AW712">
        <v>197</v>
      </c>
      <c r="AX712">
        <v>1.1200000000000001</v>
      </c>
    </row>
    <row r="713" spans="48:50" x14ac:dyDescent="0.3">
      <c r="AV713" t="str">
        <v>Data Analytics Course: Basics</v>
      </c>
      <c r="AW713">
        <v>234</v>
      </c>
      <c r="AX713">
        <v>1.72</v>
      </c>
    </row>
    <row r="714" spans="48:50" x14ac:dyDescent="0.3">
      <c r="AV714" t="str">
        <v>Data Analytics Course: Advanced</v>
      </c>
      <c r="AW714">
        <v>229</v>
      </c>
      <c r="AX714">
        <v>1.28</v>
      </c>
    </row>
    <row r="715" spans="48:50" x14ac:dyDescent="0.3">
      <c r="AV715" t="str">
        <v>Data Analytics Course: Basics</v>
      </c>
      <c r="AW715">
        <v>213</v>
      </c>
      <c r="AX715">
        <v>1.1399999999999999</v>
      </c>
    </row>
    <row r="716" spans="48:50" x14ac:dyDescent="0.3">
      <c r="AV716" t="str">
        <v>Data Analytics Course: Basics</v>
      </c>
      <c r="AW716">
        <v>222</v>
      </c>
      <c r="AX716">
        <v>1.54</v>
      </c>
    </row>
    <row r="717" spans="48:50" x14ac:dyDescent="0.3">
      <c r="AV717" t="str">
        <v>Data Analytics Course: Advanced</v>
      </c>
      <c r="AW717">
        <v>211</v>
      </c>
      <c r="AX717">
        <v>1.29</v>
      </c>
    </row>
    <row r="718" spans="48:50" x14ac:dyDescent="0.3">
      <c r="AV718" t="str">
        <v>Data Analytics Course: ML</v>
      </c>
      <c r="AW718">
        <v>198</v>
      </c>
      <c r="AX718">
        <v>1.66</v>
      </c>
    </row>
    <row r="719" spans="48:50" x14ac:dyDescent="0.3">
      <c r="AV719" t="str">
        <v>Data Analytics Course: ML</v>
      </c>
      <c r="AW719">
        <v>224</v>
      </c>
      <c r="AX719">
        <v>1.22</v>
      </c>
    </row>
    <row r="720" spans="48:50" x14ac:dyDescent="0.3">
      <c r="AV720" t="str">
        <v>Data Analytics Course: Visualizations</v>
      </c>
      <c r="AW720">
        <v>246</v>
      </c>
      <c r="AX720">
        <v>1.43</v>
      </c>
    </row>
    <row r="721" spans="48:50" x14ac:dyDescent="0.3">
      <c r="AV721" t="str">
        <v>Data Analytics Course: Visualizations</v>
      </c>
      <c r="AW721">
        <v>232</v>
      </c>
      <c r="AX721">
        <v>1.36</v>
      </c>
    </row>
    <row r="722" spans="48:50" x14ac:dyDescent="0.3">
      <c r="AV722" t="str">
        <v>Data Analytics Course: ML</v>
      </c>
      <c r="AW722">
        <v>217</v>
      </c>
      <c r="AX722">
        <v>1.66</v>
      </c>
    </row>
    <row r="723" spans="48:50" x14ac:dyDescent="0.3">
      <c r="AV723" t="str">
        <v>Data Analytics Course: Basics</v>
      </c>
      <c r="AW723">
        <v>229</v>
      </c>
      <c r="AX723">
        <v>1.24</v>
      </c>
    </row>
    <row r="724" spans="48:50" x14ac:dyDescent="0.3">
      <c r="AV724" t="str">
        <v>Data Analytics Course: Basics</v>
      </c>
      <c r="AW724">
        <v>232</v>
      </c>
      <c r="AX724">
        <v>0.92</v>
      </c>
    </row>
    <row r="725" spans="48:50" x14ac:dyDescent="0.3">
      <c r="AV725" t="str">
        <v>Data Analytics Course: Advanced</v>
      </c>
      <c r="AW725">
        <v>189</v>
      </c>
      <c r="AX725">
        <v>1.72</v>
      </c>
    </row>
    <row r="726" spans="48:50" x14ac:dyDescent="0.3">
      <c r="AV726" t="str">
        <v>Data Analytics Course: Advanced</v>
      </c>
      <c r="AW726">
        <v>248</v>
      </c>
      <c r="AX726">
        <v>0.93</v>
      </c>
    </row>
    <row r="727" spans="48:50" x14ac:dyDescent="0.3">
      <c r="AV727" t="str">
        <v>Data Analytics Course: Advanced</v>
      </c>
      <c r="AW727">
        <v>265</v>
      </c>
      <c r="AX727">
        <v>0.87</v>
      </c>
    </row>
    <row r="728" spans="48:50" x14ac:dyDescent="0.3">
      <c r="AV728" t="str">
        <v>Data Analytics Course: Advanced</v>
      </c>
      <c r="AW728">
        <v>235</v>
      </c>
      <c r="AX728">
        <v>1.05</v>
      </c>
    </row>
    <row r="729" spans="48:50" x14ac:dyDescent="0.3">
      <c r="AV729" t="str">
        <v>Data Analytics Course: Advanced</v>
      </c>
      <c r="AW729">
        <v>236</v>
      </c>
      <c r="AX729">
        <v>0.96</v>
      </c>
    </row>
    <row r="730" spans="48:50" x14ac:dyDescent="0.3">
      <c r="AV730" t="str">
        <v>Data Analytics Course: Basics</v>
      </c>
      <c r="AW730">
        <v>221</v>
      </c>
      <c r="AX730">
        <v>1.31</v>
      </c>
    </row>
    <row r="731" spans="48:50" x14ac:dyDescent="0.3">
      <c r="AV731" t="str">
        <v>Data Analytics Course: Advanced</v>
      </c>
      <c r="AW731">
        <v>200</v>
      </c>
      <c r="AX731">
        <v>1.42</v>
      </c>
    </row>
    <row r="732" spans="48:50" x14ac:dyDescent="0.3">
      <c r="AV732" t="str">
        <v>Data Analytics Course: Basics</v>
      </c>
      <c r="AW732">
        <v>210</v>
      </c>
      <c r="AX732">
        <v>1.41</v>
      </c>
    </row>
    <row r="733" spans="48:50" x14ac:dyDescent="0.3">
      <c r="AV733" t="str">
        <v>Data Analytics Course: Basics</v>
      </c>
      <c r="AW733">
        <v>180</v>
      </c>
      <c r="AX733">
        <v>1.3</v>
      </c>
    </row>
    <row r="734" spans="48:50" x14ac:dyDescent="0.3">
      <c r="AV734" t="str">
        <v>Data Analytics Course: Advanced</v>
      </c>
      <c r="AW734">
        <v>239</v>
      </c>
      <c r="AX734">
        <v>1</v>
      </c>
    </row>
    <row r="735" spans="48:50" x14ac:dyDescent="0.3">
      <c r="AV735" t="str">
        <v>Data Analytics Course: Basics</v>
      </c>
      <c r="AW735">
        <v>249</v>
      </c>
      <c r="AX735">
        <v>1.24</v>
      </c>
    </row>
    <row r="736" spans="48:50" x14ac:dyDescent="0.3">
      <c r="AV736" t="str">
        <v>Data Analytics Course: ML</v>
      </c>
      <c r="AW736">
        <v>199</v>
      </c>
      <c r="AX736">
        <v>1.1299999999999999</v>
      </c>
    </row>
    <row r="737" spans="48:50" x14ac:dyDescent="0.3">
      <c r="AV737" t="str">
        <v>Data Analytics Course: Visualizations</v>
      </c>
      <c r="AW737">
        <v>186</v>
      </c>
      <c r="AX737">
        <v>1.57</v>
      </c>
    </row>
    <row r="738" spans="48:50" x14ac:dyDescent="0.3">
      <c r="AV738" t="str">
        <v>Data Analytics Course: ML</v>
      </c>
      <c r="AW738">
        <v>197</v>
      </c>
      <c r="AX738">
        <v>1.41</v>
      </c>
    </row>
    <row r="739" spans="48:50" x14ac:dyDescent="0.3">
      <c r="AV739" t="str">
        <v>Data Analytics Course: ML</v>
      </c>
      <c r="AW739">
        <v>210</v>
      </c>
      <c r="AX739">
        <v>1.65</v>
      </c>
    </row>
    <row r="740" spans="48:50" x14ac:dyDescent="0.3">
      <c r="AV740" t="str">
        <v>Data Analytics Course: ML</v>
      </c>
      <c r="AW740">
        <v>199</v>
      </c>
      <c r="AX740">
        <v>2.0499999999999998</v>
      </c>
    </row>
    <row r="741" spans="48:50" x14ac:dyDescent="0.3">
      <c r="AV741" t="str">
        <v>Data Analytics Course: Advanced</v>
      </c>
      <c r="AW741">
        <v>191</v>
      </c>
      <c r="AX741">
        <v>1.1599999999999999</v>
      </c>
    </row>
    <row r="742" spans="48:50" x14ac:dyDescent="0.3">
      <c r="AV742" t="str">
        <v>Data Analytics Course: Advanced</v>
      </c>
      <c r="AW742">
        <v>223</v>
      </c>
      <c r="AX742">
        <v>1.1399999999999999</v>
      </c>
    </row>
    <row r="743" spans="48:50" x14ac:dyDescent="0.3">
      <c r="AV743" t="str">
        <v>Data Analytics Course: Advanced</v>
      </c>
      <c r="AW743">
        <v>226</v>
      </c>
      <c r="AX743">
        <v>1.69</v>
      </c>
    </row>
    <row r="744" spans="48:50" x14ac:dyDescent="0.3">
      <c r="AV744" t="str">
        <v>Data Analytics Course: Visualizations</v>
      </c>
      <c r="AW744">
        <v>203</v>
      </c>
      <c r="AX744">
        <v>1.51</v>
      </c>
    </row>
    <row r="745" spans="48:50" x14ac:dyDescent="0.3">
      <c r="AV745" t="str">
        <v>Data Analytics Course: Visualizations</v>
      </c>
      <c r="AW745">
        <v>180</v>
      </c>
      <c r="AX745">
        <v>1.95</v>
      </c>
    </row>
    <row r="746" spans="48:50" x14ac:dyDescent="0.3">
      <c r="AV746" t="str">
        <v>Data Analytics Course: ML</v>
      </c>
      <c r="AW746">
        <v>184</v>
      </c>
      <c r="AX746">
        <v>1.36</v>
      </c>
    </row>
    <row r="747" spans="48:50" x14ac:dyDescent="0.3">
      <c r="AV747" t="str">
        <v>Data Analytics Course: Visualizations</v>
      </c>
      <c r="AW747">
        <v>209</v>
      </c>
      <c r="AX747">
        <v>1.73</v>
      </c>
    </row>
    <row r="748" spans="48:50" x14ac:dyDescent="0.3">
      <c r="AV748" t="str">
        <v>Data Analytics Course: Visualizations</v>
      </c>
      <c r="AW748">
        <v>292</v>
      </c>
      <c r="AX748">
        <v>0.86</v>
      </c>
    </row>
    <row r="749" spans="48:50" x14ac:dyDescent="0.3">
      <c r="AV749" t="str">
        <v>Data Analytics Course: Basics</v>
      </c>
      <c r="AW749">
        <v>240</v>
      </c>
      <c r="AX749">
        <v>1.4</v>
      </c>
    </row>
    <row r="750" spans="48:50" x14ac:dyDescent="0.3">
      <c r="AV750" t="str">
        <v>Data Analytics Course: Advanced</v>
      </c>
      <c r="AW750">
        <v>239</v>
      </c>
      <c r="AX750">
        <v>1.05</v>
      </c>
    </row>
    <row r="751" spans="48:50" x14ac:dyDescent="0.3">
      <c r="AV751" t="str">
        <v>Data Analytics Course: ML</v>
      </c>
      <c r="AW751">
        <v>192</v>
      </c>
      <c r="AX751">
        <v>1.32</v>
      </c>
    </row>
    <row r="752" spans="48:50" x14ac:dyDescent="0.3">
      <c r="AV752" t="str">
        <v>Data Analytics Course: Basics</v>
      </c>
      <c r="AW752">
        <v>188</v>
      </c>
      <c r="AX752">
        <v>1.95</v>
      </c>
    </row>
    <row r="753" spans="48:50" x14ac:dyDescent="0.3">
      <c r="AV753" t="str">
        <v>Data Analytics Course: Basics</v>
      </c>
      <c r="AW753">
        <v>225</v>
      </c>
      <c r="AX753">
        <v>1.45</v>
      </c>
    </row>
    <row r="754" spans="48:50" x14ac:dyDescent="0.3">
      <c r="AV754" t="str">
        <v>Data Analytics Course: Visualizations</v>
      </c>
      <c r="AW754">
        <v>221</v>
      </c>
      <c r="AX754">
        <v>1.06</v>
      </c>
    </row>
    <row r="755" spans="48:50" x14ac:dyDescent="0.3">
      <c r="AV755" t="str">
        <v>Data Analytics Course: ML</v>
      </c>
      <c r="AW755">
        <v>225</v>
      </c>
      <c r="AX755">
        <v>1.1000000000000001</v>
      </c>
    </row>
    <row r="756" spans="48:50" x14ac:dyDescent="0.3">
      <c r="AV756" t="str">
        <v>Data Analytics Course: Basics</v>
      </c>
      <c r="AW756">
        <v>187</v>
      </c>
      <c r="AX756">
        <v>1.5</v>
      </c>
    </row>
    <row r="757" spans="48:50" x14ac:dyDescent="0.3">
      <c r="AV757" t="str">
        <v>Data Analytics Course: Visualizations</v>
      </c>
      <c r="AW757">
        <v>233</v>
      </c>
      <c r="AX757">
        <v>1.59</v>
      </c>
    </row>
    <row r="758" spans="48:50" x14ac:dyDescent="0.3">
      <c r="AV758" t="str">
        <v>Data Analytics Course: Visualizations</v>
      </c>
      <c r="AW758">
        <v>199</v>
      </c>
      <c r="AX758">
        <v>1.18</v>
      </c>
    </row>
    <row r="759" spans="48:50" x14ac:dyDescent="0.3">
      <c r="AV759" t="str">
        <v>Data Analytics Course: Advanced</v>
      </c>
      <c r="AW759">
        <v>232</v>
      </c>
      <c r="AX759">
        <v>1.46</v>
      </c>
    </row>
    <row r="760" spans="48:50" x14ac:dyDescent="0.3">
      <c r="AV760" t="str">
        <v>Data Analytics Course: ML</v>
      </c>
      <c r="AW760">
        <v>197</v>
      </c>
      <c r="AX760">
        <v>1.26</v>
      </c>
    </row>
    <row r="761" spans="48:50" x14ac:dyDescent="0.3">
      <c r="AV761" t="str">
        <v>Data Analytics Course: Visualizations</v>
      </c>
      <c r="AW761">
        <v>199</v>
      </c>
      <c r="AX761">
        <v>1.76</v>
      </c>
    </row>
    <row r="762" spans="48:50" x14ac:dyDescent="0.3">
      <c r="AV762" t="str">
        <v>Data Analytics Course: Advanced</v>
      </c>
      <c r="AW762">
        <v>210</v>
      </c>
      <c r="AX762">
        <v>1.31</v>
      </c>
    </row>
    <row r="763" spans="48:50" x14ac:dyDescent="0.3">
      <c r="AV763" t="str">
        <v>Data Analytics Course: Visualizations</v>
      </c>
      <c r="AW763">
        <v>196</v>
      </c>
      <c r="AX763">
        <v>1.1100000000000001</v>
      </c>
    </row>
    <row r="764" spans="48:50" x14ac:dyDescent="0.3">
      <c r="AV764" t="str">
        <v>Data Analytics Course: Advanced</v>
      </c>
      <c r="AW764">
        <v>184</v>
      </c>
      <c r="AX764">
        <v>1.91</v>
      </c>
    </row>
    <row r="765" spans="48:50" x14ac:dyDescent="0.3">
      <c r="AV765" t="str">
        <v>Data Analytics Course: ML</v>
      </c>
      <c r="AW765">
        <v>240</v>
      </c>
      <c r="AX765">
        <v>1.1200000000000001</v>
      </c>
    </row>
    <row r="766" spans="48:50" x14ac:dyDescent="0.3">
      <c r="AV766" t="str">
        <v>Data Analytics Course: Basics</v>
      </c>
      <c r="AW766">
        <v>195</v>
      </c>
      <c r="AX766">
        <v>1.88</v>
      </c>
    </row>
    <row r="767" spans="48:50" x14ac:dyDescent="0.3">
      <c r="AV767" t="str">
        <v>Data Analytics Course: Advanced</v>
      </c>
      <c r="AW767">
        <v>235</v>
      </c>
      <c r="AX767">
        <v>1.32</v>
      </c>
    </row>
    <row r="768" spans="48:50" x14ac:dyDescent="0.3">
      <c r="AV768" t="str">
        <v>Data Analytics Course: Basics</v>
      </c>
      <c r="AW768">
        <v>243</v>
      </c>
      <c r="AX768">
        <v>1.73</v>
      </c>
    </row>
    <row r="769" spans="48:50" x14ac:dyDescent="0.3">
      <c r="AV769" t="str">
        <v>Data Analytics Course: Basics</v>
      </c>
      <c r="AW769">
        <v>242</v>
      </c>
      <c r="AX769">
        <v>1.42</v>
      </c>
    </row>
    <row r="770" spans="48:50" x14ac:dyDescent="0.3">
      <c r="AV770" t="str">
        <v>Data Analytics Course: Advanced</v>
      </c>
      <c r="AW770">
        <v>187</v>
      </c>
      <c r="AX770">
        <v>1.29</v>
      </c>
    </row>
    <row r="771" spans="48:50" x14ac:dyDescent="0.3">
      <c r="AV771" t="str">
        <v>Data Analytics Course: ML</v>
      </c>
      <c r="AW771">
        <v>249</v>
      </c>
      <c r="AX771">
        <v>1.63</v>
      </c>
    </row>
    <row r="772" spans="48:50" x14ac:dyDescent="0.3">
      <c r="AV772" t="str">
        <v>Data Analytics Course: Advanced</v>
      </c>
      <c r="AW772">
        <v>241</v>
      </c>
      <c r="AX772">
        <v>1.36</v>
      </c>
    </row>
    <row r="773" spans="48:50" x14ac:dyDescent="0.3">
      <c r="AV773" t="str">
        <v>Data Analytics Course: ML</v>
      </c>
      <c r="AW773">
        <v>206</v>
      </c>
      <c r="AX773">
        <v>1.94</v>
      </c>
    </row>
    <row r="774" spans="48:50" x14ac:dyDescent="0.3">
      <c r="AV774" t="str">
        <v>Data Analytics Course: Advanced</v>
      </c>
      <c r="AW774">
        <v>196</v>
      </c>
      <c r="AX774">
        <v>1.4</v>
      </c>
    </row>
    <row r="775" spans="48:50" x14ac:dyDescent="0.3">
      <c r="AV775" t="str">
        <v>Data Analytics Course: Visualizations</v>
      </c>
      <c r="AW775">
        <v>199</v>
      </c>
      <c r="AX775">
        <v>1.03</v>
      </c>
    </row>
    <row r="776" spans="48:50" x14ac:dyDescent="0.3">
      <c r="AV776" t="str">
        <v>Data Analytics Course: Visualizations</v>
      </c>
      <c r="AW776">
        <v>218</v>
      </c>
      <c r="AX776">
        <v>1.34</v>
      </c>
    </row>
    <row r="777" spans="48:50" x14ac:dyDescent="0.3">
      <c r="AV777" t="str">
        <v>Data Analytics Course: ML</v>
      </c>
      <c r="AW777">
        <v>244</v>
      </c>
      <c r="AX777">
        <v>1.06</v>
      </c>
    </row>
    <row r="778" spans="48:50" x14ac:dyDescent="0.3">
      <c r="AV778" t="str">
        <v>Data Analytics Course: Visualizations</v>
      </c>
      <c r="AW778">
        <v>222</v>
      </c>
      <c r="AX778">
        <v>1.0900000000000001</v>
      </c>
    </row>
    <row r="779" spans="48:50" x14ac:dyDescent="0.3">
      <c r="AV779" t="str">
        <v>Data Analytics Course: Basics</v>
      </c>
      <c r="AW779">
        <v>189</v>
      </c>
      <c r="AX779">
        <v>1.92</v>
      </c>
    </row>
    <row r="780" spans="48:50" x14ac:dyDescent="0.3">
      <c r="AV780" t="str">
        <v>Data Analytics Course: Advanced</v>
      </c>
      <c r="AW780">
        <v>198</v>
      </c>
      <c r="AX780">
        <v>1.99</v>
      </c>
    </row>
    <row r="781" spans="48:50" x14ac:dyDescent="0.3">
      <c r="AV781" t="str">
        <v>Data Analytics Course: Visualizations</v>
      </c>
      <c r="AW781">
        <v>214</v>
      </c>
      <c r="AX781">
        <v>1.69</v>
      </c>
    </row>
    <row r="782" spans="48:50" x14ac:dyDescent="0.3">
      <c r="AV782" t="str">
        <v>Data Analytics Course: Advanced</v>
      </c>
      <c r="AW782">
        <v>188</v>
      </c>
      <c r="AX782">
        <v>1.32</v>
      </c>
    </row>
    <row r="783" spans="48:50" x14ac:dyDescent="0.3">
      <c r="AV783" t="str">
        <v>Data Analytics Course: Basics</v>
      </c>
      <c r="AW783">
        <v>249</v>
      </c>
      <c r="AX783">
        <v>1.41</v>
      </c>
    </row>
    <row r="784" spans="48:50" x14ac:dyDescent="0.3">
      <c r="AV784" t="str">
        <v>Data Analytics Course: ML</v>
      </c>
      <c r="AW784">
        <v>216</v>
      </c>
      <c r="AX784">
        <v>1.67</v>
      </c>
    </row>
    <row r="785" spans="48:50" x14ac:dyDescent="0.3">
      <c r="AV785" t="str">
        <v>Data Analytics Course: Basics</v>
      </c>
      <c r="AW785">
        <v>261</v>
      </c>
      <c r="AX785">
        <v>1.38</v>
      </c>
    </row>
    <row r="786" spans="48:50" x14ac:dyDescent="0.3">
      <c r="AV786" t="str">
        <v>Data Analytics Course: Basics</v>
      </c>
      <c r="AW786">
        <v>218</v>
      </c>
      <c r="AX786">
        <v>1.86</v>
      </c>
    </row>
    <row r="787" spans="48:50" x14ac:dyDescent="0.3">
      <c r="AV787" t="str">
        <v>Data Analytics Course: ML</v>
      </c>
      <c r="AW787">
        <v>219</v>
      </c>
      <c r="AX787">
        <v>1.81</v>
      </c>
    </row>
    <row r="788" spans="48:50" x14ac:dyDescent="0.3">
      <c r="AV788" t="str">
        <v>Data Analytics Course: Basics</v>
      </c>
      <c r="AW788">
        <v>244</v>
      </c>
      <c r="AX788">
        <v>1.41</v>
      </c>
    </row>
    <row r="789" spans="48:50" x14ac:dyDescent="0.3">
      <c r="AV789" t="str">
        <v>Data Analytics Course: Basics</v>
      </c>
      <c r="AW789">
        <v>230</v>
      </c>
      <c r="AX789">
        <v>1.48</v>
      </c>
    </row>
    <row r="790" spans="48:50" x14ac:dyDescent="0.3">
      <c r="AV790" t="str">
        <v>Data Analytics Course: Visualizations</v>
      </c>
      <c r="AW790">
        <v>241</v>
      </c>
      <c r="AX790">
        <v>1.4</v>
      </c>
    </row>
    <row r="791" spans="48:50" x14ac:dyDescent="0.3">
      <c r="AV791" t="str">
        <v>Data Analytics Course: Visualizations</v>
      </c>
      <c r="AW791">
        <v>234</v>
      </c>
      <c r="AX791">
        <v>1.18</v>
      </c>
    </row>
    <row r="792" spans="48:50" x14ac:dyDescent="0.3">
      <c r="AV792" t="str">
        <v>Data Analytics Course: ML</v>
      </c>
      <c r="AW792">
        <v>204</v>
      </c>
      <c r="AX792">
        <v>1.44</v>
      </c>
    </row>
    <row r="793" spans="48:50" x14ac:dyDescent="0.3">
      <c r="AV793" t="str">
        <v>Data Analytics Course: ML</v>
      </c>
      <c r="AW793">
        <v>244</v>
      </c>
      <c r="AX793">
        <v>1.58</v>
      </c>
    </row>
    <row r="794" spans="48:50" x14ac:dyDescent="0.3">
      <c r="AV794" t="str">
        <v>Data Analytics Course: Advanced</v>
      </c>
      <c r="AW794">
        <v>244</v>
      </c>
      <c r="AX794">
        <v>0.84</v>
      </c>
    </row>
    <row r="795" spans="48:50" x14ac:dyDescent="0.3">
      <c r="AV795" t="str">
        <v>Data Analytics Course: Basics</v>
      </c>
      <c r="AW795">
        <v>239</v>
      </c>
      <c r="AX795">
        <v>1.5</v>
      </c>
    </row>
    <row r="796" spans="48:50" x14ac:dyDescent="0.3">
      <c r="AV796" t="str">
        <v>Data Analytics Course: Visualizations</v>
      </c>
      <c r="AW796">
        <v>220</v>
      </c>
      <c r="AX796">
        <v>1.07</v>
      </c>
    </row>
    <row r="797" spans="48:50" x14ac:dyDescent="0.3">
      <c r="AV797" t="str">
        <v>Data Analytics Course: Advanced</v>
      </c>
      <c r="AW797">
        <v>183</v>
      </c>
      <c r="AX797">
        <v>2.13</v>
      </c>
    </row>
    <row r="798" spans="48:50" x14ac:dyDescent="0.3">
      <c r="AV798" t="str">
        <v>Data Analytics Course: Visualizations</v>
      </c>
      <c r="AW798">
        <v>218</v>
      </c>
      <c r="AX798">
        <v>1.69</v>
      </c>
    </row>
    <row r="799" spans="48:50" x14ac:dyDescent="0.3">
      <c r="AV799" t="str">
        <v>Data Analytics Course: Advanced</v>
      </c>
      <c r="AW799">
        <v>181</v>
      </c>
      <c r="AX799">
        <v>1.88</v>
      </c>
    </row>
    <row r="800" spans="48:50" x14ac:dyDescent="0.3">
      <c r="AV800" t="str">
        <v>Data Analytics Course: Basics</v>
      </c>
      <c r="AW800">
        <v>200</v>
      </c>
      <c r="AX800">
        <v>1.67</v>
      </c>
    </row>
    <row r="801" spans="48:50" x14ac:dyDescent="0.3">
      <c r="AV801" t="str">
        <v>Data Analytics Course: Basics</v>
      </c>
      <c r="AW801">
        <v>249</v>
      </c>
      <c r="AX801">
        <v>1.21</v>
      </c>
    </row>
    <row r="802" spans="48:50" x14ac:dyDescent="0.3">
      <c r="AV802" t="str">
        <v>Data Analytics Course: Advanced</v>
      </c>
      <c r="AW802">
        <v>209</v>
      </c>
      <c r="AX802">
        <v>1.82</v>
      </c>
    </row>
    <row r="803" spans="48:50" x14ac:dyDescent="0.3">
      <c r="AV803" t="str">
        <v>Data Analytics Course: ML</v>
      </c>
      <c r="AW803">
        <v>210</v>
      </c>
      <c r="AX803">
        <v>1.8</v>
      </c>
    </row>
    <row r="804" spans="48:50" x14ac:dyDescent="0.3">
      <c r="AV804" t="str">
        <v>Data Analytics Course: Visualizations</v>
      </c>
      <c r="AW804">
        <v>217</v>
      </c>
      <c r="AX804">
        <v>1.1299999999999999</v>
      </c>
    </row>
    <row r="805" spans="48:50" x14ac:dyDescent="0.3">
      <c r="AV805" t="str">
        <v>Data Analytics Course: Advanced</v>
      </c>
      <c r="AW805">
        <v>216</v>
      </c>
      <c r="AX805">
        <v>1.54</v>
      </c>
    </row>
    <row r="806" spans="48:50" x14ac:dyDescent="0.3">
      <c r="AV806" t="str">
        <v>Data Analytics Course: Advanced</v>
      </c>
      <c r="AW806">
        <v>220</v>
      </c>
      <c r="AX806">
        <v>1.17</v>
      </c>
    </row>
    <row r="807" spans="48:50" x14ac:dyDescent="0.3">
      <c r="AV807" t="str">
        <v>Data Analytics Course: Visualizations</v>
      </c>
      <c r="AW807">
        <v>234</v>
      </c>
      <c r="AX807">
        <v>1.72</v>
      </c>
    </row>
    <row r="808" spans="48:50" x14ac:dyDescent="0.3">
      <c r="AV808" t="str">
        <v>Data Analytics Course: Advanced</v>
      </c>
      <c r="AW808">
        <v>249</v>
      </c>
      <c r="AX808">
        <v>0.92</v>
      </c>
    </row>
    <row r="809" spans="48:50" x14ac:dyDescent="0.3">
      <c r="AV809" t="str">
        <v>Data Analytics Course: Basics</v>
      </c>
      <c r="AW809">
        <v>228</v>
      </c>
      <c r="AX809">
        <v>1.73</v>
      </c>
    </row>
    <row r="810" spans="48:50" x14ac:dyDescent="0.3">
      <c r="AV810" t="str">
        <v>Data Analytics Course: Visualizations</v>
      </c>
      <c r="AW810">
        <v>229</v>
      </c>
      <c r="AX810">
        <v>0.97</v>
      </c>
    </row>
    <row r="811" spans="48:50" x14ac:dyDescent="0.3">
      <c r="AV811" t="str">
        <v>Data Analytics Course: Advanced</v>
      </c>
      <c r="AW811">
        <v>214</v>
      </c>
      <c r="AX811">
        <v>1.72</v>
      </c>
    </row>
    <row r="812" spans="48:50" x14ac:dyDescent="0.3">
      <c r="AV812" t="str">
        <v>Data Analytics Course: Visualizations</v>
      </c>
      <c r="AW812">
        <v>230</v>
      </c>
      <c r="AX812">
        <v>1.58</v>
      </c>
    </row>
    <row r="813" spans="48:50" x14ac:dyDescent="0.3">
      <c r="AV813" t="str">
        <v>Data Analytics Course: Basics</v>
      </c>
      <c r="AW813">
        <v>221</v>
      </c>
      <c r="AX813">
        <v>1.29</v>
      </c>
    </row>
    <row r="814" spans="48:50" x14ac:dyDescent="0.3">
      <c r="AV814" t="str">
        <v>Data Analytics Course: Visualizations</v>
      </c>
      <c r="AW814">
        <v>180</v>
      </c>
      <c r="AX814">
        <v>2.14</v>
      </c>
    </row>
    <row r="815" spans="48:50" x14ac:dyDescent="0.3">
      <c r="AV815" t="str">
        <v>Data Analytics Course: ML</v>
      </c>
      <c r="AW815">
        <v>192</v>
      </c>
      <c r="AX815">
        <v>0.97</v>
      </c>
    </row>
    <row r="816" spans="48:50" x14ac:dyDescent="0.3">
      <c r="AV816" t="str">
        <v>Data Analytics Course: Advanced</v>
      </c>
      <c r="AW816">
        <v>232</v>
      </c>
      <c r="AX816">
        <v>1.38</v>
      </c>
    </row>
    <row r="817" spans="48:50" x14ac:dyDescent="0.3">
      <c r="AV817" t="str">
        <v>Data Analytics Course: ML</v>
      </c>
      <c r="AW817">
        <v>212</v>
      </c>
      <c r="AX817">
        <v>1.18</v>
      </c>
    </row>
    <row r="818" spans="48:50" x14ac:dyDescent="0.3">
      <c r="AV818" t="str">
        <v>Data Analytics Course: ML</v>
      </c>
      <c r="AW818">
        <v>237</v>
      </c>
      <c r="AX818">
        <v>0.91</v>
      </c>
    </row>
    <row r="819" spans="48:50" x14ac:dyDescent="0.3">
      <c r="AV819" t="str">
        <v>Data Analytics Course: Advanced</v>
      </c>
      <c r="AW819">
        <v>183</v>
      </c>
      <c r="AX819">
        <v>2.15</v>
      </c>
    </row>
    <row r="820" spans="48:50" x14ac:dyDescent="0.3">
      <c r="AV820" t="str">
        <v>Data Analytics Course: Basics</v>
      </c>
      <c r="AW820">
        <v>232</v>
      </c>
      <c r="AX820">
        <v>1.75</v>
      </c>
    </row>
    <row r="821" spans="48:50" x14ac:dyDescent="0.3">
      <c r="AV821" t="str">
        <v>Data Analytics Course: Advanced</v>
      </c>
      <c r="AW821">
        <v>221</v>
      </c>
      <c r="AX821">
        <v>1.75</v>
      </c>
    </row>
    <row r="822" spans="48:50" x14ac:dyDescent="0.3">
      <c r="AV822" t="str">
        <v>Data Analytics Course: Advanced</v>
      </c>
      <c r="AW822">
        <v>235</v>
      </c>
      <c r="AX822">
        <v>1.18</v>
      </c>
    </row>
    <row r="823" spans="48:50" x14ac:dyDescent="0.3">
      <c r="AV823" t="str">
        <v>Data Analytics Course: Visualizations</v>
      </c>
      <c r="AW823">
        <v>189</v>
      </c>
      <c r="AX823">
        <v>1.7</v>
      </c>
    </row>
    <row r="824" spans="48:50" x14ac:dyDescent="0.3">
      <c r="AV824" t="str">
        <v>Data Analytics Course: Basics</v>
      </c>
      <c r="AW824">
        <v>185</v>
      </c>
      <c r="AX824">
        <v>1.99</v>
      </c>
    </row>
    <row r="825" spans="48:50" x14ac:dyDescent="0.3">
      <c r="AV825" t="str">
        <v>Data Analytics Course: Advanced</v>
      </c>
      <c r="AW825">
        <v>239</v>
      </c>
      <c r="AX825">
        <v>1.04</v>
      </c>
    </row>
    <row r="826" spans="48:50" x14ac:dyDescent="0.3">
      <c r="AV826" t="str">
        <v>Data Analytics Course: Basics</v>
      </c>
      <c r="AW826">
        <v>234</v>
      </c>
      <c r="AX826">
        <v>1.37</v>
      </c>
    </row>
    <row r="827" spans="48:50" x14ac:dyDescent="0.3">
      <c r="AV827" t="str">
        <v>Data Analytics Course: Advanced</v>
      </c>
      <c r="AW827">
        <v>249</v>
      </c>
      <c r="AX827">
        <v>0.95</v>
      </c>
    </row>
    <row r="828" spans="48:50" x14ac:dyDescent="0.3">
      <c r="AV828" t="str">
        <v>Data Analytics Course: ML</v>
      </c>
      <c r="AW828">
        <v>210</v>
      </c>
      <c r="AX828">
        <v>1.45</v>
      </c>
    </row>
    <row r="829" spans="48:50" x14ac:dyDescent="0.3">
      <c r="AV829" t="str">
        <v>Data Analytics Course: Visualizations</v>
      </c>
      <c r="AW829">
        <v>212</v>
      </c>
      <c r="AX829">
        <v>1.61</v>
      </c>
    </row>
    <row r="830" spans="48:50" x14ac:dyDescent="0.3">
      <c r="AV830" t="str">
        <v>Data Analytics Course: Basics</v>
      </c>
      <c r="AW830">
        <v>243</v>
      </c>
      <c r="AX830">
        <v>1.08</v>
      </c>
    </row>
    <row r="831" spans="48:50" x14ac:dyDescent="0.3">
      <c r="AV831" t="str">
        <v>Data Analytics Course: ML</v>
      </c>
      <c r="AW831">
        <v>216</v>
      </c>
      <c r="AX831">
        <v>0.86</v>
      </c>
    </row>
    <row r="832" spans="48:50" x14ac:dyDescent="0.3">
      <c r="AV832" t="str">
        <v>Data Analytics Course: ML</v>
      </c>
      <c r="AW832">
        <v>186</v>
      </c>
      <c r="AX832">
        <v>1.88</v>
      </c>
    </row>
    <row r="833" spans="48:50" x14ac:dyDescent="0.3">
      <c r="AV833" t="str">
        <v>Data Analytics Course: ML</v>
      </c>
      <c r="AW833">
        <v>184</v>
      </c>
      <c r="AX833">
        <v>1.89</v>
      </c>
    </row>
    <row r="834" spans="48:50" x14ac:dyDescent="0.3">
      <c r="AV834" t="str">
        <v>Data Analytics Course: Basics</v>
      </c>
      <c r="AW834">
        <v>197</v>
      </c>
      <c r="AX834">
        <v>1.82</v>
      </c>
    </row>
    <row r="835" spans="48:50" x14ac:dyDescent="0.3">
      <c r="AV835" t="str">
        <v>Data Analytics Course: Advanced</v>
      </c>
      <c r="AW835">
        <v>236</v>
      </c>
      <c r="AX835">
        <v>1.36</v>
      </c>
    </row>
    <row r="836" spans="48:50" x14ac:dyDescent="0.3">
      <c r="AV836" t="str">
        <v>Data Analytics Course: Advanced</v>
      </c>
      <c r="AW836">
        <v>244</v>
      </c>
      <c r="AX836">
        <v>1.35</v>
      </c>
    </row>
    <row r="837" spans="48:50" x14ac:dyDescent="0.3">
      <c r="AV837" t="str">
        <v>Data Analytics Course: Advanced</v>
      </c>
      <c r="AW837">
        <v>244</v>
      </c>
      <c r="AX837">
        <v>1.53</v>
      </c>
    </row>
    <row r="838" spans="48:50" x14ac:dyDescent="0.3">
      <c r="AV838" t="str">
        <v>Data Analytics Course: ML</v>
      </c>
      <c r="AW838">
        <v>190</v>
      </c>
      <c r="AX838">
        <v>2.04</v>
      </c>
    </row>
    <row r="839" spans="48:50" x14ac:dyDescent="0.3">
      <c r="AV839" t="str">
        <v>Data Analytics Course: Visualizations</v>
      </c>
      <c r="AW839">
        <v>240</v>
      </c>
      <c r="AX839">
        <v>0.9</v>
      </c>
    </row>
    <row r="840" spans="48:50" x14ac:dyDescent="0.3">
      <c r="AV840" t="str">
        <v>Data Analytics Course: Basics</v>
      </c>
      <c r="AW840">
        <v>211</v>
      </c>
      <c r="AX840">
        <v>1.55</v>
      </c>
    </row>
    <row r="841" spans="48:50" x14ac:dyDescent="0.3">
      <c r="AV841" t="str">
        <v>Data Analytics Course: Advanced</v>
      </c>
      <c r="AW841">
        <v>245</v>
      </c>
      <c r="AX841">
        <v>1.03</v>
      </c>
    </row>
    <row r="842" spans="48:50" x14ac:dyDescent="0.3">
      <c r="AV842" t="str">
        <v>Data Analytics Course: Visualizations</v>
      </c>
      <c r="AW842">
        <v>224</v>
      </c>
      <c r="AX842">
        <v>1.21</v>
      </c>
    </row>
    <row r="843" spans="48:50" x14ac:dyDescent="0.3">
      <c r="AV843" t="str">
        <v>Data Analytics Course: ML</v>
      </c>
      <c r="AW843">
        <v>207</v>
      </c>
      <c r="AX843">
        <v>1.59</v>
      </c>
    </row>
    <row r="844" spans="48:50" x14ac:dyDescent="0.3">
      <c r="AV844" t="str">
        <v>Data Analytics Course: Advanced</v>
      </c>
      <c r="AW844">
        <v>241</v>
      </c>
      <c r="AX844">
        <v>1.26</v>
      </c>
    </row>
    <row r="845" spans="48:50" x14ac:dyDescent="0.3">
      <c r="AV845" t="str">
        <v>Data Analytics Course: Advanced</v>
      </c>
      <c r="AW845">
        <v>217</v>
      </c>
      <c r="AX845">
        <v>1.94</v>
      </c>
    </row>
    <row r="846" spans="48:50" x14ac:dyDescent="0.3">
      <c r="AV846" t="str">
        <v>Data Analytics Course: Visualizations</v>
      </c>
      <c r="AW846">
        <v>208</v>
      </c>
      <c r="AX846">
        <v>1.1499999999999999</v>
      </c>
    </row>
    <row r="847" spans="48:50" x14ac:dyDescent="0.3">
      <c r="AV847" t="str">
        <v>Data Analytics Course: Basics</v>
      </c>
      <c r="AW847">
        <v>246</v>
      </c>
      <c r="AX847">
        <v>0.89</v>
      </c>
    </row>
    <row r="848" spans="48:50" x14ac:dyDescent="0.3">
      <c r="AV848" t="str">
        <v>Data Analytics Course: Visualizations</v>
      </c>
      <c r="AW848">
        <v>228</v>
      </c>
      <c r="AX848">
        <v>1.71</v>
      </c>
    </row>
    <row r="849" spans="48:50" x14ac:dyDescent="0.3">
      <c r="AV849" t="str">
        <v>Data Analytics Course: Visualizations</v>
      </c>
      <c r="AW849">
        <v>237</v>
      </c>
      <c r="AX849">
        <v>1.08</v>
      </c>
    </row>
    <row r="850" spans="48:50" x14ac:dyDescent="0.3">
      <c r="AV850" t="str">
        <v>Data Analytics Course: ML</v>
      </c>
      <c r="AW850">
        <v>227</v>
      </c>
      <c r="AX850">
        <v>1.65</v>
      </c>
    </row>
    <row r="851" spans="48:50" x14ac:dyDescent="0.3">
      <c r="AV851" t="str">
        <v>Data Analytics Course: Advanced</v>
      </c>
      <c r="AW851">
        <v>217</v>
      </c>
      <c r="AX851">
        <v>1.88</v>
      </c>
    </row>
    <row r="852" spans="48:50" x14ac:dyDescent="0.3">
      <c r="AV852" t="str">
        <v>Data Analytics Course: ML</v>
      </c>
      <c r="AW852">
        <v>200</v>
      </c>
      <c r="AX852">
        <v>1.4</v>
      </c>
    </row>
    <row r="853" spans="48:50" x14ac:dyDescent="0.3">
      <c r="AV853" t="str">
        <v>Data Analytics Course: Advanced</v>
      </c>
      <c r="AW853">
        <v>189</v>
      </c>
      <c r="AX853">
        <v>2.12</v>
      </c>
    </row>
    <row r="854" spans="48:50" x14ac:dyDescent="0.3">
      <c r="AV854" t="str">
        <v>Data Analytics Course: Basics</v>
      </c>
      <c r="AW854">
        <v>208</v>
      </c>
      <c r="AX854">
        <v>1.27</v>
      </c>
    </row>
    <row r="855" spans="48:50" x14ac:dyDescent="0.3">
      <c r="AV855" t="str">
        <v>Data Analytics Course: ML</v>
      </c>
      <c r="AW855">
        <v>249</v>
      </c>
      <c r="AX855">
        <v>1.32</v>
      </c>
    </row>
    <row r="856" spans="48:50" x14ac:dyDescent="0.3">
      <c r="AV856" t="str">
        <v>Data Analytics Course: Visualizations</v>
      </c>
      <c r="AW856">
        <v>190</v>
      </c>
      <c r="AX856">
        <v>1.46</v>
      </c>
    </row>
    <row r="857" spans="48:50" x14ac:dyDescent="0.3">
      <c r="AV857" t="str">
        <v>Data Analytics Course: Basics</v>
      </c>
      <c r="AW857">
        <v>218</v>
      </c>
      <c r="AX857">
        <v>1.33</v>
      </c>
    </row>
    <row r="858" spans="48:50" x14ac:dyDescent="0.3">
      <c r="AV858" t="str">
        <v>Data Analytics Course: Basics</v>
      </c>
      <c r="AW858">
        <v>213</v>
      </c>
      <c r="AX858">
        <v>1.73</v>
      </c>
    </row>
    <row r="859" spans="48:50" x14ac:dyDescent="0.3">
      <c r="AV859" t="str">
        <v>Data Analytics Course: Advanced</v>
      </c>
      <c r="AW859">
        <v>228</v>
      </c>
      <c r="AX859">
        <v>0.98</v>
      </c>
    </row>
    <row r="860" spans="48:50" x14ac:dyDescent="0.3">
      <c r="AV860" t="str">
        <v>Data Analytics Course: Visualizations</v>
      </c>
      <c r="AW860">
        <v>196</v>
      </c>
      <c r="AX860">
        <v>1.62</v>
      </c>
    </row>
    <row r="861" spans="48:50" x14ac:dyDescent="0.3">
      <c r="AV861" t="str">
        <v>Data Analytics Course: Visualizations</v>
      </c>
      <c r="AW861">
        <v>211</v>
      </c>
      <c r="AX861">
        <v>1.34</v>
      </c>
    </row>
    <row r="862" spans="48:50" x14ac:dyDescent="0.3">
      <c r="AV862" t="str">
        <v>Data Analytics Course: Basics</v>
      </c>
      <c r="AW862">
        <v>219</v>
      </c>
      <c r="AX862">
        <v>1.57</v>
      </c>
    </row>
    <row r="863" spans="48:50" x14ac:dyDescent="0.3">
      <c r="AV863" t="str">
        <v>Data Analytics Course: ML</v>
      </c>
      <c r="AW863">
        <v>185</v>
      </c>
      <c r="AX863">
        <v>1.53</v>
      </c>
    </row>
    <row r="864" spans="48:50" x14ac:dyDescent="0.3">
      <c r="AV864" t="str">
        <v>Data Analytics Course: ML</v>
      </c>
      <c r="AW864">
        <v>222</v>
      </c>
      <c r="AX864">
        <v>1.38</v>
      </c>
    </row>
    <row r="865" spans="48:50" x14ac:dyDescent="0.3">
      <c r="AV865" t="str">
        <v>Data Analytics Course: Advanced</v>
      </c>
      <c r="AW865">
        <v>198</v>
      </c>
      <c r="AX865">
        <v>1.65</v>
      </c>
    </row>
    <row r="866" spans="48:50" x14ac:dyDescent="0.3">
      <c r="AV866" t="str">
        <v>Data Analytics Course: ML</v>
      </c>
      <c r="AW866">
        <v>238</v>
      </c>
      <c r="AX866">
        <v>1.38</v>
      </c>
    </row>
    <row r="867" spans="48:50" x14ac:dyDescent="0.3">
      <c r="AV867" t="str">
        <v>Data Analytics Course: ML</v>
      </c>
      <c r="AW867">
        <v>232</v>
      </c>
      <c r="AX867">
        <v>1.24</v>
      </c>
    </row>
    <row r="868" spans="48:50" x14ac:dyDescent="0.3">
      <c r="AV868" t="str">
        <v>Data Analytics Course: ML</v>
      </c>
      <c r="AW868">
        <v>224</v>
      </c>
      <c r="AX868">
        <v>1.77</v>
      </c>
    </row>
    <row r="869" spans="48:50" x14ac:dyDescent="0.3">
      <c r="AV869" t="str">
        <v>Data Analytics Course: ML</v>
      </c>
      <c r="AW869">
        <v>240</v>
      </c>
      <c r="AX869">
        <v>1.18</v>
      </c>
    </row>
    <row r="870" spans="48:50" x14ac:dyDescent="0.3">
      <c r="AV870" t="str">
        <v>Data Analytics Course: Advanced</v>
      </c>
      <c r="AW870">
        <v>241</v>
      </c>
      <c r="AX870">
        <v>1.28</v>
      </c>
    </row>
    <row r="871" spans="48:50" x14ac:dyDescent="0.3">
      <c r="AV871" t="str">
        <v>Data Analytics Course: Basics</v>
      </c>
      <c r="AW871">
        <v>235</v>
      </c>
      <c r="AX871">
        <v>1.01</v>
      </c>
    </row>
    <row r="872" spans="48:50" x14ac:dyDescent="0.3">
      <c r="AV872" t="str">
        <v>Data Analytics Course: ML</v>
      </c>
      <c r="AW872">
        <v>246</v>
      </c>
      <c r="AX872">
        <v>1.48</v>
      </c>
    </row>
    <row r="873" spans="48:50" x14ac:dyDescent="0.3">
      <c r="AV873" t="str">
        <v>Data Analytics Course: Basics</v>
      </c>
      <c r="AW873">
        <v>226</v>
      </c>
      <c r="AX873">
        <v>0.83</v>
      </c>
    </row>
    <row r="874" spans="48:50" x14ac:dyDescent="0.3">
      <c r="AV874" t="str">
        <v>Data Analytics Course: Visualizations</v>
      </c>
      <c r="AW874">
        <v>191</v>
      </c>
      <c r="AX874">
        <v>1.88</v>
      </c>
    </row>
    <row r="875" spans="48:50" x14ac:dyDescent="0.3">
      <c r="AV875" t="str">
        <v>Data Analytics Course: Visualizations</v>
      </c>
      <c r="AW875">
        <v>244</v>
      </c>
      <c r="AX875">
        <v>1.37</v>
      </c>
    </row>
    <row r="876" spans="48:50" x14ac:dyDescent="0.3">
      <c r="AV876" t="str">
        <v>Data Analytics Course: Basics</v>
      </c>
      <c r="AW876">
        <v>204</v>
      </c>
      <c r="AX876">
        <v>1.38</v>
      </c>
    </row>
    <row r="877" spans="48:50" x14ac:dyDescent="0.3">
      <c r="AV877" t="str">
        <v>Data Analytics Course: ML</v>
      </c>
      <c r="AW877">
        <v>194</v>
      </c>
      <c r="AX877">
        <v>2.0699999999999998</v>
      </c>
    </row>
    <row r="878" spans="48:50" x14ac:dyDescent="0.3">
      <c r="AV878" t="str">
        <v>Data Analytics Course: Basics</v>
      </c>
      <c r="AW878">
        <v>221</v>
      </c>
      <c r="AX878">
        <v>0.98</v>
      </c>
    </row>
    <row r="879" spans="48:50" x14ac:dyDescent="0.3">
      <c r="AV879" t="str">
        <v>Data Analytics Course: Visualizations</v>
      </c>
      <c r="AW879">
        <v>232</v>
      </c>
      <c r="AX879">
        <v>1.56</v>
      </c>
    </row>
    <row r="880" spans="48:50" x14ac:dyDescent="0.3">
      <c r="AV880" t="str">
        <v>Data Analytics Course: Advanced</v>
      </c>
      <c r="AW880">
        <v>249</v>
      </c>
      <c r="AX880">
        <v>1.6</v>
      </c>
    </row>
    <row r="881" spans="48:50" x14ac:dyDescent="0.3">
      <c r="AV881" t="str">
        <v>Data Analytics Course: Advanced</v>
      </c>
      <c r="AW881">
        <v>213</v>
      </c>
      <c r="AX881">
        <v>1.1299999999999999</v>
      </c>
    </row>
    <row r="882" spans="48:50" x14ac:dyDescent="0.3">
      <c r="AV882" t="str">
        <v>Data Analytics Course: Basics</v>
      </c>
      <c r="AW882">
        <v>242</v>
      </c>
      <c r="AX882">
        <v>1.44</v>
      </c>
    </row>
    <row r="883" spans="48:50" x14ac:dyDescent="0.3">
      <c r="AV883" t="str">
        <v>Data Analytics Course: Advanced</v>
      </c>
      <c r="AW883">
        <v>228</v>
      </c>
      <c r="AX883">
        <v>1.27</v>
      </c>
    </row>
    <row r="884" spans="48:50" x14ac:dyDescent="0.3">
      <c r="AV884" t="str">
        <v>Data Analytics Course: ML</v>
      </c>
      <c r="AW884">
        <v>189</v>
      </c>
      <c r="AX884">
        <v>1.63</v>
      </c>
    </row>
    <row r="885" spans="48:50" x14ac:dyDescent="0.3">
      <c r="AV885" t="str">
        <v>Data Analytics Course: Advanced</v>
      </c>
      <c r="AW885">
        <v>184</v>
      </c>
      <c r="AX885">
        <v>1.5</v>
      </c>
    </row>
    <row r="886" spans="48:50" x14ac:dyDescent="0.3">
      <c r="AV886" t="str">
        <v>Data Analytics Course: Visualizations</v>
      </c>
      <c r="AW886">
        <v>224</v>
      </c>
      <c r="AX886">
        <v>1.49</v>
      </c>
    </row>
    <row r="887" spans="48:50" x14ac:dyDescent="0.3">
      <c r="AV887" t="str">
        <v>Data Analytics Course: ML</v>
      </c>
      <c r="AW887">
        <v>248</v>
      </c>
      <c r="AX887">
        <v>1.41</v>
      </c>
    </row>
    <row r="888" spans="48:50" x14ac:dyDescent="0.3">
      <c r="AV888" t="str">
        <v>Data Analytics Course: Advanced</v>
      </c>
      <c r="AW888">
        <v>245</v>
      </c>
      <c r="AX888">
        <v>1.46</v>
      </c>
    </row>
    <row r="889" spans="48:50" x14ac:dyDescent="0.3">
      <c r="AV889" t="str">
        <v>Data Analytics Course: ML</v>
      </c>
      <c r="AW889">
        <v>246</v>
      </c>
      <c r="AX889">
        <v>1.1200000000000001</v>
      </c>
    </row>
    <row r="890" spans="48:50" x14ac:dyDescent="0.3">
      <c r="AV890" t="str">
        <v>Data Analytics Course: Advanced</v>
      </c>
      <c r="AW890">
        <v>242</v>
      </c>
      <c r="AX890">
        <v>1.43</v>
      </c>
    </row>
    <row r="891" spans="48:50" x14ac:dyDescent="0.3">
      <c r="AV891" t="str">
        <v>Data Analytics Course: Visualizations</v>
      </c>
      <c r="AW891">
        <v>184</v>
      </c>
      <c r="AX891">
        <v>1.17</v>
      </c>
    </row>
    <row r="892" spans="48:50" x14ac:dyDescent="0.3">
      <c r="AV892" t="str">
        <v>Data Analytics Course: ML</v>
      </c>
      <c r="AW892">
        <v>192</v>
      </c>
      <c r="AX892">
        <v>1.87</v>
      </c>
    </row>
    <row r="893" spans="48:50" x14ac:dyDescent="0.3">
      <c r="AV893" t="str">
        <v>Data Analytics Course: Visualizations</v>
      </c>
      <c r="AW893">
        <v>226</v>
      </c>
      <c r="AX893">
        <v>1.38</v>
      </c>
    </row>
    <row r="894" spans="48:50" x14ac:dyDescent="0.3">
      <c r="AV894" t="str">
        <v>Data Analytics Course: Basics</v>
      </c>
      <c r="AW894">
        <v>217</v>
      </c>
      <c r="AX894">
        <v>1.42</v>
      </c>
    </row>
    <row r="895" spans="48:50" x14ac:dyDescent="0.3">
      <c r="AV895" t="str">
        <v>Data Analytics Course: Visualizations</v>
      </c>
      <c r="AW895">
        <v>229</v>
      </c>
      <c r="AX895">
        <v>1.28</v>
      </c>
    </row>
    <row r="896" spans="48:50" x14ac:dyDescent="0.3">
      <c r="AV896" t="str">
        <v>Data Analytics Course: Basics</v>
      </c>
      <c r="AW896">
        <v>189</v>
      </c>
      <c r="AX896">
        <v>1.35</v>
      </c>
    </row>
    <row r="897" spans="48:50" x14ac:dyDescent="0.3">
      <c r="AV897" t="str">
        <v>Data Analytics Course: Visualizations</v>
      </c>
      <c r="AW897">
        <v>188</v>
      </c>
      <c r="AX897">
        <v>1.18</v>
      </c>
    </row>
    <row r="898" spans="48:50" x14ac:dyDescent="0.3">
      <c r="AV898" t="str">
        <v>Data Analytics Course: Visualizations</v>
      </c>
      <c r="AW898">
        <v>219</v>
      </c>
      <c r="AX898">
        <v>1.38</v>
      </c>
    </row>
    <row r="899" spans="48:50" x14ac:dyDescent="0.3">
      <c r="AV899" t="str">
        <v>Data Analytics Course: Advanced</v>
      </c>
      <c r="AW899">
        <v>228</v>
      </c>
      <c r="AX899">
        <v>1.27</v>
      </c>
    </row>
    <row r="900" spans="48:50" x14ac:dyDescent="0.3">
      <c r="AV900" t="str">
        <v>Data Analytics Course: Visualizations</v>
      </c>
      <c r="AW900">
        <v>239</v>
      </c>
      <c r="AX900">
        <v>0.78</v>
      </c>
    </row>
    <row r="901" spans="48:50" x14ac:dyDescent="0.3">
      <c r="AV901" t="str">
        <v>Data Analytics Course: ML</v>
      </c>
      <c r="AW901">
        <v>231</v>
      </c>
      <c r="AX901">
        <v>1.21</v>
      </c>
    </row>
    <row r="902" spans="48:50" x14ac:dyDescent="0.3">
      <c r="AV902" t="str">
        <v>Data Analytics Course: Basics</v>
      </c>
      <c r="AW902">
        <v>192</v>
      </c>
      <c r="AX902">
        <v>1.55</v>
      </c>
    </row>
    <row r="903" spans="48:50" x14ac:dyDescent="0.3">
      <c r="AV903" t="str">
        <v>Data Analytics Course: Visualizations</v>
      </c>
      <c r="AW903">
        <v>239</v>
      </c>
      <c r="AX903">
        <v>0.87</v>
      </c>
    </row>
    <row r="904" spans="48:50" x14ac:dyDescent="0.3">
      <c r="AV904" t="str">
        <v>Data Analytics Course: ML</v>
      </c>
      <c r="AW904">
        <v>214</v>
      </c>
      <c r="AX904">
        <v>1.81</v>
      </c>
    </row>
    <row r="905" spans="48:50" x14ac:dyDescent="0.3">
      <c r="AV905" t="str">
        <v>Data Analytics Course: Advanced</v>
      </c>
      <c r="AW905">
        <v>222</v>
      </c>
      <c r="AX905">
        <v>1.78</v>
      </c>
    </row>
    <row r="906" spans="48:50" x14ac:dyDescent="0.3">
      <c r="AV906" t="str">
        <v>Data Analytics Course: Basics</v>
      </c>
      <c r="AW906">
        <v>223</v>
      </c>
      <c r="AX906">
        <v>1.1100000000000001</v>
      </c>
    </row>
    <row r="907" spans="48:50" x14ac:dyDescent="0.3">
      <c r="AV907" t="str">
        <v>Data Analytics Course: Visualizations</v>
      </c>
      <c r="AW907">
        <v>266</v>
      </c>
      <c r="AX907">
        <v>1.3</v>
      </c>
    </row>
    <row r="908" spans="48:50" x14ac:dyDescent="0.3">
      <c r="AV908" t="str">
        <v>Data Analytics Course: ML</v>
      </c>
      <c r="AW908">
        <v>229</v>
      </c>
      <c r="AX908">
        <v>1.62</v>
      </c>
    </row>
    <row r="909" spans="48:50" x14ac:dyDescent="0.3">
      <c r="AV909" t="str">
        <v>Data Analytics Course: Advanced</v>
      </c>
      <c r="AW909">
        <v>247</v>
      </c>
      <c r="AX909">
        <v>1.1200000000000001</v>
      </c>
    </row>
    <row r="910" spans="48:50" x14ac:dyDescent="0.3">
      <c r="AV910" t="str">
        <v>Data Analytics Course: Visualizations</v>
      </c>
      <c r="AW910">
        <v>242</v>
      </c>
      <c r="AX910">
        <v>1.45</v>
      </c>
    </row>
    <row r="911" spans="48:50" x14ac:dyDescent="0.3">
      <c r="AV911" t="str">
        <v>Data Analytics Course: Advanced</v>
      </c>
      <c r="AW911">
        <v>219</v>
      </c>
      <c r="AX911">
        <v>1.21</v>
      </c>
    </row>
    <row r="912" spans="48:50" x14ac:dyDescent="0.3">
      <c r="AV912" t="str">
        <v>Data Analytics Course: ML</v>
      </c>
      <c r="AW912">
        <v>243</v>
      </c>
      <c r="AX912">
        <v>1.34</v>
      </c>
    </row>
    <row r="913" spans="48:50" x14ac:dyDescent="0.3">
      <c r="AV913" t="str">
        <v>Data Analytics Course: Visualizations</v>
      </c>
      <c r="AW913">
        <v>184</v>
      </c>
      <c r="AX913">
        <v>2.2000000000000002</v>
      </c>
    </row>
    <row r="914" spans="48:50" x14ac:dyDescent="0.3">
      <c r="AV914" t="str">
        <v>Data Analytics Course: ML</v>
      </c>
      <c r="AW914">
        <v>192</v>
      </c>
      <c r="AX914">
        <v>2.0699999999999998</v>
      </c>
    </row>
    <row r="915" spans="48:50" x14ac:dyDescent="0.3">
      <c r="AV915" t="str">
        <v>Data Analytics Course: Advanced</v>
      </c>
      <c r="AW915">
        <v>223</v>
      </c>
      <c r="AX915">
        <v>0.63</v>
      </c>
    </row>
    <row r="916" spans="48:50" x14ac:dyDescent="0.3">
      <c r="AV916" t="str">
        <v>Data Analytics Course: Basics</v>
      </c>
      <c r="AW916">
        <v>237</v>
      </c>
      <c r="AX916">
        <v>0.86</v>
      </c>
    </row>
    <row r="917" spans="48:50" x14ac:dyDescent="0.3">
      <c r="AV917" t="str">
        <v>Data Analytics Course: Visualizations</v>
      </c>
      <c r="AW917">
        <v>238</v>
      </c>
      <c r="AX917">
        <v>1.97</v>
      </c>
    </row>
    <row r="918" spans="48:50" x14ac:dyDescent="0.3">
      <c r="AV918" t="str">
        <v>Data Analytics Course: Basics</v>
      </c>
      <c r="AW918">
        <v>203</v>
      </c>
      <c r="AX918">
        <v>1.51</v>
      </c>
    </row>
    <row r="919" spans="48:50" x14ac:dyDescent="0.3">
      <c r="AV919" t="str">
        <v>Data Analytics Course: Basics</v>
      </c>
      <c r="AW919">
        <v>186</v>
      </c>
      <c r="AX919">
        <v>2.17</v>
      </c>
    </row>
    <row r="920" spans="48:50" x14ac:dyDescent="0.3">
      <c r="AV920" t="str">
        <v>Data Analytics Course: Visualizations</v>
      </c>
      <c r="AW920">
        <v>181</v>
      </c>
      <c r="AX920">
        <v>1.97</v>
      </c>
    </row>
    <row r="921" spans="48:50" x14ac:dyDescent="0.3">
      <c r="AV921" t="str">
        <v>Data Analytics Course: ML</v>
      </c>
      <c r="AW921">
        <v>239</v>
      </c>
      <c r="AX921">
        <v>1.04</v>
      </c>
    </row>
    <row r="922" spans="48:50" x14ac:dyDescent="0.3">
      <c r="AV922" t="str">
        <v>Data Analytics Course: Advanced</v>
      </c>
      <c r="AW922">
        <v>188</v>
      </c>
      <c r="AX922">
        <v>2.17</v>
      </c>
    </row>
    <row r="923" spans="48:50" x14ac:dyDescent="0.3">
      <c r="AV923" t="str">
        <v>Data Analytics Course: Advanced</v>
      </c>
      <c r="AW923">
        <v>188</v>
      </c>
      <c r="AX923">
        <v>0.99</v>
      </c>
    </row>
    <row r="924" spans="48:50" x14ac:dyDescent="0.3">
      <c r="AV924" t="str">
        <v>Data Analytics Course: ML</v>
      </c>
      <c r="AW924">
        <v>234</v>
      </c>
      <c r="AX924">
        <v>1</v>
      </c>
    </row>
    <row r="925" spans="48:50" x14ac:dyDescent="0.3">
      <c r="AV925" t="str">
        <v>Data Analytics Course: Visualizations</v>
      </c>
      <c r="AW925">
        <v>205</v>
      </c>
      <c r="AX925">
        <v>1.51</v>
      </c>
    </row>
    <row r="926" spans="48:50" x14ac:dyDescent="0.3">
      <c r="AV926" t="str">
        <v>Data Analytics Course: ML</v>
      </c>
      <c r="AW926">
        <v>181</v>
      </c>
      <c r="AX926">
        <v>1.22</v>
      </c>
    </row>
    <row r="927" spans="48:50" x14ac:dyDescent="0.3">
      <c r="AV927" t="str">
        <v>Data Analytics Course: Basics</v>
      </c>
      <c r="AW927">
        <v>204</v>
      </c>
      <c r="AX927">
        <v>1.63</v>
      </c>
    </row>
    <row r="928" spans="48:50" x14ac:dyDescent="0.3">
      <c r="AV928" t="str">
        <v>Data Analytics Course: Basics</v>
      </c>
      <c r="AW928">
        <v>228</v>
      </c>
      <c r="AX928">
        <v>0.92</v>
      </c>
    </row>
    <row r="929" spans="48:50" x14ac:dyDescent="0.3">
      <c r="AV929" t="str">
        <v>Data Analytics Course: Advanced</v>
      </c>
      <c r="AW929">
        <v>209</v>
      </c>
      <c r="AX929">
        <v>1.08</v>
      </c>
    </row>
    <row r="930" spans="48:50" x14ac:dyDescent="0.3">
      <c r="AV930" t="str">
        <v>Data Analytics Course: Visualizations</v>
      </c>
      <c r="AW930">
        <v>228</v>
      </c>
      <c r="AX930">
        <v>1.1399999999999999</v>
      </c>
    </row>
    <row r="931" spans="48:50" x14ac:dyDescent="0.3">
      <c r="AV931" t="str">
        <v>Data Analytics Course: ML</v>
      </c>
      <c r="AW931">
        <v>246</v>
      </c>
      <c r="AX931">
        <v>1.21</v>
      </c>
    </row>
    <row r="932" spans="48:50" x14ac:dyDescent="0.3">
      <c r="AV932" t="str">
        <v>Data Analytics Course: Visualizations</v>
      </c>
      <c r="AW932">
        <v>192</v>
      </c>
      <c r="AX932">
        <v>0.97</v>
      </c>
    </row>
    <row r="933" spans="48:50" x14ac:dyDescent="0.3">
      <c r="AV933" t="str">
        <v>Data Analytics Course: Basics</v>
      </c>
      <c r="AW933">
        <v>200</v>
      </c>
      <c r="AX933">
        <v>1.73</v>
      </c>
    </row>
    <row r="934" spans="48:50" x14ac:dyDescent="0.3">
      <c r="AV934" t="str">
        <v>Data Analytics Course: ML</v>
      </c>
      <c r="AW934">
        <v>205</v>
      </c>
      <c r="AX934">
        <v>1.61</v>
      </c>
    </row>
    <row r="935" spans="48:50" x14ac:dyDescent="0.3">
      <c r="AV935" t="str">
        <v>Data Analytics Course: ML</v>
      </c>
      <c r="AW935">
        <v>242</v>
      </c>
      <c r="AX935">
        <v>1.31</v>
      </c>
    </row>
    <row r="936" spans="48:50" x14ac:dyDescent="0.3">
      <c r="AV936" t="str">
        <v>Data Analytics Course: ML</v>
      </c>
      <c r="AW936">
        <v>242</v>
      </c>
      <c r="AX936">
        <v>1.63</v>
      </c>
    </row>
    <row r="937" spans="48:50" x14ac:dyDescent="0.3">
      <c r="AV937" t="str">
        <v>Data Analytics Course: Visualizations</v>
      </c>
      <c r="AW937">
        <v>233</v>
      </c>
      <c r="AX937">
        <v>1.58</v>
      </c>
    </row>
    <row r="938" spans="48:50" x14ac:dyDescent="0.3">
      <c r="AV938" t="str">
        <v>Data Analytics Course: ML</v>
      </c>
      <c r="AW938">
        <v>181</v>
      </c>
      <c r="AX938">
        <v>1.95</v>
      </c>
    </row>
    <row r="939" spans="48:50" x14ac:dyDescent="0.3">
      <c r="AV939" t="str">
        <v>Data Analytics Course: Advanced</v>
      </c>
      <c r="AW939">
        <v>245</v>
      </c>
      <c r="AX939">
        <v>0.97</v>
      </c>
    </row>
    <row r="940" spans="48:50" x14ac:dyDescent="0.3">
      <c r="AV940" t="str">
        <v>Data Analytics Course: Visualizations</v>
      </c>
      <c r="AW940">
        <v>226</v>
      </c>
      <c r="AX940">
        <v>1.66</v>
      </c>
    </row>
    <row r="941" spans="48:50" x14ac:dyDescent="0.3">
      <c r="AV941" t="str">
        <v>Data Analytics Course: Basics</v>
      </c>
      <c r="AW941">
        <v>235</v>
      </c>
      <c r="AX941">
        <v>1.1599999999999999</v>
      </c>
    </row>
    <row r="942" spans="48:50" x14ac:dyDescent="0.3">
      <c r="AV942" t="str">
        <v>Data Analytics Course: Visualizations</v>
      </c>
      <c r="AW942">
        <v>194</v>
      </c>
      <c r="AX942">
        <v>1.32</v>
      </c>
    </row>
    <row r="943" spans="48:50" x14ac:dyDescent="0.3">
      <c r="AV943" t="str">
        <v>Data Analytics Course: ML</v>
      </c>
      <c r="AW943">
        <v>191</v>
      </c>
      <c r="AX943">
        <v>1.62</v>
      </c>
    </row>
    <row r="944" spans="48:50" x14ac:dyDescent="0.3">
      <c r="AV944" t="str">
        <v>Data Analytics Course: Basics</v>
      </c>
      <c r="AW944">
        <v>230</v>
      </c>
      <c r="AX944">
        <v>1.1299999999999999</v>
      </c>
    </row>
    <row r="945" spans="48:50" x14ac:dyDescent="0.3">
      <c r="AV945" t="str">
        <v>Data Analytics Course: ML</v>
      </c>
      <c r="AW945">
        <v>191</v>
      </c>
      <c r="AX945">
        <v>1.29</v>
      </c>
    </row>
    <row r="946" spans="48:50" x14ac:dyDescent="0.3">
      <c r="AV946" t="str">
        <v>Data Analytics Course: Basics</v>
      </c>
      <c r="AW946">
        <v>239</v>
      </c>
      <c r="AX946">
        <v>1.22</v>
      </c>
    </row>
    <row r="947" spans="48:50" x14ac:dyDescent="0.3">
      <c r="AV947" t="str">
        <v>Data Analytics Course: Visualizations</v>
      </c>
      <c r="AW947">
        <v>238</v>
      </c>
      <c r="AX947">
        <v>0.99</v>
      </c>
    </row>
    <row r="948" spans="48:50" x14ac:dyDescent="0.3">
      <c r="AV948" t="str">
        <v>Data Analytics Course: Basics</v>
      </c>
      <c r="AW948">
        <v>204</v>
      </c>
      <c r="AX948">
        <v>1.64</v>
      </c>
    </row>
    <row r="949" spans="48:50" x14ac:dyDescent="0.3">
      <c r="AV949" t="str">
        <v>Data Analytics Course: Advanced</v>
      </c>
      <c r="AW949">
        <v>246</v>
      </c>
      <c r="AX949">
        <v>0.87</v>
      </c>
    </row>
    <row r="950" spans="48:50" x14ac:dyDescent="0.3">
      <c r="AV950" t="str">
        <v>Data Analytics Course: Visualizations</v>
      </c>
      <c r="AW950">
        <v>193</v>
      </c>
      <c r="AX950">
        <v>1.51</v>
      </c>
    </row>
    <row r="951" spans="48:50" x14ac:dyDescent="0.3">
      <c r="AV951" t="str">
        <v>Data Analytics Course: Basics</v>
      </c>
      <c r="AW951">
        <v>193</v>
      </c>
      <c r="AX951">
        <v>1.82</v>
      </c>
    </row>
    <row r="952" spans="48:50" x14ac:dyDescent="0.3">
      <c r="AV952" t="str">
        <v>Data Analytics Course: Basics</v>
      </c>
      <c r="AW952">
        <v>199</v>
      </c>
      <c r="AX952">
        <v>1.91</v>
      </c>
    </row>
    <row r="953" spans="48:50" x14ac:dyDescent="0.3">
      <c r="AV953" t="str">
        <v>Data Analytics Course: Visualizations</v>
      </c>
      <c r="AW953">
        <v>182</v>
      </c>
      <c r="AX953">
        <v>2.31</v>
      </c>
    </row>
    <row r="954" spans="48:50" x14ac:dyDescent="0.3">
      <c r="AV954" t="str">
        <v>Data Analytics Course: ML</v>
      </c>
      <c r="AW954">
        <v>204</v>
      </c>
      <c r="AX954">
        <v>1.93</v>
      </c>
    </row>
    <row r="955" spans="48:50" x14ac:dyDescent="0.3">
      <c r="AV955" t="str">
        <v>Data Analytics Course: Basics</v>
      </c>
      <c r="AW955">
        <v>206</v>
      </c>
      <c r="AX955">
        <v>1.51</v>
      </c>
    </row>
    <row r="956" spans="48:50" x14ac:dyDescent="0.3">
      <c r="AV956" t="str">
        <v>Data Analytics Course: Visualizations</v>
      </c>
      <c r="AW956">
        <v>236</v>
      </c>
      <c r="AX956">
        <v>1.26</v>
      </c>
    </row>
    <row r="957" spans="48:50" x14ac:dyDescent="0.3">
      <c r="AV957" t="str">
        <v>Data Analytics Course: ML</v>
      </c>
      <c r="AW957">
        <v>246</v>
      </c>
      <c r="AX957">
        <v>1.01</v>
      </c>
    </row>
    <row r="958" spans="48:50" x14ac:dyDescent="0.3">
      <c r="AV958" t="str">
        <v>Data Analytics Course: Visualizations</v>
      </c>
      <c r="AW958">
        <v>201</v>
      </c>
      <c r="AX958">
        <v>1.85</v>
      </c>
    </row>
    <row r="959" spans="48:50" x14ac:dyDescent="0.3">
      <c r="AV959" t="str">
        <v>Data Analytics Course: Visualizations</v>
      </c>
      <c r="AW959">
        <v>234</v>
      </c>
      <c r="AX959">
        <v>1</v>
      </c>
    </row>
    <row r="960" spans="48:50" x14ac:dyDescent="0.3">
      <c r="AV960" t="str">
        <v>Data Analytics Course: Advanced</v>
      </c>
      <c r="AW960">
        <v>224</v>
      </c>
      <c r="AX960">
        <v>1.39</v>
      </c>
    </row>
    <row r="961" spans="48:50" x14ac:dyDescent="0.3">
      <c r="AV961" t="str">
        <v>Data Analytics Course: Visualizations</v>
      </c>
      <c r="AW961">
        <v>195</v>
      </c>
      <c r="AX961">
        <v>1.28</v>
      </c>
    </row>
    <row r="962" spans="48:50" x14ac:dyDescent="0.3">
      <c r="AV962" t="str">
        <v>Data Analytics Course: Advanced</v>
      </c>
      <c r="AW962">
        <v>205</v>
      </c>
      <c r="AX962">
        <v>1.1399999999999999</v>
      </c>
    </row>
    <row r="963" spans="48:50" x14ac:dyDescent="0.3">
      <c r="AV963" t="str">
        <v>Data Analytics Course: ML</v>
      </c>
      <c r="AW963">
        <v>219</v>
      </c>
      <c r="AX963">
        <v>1.28</v>
      </c>
    </row>
    <row r="964" spans="48:50" x14ac:dyDescent="0.3">
      <c r="AV964" t="str">
        <v>Data Analytics Course: Advanced</v>
      </c>
      <c r="AW964">
        <v>243</v>
      </c>
      <c r="AX964">
        <v>1.43</v>
      </c>
    </row>
    <row r="965" spans="48:50" x14ac:dyDescent="0.3">
      <c r="AV965" t="str">
        <v>Data Analytics Course: Visualizations</v>
      </c>
      <c r="AW965">
        <v>202</v>
      </c>
      <c r="AX965">
        <v>1.98</v>
      </c>
    </row>
    <row r="966" spans="48:50" x14ac:dyDescent="0.3">
      <c r="AV966" t="str">
        <v>Data Analytics Course: ML</v>
      </c>
      <c r="AW966">
        <v>229</v>
      </c>
      <c r="AX966">
        <v>1.78</v>
      </c>
    </row>
    <row r="967" spans="48:50" x14ac:dyDescent="0.3">
      <c r="AV967" t="str">
        <v>Data Analytics Course: Basics</v>
      </c>
      <c r="AW967">
        <v>198</v>
      </c>
      <c r="AX967">
        <v>1.03</v>
      </c>
    </row>
    <row r="968" spans="48:50" x14ac:dyDescent="0.3">
      <c r="AV968" t="str">
        <v>Data Analytics Course: Basics</v>
      </c>
      <c r="AW968">
        <v>199</v>
      </c>
      <c r="AX968">
        <v>1.87</v>
      </c>
    </row>
    <row r="969" spans="48:50" x14ac:dyDescent="0.3">
      <c r="AV969" t="str">
        <v>Data Analytics Course: Visualizations</v>
      </c>
      <c r="AW969">
        <v>199</v>
      </c>
      <c r="AX969">
        <v>1.0900000000000001</v>
      </c>
    </row>
    <row r="970" spans="48:50" x14ac:dyDescent="0.3">
      <c r="AV970" t="str">
        <v>Data Analytics Course: ML</v>
      </c>
      <c r="AW970">
        <v>203</v>
      </c>
      <c r="AX970">
        <v>1.38</v>
      </c>
    </row>
    <row r="971" spans="48:50" x14ac:dyDescent="0.3">
      <c r="AV971" t="str">
        <v>Data Analytics Course: ML</v>
      </c>
      <c r="AW971">
        <v>193</v>
      </c>
      <c r="AX971">
        <v>1.73</v>
      </c>
    </row>
    <row r="972" spans="48:50" x14ac:dyDescent="0.3">
      <c r="AV972" t="str">
        <v>Data Analytics Course: Visualizations</v>
      </c>
      <c r="AW972">
        <v>236</v>
      </c>
      <c r="AX972">
        <v>1.61</v>
      </c>
    </row>
    <row r="973" spans="48:50" x14ac:dyDescent="0.3">
      <c r="AV973" t="str">
        <v>Data Analytics Course: ML</v>
      </c>
      <c r="AW973">
        <v>207</v>
      </c>
      <c r="AX973">
        <v>1.55</v>
      </c>
    </row>
    <row r="974" spans="48:50" x14ac:dyDescent="0.3">
      <c r="AV974" t="str">
        <v>Data Analytics Course: Visualizations</v>
      </c>
      <c r="AW974">
        <v>237</v>
      </c>
      <c r="AX974">
        <v>1.1399999999999999</v>
      </c>
    </row>
    <row r="975" spans="48:50" x14ac:dyDescent="0.3">
      <c r="AV975" t="str">
        <v>Data Analytics Course: Advanced</v>
      </c>
      <c r="AW975">
        <v>235</v>
      </c>
      <c r="AX975">
        <v>1.28</v>
      </c>
    </row>
    <row r="976" spans="48:50" x14ac:dyDescent="0.3">
      <c r="AV976" t="str">
        <v>Data Analytics Course: ML</v>
      </c>
      <c r="AW976">
        <v>189</v>
      </c>
      <c r="AX976">
        <v>2.0099999999999998</v>
      </c>
    </row>
    <row r="977" spans="48:50" x14ac:dyDescent="0.3">
      <c r="AV977" t="str">
        <v>Data Analytics Course: ML</v>
      </c>
      <c r="AW977">
        <v>182</v>
      </c>
      <c r="AX977">
        <v>2.2200000000000002</v>
      </c>
    </row>
    <row r="978" spans="48:50" x14ac:dyDescent="0.3">
      <c r="AV978" t="str">
        <v>Data Analytics Course: Advanced</v>
      </c>
      <c r="AW978">
        <v>218</v>
      </c>
      <c r="AX978">
        <v>1.25</v>
      </c>
    </row>
    <row r="979" spans="48:50" x14ac:dyDescent="0.3">
      <c r="AV979" t="str">
        <v>Data Analytics Course: Basics</v>
      </c>
      <c r="AW979">
        <v>215</v>
      </c>
      <c r="AX979">
        <v>1.79</v>
      </c>
    </row>
    <row r="980" spans="48:50" x14ac:dyDescent="0.3">
      <c r="AV980" t="str">
        <v>Data Analytics Course: ML</v>
      </c>
      <c r="AW980">
        <v>230</v>
      </c>
      <c r="AX980">
        <v>1.53</v>
      </c>
    </row>
    <row r="981" spans="48:50" x14ac:dyDescent="0.3">
      <c r="AV981" t="str">
        <v>Data Analytics Course: ML</v>
      </c>
      <c r="AW981">
        <v>245</v>
      </c>
      <c r="AX981">
        <v>0.89</v>
      </c>
    </row>
    <row r="982" spans="48:50" x14ac:dyDescent="0.3">
      <c r="AV982" t="str">
        <v>Data Analytics Course: Advanced</v>
      </c>
      <c r="AW982">
        <v>220</v>
      </c>
      <c r="AX982">
        <v>1.7</v>
      </c>
    </row>
    <row r="983" spans="48:50" x14ac:dyDescent="0.3">
      <c r="AV983" t="str">
        <v>Data Analytics Course: ML</v>
      </c>
      <c r="AW983">
        <v>196</v>
      </c>
      <c r="AX983">
        <v>1.43</v>
      </c>
    </row>
    <row r="984" spans="48:50" x14ac:dyDescent="0.3">
      <c r="AV984" t="str">
        <v>Data Analytics Course: Advanced</v>
      </c>
      <c r="AW984">
        <v>205</v>
      </c>
      <c r="AX984">
        <v>1.26</v>
      </c>
    </row>
    <row r="985" spans="48:50" x14ac:dyDescent="0.3">
      <c r="AV985" t="str">
        <v>Data Analytics Course: ML</v>
      </c>
      <c r="AW985">
        <v>247</v>
      </c>
      <c r="AX985">
        <v>1.62</v>
      </c>
    </row>
    <row r="986" spans="48:50" x14ac:dyDescent="0.3">
      <c r="AV986" t="str">
        <v>Data Analytics Course: Basics</v>
      </c>
      <c r="AW986">
        <v>232</v>
      </c>
      <c r="AX986">
        <v>1.66</v>
      </c>
    </row>
    <row r="987" spans="48:50" x14ac:dyDescent="0.3">
      <c r="AV987" t="str">
        <v>Data Analytics Course: Basics</v>
      </c>
      <c r="AW987">
        <v>210</v>
      </c>
      <c r="AX987">
        <v>1.88</v>
      </c>
    </row>
    <row r="988" spans="48:50" x14ac:dyDescent="0.3">
      <c r="AV988" t="str">
        <v>Data Analytics Course: Basics</v>
      </c>
      <c r="AW988">
        <v>181</v>
      </c>
      <c r="AX988">
        <v>1.73</v>
      </c>
    </row>
    <row r="989" spans="48:50" x14ac:dyDescent="0.3">
      <c r="AV989" t="str">
        <v>Data Analytics Course: Visualizations</v>
      </c>
      <c r="AW989">
        <v>201</v>
      </c>
      <c r="AX989">
        <v>1.6</v>
      </c>
    </row>
    <row r="990" spans="48:50" x14ac:dyDescent="0.3">
      <c r="AV990" t="str">
        <v>Data Analytics Course: ML</v>
      </c>
      <c r="AW990">
        <v>192</v>
      </c>
      <c r="AX990">
        <v>2.12</v>
      </c>
    </row>
    <row r="991" spans="48:50" x14ac:dyDescent="0.3">
      <c r="AV991" t="str">
        <v>Data Analytics Course: ML</v>
      </c>
      <c r="AW991">
        <v>231</v>
      </c>
      <c r="AX991">
        <v>0.98</v>
      </c>
    </row>
    <row r="992" spans="48:50" x14ac:dyDescent="0.3">
      <c r="AV992" t="str">
        <v>Data Analytics Course: ML</v>
      </c>
      <c r="AW992">
        <v>205</v>
      </c>
      <c r="AX992">
        <v>1.62</v>
      </c>
    </row>
    <row r="993" spans="48:50" x14ac:dyDescent="0.3">
      <c r="AV993" t="str">
        <v>Data Analytics Course: Basics</v>
      </c>
      <c r="AW993">
        <v>193</v>
      </c>
      <c r="AX993">
        <v>1.49</v>
      </c>
    </row>
    <row r="994" spans="48:50" x14ac:dyDescent="0.3">
      <c r="AV994" t="str">
        <v>Data Analytics Course: Visualizations</v>
      </c>
      <c r="AW994">
        <v>237</v>
      </c>
      <c r="AX994">
        <v>1.59</v>
      </c>
    </row>
    <row r="995" spans="48:50" x14ac:dyDescent="0.3">
      <c r="AV995" t="str">
        <v>Data Analytics Course: Advanced</v>
      </c>
      <c r="AW995">
        <v>206</v>
      </c>
      <c r="AX995">
        <v>1.03</v>
      </c>
    </row>
    <row r="996" spans="48:50" x14ac:dyDescent="0.3">
      <c r="AV996" t="str">
        <v>Data Analytics Course: Basics</v>
      </c>
      <c r="AW996">
        <v>197</v>
      </c>
      <c r="AX996">
        <v>1.57</v>
      </c>
    </row>
    <row r="997" spans="48:50" x14ac:dyDescent="0.3">
      <c r="AV997" t="str">
        <v>Data Analytics Course: Advanced</v>
      </c>
      <c r="AW997">
        <v>218</v>
      </c>
      <c r="AX997">
        <v>1.21</v>
      </c>
    </row>
    <row r="998" spans="48:50" x14ac:dyDescent="0.3">
      <c r="AV998" t="str">
        <v>Data Analytics Course: ML</v>
      </c>
      <c r="AW998">
        <v>203</v>
      </c>
      <c r="AX998">
        <v>1.23</v>
      </c>
    </row>
    <row r="999" spans="48:50" x14ac:dyDescent="0.3">
      <c r="AV999" t="str">
        <v>Data Analytics Course: Basics</v>
      </c>
      <c r="AW999">
        <v>203</v>
      </c>
      <c r="AX999">
        <v>1.04</v>
      </c>
    </row>
    <row r="1000" spans="48:50" x14ac:dyDescent="0.3">
      <c r="AV1000" t="str">
        <v>Data Analytics Course: Advanced</v>
      </c>
      <c r="AW1000">
        <v>211</v>
      </c>
      <c r="AX1000">
        <v>1.51</v>
      </c>
    </row>
    <row r="1001" spans="48:50" x14ac:dyDescent="0.3">
      <c r="AV1001" t="str">
        <v>Data Analytics Course: Basics</v>
      </c>
      <c r="AW1001">
        <v>229</v>
      </c>
      <c r="AX1001">
        <v>1.1299999999999999</v>
      </c>
    </row>
    <row r="1002" spans="48:50" x14ac:dyDescent="0.3">
      <c r="AV1002" t="str">
        <v>Data Analytics Course: Visualizations</v>
      </c>
      <c r="AW1002">
        <v>207</v>
      </c>
      <c r="AX1002">
        <v>1.77</v>
      </c>
    </row>
    <row r="1003" spans="48:50" x14ac:dyDescent="0.3">
      <c r="AV1003" t="str">
        <v>Data Analytics Course: Basics</v>
      </c>
      <c r="AW1003">
        <v>244</v>
      </c>
      <c r="AX1003">
        <v>1.26</v>
      </c>
    </row>
    <row r="1004" spans="48:50" x14ac:dyDescent="0.3">
      <c r="AV1004" t="str">
        <v>Data Analytics Course: Advanced</v>
      </c>
      <c r="AW1004">
        <v>241</v>
      </c>
      <c r="AX1004">
        <v>1.06</v>
      </c>
    </row>
    <row r="1005" spans="48:50" x14ac:dyDescent="0.3">
      <c r="AV1005" t="str">
        <v>Data Analytics Course: Visualizations</v>
      </c>
      <c r="AW1005">
        <v>193</v>
      </c>
      <c r="AX1005">
        <v>1.47</v>
      </c>
    </row>
    <row r="1006" spans="48:50" x14ac:dyDescent="0.3">
      <c r="AV1006" t="str">
        <v>Data Analytics Course: Visualizations</v>
      </c>
      <c r="AW1006">
        <v>249</v>
      </c>
      <c r="AX1006">
        <v>1.0900000000000001</v>
      </c>
    </row>
    <row r="1007" spans="48:50" x14ac:dyDescent="0.3">
      <c r="AV1007" t="str">
        <v>Data Analytics Course: Advanced</v>
      </c>
      <c r="AW1007">
        <v>224</v>
      </c>
      <c r="AX1007">
        <v>1.28</v>
      </c>
    </row>
    <row r="1008" spans="48:50" x14ac:dyDescent="0.3">
      <c r="AV1008" t="str">
        <v>Data Analytics Course: ML</v>
      </c>
      <c r="AW1008">
        <v>199</v>
      </c>
      <c r="AX1008">
        <v>1.48</v>
      </c>
    </row>
    <row r="1009" spans="48:50" x14ac:dyDescent="0.3">
      <c r="AV1009" t="str">
        <v>Data Analytics Course: Visualizations</v>
      </c>
      <c r="AW1009">
        <v>242</v>
      </c>
      <c r="AX1009">
        <v>1.1200000000000001</v>
      </c>
    </row>
    <row r="1010" spans="48:50" x14ac:dyDescent="0.3">
      <c r="AV1010" t="str">
        <v>Data Analytics Course: ML</v>
      </c>
      <c r="AW1010">
        <v>199</v>
      </c>
      <c r="AX1010">
        <v>1.62</v>
      </c>
    </row>
    <row r="1011" spans="48:50" x14ac:dyDescent="0.3">
      <c r="AV1011" t="str">
        <v>Data Analytics Course: Advanced</v>
      </c>
      <c r="AW1011">
        <v>197</v>
      </c>
      <c r="AX1011">
        <v>1.05</v>
      </c>
    </row>
    <row r="1012" spans="48:50" x14ac:dyDescent="0.3">
      <c r="AV1012" t="str">
        <v>Data Analytics Course: Advanced</v>
      </c>
      <c r="AW1012">
        <v>274</v>
      </c>
      <c r="AX1012">
        <v>0.85</v>
      </c>
    </row>
    <row r="1013" spans="48:50" x14ac:dyDescent="0.3">
      <c r="AV1013" t="str">
        <v>Data Analytics Course: ML</v>
      </c>
      <c r="AW1013">
        <v>206</v>
      </c>
      <c r="AX1013">
        <v>1.58</v>
      </c>
    </row>
    <row r="1014" spans="48:50" x14ac:dyDescent="0.3">
      <c r="AV1014" t="str">
        <v>Data Analytics Course: Visualizations</v>
      </c>
      <c r="AW1014">
        <v>241</v>
      </c>
      <c r="AX1014">
        <v>0.99</v>
      </c>
    </row>
    <row r="1015" spans="48:50" x14ac:dyDescent="0.3">
      <c r="AV1015" t="str">
        <v>Data Analytics Course: Advanced</v>
      </c>
      <c r="AW1015">
        <v>198</v>
      </c>
      <c r="AX1015">
        <v>1.94</v>
      </c>
    </row>
    <row r="1016" spans="48:50" x14ac:dyDescent="0.3">
      <c r="AV1016" t="str">
        <v>Data Analytics Course: ML</v>
      </c>
      <c r="AW1016">
        <v>248</v>
      </c>
      <c r="AX1016">
        <v>1.58</v>
      </c>
    </row>
    <row r="1017" spans="48:50" x14ac:dyDescent="0.3">
      <c r="AV1017" t="str">
        <v>Data Analytics Course: Advanced</v>
      </c>
      <c r="AW1017">
        <v>238</v>
      </c>
      <c r="AX1017">
        <v>1.34</v>
      </c>
    </row>
    <row r="1018" spans="48:50" x14ac:dyDescent="0.3">
      <c r="AV1018" t="str">
        <v>Data Analytics Course: Advanced</v>
      </c>
      <c r="AW1018">
        <v>227</v>
      </c>
      <c r="AX1018">
        <v>1.1499999999999999</v>
      </c>
    </row>
    <row r="1019" spans="48:50" x14ac:dyDescent="0.3">
      <c r="AV1019" t="str">
        <v>Data Analytics Course: Advanced</v>
      </c>
      <c r="AW1019">
        <v>247</v>
      </c>
      <c r="AX1019">
        <v>0.97</v>
      </c>
    </row>
    <row r="1020" spans="48:50" x14ac:dyDescent="0.3">
      <c r="AV1020" t="str">
        <v>Data Analytics Course: Advanced</v>
      </c>
      <c r="AW1020">
        <v>231</v>
      </c>
      <c r="AX1020">
        <v>1.56</v>
      </c>
    </row>
    <row r="1021" spans="48:50" x14ac:dyDescent="0.3">
      <c r="AV1021" t="str">
        <v>Data Analytics Course: ML</v>
      </c>
      <c r="AW1021">
        <v>213</v>
      </c>
      <c r="AX1021">
        <v>1.86</v>
      </c>
    </row>
    <row r="1022" spans="48:50" x14ac:dyDescent="0.3">
      <c r="AV1022" t="str">
        <v>Data Analytics Course: Visualizations</v>
      </c>
      <c r="AW1022">
        <v>198</v>
      </c>
      <c r="AX1022">
        <v>1.97</v>
      </c>
    </row>
    <row r="1023" spans="48:50" x14ac:dyDescent="0.3">
      <c r="AV1023" t="str">
        <v>Data Analytics Course: Visualizations</v>
      </c>
      <c r="AW1023">
        <v>227</v>
      </c>
      <c r="AX1023">
        <v>1.24</v>
      </c>
    </row>
    <row r="1024" spans="48:50" x14ac:dyDescent="0.3">
      <c r="AV1024" t="str">
        <v>Data Analytics Course: Advanced</v>
      </c>
      <c r="AW1024">
        <v>246</v>
      </c>
      <c r="AX1024">
        <v>1.27</v>
      </c>
    </row>
    <row r="1025" spans="48:50" x14ac:dyDescent="0.3">
      <c r="AV1025" t="str">
        <v>Data Analytics Course: ML</v>
      </c>
      <c r="AW1025">
        <v>238</v>
      </c>
      <c r="AX1025">
        <v>1.5</v>
      </c>
    </row>
    <row r="1026" spans="48:50" x14ac:dyDescent="0.3">
      <c r="AV1026" t="str">
        <v>Data Analytics Course: ML</v>
      </c>
      <c r="AW1026">
        <v>194</v>
      </c>
      <c r="AX1026">
        <v>1.5</v>
      </c>
    </row>
    <row r="1027" spans="48:50" x14ac:dyDescent="0.3">
      <c r="AV1027" t="str">
        <v>Data Analytics Course: Advanced</v>
      </c>
      <c r="AW1027">
        <v>209</v>
      </c>
      <c r="AX1027">
        <v>1.05</v>
      </c>
    </row>
    <row r="1028" spans="48:50" x14ac:dyDescent="0.3">
      <c r="AV1028" t="str">
        <v>Data Analytics Course: Basics</v>
      </c>
      <c r="AW1028">
        <v>234</v>
      </c>
      <c r="AX1028">
        <v>1.47</v>
      </c>
    </row>
    <row r="1029" spans="48:50" x14ac:dyDescent="0.3">
      <c r="AV1029" t="str">
        <v>Data Analytics Course: Visualizations</v>
      </c>
      <c r="AW1029">
        <v>214</v>
      </c>
      <c r="AX1029">
        <v>1.35</v>
      </c>
    </row>
    <row r="1030" spans="48:50" x14ac:dyDescent="0.3">
      <c r="AV1030" t="str">
        <v>Data Analytics Course: Visualizations</v>
      </c>
      <c r="AW1030">
        <v>229</v>
      </c>
      <c r="AX1030">
        <v>1.35</v>
      </c>
    </row>
    <row r="1031" spans="48:50" x14ac:dyDescent="0.3">
      <c r="AV1031" t="str">
        <v>Data Analytics Course: Basics</v>
      </c>
      <c r="AW1031">
        <v>271</v>
      </c>
      <c r="AX1031">
        <v>0.99</v>
      </c>
    </row>
    <row r="1032" spans="48:50" x14ac:dyDescent="0.3">
      <c r="AV1032" t="str">
        <v>Data Analytics Course: ML</v>
      </c>
      <c r="AW1032">
        <v>227</v>
      </c>
      <c r="AX1032">
        <v>0.95</v>
      </c>
    </row>
    <row r="1033" spans="48:50" x14ac:dyDescent="0.3">
      <c r="AV1033" t="str">
        <v>Data Analytics Course: Basics</v>
      </c>
      <c r="AW1033">
        <v>207</v>
      </c>
      <c r="AX1033">
        <v>1.66</v>
      </c>
    </row>
    <row r="1034" spans="48:50" x14ac:dyDescent="0.3">
      <c r="AV1034" t="str">
        <v>Data Analytics Course: Visualizations</v>
      </c>
      <c r="AW1034">
        <v>208</v>
      </c>
      <c r="AX1034">
        <v>1.29</v>
      </c>
    </row>
    <row r="1035" spans="48:50" x14ac:dyDescent="0.3">
      <c r="AV1035" t="str">
        <v>Data Analytics Course: ML</v>
      </c>
      <c r="AW1035">
        <v>190</v>
      </c>
      <c r="AX1035">
        <v>1.32</v>
      </c>
    </row>
    <row r="1036" spans="48:50" x14ac:dyDescent="0.3">
      <c r="AV1036" t="str">
        <v>Data Analytics Course: Visualizations</v>
      </c>
      <c r="AW1036">
        <v>225</v>
      </c>
      <c r="AX1036">
        <v>1.25</v>
      </c>
    </row>
    <row r="1037" spans="48:50" x14ac:dyDescent="0.3">
      <c r="AV1037" t="str">
        <v>Data Analytics Course: Advanced</v>
      </c>
      <c r="AW1037">
        <v>205</v>
      </c>
      <c r="AX1037">
        <v>1.2</v>
      </c>
    </row>
    <row r="1038" spans="48:50" x14ac:dyDescent="0.3">
      <c r="AV1038" t="str">
        <v>Data Analytics Course: Basics</v>
      </c>
      <c r="AW1038">
        <v>213</v>
      </c>
      <c r="AX1038">
        <v>1.75</v>
      </c>
    </row>
    <row r="1039" spans="48:50" x14ac:dyDescent="0.3">
      <c r="AV1039" t="str">
        <v>Data Analytics Course: ML</v>
      </c>
      <c r="AW1039">
        <v>224</v>
      </c>
      <c r="AX1039">
        <v>1.61</v>
      </c>
    </row>
    <row r="1040" spans="48:50" x14ac:dyDescent="0.3">
      <c r="AV1040" t="str">
        <v>Data Analytics Course: ML</v>
      </c>
      <c r="AW1040">
        <v>219</v>
      </c>
      <c r="AX1040">
        <v>1.71</v>
      </c>
    </row>
    <row r="1041" spans="48:50" x14ac:dyDescent="0.3">
      <c r="AV1041" t="str">
        <v>Data Analytics Course: Advanced</v>
      </c>
      <c r="AW1041">
        <v>220</v>
      </c>
      <c r="AX1041">
        <v>1.67</v>
      </c>
    </row>
    <row r="1042" spans="48:50" x14ac:dyDescent="0.3">
      <c r="AV1042" t="str">
        <v>Data Analytics Course: Advanced</v>
      </c>
      <c r="AW1042">
        <v>245</v>
      </c>
      <c r="AX1042">
        <v>1.1499999999999999</v>
      </c>
    </row>
    <row r="1043" spans="48:50" x14ac:dyDescent="0.3">
      <c r="AV1043" t="str">
        <v>Data Analytics Course: ML</v>
      </c>
      <c r="AW1043">
        <v>225</v>
      </c>
      <c r="AX1043">
        <v>1.5</v>
      </c>
    </row>
    <row r="1044" spans="48:50" x14ac:dyDescent="0.3">
      <c r="AV1044" t="str">
        <v>Data Analytics Course: ML</v>
      </c>
      <c r="AW1044">
        <v>190</v>
      </c>
      <c r="AX1044">
        <v>1.8</v>
      </c>
    </row>
    <row r="1045" spans="48:50" x14ac:dyDescent="0.3">
      <c r="AV1045" t="str">
        <v>Data Analytics Course: Advanced</v>
      </c>
      <c r="AW1045">
        <v>245</v>
      </c>
      <c r="AX1045">
        <v>1.63</v>
      </c>
    </row>
    <row r="1046" spans="48:50" x14ac:dyDescent="0.3">
      <c r="AV1046" t="str">
        <v>Data Analytics Course: ML</v>
      </c>
      <c r="AW1046">
        <v>240</v>
      </c>
      <c r="AX1046">
        <v>1.03</v>
      </c>
    </row>
    <row r="1047" spans="48:50" x14ac:dyDescent="0.3">
      <c r="AV1047" t="str">
        <v>Data Analytics Course: Basics</v>
      </c>
      <c r="AW1047">
        <v>184</v>
      </c>
      <c r="AX1047">
        <v>1.35</v>
      </c>
    </row>
    <row r="1048" spans="48:50" x14ac:dyDescent="0.3">
      <c r="AV1048" t="str">
        <v>Data Analytics Course: ML</v>
      </c>
      <c r="AW1048">
        <v>238</v>
      </c>
      <c r="AX1048">
        <v>0.95</v>
      </c>
    </row>
    <row r="1049" spans="48:50" x14ac:dyDescent="0.3">
      <c r="AV1049" t="str">
        <v>Data Analytics Course: Visualizations</v>
      </c>
      <c r="AW1049">
        <v>229</v>
      </c>
      <c r="AX1049">
        <v>1.33</v>
      </c>
    </row>
    <row r="1050" spans="48:50" x14ac:dyDescent="0.3">
      <c r="AV1050" t="str">
        <v>Data Analytics Course: Basics</v>
      </c>
      <c r="AW1050">
        <v>195</v>
      </c>
      <c r="AX1050">
        <v>1.68</v>
      </c>
    </row>
    <row r="1051" spans="48:50" x14ac:dyDescent="0.3">
      <c r="AV1051" t="str">
        <v>Data Analytics Course: Visualizations</v>
      </c>
      <c r="AW1051">
        <v>195</v>
      </c>
      <c r="AX1051">
        <v>2.02</v>
      </c>
    </row>
    <row r="1052" spans="48:50" x14ac:dyDescent="0.3">
      <c r="AV1052" t="str">
        <v>Data Analytics Course: Advanced</v>
      </c>
      <c r="AW1052">
        <v>191</v>
      </c>
      <c r="AX1052">
        <v>1.2</v>
      </c>
    </row>
    <row r="1053" spans="48:50" x14ac:dyDescent="0.3">
      <c r="AV1053" t="str">
        <v>Data Analytics Course: Basics</v>
      </c>
      <c r="AW1053">
        <v>245</v>
      </c>
      <c r="AX1053">
        <v>1.52</v>
      </c>
    </row>
    <row r="1054" spans="48:50" x14ac:dyDescent="0.3">
      <c r="AV1054" t="str">
        <v>Data Analytics Course: Advanced</v>
      </c>
      <c r="AW1054">
        <v>182</v>
      </c>
      <c r="AX1054">
        <v>1.63</v>
      </c>
    </row>
    <row r="1055" spans="48:50" x14ac:dyDescent="0.3">
      <c r="AV1055" t="str">
        <v>Data Analytics Course: Basics</v>
      </c>
      <c r="AW1055">
        <v>223</v>
      </c>
      <c r="AX1055">
        <v>1.21</v>
      </c>
    </row>
    <row r="1056" spans="48:50" x14ac:dyDescent="0.3">
      <c r="AV1056" t="str">
        <v>Data Analytics Course: Advanced</v>
      </c>
      <c r="AW1056">
        <v>233</v>
      </c>
      <c r="AX1056">
        <v>1.49</v>
      </c>
    </row>
    <row r="1057" spans="48:50" x14ac:dyDescent="0.3">
      <c r="AV1057" t="str">
        <v>Data Analytics Course: Basics</v>
      </c>
      <c r="AW1057">
        <v>205</v>
      </c>
      <c r="AX1057">
        <v>1.6</v>
      </c>
    </row>
    <row r="1058" spans="48:50" x14ac:dyDescent="0.3">
      <c r="AV1058" t="str">
        <v>Data Analytics Course: Advanced</v>
      </c>
      <c r="AW1058">
        <v>242</v>
      </c>
      <c r="AX1058">
        <v>1.17</v>
      </c>
    </row>
    <row r="1059" spans="48:50" x14ac:dyDescent="0.3">
      <c r="AV1059" t="str">
        <v>Data Analytics Course: Basics</v>
      </c>
      <c r="AW1059">
        <v>222</v>
      </c>
      <c r="AX1059">
        <v>1.89</v>
      </c>
    </row>
    <row r="1060" spans="48:50" x14ac:dyDescent="0.3">
      <c r="AV1060" t="str">
        <v>Data Analytics Course: Advanced</v>
      </c>
      <c r="AW1060">
        <v>194</v>
      </c>
      <c r="AX1060">
        <v>1.46</v>
      </c>
    </row>
    <row r="1061" spans="48:50" x14ac:dyDescent="0.3">
      <c r="AV1061" t="str">
        <v>Data Analytics Course: Visualizations</v>
      </c>
      <c r="AW1061">
        <v>196</v>
      </c>
      <c r="AX1061">
        <v>1.77</v>
      </c>
    </row>
    <row r="1062" spans="48:50" x14ac:dyDescent="0.3">
      <c r="AV1062" t="str">
        <v>Data Analytics Course: Visualizations</v>
      </c>
      <c r="AW1062">
        <v>202</v>
      </c>
      <c r="AX1062">
        <v>1.47</v>
      </c>
    </row>
    <row r="1063" spans="48:50" x14ac:dyDescent="0.3">
      <c r="AV1063" t="str">
        <v>Data Analytics Course: Advanced</v>
      </c>
      <c r="AW1063">
        <v>191</v>
      </c>
      <c r="AX1063">
        <v>2.06</v>
      </c>
    </row>
    <row r="1064" spans="48:50" x14ac:dyDescent="0.3">
      <c r="AV1064" t="str">
        <v>Data Analytics Course: ML</v>
      </c>
      <c r="AW1064">
        <v>235</v>
      </c>
      <c r="AX1064">
        <v>1.55</v>
      </c>
    </row>
    <row r="1065" spans="48:50" x14ac:dyDescent="0.3">
      <c r="AV1065" t="str">
        <v>Data Analytics Course: ML</v>
      </c>
      <c r="AW1065">
        <v>224</v>
      </c>
      <c r="AX1065">
        <v>0.97</v>
      </c>
    </row>
    <row r="1066" spans="48:50" x14ac:dyDescent="0.3">
      <c r="AV1066" t="str">
        <v>Data Analytics Course: Visualizations</v>
      </c>
      <c r="AW1066">
        <v>234</v>
      </c>
      <c r="AX1066">
        <v>0.96</v>
      </c>
    </row>
    <row r="1067" spans="48:50" x14ac:dyDescent="0.3">
      <c r="AV1067" t="str">
        <v>Data Analytics Course: Advanced</v>
      </c>
      <c r="AW1067">
        <v>228</v>
      </c>
      <c r="AX1067">
        <v>1.3</v>
      </c>
    </row>
    <row r="1068" spans="48:50" x14ac:dyDescent="0.3">
      <c r="AV1068" t="str">
        <v>Data Analytics Course: Advanced</v>
      </c>
      <c r="AW1068">
        <v>236</v>
      </c>
      <c r="AX1068">
        <v>1.65</v>
      </c>
    </row>
    <row r="1069" spans="48:50" x14ac:dyDescent="0.3">
      <c r="AV1069" t="str">
        <v>Data Analytics Course: Visualizations</v>
      </c>
      <c r="AW1069">
        <v>245</v>
      </c>
      <c r="AX1069">
        <v>1.04</v>
      </c>
    </row>
    <row r="1070" spans="48:50" x14ac:dyDescent="0.3">
      <c r="AV1070" t="str">
        <v>Data Analytics Course: Basics</v>
      </c>
      <c r="AW1070">
        <v>184</v>
      </c>
      <c r="AX1070">
        <v>1.21</v>
      </c>
    </row>
    <row r="1071" spans="48:50" x14ac:dyDescent="0.3">
      <c r="AV1071" t="str">
        <v>Data Analytics Course: Advanced</v>
      </c>
      <c r="AW1071">
        <v>222</v>
      </c>
      <c r="AX1071">
        <v>1.68</v>
      </c>
    </row>
    <row r="1072" spans="48:50" x14ac:dyDescent="0.3">
      <c r="AV1072" t="str">
        <v>Data Analytics Course: Visualizations</v>
      </c>
      <c r="AW1072">
        <v>220</v>
      </c>
      <c r="AX1072">
        <v>1.3</v>
      </c>
    </row>
    <row r="1073" spans="48:50" x14ac:dyDescent="0.3">
      <c r="AV1073" t="str">
        <v>Data Analytics Course: ML</v>
      </c>
      <c r="AW1073">
        <v>232</v>
      </c>
      <c r="AX1073">
        <v>1.33</v>
      </c>
    </row>
    <row r="1074" spans="48:50" x14ac:dyDescent="0.3">
      <c r="AV1074" t="str">
        <v>Data Analytics Course: Advanced</v>
      </c>
      <c r="AW1074">
        <v>200</v>
      </c>
      <c r="AX1074">
        <v>1.37</v>
      </c>
    </row>
    <row r="1075" spans="48:50" x14ac:dyDescent="0.3">
      <c r="AV1075" t="str">
        <v>Data Analytics Course: Advanced</v>
      </c>
      <c r="AW1075">
        <v>244</v>
      </c>
      <c r="AX1075">
        <v>1.51</v>
      </c>
    </row>
    <row r="1076" spans="48:50" x14ac:dyDescent="0.3">
      <c r="AV1076" t="str">
        <v>Data Analytics Course: Basics</v>
      </c>
      <c r="AW1076">
        <v>238</v>
      </c>
      <c r="AX1076">
        <v>1.66</v>
      </c>
    </row>
    <row r="1077" spans="48:50" x14ac:dyDescent="0.3">
      <c r="AV1077" t="str">
        <v>Data Analytics Course: Advanced</v>
      </c>
      <c r="AW1077">
        <v>229</v>
      </c>
      <c r="AX1077">
        <v>1.3</v>
      </c>
    </row>
    <row r="1078" spans="48:50" x14ac:dyDescent="0.3">
      <c r="AV1078" t="str">
        <v>Data Analytics Course: Basics</v>
      </c>
      <c r="AW1078">
        <v>234</v>
      </c>
      <c r="AX1078">
        <v>1.3</v>
      </c>
    </row>
    <row r="1079" spans="48:50" x14ac:dyDescent="0.3">
      <c r="AV1079" t="str">
        <v>Data Analytics Course: Advanced</v>
      </c>
      <c r="AW1079">
        <v>242</v>
      </c>
      <c r="AX1079">
        <v>1.21</v>
      </c>
    </row>
    <row r="1080" spans="48:50" x14ac:dyDescent="0.3">
      <c r="AV1080" t="str">
        <v>Data Analytics Course: Visualizations</v>
      </c>
      <c r="AW1080">
        <v>193</v>
      </c>
      <c r="AX1080">
        <v>1.33</v>
      </c>
    </row>
    <row r="1081" spans="48:50" x14ac:dyDescent="0.3">
      <c r="AV1081" t="str">
        <v>Data Analytics Course: Advanced</v>
      </c>
      <c r="AW1081">
        <v>233</v>
      </c>
      <c r="AX1081">
        <v>1.21</v>
      </c>
    </row>
    <row r="1082" spans="48:50" x14ac:dyDescent="0.3">
      <c r="AV1082" t="str">
        <v>Data Analytics Course: Advanced</v>
      </c>
      <c r="AW1082">
        <v>182</v>
      </c>
      <c r="AX1082">
        <v>2.0699999999999998</v>
      </c>
    </row>
    <row r="1083" spans="48:50" x14ac:dyDescent="0.3">
      <c r="AV1083" t="str">
        <v>Data Analytics Course: Visualizations</v>
      </c>
      <c r="AW1083">
        <v>202</v>
      </c>
      <c r="AX1083">
        <v>1.9</v>
      </c>
    </row>
    <row r="1084" spans="48:50" x14ac:dyDescent="0.3">
      <c r="AV1084" t="str">
        <v>Data Analytics Course: ML</v>
      </c>
      <c r="AW1084">
        <v>235</v>
      </c>
      <c r="AX1084">
        <v>1.4</v>
      </c>
    </row>
    <row r="1085" spans="48:50" x14ac:dyDescent="0.3">
      <c r="AV1085" t="str">
        <v>Data Analytics Course: ML</v>
      </c>
      <c r="AW1085">
        <v>204</v>
      </c>
      <c r="AX1085">
        <v>1.79</v>
      </c>
    </row>
    <row r="1086" spans="48:50" x14ac:dyDescent="0.3">
      <c r="AV1086" t="str">
        <v>Data Analytics Course: Basics</v>
      </c>
      <c r="AW1086">
        <v>180</v>
      </c>
      <c r="AX1086">
        <v>1.53</v>
      </c>
    </row>
    <row r="1087" spans="48:50" x14ac:dyDescent="0.3">
      <c r="AV1087" t="str">
        <v>Data Analytics Course: ML</v>
      </c>
      <c r="AW1087">
        <v>230</v>
      </c>
      <c r="AX1087">
        <v>0.92</v>
      </c>
    </row>
    <row r="1088" spans="48:50" x14ac:dyDescent="0.3">
      <c r="AV1088" t="str">
        <v>Data Analytics Course: Visualizations</v>
      </c>
      <c r="AW1088">
        <v>196</v>
      </c>
      <c r="AX1088">
        <v>1.27</v>
      </c>
    </row>
    <row r="1089" spans="48:50" x14ac:dyDescent="0.3">
      <c r="AV1089" t="str">
        <v>Data Analytics Course: ML</v>
      </c>
      <c r="AW1089">
        <v>209</v>
      </c>
      <c r="AX1089">
        <v>1.6</v>
      </c>
    </row>
    <row r="1090" spans="48:50" x14ac:dyDescent="0.3">
      <c r="AV1090" t="str">
        <v>Data Analytics Course: Advanced</v>
      </c>
      <c r="AW1090">
        <v>237</v>
      </c>
      <c r="AX1090">
        <v>1.66</v>
      </c>
    </row>
    <row r="1091" spans="48:50" x14ac:dyDescent="0.3">
      <c r="AV1091" t="str">
        <v>Data Analytics Course: ML</v>
      </c>
      <c r="AW1091">
        <v>249</v>
      </c>
      <c r="AX1091">
        <v>1.37</v>
      </c>
    </row>
    <row r="1092" spans="48:50" x14ac:dyDescent="0.3">
      <c r="AV1092" t="str">
        <v>Data Analytics Course: Visualizations</v>
      </c>
      <c r="AW1092">
        <v>223</v>
      </c>
      <c r="AX1092">
        <v>1.48</v>
      </c>
    </row>
    <row r="1093" spans="48:50" x14ac:dyDescent="0.3">
      <c r="AV1093" t="str">
        <v>Data Analytics Course: Advanced</v>
      </c>
      <c r="AW1093">
        <v>234</v>
      </c>
      <c r="AX1093">
        <v>1.43</v>
      </c>
    </row>
    <row r="1094" spans="48:50" x14ac:dyDescent="0.3">
      <c r="AV1094" t="str">
        <v>Data Analytics Course: Visualizations</v>
      </c>
      <c r="AW1094">
        <v>218</v>
      </c>
      <c r="AX1094">
        <v>1.1200000000000001</v>
      </c>
    </row>
    <row r="1095" spans="48:50" x14ac:dyDescent="0.3">
      <c r="AV1095" t="str">
        <v>Data Analytics Course: Visualizations</v>
      </c>
      <c r="AW1095">
        <v>241</v>
      </c>
      <c r="AX1095">
        <v>1.1599999999999999</v>
      </c>
    </row>
    <row r="1096" spans="48:50" x14ac:dyDescent="0.3">
      <c r="AV1096" t="str">
        <v>Data Analytics Course: Visualizations</v>
      </c>
      <c r="AW1096">
        <v>221</v>
      </c>
      <c r="AX1096">
        <v>2.11</v>
      </c>
    </row>
    <row r="1097" spans="48:50" x14ac:dyDescent="0.3">
      <c r="AV1097" t="str">
        <v>Data Analytics Course: ML</v>
      </c>
      <c r="AW1097">
        <v>211</v>
      </c>
      <c r="AX1097">
        <v>1.23</v>
      </c>
    </row>
    <row r="1098" spans="48:50" x14ac:dyDescent="0.3">
      <c r="AV1098" t="str">
        <v>Data Analytics Course: Advanced</v>
      </c>
      <c r="AW1098">
        <v>199</v>
      </c>
      <c r="AX1098">
        <v>1.75</v>
      </c>
    </row>
    <row r="1099" spans="48:50" x14ac:dyDescent="0.3">
      <c r="AV1099" t="str">
        <v>Data Analytics Course: Visualizations</v>
      </c>
      <c r="AW1099">
        <v>232</v>
      </c>
      <c r="AX1099">
        <v>1.42</v>
      </c>
    </row>
    <row r="1100" spans="48:50" x14ac:dyDescent="0.3">
      <c r="AV1100" t="str">
        <v>Data Analytics Course: Visualizations</v>
      </c>
      <c r="AW1100">
        <v>207</v>
      </c>
      <c r="AX1100">
        <v>1.2</v>
      </c>
    </row>
    <row r="1101" spans="48:50" x14ac:dyDescent="0.3">
      <c r="AV1101" t="str">
        <v>Data Analytics Course: Advanced</v>
      </c>
      <c r="AW1101">
        <v>199</v>
      </c>
      <c r="AX1101">
        <v>2.0299999999999998</v>
      </c>
    </row>
    <row r="1102" spans="48:50" x14ac:dyDescent="0.3">
      <c r="AV1102" t="str">
        <v>Data Analytics Course: Basics</v>
      </c>
      <c r="AW1102">
        <v>189</v>
      </c>
      <c r="AX1102">
        <v>1.42</v>
      </c>
    </row>
    <row r="1103" spans="48:50" x14ac:dyDescent="0.3">
      <c r="AV1103" t="str">
        <v>Data Analytics Course: Visualizations</v>
      </c>
      <c r="AW1103">
        <v>201</v>
      </c>
      <c r="AX1103">
        <v>1.22</v>
      </c>
    </row>
    <row r="1104" spans="48:50" x14ac:dyDescent="0.3">
      <c r="AV1104" t="str">
        <v>Data Analytics Course: Advanced</v>
      </c>
      <c r="AW1104">
        <v>244</v>
      </c>
      <c r="AX1104">
        <v>1.64</v>
      </c>
    </row>
    <row r="1105" spans="48:50" x14ac:dyDescent="0.3">
      <c r="AV1105" t="str">
        <v>Data Analytics Course: ML</v>
      </c>
      <c r="AW1105">
        <v>231</v>
      </c>
      <c r="AX1105">
        <v>1.71</v>
      </c>
    </row>
    <row r="1106" spans="48:50" x14ac:dyDescent="0.3">
      <c r="AV1106" t="str">
        <v>Data Analytics Course: Visualizations</v>
      </c>
      <c r="AW1106">
        <v>218</v>
      </c>
      <c r="AX1106">
        <v>1.36</v>
      </c>
    </row>
    <row r="1107" spans="48:50" x14ac:dyDescent="0.3">
      <c r="AV1107" t="str">
        <v>Data Analytics Course: Basics</v>
      </c>
      <c r="AW1107">
        <v>194</v>
      </c>
      <c r="AX1107">
        <v>1.81</v>
      </c>
    </row>
    <row r="1108" spans="48:50" x14ac:dyDescent="0.3">
      <c r="AV1108" t="str">
        <v>Data Analytics Course: Basics</v>
      </c>
      <c r="AW1108">
        <v>250</v>
      </c>
      <c r="AX1108">
        <v>1.08</v>
      </c>
    </row>
    <row r="1109" spans="48:50" x14ac:dyDescent="0.3">
      <c r="AV1109" t="str">
        <v>Data Analytics Course: Basics</v>
      </c>
      <c r="AW1109">
        <v>204</v>
      </c>
      <c r="AX1109">
        <v>1.51</v>
      </c>
    </row>
    <row r="1110" spans="48:50" x14ac:dyDescent="0.3">
      <c r="AV1110" t="str">
        <v>Data Analytics Course: Advanced</v>
      </c>
      <c r="AW1110">
        <v>197</v>
      </c>
      <c r="AX1110">
        <v>1.76</v>
      </c>
    </row>
    <row r="1111" spans="48:50" x14ac:dyDescent="0.3">
      <c r="AV1111" t="str">
        <v>Data Analytics Course: Advanced</v>
      </c>
      <c r="AW1111">
        <v>234</v>
      </c>
      <c r="AX1111">
        <v>1.26</v>
      </c>
    </row>
    <row r="1112" spans="48:50" x14ac:dyDescent="0.3">
      <c r="AV1112" t="str">
        <v>Data Analytics Course: ML</v>
      </c>
      <c r="AW1112">
        <v>211</v>
      </c>
      <c r="AX1112">
        <v>1.7</v>
      </c>
    </row>
    <row r="1113" spans="48:50" x14ac:dyDescent="0.3">
      <c r="AV1113" t="str">
        <v>Data Analytics Course: Advanced</v>
      </c>
      <c r="AW1113">
        <v>213</v>
      </c>
      <c r="AX1113">
        <v>1.33</v>
      </c>
    </row>
    <row r="1114" spans="48:50" x14ac:dyDescent="0.3">
      <c r="AV1114" t="str">
        <v>Data Analytics Course: Visualizations</v>
      </c>
      <c r="AW1114">
        <v>214</v>
      </c>
      <c r="AX1114">
        <v>1.9</v>
      </c>
    </row>
    <row r="1115" spans="48:50" x14ac:dyDescent="0.3">
      <c r="AV1115" t="str">
        <v>Data Analytics Course: Visualizations</v>
      </c>
      <c r="AW1115">
        <v>214</v>
      </c>
      <c r="AX1115">
        <v>1.39</v>
      </c>
    </row>
    <row r="1116" spans="48:50" x14ac:dyDescent="0.3">
      <c r="AV1116" t="str">
        <v>Data Analytics Course: ML</v>
      </c>
      <c r="AW1116">
        <v>230</v>
      </c>
      <c r="AX1116">
        <v>1.5</v>
      </c>
    </row>
    <row r="1117" spans="48:50" x14ac:dyDescent="0.3">
      <c r="AV1117" t="str">
        <v>Data Analytics Course: Basics</v>
      </c>
      <c r="AW1117">
        <v>203</v>
      </c>
      <c r="AX1117">
        <v>1.52</v>
      </c>
    </row>
    <row r="1118" spans="48:50" x14ac:dyDescent="0.3">
      <c r="AV1118" t="str">
        <v>Data Analytics Course: ML</v>
      </c>
      <c r="AW1118">
        <v>194</v>
      </c>
      <c r="AX1118">
        <v>2.09</v>
      </c>
    </row>
    <row r="1119" spans="48:50" x14ac:dyDescent="0.3">
      <c r="AV1119" t="str">
        <v>Data Analytics Course: Advanced</v>
      </c>
      <c r="AW1119">
        <v>269</v>
      </c>
      <c r="AX1119">
        <v>0.92</v>
      </c>
    </row>
    <row r="1120" spans="48:50" x14ac:dyDescent="0.3">
      <c r="AV1120" t="str">
        <v>Data Analytics Course: Visualizations</v>
      </c>
      <c r="AW1120">
        <v>228</v>
      </c>
      <c r="AX1120">
        <v>1.41</v>
      </c>
    </row>
    <row r="1121" spans="48:50" x14ac:dyDescent="0.3">
      <c r="AV1121" t="str">
        <v>Data Analytics Course: Basics</v>
      </c>
      <c r="AW1121">
        <v>244</v>
      </c>
      <c r="AX1121">
        <v>1.1299999999999999</v>
      </c>
    </row>
    <row r="1122" spans="48:50" x14ac:dyDescent="0.3">
      <c r="AV1122" t="str">
        <v>Data Analytics Course: Basics</v>
      </c>
      <c r="AW1122">
        <v>246</v>
      </c>
      <c r="AX1122">
        <v>1.9</v>
      </c>
    </row>
    <row r="1123" spans="48:50" x14ac:dyDescent="0.3">
      <c r="AV1123" t="str">
        <v>Data Analytics Course: Visualizations</v>
      </c>
      <c r="AW1123">
        <v>241</v>
      </c>
      <c r="AX1123">
        <v>1.1299999999999999</v>
      </c>
    </row>
    <row r="1124" spans="48:50" x14ac:dyDescent="0.3">
      <c r="AV1124" t="str">
        <v>Data Analytics Course: Visualizations</v>
      </c>
      <c r="AW1124">
        <v>197</v>
      </c>
      <c r="AX1124">
        <v>1.49</v>
      </c>
    </row>
    <row r="1125" spans="48:50" x14ac:dyDescent="0.3">
      <c r="AV1125" t="str">
        <v>Data Analytics Course: Advanced</v>
      </c>
      <c r="AW1125">
        <v>190</v>
      </c>
      <c r="AX1125">
        <v>1.99</v>
      </c>
    </row>
    <row r="1126" spans="48:50" x14ac:dyDescent="0.3">
      <c r="AV1126" t="str">
        <v>Data Analytics Course: Advanced</v>
      </c>
      <c r="AW1126">
        <v>210</v>
      </c>
      <c r="AX1126">
        <v>1.83</v>
      </c>
    </row>
    <row r="1127" spans="48:50" x14ac:dyDescent="0.3">
      <c r="AV1127" t="str">
        <v>Data Analytics Course: Visualizations</v>
      </c>
      <c r="AW1127">
        <v>234</v>
      </c>
      <c r="AX1127">
        <v>1.1399999999999999</v>
      </c>
    </row>
    <row r="1128" spans="48:50" x14ac:dyDescent="0.3">
      <c r="AV1128" t="str">
        <v>Data Analytics Course: Visualizations</v>
      </c>
      <c r="AW1128">
        <v>219</v>
      </c>
      <c r="AX1128">
        <v>1.28</v>
      </c>
    </row>
    <row r="1129" spans="48:50" x14ac:dyDescent="0.3">
      <c r="AV1129" t="str">
        <v>Data Analytics Course: Visualizations</v>
      </c>
      <c r="AW1129">
        <v>247</v>
      </c>
      <c r="AX1129">
        <v>0.84</v>
      </c>
    </row>
    <row r="1130" spans="48:50" x14ac:dyDescent="0.3">
      <c r="AV1130" t="str">
        <v>Data Analytics Course: Visualizations</v>
      </c>
      <c r="AW1130">
        <v>240</v>
      </c>
      <c r="AX1130">
        <v>1.18</v>
      </c>
    </row>
    <row r="1131" spans="48:50" x14ac:dyDescent="0.3">
      <c r="AV1131" t="str">
        <v>Data Analytics Course: Basics</v>
      </c>
      <c r="AW1131">
        <v>217</v>
      </c>
      <c r="AX1131">
        <v>1.62</v>
      </c>
    </row>
    <row r="1132" spans="48:50" x14ac:dyDescent="0.3">
      <c r="AV1132" t="str">
        <v>Data Analytics Course: ML</v>
      </c>
      <c r="AW1132">
        <v>218</v>
      </c>
      <c r="AX1132">
        <v>1.38</v>
      </c>
    </row>
    <row r="1133" spans="48:50" x14ac:dyDescent="0.3">
      <c r="AV1133" t="str">
        <v>Data Analytics Course: ML</v>
      </c>
      <c r="AW1133">
        <v>190</v>
      </c>
      <c r="AX1133">
        <v>1.62</v>
      </c>
    </row>
    <row r="1134" spans="48:50" x14ac:dyDescent="0.3">
      <c r="AV1134" t="str">
        <v>Data Analytics Course: Advanced</v>
      </c>
      <c r="AW1134">
        <v>236</v>
      </c>
      <c r="AX1134">
        <v>1.1100000000000001</v>
      </c>
    </row>
    <row r="1135" spans="48:50" x14ac:dyDescent="0.3">
      <c r="AV1135" t="str">
        <v>Data Analytics Course: ML</v>
      </c>
      <c r="AW1135">
        <v>202</v>
      </c>
      <c r="AX1135">
        <v>1.48</v>
      </c>
    </row>
    <row r="1136" spans="48:50" x14ac:dyDescent="0.3">
      <c r="AV1136" t="str">
        <v>Data Analytics Course: Advanced</v>
      </c>
      <c r="AW1136">
        <v>225</v>
      </c>
      <c r="AX1136">
        <v>1.47</v>
      </c>
    </row>
    <row r="1137" spans="48:50" x14ac:dyDescent="0.3">
      <c r="AV1137" t="str">
        <v>Data Analytics Course: ML</v>
      </c>
      <c r="AW1137">
        <v>244</v>
      </c>
      <c r="AX1137">
        <v>1</v>
      </c>
    </row>
    <row r="1138" spans="48:50" x14ac:dyDescent="0.3">
      <c r="AV1138" t="str">
        <v>Data Analytics Course: Visualizations</v>
      </c>
      <c r="AW1138">
        <v>245</v>
      </c>
      <c r="AX1138">
        <v>1.02</v>
      </c>
    </row>
    <row r="1139" spans="48:50" x14ac:dyDescent="0.3">
      <c r="AV1139" t="str">
        <v>Data Analytics Course: ML</v>
      </c>
      <c r="AW1139">
        <v>247</v>
      </c>
      <c r="AX1139">
        <v>1.31</v>
      </c>
    </row>
    <row r="1140" spans="48:50" x14ac:dyDescent="0.3">
      <c r="AV1140" t="str">
        <v>Data Analytics Course: Basics</v>
      </c>
      <c r="AW1140">
        <v>199</v>
      </c>
      <c r="AX1140">
        <v>1.39</v>
      </c>
    </row>
    <row r="1141" spans="48:50" x14ac:dyDescent="0.3">
      <c r="AV1141" t="str">
        <v>Data Analytics Course: Visualizations</v>
      </c>
      <c r="AW1141">
        <v>218</v>
      </c>
      <c r="AX1141">
        <v>1.32</v>
      </c>
    </row>
    <row r="1142" spans="48:50" x14ac:dyDescent="0.3">
      <c r="AV1142" t="str">
        <v>Data Analytics Course: Visualizations</v>
      </c>
      <c r="AW1142">
        <v>204</v>
      </c>
      <c r="AX1142">
        <v>1.37</v>
      </c>
    </row>
    <row r="1143" spans="48:50" x14ac:dyDescent="0.3">
      <c r="AV1143" t="str">
        <v>Data Analytics Course: Basics</v>
      </c>
      <c r="AW1143">
        <v>193</v>
      </c>
      <c r="AX1143">
        <v>1.89</v>
      </c>
    </row>
    <row r="1144" spans="48:50" x14ac:dyDescent="0.3">
      <c r="AV1144" t="str">
        <v>Data Analytics Course: Advanced</v>
      </c>
      <c r="AW1144">
        <v>203</v>
      </c>
      <c r="AX1144">
        <v>0.92</v>
      </c>
    </row>
    <row r="1145" spans="48:50" x14ac:dyDescent="0.3">
      <c r="AV1145" t="str">
        <v>Data Analytics Course: ML</v>
      </c>
      <c r="AW1145">
        <v>245</v>
      </c>
      <c r="AX1145">
        <v>1.1399999999999999</v>
      </c>
    </row>
    <row r="1146" spans="48:50" x14ac:dyDescent="0.3">
      <c r="AV1146" t="str">
        <v>Data Analytics Course: Advanced</v>
      </c>
      <c r="AW1146">
        <v>203</v>
      </c>
      <c r="AX1146">
        <v>1.38</v>
      </c>
    </row>
    <row r="1147" spans="48:50" x14ac:dyDescent="0.3">
      <c r="AV1147" t="str">
        <v>Data Analytics Course: Visualizations</v>
      </c>
      <c r="AW1147">
        <v>182</v>
      </c>
      <c r="AX1147">
        <v>1.48</v>
      </c>
    </row>
    <row r="1148" spans="48:50" x14ac:dyDescent="0.3">
      <c r="AV1148" t="str">
        <v>Data Analytics Course: ML</v>
      </c>
      <c r="AW1148">
        <v>221</v>
      </c>
      <c r="AX1148">
        <v>1.46</v>
      </c>
    </row>
    <row r="1149" spans="48:50" x14ac:dyDescent="0.3">
      <c r="AV1149" t="str">
        <v>Data Analytics Course: Basics</v>
      </c>
      <c r="AW1149">
        <v>232</v>
      </c>
      <c r="AX1149">
        <v>1.54</v>
      </c>
    </row>
    <row r="1150" spans="48:50" x14ac:dyDescent="0.3">
      <c r="AV1150" t="str">
        <v>Data Analytics Course: Visualizations</v>
      </c>
      <c r="AW1150">
        <v>183</v>
      </c>
      <c r="AX1150">
        <v>1.19</v>
      </c>
    </row>
    <row r="1151" spans="48:50" x14ac:dyDescent="0.3">
      <c r="AV1151" t="str">
        <v>Data Analytics Course: Basics</v>
      </c>
      <c r="AW1151">
        <v>220</v>
      </c>
      <c r="AX1151">
        <v>1.62</v>
      </c>
    </row>
    <row r="1152" spans="48:50" x14ac:dyDescent="0.3">
      <c r="AV1152" t="str">
        <v>Data Analytics Course: ML</v>
      </c>
      <c r="AW1152">
        <v>191</v>
      </c>
      <c r="AX1152">
        <v>1.86</v>
      </c>
    </row>
    <row r="1153" spans="48:50" x14ac:dyDescent="0.3">
      <c r="AV1153" t="str">
        <v>Data Analytics Course: ML</v>
      </c>
      <c r="AW1153">
        <v>199</v>
      </c>
      <c r="AX1153">
        <v>1.67</v>
      </c>
    </row>
    <row r="1154" spans="48:50" x14ac:dyDescent="0.3">
      <c r="AV1154" t="str">
        <v>Data Analytics Course: Basics</v>
      </c>
      <c r="AW1154">
        <v>185</v>
      </c>
      <c r="AX1154">
        <v>1.38</v>
      </c>
    </row>
    <row r="1155" spans="48:50" x14ac:dyDescent="0.3">
      <c r="AV1155" t="str">
        <v>Data Analytics Course: Visualizations</v>
      </c>
      <c r="AW1155">
        <v>235</v>
      </c>
      <c r="AX1155">
        <v>1.19</v>
      </c>
    </row>
    <row r="1156" spans="48:50" x14ac:dyDescent="0.3">
      <c r="AV1156" t="str">
        <v>Data Analytics Course: ML</v>
      </c>
      <c r="AW1156">
        <v>221</v>
      </c>
      <c r="AX1156">
        <v>1.23</v>
      </c>
    </row>
    <row r="1157" spans="48:50" x14ac:dyDescent="0.3">
      <c r="AV1157" t="str">
        <v>Data Analytics Course: Visualizations</v>
      </c>
      <c r="AW1157">
        <v>194</v>
      </c>
      <c r="AX1157">
        <v>1.79</v>
      </c>
    </row>
    <row r="1158" spans="48:50" x14ac:dyDescent="0.3">
      <c r="AV1158" t="str">
        <v>Data Analytics Course: Visualizations</v>
      </c>
      <c r="AW1158">
        <v>214</v>
      </c>
      <c r="AX1158">
        <v>1.41</v>
      </c>
    </row>
    <row r="1159" spans="48:50" x14ac:dyDescent="0.3">
      <c r="AV1159" t="str">
        <v>Data Analytics Course: Advanced</v>
      </c>
      <c r="AW1159">
        <v>218</v>
      </c>
      <c r="AX1159">
        <v>0.97</v>
      </c>
    </row>
    <row r="1160" spans="48:50" x14ac:dyDescent="0.3">
      <c r="AV1160" t="str">
        <v>Data Analytics Course: ML</v>
      </c>
      <c r="AW1160">
        <v>215</v>
      </c>
      <c r="AX1160">
        <v>1.57</v>
      </c>
    </row>
    <row r="1161" spans="48:50" x14ac:dyDescent="0.3">
      <c r="AV1161" t="str">
        <v>Data Analytics Course: Basics</v>
      </c>
      <c r="AW1161">
        <v>193</v>
      </c>
      <c r="AX1161">
        <v>1.59</v>
      </c>
    </row>
    <row r="1162" spans="48:50" x14ac:dyDescent="0.3">
      <c r="AV1162" t="str">
        <v>Data Analytics Course: Visualizations</v>
      </c>
      <c r="AW1162">
        <v>193</v>
      </c>
      <c r="AX1162">
        <v>1.49</v>
      </c>
    </row>
    <row r="1163" spans="48:50" x14ac:dyDescent="0.3">
      <c r="AV1163" t="str">
        <v>Data Analytics Course: Advanced</v>
      </c>
      <c r="AW1163">
        <v>203</v>
      </c>
      <c r="AX1163">
        <v>1.56</v>
      </c>
    </row>
    <row r="1164" spans="48:50" x14ac:dyDescent="0.3">
      <c r="AV1164" t="str">
        <v>Data Analytics Course: ML</v>
      </c>
      <c r="AW1164">
        <v>185</v>
      </c>
      <c r="AX1164">
        <v>1.82</v>
      </c>
    </row>
    <row r="1165" spans="48:50" x14ac:dyDescent="0.3">
      <c r="AV1165" t="str">
        <v>Data Analytics Course: Advanced</v>
      </c>
      <c r="AW1165">
        <v>215</v>
      </c>
      <c r="AX1165">
        <v>1.65</v>
      </c>
    </row>
    <row r="1166" spans="48:50" x14ac:dyDescent="0.3">
      <c r="AV1166" t="str">
        <v>Data Analytics Course: Basics</v>
      </c>
      <c r="AW1166">
        <v>247</v>
      </c>
      <c r="AX1166">
        <v>1.05</v>
      </c>
    </row>
    <row r="1167" spans="48:50" x14ac:dyDescent="0.3">
      <c r="AV1167" t="str">
        <v>Data Analytics Course: Visualizations</v>
      </c>
      <c r="AW1167">
        <v>234</v>
      </c>
      <c r="AX1167">
        <v>1.36</v>
      </c>
    </row>
    <row r="1168" spans="48:50" x14ac:dyDescent="0.3">
      <c r="AV1168" t="str">
        <v>Data Analytics Course: Basics</v>
      </c>
      <c r="AW1168">
        <v>223</v>
      </c>
      <c r="AX1168">
        <v>1.45</v>
      </c>
    </row>
    <row r="1169" spans="48:50" x14ac:dyDescent="0.3">
      <c r="AV1169" t="str">
        <v>Data Analytics Course: Visualizations</v>
      </c>
      <c r="AW1169">
        <v>204</v>
      </c>
      <c r="AX1169">
        <v>0.92</v>
      </c>
    </row>
    <row r="1170" spans="48:50" x14ac:dyDescent="0.3">
      <c r="AV1170" t="str">
        <v>Data Analytics Course: ML</v>
      </c>
      <c r="AW1170">
        <v>206</v>
      </c>
      <c r="AX1170">
        <v>1.44</v>
      </c>
    </row>
    <row r="1171" spans="48:50" x14ac:dyDescent="0.3">
      <c r="AV1171" t="str">
        <v>Data Analytics Course: Visualizations</v>
      </c>
      <c r="AW1171">
        <v>245</v>
      </c>
      <c r="AX1171">
        <v>1.22</v>
      </c>
    </row>
    <row r="1172" spans="48:50" x14ac:dyDescent="0.3">
      <c r="AV1172" t="str">
        <v>Data Analytics Course: ML</v>
      </c>
      <c r="AW1172">
        <v>191</v>
      </c>
      <c r="AX1172">
        <v>1.35</v>
      </c>
    </row>
    <row r="1173" spans="48:50" x14ac:dyDescent="0.3">
      <c r="AV1173" t="str">
        <v>Data Analytics Course: Visualizations</v>
      </c>
      <c r="AW1173">
        <v>208</v>
      </c>
      <c r="AX1173">
        <v>1.54</v>
      </c>
    </row>
    <row r="1174" spans="48:50" x14ac:dyDescent="0.3">
      <c r="AV1174" t="str">
        <v>Data Analytics Course: ML</v>
      </c>
      <c r="AW1174">
        <v>249</v>
      </c>
      <c r="AX1174">
        <v>1.43</v>
      </c>
    </row>
    <row r="1175" spans="48:50" x14ac:dyDescent="0.3">
      <c r="AV1175" t="str">
        <v>Data Analytics Course: Basics</v>
      </c>
      <c r="AW1175">
        <v>224</v>
      </c>
      <c r="AX1175">
        <v>1.1399999999999999</v>
      </c>
    </row>
    <row r="1176" spans="48:50" x14ac:dyDescent="0.3">
      <c r="AV1176" t="str">
        <v>Data Analytics Course: ML</v>
      </c>
      <c r="AW1176">
        <v>187</v>
      </c>
      <c r="AX1176">
        <v>1.28</v>
      </c>
    </row>
    <row r="1177" spans="48:50" x14ac:dyDescent="0.3">
      <c r="AV1177" t="str">
        <v>Data Analytics Course: Advanced</v>
      </c>
      <c r="AW1177">
        <v>203</v>
      </c>
      <c r="AX1177">
        <v>1.98</v>
      </c>
    </row>
    <row r="1178" spans="48:50" x14ac:dyDescent="0.3">
      <c r="AV1178" t="str">
        <v>Data Analytics Course: Basics</v>
      </c>
      <c r="AW1178">
        <v>249</v>
      </c>
      <c r="AX1178">
        <v>1.29</v>
      </c>
    </row>
    <row r="1179" spans="48:50" x14ac:dyDescent="0.3">
      <c r="AV1179" t="str">
        <v>Data Analytics Course: Advanced</v>
      </c>
      <c r="AW1179">
        <v>182</v>
      </c>
      <c r="AX1179">
        <v>1.87</v>
      </c>
    </row>
    <row r="1180" spans="48:50" x14ac:dyDescent="0.3">
      <c r="AV1180" t="str">
        <v>Data Analytics Course: Advanced</v>
      </c>
      <c r="AW1180">
        <v>245</v>
      </c>
      <c r="AX1180">
        <v>0.95</v>
      </c>
    </row>
    <row r="1181" spans="48:50" x14ac:dyDescent="0.3">
      <c r="AV1181" t="str">
        <v>Data Analytics Course: Advanced</v>
      </c>
      <c r="AW1181">
        <v>192</v>
      </c>
      <c r="AX1181">
        <v>1.59</v>
      </c>
    </row>
    <row r="1182" spans="48:50" x14ac:dyDescent="0.3">
      <c r="AV1182" t="str">
        <v>Data Analytics Course: Basics</v>
      </c>
      <c r="AW1182">
        <v>187</v>
      </c>
      <c r="AX1182">
        <v>1.82</v>
      </c>
    </row>
    <row r="1183" spans="48:50" x14ac:dyDescent="0.3">
      <c r="AV1183" t="str">
        <v>Data Analytics Course: ML</v>
      </c>
      <c r="AW1183">
        <v>242</v>
      </c>
      <c r="AX1183">
        <v>1.21</v>
      </c>
    </row>
    <row r="1184" spans="48:50" x14ac:dyDescent="0.3">
      <c r="AV1184" t="str">
        <v>Data Analytics Course: ML</v>
      </c>
      <c r="AW1184">
        <v>225</v>
      </c>
      <c r="AX1184">
        <v>1.72</v>
      </c>
    </row>
    <row r="1185" spans="48:50" x14ac:dyDescent="0.3">
      <c r="AV1185" t="str">
        <v>Data Analytics Course: Advanced</v>
      </c>
      <c r="AW1185">
        <v>236</v>
      </c>
      <c r="AX1185">
        <v>1.72</v>
      </c>
    </row>
    <row r="1186" spans="48:50" x14ac:dyDescent="0.3">
      <c r="AV1186" t="str">
        <v>Data Analytics Course: ML</v>
      </c>
      <c r="AW1186">
        <v>243</v>
      </c>
      <c r="AX1186">
        <v>1.24</v>
      </c>
    </row>
    <row r="1187" spans="48:50" x14ac:dyDescent="0.3">
      <c r="AV1187" t="str">
        <v>Data Analytics Course: ML</v>
      </c>
      <c r="AW1187">
        <v>186</v>
      </c>
      <c r="AX1187">
        <v>2.16</v>
      </c>
    </row>
    <row r="1188" spans="48:50" x14ac:dyDescent="0.3">
      <c r="AV1188" t="str">
        <v>Data Analytics Course: Visualizations</v>
      </c>
      <c r="AW1188">
        <v>248</v>
      </c>
      <c r="AX1188">
        <v>0.85</v>
      </c>
    </row>
    <row r="1189" spans="48:50" x14ac:dyDescent="0.3">
      <c r="AV1189" t="str">
        <v>Data Analytics Course: Advanced</v>
      </c>
      <c r="AW1189">
        <v>209</v>
      </c>
      <c r="AX1189">
        <v>1.92</v>
      </c>
    </row>
    <row r="1190" spans="48:50" x14ac:dyDescent="0.3">
      <c r="AV1190" t="str">
        <v>Data Analytics Course: Basics</v>
      </c>
      <c r="AW1190">
        <v>183</v>
      </c>
      <c r="AX1190">
        <v>2.16</v>
      </c>
    </row>
    <row r="1191" spans="48:50" x14ac:dyDescent="0.3">
      <c r="AV1191" t="str">
        <v>Data Analytics Course: ML</v>
      </c>
      <c r="AW1191">
        <v>202</v>
      </c>
      <c r="AX1191">
        <v>1.05</v>
      </c>
    </row>
    <row r="1192" spans="48:50" x14ac:dyDescent="0.3">
      <c r="AV1192" t="str">
        <v>Data Analytics Course: Advanced</v>
      </c>
      <c r="AW1192">
        <v>189</v>
      </c>
      <c r="AX1192">
        <v>1.75</v>
      </c>
    </row>
    <row r="1193" spans="48:50" x14ac:dyDescent="0.3">
      <c r="AV1193" t="str">
        <v>Data Analytics Course: Basics</v>
      </c>
      <c r="AW1193">
        <v>217</v>
      </c>
      <c r="AX1193">
        <v>1.51</v>
      </c>
    </row>
    <row r="1194" spans="48:50" x14ac:dyDescent="0.3">
      <c r="AV1194" t="str">
        <v>Data Analytics Course: Visualizations</v>
      </c>
      <c r="AW1194">
        <v>228</v>
      </c>
      <c r="AX1194">
        <v>1.57</v>
      </c>
    </row>
    <row r="1195" spans="48:50" x14ac:dyDescent="0.3">
      <c r="AV1195" t="str">
        <v>Data Analytics Course: Visualizations</v>
      </c>
      <c r="AW1195">
        <v>205</v>
      </c>
      <c r="AX1195">
        <v>1.35</v>
      </c>
    </row>
    <row r="1196" spans="48:50" x14ac:dyDescent="0.3">
      <c r="AV1196" t="str">
        <v>Data Analytics Course: Visualizations</v>
      </c>
      <c r="AW1196">
        <v>239</v>
      </c>
      <c r="AX1196">
        <v>1.1299999999999999</v>
      </c>
    </row>
    <row r="1197" spans="48:50" x14ac:dyDescent="0.3">
      <c r="AV1197" t="str">
        <v>Data Analytics Course: ML</v>
      </c>
      <c r="AW1197">
        <v>192</v>
      </c>
      <c r="AX1197">
        <v>1.1399999999999999</v>
      </c>
    </row>
    <row r="1198" spans="48:50" x14ac:dyDescent="0.3">
      <c r="AV1198" t="str">
        <v>Data Analytics Course: Advanced</v>
      </c>
      <c r="AW1198">
        <v>223</v>
      </c>
      <c r="AX1198">
        <v>1.21</v>
      </c>
    </row>
    <row r="1199" spans="48:50" x14ac:dyDescent="0.3">
      <c r="AV1199" t="str">
        <v>Data Analytics Course: Basics</v>
      </c>
      <c r="AW1199">
        <v>204</v>
      </c>
      <c r="AX1199">
        <v>1.77</v>
      </c>
    </row>
    <row r="1200" spans="48:50" x14ac:dyDescent="0.3">
      <c r="AV1200" t="str">
        <v>Data Analytics Course: Basics</v>
      </c>
      <c r="AW1200">
        <v>246</v>
      </c>
      <c r="AX1200">
        <v>1.1399999999999999</v>
      </c>
    </row>
    <row r="1201" spans="48:50" x14ac:dyDescent="0.3">
      <c r="AV1201" t="str">
        <v>Data Analytics Course: Visualizations</v>
      </c>
      <c r="AW1201">
        <v>229</v>
      </c>
      <c r="AX1201">
        <v>1.1599999999999999</v>
      </c>
    </row>
    <row r="1202" spans="48:50" x14ac:dyDescent="0.3">
      <c r="AV1202" t="str">
        <v>Data Analytics Course: Advanced</v>
      </c>
      <c r="AW1202">
        <v>208</v>
      </c>
      <c r="AX1202">
        <v>1.87</v>
      </c>
    </row>
    <row r="1203" spans="48:50" x14ac:dyDescent="0.3">
      <c r="AV1203" t="str">
        <v>Data Analytics Course: Basics</v>
      </c>
      <c r="AW1203">
        <v>223</v>
      </c>
      <c r="AX1203">
        <v>1.55</v>
      </c>
    </row>
    <row r="1204" spans="48:50" x14ac:dyDescent="0.3">
      <c r="AV1204" t="str">
        <v>Data Analytics Course: Visualizations</v>
      </c>
      <c r="AW1204">
        <v>227</v>
      </c>
      <c r="AX1204">
        <v>1.27</v>
      </c>
    </row>
    <row r="1205" spans="48:50" x14ac:dyDescent="0.3">
      <c r="AV1205" t="str">
        <v>Data Analytics Course: ML</v>
      </c>
      <c r="AW1205">
        <v>194</v>
      </c>
      <c r="AX1205">
        <v>0.72</v>
      </c>
    </row>
    <row r="1206" spans="48:50" x14ac:dyDescent="0.3">
      <c r="AV1206" t="str">
        <v>Data Analytics Course: ML</v>
      </c>
      <c r="AW1206">
        <v>225</v>
      </c>
      <c r="AX1206">
        <v>1.61</v>
      </c>
    </row>
    <row r="1207" spans="48:50" x14ac:dyDescent="0.3">
      <c r="AV1207" t="str">
        <v>Data Analytics Course: Advanced</v>
      </c>
      <c r="AW1207">
        <v>216</v>
      </c>
      <c r="AX1207">
        <v>1.33</v>
      </c>
    </row>
    <row r="1208" spans="48:50" x14ac:dyDescent="0.3">
      <c r="AV1208" t="str">
        <v>Data Analytics Course: Basics</v>
      </c>
      <c r="AW1208">
        <v>188</v>
      </c>
      <c r="AX1208">
        <v>1.48</v>
      </c>
    </row>
    <row r="1209" spans="48:50" x14ac:dyDescent="0.3">
      <c r="AV1209" t="str">
        <v>Data Analytics Course: ML</v>
      </c>
      <c r="AW1209">
        <v>222</v>
      </c>
      <c r="AX1209">
        <v>1.17</v>
      </c>
    </row>
    <row r="1210" spans="48:50" x14ac:dyDescent="0.3">
      <c r="AV1210" t="str">
        <v>Data Analytics Course: Advanced</v>
      </c>
      <c r="AW1210">
        <v>210</v>
      </c>
      <c r="AX1210">
        <v>1.56</v>
      </c>
    </row>
    <row r="1211" spans="48:50" x14ac:dyDescent="0.3">
      <c r="AV1211" t="str">
        <v>Data Analytics Course: Advanced</v>
      </c>
      <c r="AW1211">
        <v>242</v>
      </c>
      <c r="AX1211">
        <v>1.51</v>
      </c>
    </row>
    <row r="1212" spans="48:50" x14ac:dyDescent="0.3">
      <c r="AV1212" t="str">
        <v>Data Analytics Course: Advanced</v>
      </c>
      <c r="AW1212">
        <v>203</v>
      </c>
      <c r="AX1212">
        <v>1.53</v>
      </c>
    </row>
    <row r="1213" spans="48:50" x14ac:dyDescent="0.3">
      <c r="AV1213" t="str">
        <v>Data Analytics Course: ML</v>
      </c>
      <c r="AW1213">
        <v>240</v>
      </c>
      <c r="AX1213">
        <v>1.36</v>
      </c>
    </row>
    <row r="1214" spans="48:50" x14ac:dyDescent="0.3">
      <c r="AV1214" t="str">
        <v>Data Analytics Course: Basics</v>
      </c>
      <c r="AW1214">
        <v>206</v>
      </c>
      <c r="AX1214">
        <v>1.21</v>
      </c>
    </row>
    <row r="1215" spans="48:50" x14ac:dyDescent="0.3">
      <c r="AV1215" t="str">
        <v>Data Analytics Course: Advanced</v>
      </c>
      <c r="AW1215">
        <v>215</v>
      </c>
      <c r="AX1215">
        <v>1.29</v>
      </c>
    </row>
    <row r="1216" spans="48:50" x14ac:dyDescent="0.3">
      <c r="AV1216" t="str">
        <v>Data Analytics Course: Basics</v>
      </c>
      <c r="AW1216">
        <v>229</v>
      </c>
      <c r="AX1216">
        <v>1.69</v>
      </c>
    </row>
    <row r="1217" spans="48:50" x14ac:dyDescent="0.3">
      <c r="AV1217" t="str">
        <v>Data Analytics Course: Basics</v>
      </c>
      <c r="AW1217">
        <v>223</v>
      </c>
      <c r="AX1217">
        <v>1.52</v>
      </c>
    </row>
    <row r="1218" spans="48:50" x14ac:dyDescent="0.3">
      <c r="AV1218" t="str">
        <v>Data Analytics Course: Visualizations</v>
      </c>
      <c r="AW1218">
        <v>198</v>
      </c>
      <c r="AX1218">
        <v>1.22</v>
      </c>
    </row>
    <row r="1219" spans="48:50" x14ac:dyDescent="0.3">
      <c r="AV1219" t="str">
        <v>Data Analytics Course: ML</v>
      </c>
      <c r="AW1219">
        <v>215</v>
      </c>
      <c r="AX1219">
        <v>1.41</v>
      </c>
    </row>
    <row r="1220" spans="48:50" x14ac:dyDescent="0.3">
      <c r="AV1220" t="str">
        <v>Data Analytics Course: Visualizations</v>
      </c>
      <c r="AW1220">
        <v>205</v>
      </c>
      <c r="AX1220">
        <v>1.84</v>
      </c>
    </row>
    <row r="1221" spans="48:50" x14ac:dyDescent="0.3">
      <c r="AV1221" t="str">
        <v>Data Analytics Course: Visualizations</v>
      </c>
      <c r="AW1221">
        <v>240</v>
      </c>
      <c r="AX1221">
        <v>1.19</v>
      </c>
    </row>
    <row r="1222" spans="48:50" x14ac:dyDescent="0.3">
      <c r="AV1222" t="str">
        <v>Data Analytics Course: Basics</v>
      </c>
      <c r="AW1222">
        <v>237</v>
      </c>
      <c r="AX1222">
        <v>0.77</v>
      </c>
    </row>
    <row r="1223" spans="48:50" x14ac:dyDescent="0.3">
      <c r="AV1223" t="str">
        <v>Data Analytics Course: Advanced</v>
      </c>
      <c r="AW1223">
        <v>210</v>
      </c>
      <c r="AX1223">
        <v>1.1299999999999999</v>
      </c>
    </row>
    <row r="1224" spans="48:50" x14ac:dyDescent="0.3">
      <c r="AV1224" t="str">
        <v>Data Analytics Course: Advanced</v>
      </c>
      <c r="AW1224">
        <v>216</v>
      </c>
      <c r="AX1224">
        <v>1.73</v>
      </c>
    </row>
    <row r="1225" spans="48:50" x14ac:dyDescent="0.3">
      <c r="AV1225" t="str">
        <v>Data Analytics Course: ML</v>
      </c>
      <c r="AW1225">
        <v>185</v>
      </c>
      <c r="AX1225">
        <v>1.43</v>
      </c>
    </row>
    <row r="1226" spans="48:50" x14ac:dyDescent="0.3">
      <c r="AV1226" t="str">
        <v>Data Analytics Course: Advanced</v>
      </c>
      <c r="AW1226">
        <v>222</v>
      </c>
      <c r="AX1226">
        <v>1.28</v>
      </c>
    </row>
    <row r="1227" spans="48:50" x14ac:dyDescent="0.3">
      <c r="AV1227" t="str">
        <v>Data Analytics Course: Advanced</v>
      </c>
      <c r="AW1227">
        <v>211</v>
      </c>
      <c r="AX1227">
        <v>1.73</v>
      </c>
    </row>
    <row r="1228" spans="48:50" x14ac:dyDescent="0.3">
      <c r="AV1228" t="str">
        <v>Data Analytics Course: Advanced</v>
      </c>
      <c r="AW1228">
        <v>198</v>
      </c>
      <c r="AX1228">
        <v>1.87</v>
      </c>
    </row>
    <row r="1229" spans="48:50" x14ac:dyDescent="0.3">
      <c r="AV1229" t="str">
        <v>Data Analytics Course: Basics</v>
      </c>
      <c r="AW1229">
        <v>213</v>
      </c>
      <c r="AX1229">
        <v>1.47</v>
      </c>
    </row>
    <row r="1230" spans="48:50" x14ac:dyDescent="0.3">
      <c r="AV1230" t="str">
        <v>Data Analytics Course: Visualizations</v>
      </c>
      <c r="AW1230">
        <v>234</v>
      </c>
      <c r="AX1230">
        <v>1.02</v>
      </c>
    </row>
    <row r="1231" spans="48:50" x14ac:dyDescent="0.3">
      <c r="AV1231" t="str">
        <v>Data Analytics Course: Basics</v>
      </c>
      <c r="AW1231">
        <v>188</v>
      </c>
      <c r="AX1231">
        <v>1.59</v>
      </c>
    </row>
    <row r="1232" spans="48:50" x14ac:dyDescent="0.3">
      <c r="AV1232" t="str">
        <v>Data Analytics Course: Advanced</v>
      </c>
      <c r="AW1232">
        <v>198</v>
      </c>
      <c r="AX1232">
        <v>1.1100000000000001</v>
      </c>
    </row>
    <row r="1233" spans="48:50" x14ac:dyDescent="0.3">
      <c r="AV1233" t="str">
        <v>Data Analytics Course: Visualizations</v>
      </c>
      <c r="AW1233">
        <v>195</v>
      </c>
      <c r="AX1233">
        <v>1.75</v>
      </c>
    </row>
    <row r="1234" spans="48:50" x14ac:dyDescent="0.3">
      <c r="AV1234" t="str">
        <v>Data Analytics Course: ML</v>
      </c>
      <c r="AW1234">
        <v>186</v>
      </c>
      <c r="AX1234">
        <v>1.67</v>
      </c>
    </row>
    <row r="1235" spans="48:50" x14ac:dyDescent="0.3">
      <c r="AV1235" t="str">
        <v>Data Analytics Course: Basics</v>
      </c>
      <c r="AW1235">
        <v>244</v>
      </c>
      <c r="AX1235">
        <v>1.39</v>
      </c>
    </row>
    <row r="1236" spans="48:50" x14ac:dyDescent="0.3">
      <c r="AV1236" t="str">
        <v>Data Analytics Course: Visualizations</v>
      </c>
      <c r="AW1236">
        <v>207</v>
      </c>
      <c r="AX1236">
        <v>1.96</v>
      </c>
    </row>
    <row r="1237" spans="48:50" x14ac:dyDescent="0.3">
      <c r="AV1237" t="str">
        <v>Data Analytics Course: Advanced</v>
      </c>
      <c r="AW1237">
        <v>216</v>
      </c>
      <c r="AX1237">
        <v>1.42</v>
      </c>
    </row>
    <row r="1238" spans="48:50" x14ac:dyDescent="0.3">
      <c r="AV1238" t="str">
        <v>Data Analytics Course: Basics</v>
      </c>
      <c r="AW1238">
        <v>249</v>
      </c>
      <c r="AX1238">
        <v>0.56000000000000005</v>
      </c>
    </row>
    <row r="1239" spans="48:50" x14ac:dyDescent="0.3">
      <c r="AV1239" t="str">
        <v>Data Analytics Course: Visualizations</v>
      </c>
      <c r="AW1239">
        <v>206</v>
      </c>
      <c r="AX1239">
        <v>1.75</v>
      </c>
    </row>
    <row r="1240" spans="48:50" x14ac:dyDescent="0.3">
      <c r="AV1240" t="str">
        <v>Data Analytics Course: Visualizations</v>
      </c>
      <c r="AW1240">
        <v>186</v>
      </c>
      <c r="AX1240">
        <v>1.78</v>
      </c>
    </row>
    <row r="1241" spans="48:50" x14ac:dyDescent="0.3">
      <c r="AV1241" t="str">
        <v>Data Analytics Course: Advanced</v>
      </c>
      <c r="AW1241">
        <v>238</v>
      </c>
      <c r="AX1241">
        <v>1.64</v>
      </c>
    </row>
    <row r="1242" spans="48:50" x14ac:dyDescent="0.3">
      <c r="AV1242" t="str">
        <v>Data Analytics Course: Advanced</v>
      </c>
      <c r="AW1242">
        <v>236</v>
      </c>
      <c r="AX1242">
        <v>1.01</v>
      </c>
    </row>
    <row r="1243" spans="48:50" x14ac:dyDescent="0.3">
      <c r="AV1243" t="str">
        <v>Data Analytics Course: Visualizations</v>
      </c>
      <c r="AW1243">
        <v>240</v>
      </c>
      <c r="AX1243">
        <v>1.95</v>
      </c>
    </row>
    <row r="1244" spans="48:50" x14ac:dyDescent="0.3">
      <c r="AV1244" t="str">
        <v>Data Analytics Course: Basics</v>
      </c>
      <c r="AW1244">
        <v>157</v>
      </c>
      <c r="AX1244">
        <v>2.1800000000000002</v>
      </c>
    </row>
    <row r="1245" spans="48:50" x14ac:dyDescent="0.3">
      <c r="AV1245" t="str">
        <v>Data Analytics Course: Visualizations</v>
      </c>
      <c r="AW1245">
        <v>195</v>
      </c>
      <c r="AX1245">
        <v>1.67</v>
      </c>
    </row>
    <row r="1246" spans="48:50" x14ac:dyDescent="0.3">
      <c r="AV1246" t="str">
        <v>Data Analytics Course: Advanced</v>
      </c>
      <c r="AW1246">
        <v>244</v>
      </c>
      <c r="AX1246">
        <v>0.96</v>
      </c>
    </row>
    <row r="1247" spans="48:50" x14ac:dyDescent="0.3">
      <c r="AV1247" t="str">
        <v>Data Analytics Course: ML</v>
      </c>
      <c r="AW1247">
        <v>202</v>
      </c>
      <c r="AX1247">
        <v>1.62</v>
      </c>
    </row>
    <row r="1248" spans="48:50" x14ac:dyDescent="0.3">
      <c r="AV1248" t="str">
        <v>Data Analytics Course: ML</v>
      </c>
      <c r="AW1248">
        <v>236</v>
      </c>
      <c r="AX1248">
        <v>1.69</v>
      </c>
    </row>
    <row r="1249" spans="48:50" x14ac:dyDescent="0.3">
      <c r="AV1249" t="str">
        <v>Data Analytics Course: Basics</v>
      </c>
      <c r="AW1249">
        <v>210</v>
      </c>
      <c r="AX1249">
        <v>1.93</v>
      </c>
    </row>
    <row r="1250" spans="48:50" x14ac:dyDescent="0.3">
      <c r="AV1250" t="str">
        <v>Data Analytics Course: Advanced</v>
      </c>
      <c r="AW1250">
        <v>198</v>
      </c>
      <c r="AX1250">
        <v>1.71</v>
      </c>
    </row>
    <row r="1251" spans="48:50" x14ac:dyDescent="0.3">
      <c r="AV1251" t="str">
        <v>Data Analytics Course: Visualizations</v>
      </c>
      <c r="AW1251">
        <v>203</v>
      </c>
      <c r="AX1251">
        <v>1.35</v>
      </c>
    </row>
    <row r="1252" spans="48:50" x14ac:dyDescent="0.3">
      <c r="AV1252" t="str">
        <v>Data Analytics Course: Visualizations</v>
      </c>
      <c r="AW1252">
        <v>198</v>
      </c>
      <c r="AX1252">
        <v>1.1399999999999999</v>
      </c>
    </row>
    <row r="1253" spans="48:50" x14ac:dyDescent="0.3">
      <c r="AV1253" t="str">
        <v>Data Analytics Course: Visualizations</v>
      </c>
      <c r="AW1253">
        <v>223</v>
      </c>
      <c r="AX1253">
        <v>1.35</v>
      </c>
    </row>
    <row r="1254" spans="48:50" x14ac:dyDescent="0.3">
      <c r="AV1254" t="str">
        <v>Data Analytics Course: Basics</v>
      </c>
      <c r="AW1254">
        <v>226</v>
      </c>
      <c r="AX1254">
        <v>0.96</v>
      </c>
    </row>
    <row r="1255" spans="48:50" x14ac:dyDescent="0.3">
      <c r="AV1255" t="str">
        <v>Data Analytics Course: Advanced</v>
      </c>
      <c r="AW1255">
        <v>197</v>
      </c>
      <c r="AX1255">
        <v>1.63</v>
      </c>
    </row>
    <row r="1256" spans="48:50" x14ac:dyDescent="0.3">
      <c r="AV1256" t="str">
        <v>Data Analytics Course: ML</v>
      </c>
      <c r="AW1256">
        <v>223</v>
      </c>
      <c r="AX1256">
        <v>1.1399999999999999</v>
      </c>
    </row>
    <row r="1257" spans="48:50" x14ac:dyDescent="0.3">
      <c r="AV1257" t="str">
        <v>Data Analytics Course: ML</v>
      </c>
      <c r="AW1257">
        <v>224</v>
      </c>
      <c r="AX1257">
        <v>1.3</v>
      </c>
    </row>
    <row r="1258" spans="48:50" x14ac:dyDescent="0.3">
      <c r="AV1258" t="str">
        <v>Data Analytics Course: Advanced</v>
      </c>
      <c r="AW1258">
        <v>188</v>
      </c>
      <c r="AX1258">
        <v>1.1000000000000001</v>
      </c>
    </row>
    <row r="1259" spans="48:50" x14ac:dyDescent="0.3">
      <c r="AV1259" t="str">
        <v>Data Analytics Course: Advanced</v>
      </c>
      <c r="AW1259">
        <v>225</v>
      </c>
      <c r="AX1259">
        <v>1.26</v>
      </c>
    </row>
    <row r="1260" spans="48:50" x14ac:dyDescent="0.3">
      <c r="AV1260" t="str">
        <v>Data Analytics Course: ML</v>
      </c>
      <c r="AW1260">
        <v>184</v>
      </c>
      <c r="AX1260">
        <v>1.31</v>
      </c>
    </row>
    <row r="1261" spans="48:50" x14ac:dyDescent="0.3">
      <c r="AV1261" t="str">
        <v>Data Analytics Course: Basics</v>
      </c>
      <c r="AW1261">
        <v>202</v>
      </c>
      <c r="AX1261">
        <v>1.1399999999999999</v>
      </c>
    </row>
    <row r="1262" spans="48:50" x14ac:dyDescent="0.3">
      <c r="AV1262" t="str">
        <v>Data Analytics Course: Advanced</v>
      </c>
      <c r="AW1262">
        <v>204</v>
      </c>
      <c r="AX1262">
        <v>1.24</v>
      </c>
    </row>
    <row r="1263" spans="48:50" x14ac:dyDescent="0.3">
      <c r="AV1263" t="str">
        <v>Data Analytics Course: ML</v>
      </c>
      <c r="AW1263">
        <v>194</v>
      </c>
      <c r="AX1263">
        <v>2.0299999999999998</v>
      </c>
    </row>
    <row r="1264" spans="48:50" x14ac:dyDescent="0.3">
      <c r="AV1264" t="str">
        <v>Data Analytics Course: Basics</v>
      </c>
      <c r="AW1264">
        <v>197</v>
      </c>
      <c r="AX1264">
        <v>1.45</v>
      </c>
    </row>
    <row r="1265" spans="48:50" x14ac:dyDescent="0.3">
      <c r="AV1265" t="str">
        <v>Data Analytics Course: ML</v>
      </c>
      <c r="AW1265">
        <v>182</v>
      </c>
      <c r="AX1265">
        <v>1.29</v>
      </c>
    </row>
    <row r="1266" spans="48:50" x14ac:dyDescent="0.3">
      <c r="AV1266" t="str">
        <v>Data Analytics Course: Visualizations</v>
      </c>
      <c r="AW1266">
        <v>243</v>
      </c>
      <c r="AX1266">
        <v>1.29</v>
      </c>
    </row>
    <row r="1267" spans="48:50" x14ac:dyDescent="0.3">
      <c r="AV1267" t="str">
        <v>Data Analytics Course: Basics</v>
      </c>
      <c r="AW1267">
        <v>187</v>
      </c>
      <c r="AX1267">
        <v>1.23</v>
      </c>
    </row>
    <row r="1268" spans="48:50" x14ac:dyDescent="0.3">
      <c r="AV1268" t="str">
        <v>Data Analytics Course: Advanced</v>
      </c>
      <c r="AW1268">
        <v>195</v>
      </c>
      <c r="AX1268">
        <v>1.45</v>
      </c>
    </row>
    <row r="1269" spans="48:50" x14ac:dyDescent="0.3">
      <c r="AV1269" t="str">
        <v>Data Analytics Course: Visualizations</v>
      </c>
      <c r="AW1269">
        <v>221</v>
      </c>
      <c r="AX1269">
        <v>1.82</v>
      </c>
    </row>
    <row r="1270" spans="48:50" x14ac:dyDescent="0.3">
      <c r="AV1270" t="str">
        <v>Data Analytics Course: Visualizations</v>
      </c>
      <c r="AW1270">
        <v>187</v>
      </c>
      <c r="AX1270">
        <v>1.22</v>
      </c>
    </row>
    <row r="1271" spans="48:50" x14ac:dyDescent="0.3">
      <c r="AV1271" t="str">
        <v>Data Analytics Course: Advanced</v>
      </c>
      <c r="AW1271">
        <v>217</v>
      </c>
      <c r="AX1271">
        <v>1.73</v>
      </c>
    </row>
    <row r="1272" spans="48:50" x14ac:dyDescent="0.3">
      <c r="AV1272" t="str">
        <v>Data Analytics Course: Visualizations</v>
      </c>
      <c r="AW1272">
        <v>212</v>
      </c>
      <c r="AX1272">
        <v>1.45</v>
      </c>
    </row>
    <row r="1273" spans="48:50" x14ac:dyDescent="0.3">
      <c r="AV1273" t="str">
        <v>Data Analytics Course: ML</v>
      </c>
      <c r="AW1273">
        <v>223</v>
      </c>
      <c r="AX1273">
        <v>1.37</v>
      </c>
    </row>
    <row r="1274" spans="48:50" x14ac:dyDescent="0.3">
      <c r="AV1274" t="str">
        <v>Data Analytics Course: Basics</v>
      </c>
      <c r="AW1274">
        <v>196</v>
      </c>
      <c r="AX1274">
        <v>1.61</v>
      </c>
    </row>
    <row r="1275" spans="48:50" x14ac:dyDescent="0.3">
      <c r="AV1275" t="str">
        <v>Data Analytics Course: ML</v>
      </c>
      <c r="AW1275">
        <v>237</v>
      </c>
      <c r="AX1275">
        <v>1.59</v>
      </c>
    </row>
    <row r="1276" spans="48:50" x14ac:dyDescent="0.3">
      <c r="AV1276" t="str">
        <v>Data Analytics Course: Basics</v>
      </c>
      <c r="AW1276">
        <v>224</v>
      </c>
      <c r="AX1276">
        <v>1.27</v>
      </c>
    </row>
    <row r="1277" spans="48:50" x14ac:dyDescent="0.3">
      <c r="AV1277" t="str">
        <v>Data Analytics Course: Advanced</v>
      </c>
      <c r="AW1277">
        <v>199</v>
      </c>
      <c r="AX1277">
        <v>1.65</v>
      </c>
    </row>
    <row r="1278" spans="48:50" x14ac:dyDescent="0.3">
      <c r="AV1278" t="str">
        <v>Data Analytics Course: Advanced</v>
      </c>
      <c r="AW1278">
        <v>233</v>
      </c>
      <c r="AX1278">
        <v>1.5</v>
      </c>
    </row>
    <row r="1279" spans="48:50" x14ac:dyDescent="0.3">
      <c r="AV1279" t="str">
        <v>Data Analytics Course: Basics</v>
      </c>
      <c r="AW1279">
        <v>231</v>
      </c>
      <c r="AX1279">
        <v>1.45</v>
      </c>
    </row>
    <row r="1280" spans="48:50" x14ac:dyDescent="0.3">
      <c r="AV1280" t="str">
        <v>Data Analytics Course: Visualizations</v>
      </c>
      <c r="AW1280">
        <v>218</v>
      </c>
      <c r="AX1280">
        <v>1.1499999999999999</v>
      </c>
    </row>
    <row r="1281" spans="48:50" x14ac:dyDescent="0.3">
      <c r="AV1281" t="str">
        <v>Data Analytics Course: Basics</v>
      </c>
      <c r="AW1281">
        <v>214</v>
      </c>
      <c r="AX1281">
        <v>1.48</v>
      </c>
    </row>
    <row r="1282" spans="48:50" x14ac:dyDescent="0.3">
      <c r="AV1282" t="str">
        <v>Data Analytics Course: Advanced</v>
      </c>
      <c r="AW1282">
        <v>192</v>
      </c>
      <c r="AX1282">
        <v>1.39</v>
      </c>
    </row>
    <row r="1283" spans="48:50" x14ac:dyDescent="0.3">
      <c r="AV1283" t="str">
        <v>Data Analytics Course: Basics</v>
      </c>
      <c r="AW1283">
        <v>181</v>
      </c>
      <c r="AX1283">
        <v>2.58</v>
      </c>
    </row>
    <row r="1284" spans="48:50" x14ac:dyDescent="0.3">
      <c r="AV1284" t="str">
        <v>Data Analytics Course: Basics</v>
      </c>
      <c r="AW1284">
        <v>205</v>
      </c>
      <c r="AX1284">
        <v>1.32</v>
      </c>
    </row>
    <row r="1285" spans="48:50" x14ac:dyDescent="0.3">
      <c r="AV1285" t="str">
        <v>Data Analytics Course: ML</v>
      </c>
      <c r="AW1285">
        <v>220</v>
      </c>
      <c r="AX1285">
        <v>0.64</v>
      </c>
    </row>
    <row r="1286" spans="48:50" x14ac:dyDescent="0.3">
      <c r="AV1286" t="str">
        <v>Data Analytics Course: Visualizations</v>
      </c>
      <c r="AW1286">
        <v>237</v>
      </c>
      <c r="AX1286">
        <v>1.0900000000000001</v>
      </c>
    </row>
    <row r="1287" spans="48:50" x14ac:dyDescent="0.3">
      <c r="AV1287" t="str">
        <v>Data Analytics Course: Visualizations</v>
      </c>
      <c r="AW1287">
        <v>182</v>
      </c>
      <c r="AX1287">
        <v>1.7</v>
      </c>
    </row>
    <row r="1288" spans="48:50" x14ac:dyDescent="0.3">
      <c r="AV1288" t="str">
        <v>Data Analytics Course: Visualizations</v>
      </c>
      <c r="AW1288">
        <v>265</v>
      </c>
      <c r="AX1288">
        <v>1.32</v>
      </c>
    </row>
    <row r="1289" spans="48:50" x14ac:dyDescent="0.3">
      <c r="AV1289" t="str">
        <v>Data Analytics Course: ML</v>
      </c>
      <c r="AW1289">
        <v>151</v>
      </c>
      <c r="AX1289">
        <v>2.39</v>
      </c>
    </row>
    <row r="1290" spans="48:50" x14ac:dyDescent="0.3">
      <c r="AV1290" t="str">
        <v>Data Analytics Course: Advanced</v>
      </c>
      <c r="AW1290">
        <v>191</v>
      </c>
      <c r="AX1290">
        <v>1.19</v>
      </c>
    </row>
    <row r="1291" spans="48:50" x14ac:dyDescent="0.3">
      <c r="AV1291" t="str">
        <v>Data Analytics Course: ML</v>
      </c>
      <c r="AW1291">
        <v>249</v>
      </c>
      <c r="AX1291">
        <v>1.32</v>
      </c>
    </row>
    <row r="1292" spans="48:50" x14ac:dyDescent="0.3">
      <c r="AV1292" t="str">
        <v>Data Analytics Course: Basics</v>
      </c>
      <c r="AW1292">
        <v>182</v>
      </c>
      <c r="AX1292">
        <v>1.86</v>
      </c>
    </row>
    <row r="1293" spans="48:50" x14ac:dyDescent="0.3">
      <c r="AV1293" t="str">
        <v>Data Analytics Course: Basics</v>
      </c>
      <c r="AW1293">
        <v>242</v>
      </c>
      <c r="AX1293">
        <v>1.6</v>
      </c>
    </row>
    <row r="1294" spans="48:50" x14ac:dyDescent="0.3">
      <c r="AV1294" t="str">
        <v>Data Analytics Course: Visualizations</v>
      </c>
      <c r="AW1294">
        <v>229</v>
      </c>
      <c r="AX1294">
        <v>1.55</v>
      </c>
    </row>
    <row r="1295" spans="48:50" x14ac:dyDescent="0.3">
      <c r="AV1295" t="str">
        <v>Data Analytics Course: Advanced</v>
      </c>
      <c r="AW1295">
        <v>229</v>
      </c>
      <c r="AX1295">
        <v>1.74</v>
      </c>
    </row>
    <row r="1296" spans="48:50" x14ac:dyDescent="0.3">
      <c r="AV1296" t="str">
        <v>Data Analytics Course: Visualizations</v>
      </c>
      <c r="AW1296">
        <v>196</v>
      </c>
      <c r="AX1296">
        <v>1.37</v>
      </c>
    </row>
    <row r="1297" spans="48:50" x14ac:dyDescent="0.3">
      <c r="AV1297" t="str">
        <v>Data Analytics Course: Visualizations</v>
      </c>
      <c r="AW1297">
        <v>210</v>
      </c>
      <c r="AX1297">
        <v>1.86</v>
      </c>
    </row>
    <row r="1298" spans="48:50" x14ac:dyDescent="0.3">
      <c r="AV1298" t="str">
        <v>Data Analytics Course: ML</v>
      </c>
      <c r="AW1298">
        <v>201</v>
      </c>
      <c r="AX1298">
        <v>1.32</v>
      </c>
    </row>
    <row r="1299" spans="48:50" x14ac:dyDescent="0.3">
      <c r="AV1299" t="str">
        <v>Data Analytics Course: Basics</v>
      </c>
      <c r="AW1299">
        <v>214</v>
      </c>
      <c r="AX1299">
        <v>1.61</v>
      </c>
    </row>
    <row r="1300" spans="48:50" x14ac:dyDescent="0.3">
      <c r="AV1300" t="str">
        <v>Data Analytics Course: Basics</v>
      </c>
      <c r="AW1300">
        <v>203</v>
      </c>
      <c r="AX1300">
        <v>1.22</v>
      </c>
    </row>
    <row r="1301" spans="48:50" x14ac:dyDescent="0.3">
      <c r="AV1301" t="str">
        <v>Data Analytics Course: ML</v>
      </c>
      <c r="AW1301">
        <v>203</v>
      </c>
      <c r="AX1301">
        <v>1.1299999999999999</v>
      </c>
    </row>
    <row r="1302" spans="48:50" x14ac:dyDescent="0.3">
      <c r="AV1302" t="str">
        <v>Data Analytics Course: ML</v>
      </c>
      <c r="AW1302">
        <v>209</v>
      </c>
      <c r="AX1302">
        <v>1.1000000000000001</v>
      </c>
    </row>
    <row r="1303" spans="48:50" x14ac:dyDescent="0.3">
      <c r="AV1303" t="str">
        <v>Data Analytics Course: Advanced</v>
      </c>
      <c r="AW1303">
        <v>206</v>
      </c>
      <c r="AX1303">
        <v>1.71</v>
      </c>
    </row>
    <row r="1304" spans="48:50" x14ac:dyDescent="0.3">
      <c r="AV1304" t="str">
        <v>Data Analytics Course: Advanced</v>
      </c>
      <c r="AW1304">
        <v>241</v>
      </c>
      <c r="AX1304">
        <v>1.1100000000000001</v>
      </c>
    </row>
    <row r="1305" spans="48:50" x14ac:dyDescent="0.3">
      <c r="AV1305" t="str">
        <v>Data Analytics Course: Basics</v>
      </c>
      <c r="AW1305">
        <v>249</v>
      </c>
      <c r="AX1305">
        <v>1.5</v>
      </c>
    </row>
    <row r="1306" spans="48:50" x14ac:dyDescent="0.3">
      <c r="AV1306" t="str">
        <v>Data Analytics Course: Advanced</v>
      </c>
      <c r="AW1306">
        <v>249</v>
      </c>
      <c r="AX1306">
        <v>1.39</v>
      </c>
    </row>
    <row r="1307" spans="48:50" x14ac:dyDescent="0.3">
      <c r="AV1307" t="str">
        <v>Data Analytics Course: Visualizations</v>
      </c>
      <c r="AW1307">
        <v>242</v>
      </c>
      <c r="AX1307">
        <v>1.33</v>
      </c>
    </row>
    <row r="1308" spans="48:50" x14ac:dyDescent="0.3">
      <c r="AV1308" t="str">
        <v>Data Analytics Course: Advanced</v>
      </c>
      <c r="AW1308">
        <v>199</v>
      </c>
      <c r="AX1308">
        <v>1.43</v>
      </c>
    </row>
    <row r="1309" spans="48:50" x14ac:dyDescent="0.3">
      <c r="AV1309" t="str">
        <v>Data Analytics Course: ML</v>
      </c>
      <c r="AW1309">
        <v>188</v>
      </c>
      <c r="AX1309">
        <v>1.73</v>
      </c>
    </row>
    <row r="1310" spans="48:50" x14ac:dyDescent="0.3">
      <c r="AV1310" t="str">
        <v>Data Analytics Course: ML</v>
      </c>
      <c r="AW1310">
        <v>219</v>
      </c>
      <c r="AX1310">
        <v>1.68</v>
      </c>
    </row>
    <row r="1311" spans="48:50" x14ac:dyDescent="0.3">
      <c r="AV1311" t="str">
        <v>Data Analytics Course: ML</v>
      </c>
      <c r="AW1311">
        <v>248</v>
      </c>
      <c r="AX1311">
        <v>1.27</v>
      </c>
    </row>
    <row r="1312" spans="48:50" x14ac:dyDescent="0.3">
      <c r="AV1312" t="str">
        <v>Data Analytics Course: ML</v>
      </c>
      <c r="AW1312">
        <v>232</v>
      </c>
      <c r="AX1312">
        <v>0.93</v>
      </c>
    </row>
    <row r="1313" spans="48:50" x14ac:dyDescent="0.3">
      <c r="AV1313" t="str">
        <v>Data Analytics Course: ML</v>
      </c>
      <c r="AW1313">
        <v>187</v>
      </c>
      <c r="AX1313">
        <v>1.5</v>
      </c>
    </row>
    <row r="1314" spans="48:50" x14ac:dyDescent="0.3">
      <c r="AV1314" t="str">
        <v>Data Analytics Course: Basics</v>
      </c>
      <c r="AW1314">
        <v>237</v>
      </c>
      <c r="AX1314">
        <v>1.53</v>
      </c>
    </row>
    <row r="1315" spans="48:50" x14ac:dyDescent="0.3">
      <c r="AV1315" t="str">
        <v>Data Analytics Course: Visualizations</v>
      </c>
      <c r="AW1315">
        <v>192</v>
      </c>
      <c r="AX1315">
        <v>1.62</v>
      </c>
    </row>
    <row r="1316" spans="48:50" x14ac:dyDescent="0.3">
      <c r="AV1316" t="str">
        <v>Data Analytics Course: ML</v>
      </c>
      <c r="AW1316">
        <v>195</v>
      </c>
      <c r="AX1316">
        <v>1.41</v>
      </c>
    </row>
    <row r="1317" spans="48:50" x14ac:dyDescent="0.3">
      <c r="AV1317" t="str">
        <v>Data Analytics Course: Advanced</v>
      </c>
      <c r="AW1317">
        <v>219</v>
      </c>
      <c r="AX1317">
        <v>1.66</v>
      </c>
    </row>
    <row r="1318" spans="48:50" x14ac:dyDescent="0.3">
      <c r="AV1318" t="str">
        <v>Data Analytics Course: ML</v>
      </c>
      <c r="AW1318">
        <v>230</v>
      </c>
      <c r="AX1318">
        <v>1.63</v>
      </c>
    </row>
    <row r="1319" spans="48:50" x14ac:dyDescent="0.3">
      <c r="AV1319" t="str">
        <v>Data Analytics Course: Visualizations</v>
      </c>
      <c r="AW1319">
        <v>193</v>
      </c>
      <c r="AX1319">
        <v>1.43</v>
      </c>
    </row>
    <row r="1320" spans="48:50" x14ac:dyDescent="0.3">
      <c r="AV1320" t="str">
        <v>Data Analytics Course: Basics</v>
      </c>
      <c r="AW1320">
        <v>218</v>
      </c>
      <c r="AX1320">
        <v>0.95</v>
      </c>
    </row>
    <row r="1321" spans="48:50" x14ac:dyDescent="0.3">
      <c r="AV1321" t="str">
        <v>Data Analytics Course: Visualizations</v>
      </c>
      <c r="AW1321">
        <v>221</v>
      </c>
      <c r="AX1321">
        <v>1.36</v>
      </c>
    </row>
    <row r="1322" spans="48:50" x14ac:dyDescent="0.3">
      <c r="AV1322" t="str">
        <v>Data Analytics Course: Visualizations</v>
      </c>
      <c r="AW1322">
        <v>203</v>
      </c>
      <c r="AX1322">
        <v>1.1399999999999999</v>
      </c>
    </row>
    <row r="1323" spans="48:50" x14ac:dyDescent="0.3">
      <c r="AV1323" t="str">
        <v>Data Analytics Course: ML</v>
      </c>
      <c r="AW1323">
        <v>218</v>
      </c>
      <c r="AX1323">
        <v>1.2</v>
      </c>
    </row>
    <row r="1324" spans="48:50" x14ac:dyDescent="0.3">
      <c r="AV1324" t="str">
        <v>Data Analytics Course: Basics</v>
      </c>
      <c r="AW1324">
        <v>227</v>
      </c>
      <c r="AX1324">
        <v>1.24</v>
      </c>
    </row>
    <row r="1325" spans="48:50" x14ac:dyDescent="0.3">
      <c r="AV1325" t="str">
        <v>Data Analytics Course: Advanced</v>
      </c>
      <c r="AW1325">
        <v>189</v>
      </c>
      <c r="AX1325">
        <v>1.81</v>
      </c>
    </row>
    <row r="1326" spans="48:50" x14ac:dyDescent="0.3">
      <c r="AV1326" t="str">
        <v>Data Analytics Course: ML</v>
      </c>
      <c r="AW1326">
        <v>247</v>
      </c>
      <c r="AX1326">
        <v>1.59</v>
      </c>
    </row>
    <row r="1327" spans="48:50" x14ac:dyDescent="0.3">
      <c r="AV1327" t="str">
        <v>Data Analytics Course: Advanced</v>
      </c>
      <c r="AW1327">
        <v>211</v>
      </c>
      <c r="AX1327">
        <v>1.45</v>
      </c>
    </row>
    <row r="1328" spans="48:50" x14ac:dyDescent="0.3">
      <c r="AV1328" t="str">
        <v>Data Analytics Course: ML</v>
      </c>
      <c r="AW1328">
        <v>233</v>
      </c>
      <c r="AX1328">
        <v>2</v>
      </c>
    </row>
    <row r="1329" spans="48:50" x14ac:dyDescent="0.3">
      <c r="AV1329" t="str">
        <v>Data Analytics Course: ML</v>
      </c>
      <c r="AW1329">
        <v>181</v>
      </c>
      <c r="AX1329">
        <v>1.95</v>
      </c>
    </row>
    <row r="1330" spans="48:50" x14ac:dyDescent="0.3">
      <c r="AV1330" t="str">
        <v>Data Analytics Course: Visualizations</v>
      </c>
      <c r="AW1330">
        <v>219</v>
      </c>
      <c r="AX1330">
        <v>1.54</v>
      </c>
    </row>
    <row r="1331" spans="48:50" x14ac:dyDescent="0.3">
      <c r="AV1331" t="str">
        <v>Data Analytics Course: Visualizations</v>
      </c>
      <c r="AW1331">
        <v>181</v>
      </c>
      <c r="AX1331">
        <v>1.35</v>
      </c>
    </row>
    <row r="1332" spans="48:50" x14ac:dyDescent="0.3">
      <c r="AV1332" t="str">
        <v>Data Analytics Course: ML</v>
      </c>
      <c r="AW1332">
        <v>201</v>
      </c>
      <c r="AX1332">
        <v>1.49</v>
      </c>
    </row>
    <row r="1333" spans="48:50" x14ac:dyDescent="0.3">
      <c r="AV1333" t="str">
        <v>Data Analytics Course: Advanced</v>
      </c>
      <c r="AW1333">
        <v>249</v>
      </c>
      <c r="AX1333">
        <v>1.44</v>
      </c>
    </row>
    <row r="1334" spans="48:50" x14ac:dyDescent="0.3">
      <c r="AV1334" t="str">
        <v>Data Analytics Course: Advanced</v>
      </c>
      <c r="AW1334">
        <v>245</v>
      </c>
      <c r="AX1334">
        <v>0.9</v>
      </c>
    </row>
    <row r="1335" spans="48:50" x14ac:dyDescent="0.3">
      <c r="AV1335" t="str">
        <v>Data Analytics Course: Advanced</v>
      </c>
      <c r="AW1335">
        <v>228</v>
      </c>
      <c r="AX1335">
        <v>2.0499999999999998</v>
      </c>
    </row>
    <row r="1336" spans="48:50" x14ac:dyDescent="0.3">
      <c r="AV1336" t="str">
        <v>Data Analytics Course: Advanced</v>
      </c>
      <c r="AW1336">
        <v>236</v>
      </c>
      <c r="AX1336">
        <v>1.1200000000000001</v>
      </c>
    </row>
    <row r="1337" spans="48:50" x14ac:dyDescent="0.3">
      <c r="AV1337" t="str">
        <v>Data Analytics Course: Visualizations</v>
      </c>
      <c r="AW1337">
        <v>208</v>
      </c>
      <c r="AX1337">
        <v>1.52</v>
      </c>
    </row>
    <row r="1338" spans="48:50" x14ac:dyDescent="0.3">
      <c r="AV1338" t="str">
        <v>Data Analytics Course: Basics</v>
      </c>
      <c r="AW1338">
        <v>205</v>
      </c>
      <c r="AX1338">
        <v>1.26</v>
      </c>
    </row>
    <row r="1339" spans="48:50" x14ac:dyDescent="0.3">
      <c r="AV1339" t="str">
        <v>Data Analytics Course: ML</v>
      </c>
      <c r="AW1339">
        <v>243</v>
      </c>
      <c r="AX1339">
        <v>1.02</v>
      </c>
    </row>
    <row r="1340" spans="48:50" x14ac:dyDescent="0.3">
      <c r="AV1340" t="str">
        <v>Data Analytics Course: ML</v>
      </c>
      <c r="AW1340">
        <v>238</v>
      </c>
      <c r="AX1340">
        <v>0.89</v>
      </c>
    </row>
    <row r="1341" spans="48:50" x14ac:dyDescent="0.3">
      <c r="AV1341" t="str">
        <v>Data Analytics Course: Advanced</v>
      </c>
      <c r="AW1341">
        <v>204</v>
      </c>
      <c r="AX1341">
        <v>1.1599999999999999</v>
      </c>
    </row>
    <row r="1342" spans="48:50" x14ac:dyDescent="0.3">
      <c r="AV1342" t="str">
        <v>Data Analytics Course: Advanced</v>
      </c>
      <c r="AW1342">
        <v>238</v>
      </c>
      <c r="AX1342">
        <v>1.19</v>
      </c>
    </row>
    <row r="1343" spans="48:50" x14ac:dyDescent="0.3">
      <c r="AV1343" t="str">
        <v>Data Analytics Course: ML</v>
      </c>
      <c r="AW1343">
        <v>224</v>
      </c>
      <c r="AX1343">
        <v>0.92</v>
      </c>
    </row>
    <row r="1344" spans="48:50" x14ac:dyDescent="0.3">
      <c r="AV1344" t="str">
        <v>Data Analytics Course: ML</v>
      </c>
      <c r="AW1344">
        <v>183</v>
      </c>
      <c r="AX1344">
        <v>1.73</v>
      </c>
    </row>
    <row r="1345" spans="48:50" x14ac:dyDescent="0.3">
      <c r="AV1345" t="str">
        <v>Data Analytics Course: ML</v>
      </c>
      <c r="AW1345">
        <v>201</v>
      </c>
      <c r="AX1345">
        <v>1.1599999999999999</v>
      </c>
    </row>
    <row r="1346" spans="48:50" x14ac:dyDescent="0.3">
      <c r="AV1346" t="str">
        <v>Data Analytics Course: Advanced</v>
      </c>
      <c r="AW1346">
        <v>211</v>
      </c>
      <c r="AX1346">
        <v>1.1499999999999999</v>
      </c>
    </row>
    <row r="1347" spans="48:50" x14ac:dyDescent="0.3">
      <c r="AV1347" t="str">
        <v>Data Analytics Course: ML</v>
      </c>
      <c r="AW1347">
        <v>224</v>
      </c>
      <c r="AX1347">
        <v>1.71</v>
      </c>
    </row>
    <row r="1348" spans="48:50" x14ac:dyDescent="0.3">
      <c r="AV1348" t="str">
        <v>Data Analytics Course: Visualizations</v>
      </c>
      <c r="AW1348">
        <v>188</v>
      </c>
      <c r="AX1348">
        <v>1.37</v>
      </c>
    </row>
    <row r="1349" spans="48:50" x14ac:dyDescent="0.3">
      <c r="AV1349" t="str">
        <v>Data Analytics Course: ML</v>
      </c>
      <c r="AW1349">
        <v>198</v>
      </c>
      <c r="AX1349">
        <v>1.93</v>
      </c>
    </row>
    <row r="1350" spans="48:50" x14ac:dyDescent="0.3">
      <c r="AV1350" t="str">
        <v>Data Analytics Course: Advanced</v>
      </c>
      <c r="AW1350">
        <v>238</v>
      </c>
      <c r="AX1350">
        <v>0.97</v>
      </c>
    </row>
    <row r="1351" spans="48:50" x14ac:dyDescent="0.3">
      <c r="AV1351" t="str">
        <v>Data Analytics Course: Advanced</v>
      </c>
      <c r="AW1351">
        <v>201</v>
      </c>
      <c r="AX1351">
        <v>1.53</v>
      </c>
    </row>
    <row r="1352" spans="48:50" x14ac:dyDescent="0.3">
      <c r="AV1352" t="str">
        <v>Data Analytics Course: Advanced</v>
      </c>
      <c r="AW1352">
        <v>244</v>
      </c>
      <c r="AX1352">
        <v>1.01</v>
      </c>
    </row>
    <row r="1353" spans="48:50" x14ac:dyDescent="0.3">
      <c r="AV1353" t="str">
        <v>Data Analytics Course: Basics</v>
      </c>
      <c r="AW1353">
        <v>244</v>
      </c>
      <c r="AX1353">
        <v>1.32</v>
      </c>
    </row>
    <row r="1354" spans="48:50" x14ac:dyDescent="0.3">
      <c r="AV1354" t="str">
        <v>Data Analytics Course: Basics</v>
      </c>
      <c r="AW1354">
        <v>204</v>
      </c>
      <c r="AX1354">
        <v>0.69</v>
      </c>
    </row>
    <row r="1355" spans="48:50" x14ac:dyDescent="0.3">
      <c r="AV1355" t="str">
        <v>Data Analytics Course: Advanced</v>
      </c>
      <c r="AW1355">
        <v>214</v>
      </c>
      <c r="AX1355">
        <v>1.02</v>
      </c>
    </row>
    <row r="1356" spans="48:50" x14ac:dyDescent="0.3">
      <c r="AV1356" t="str">
        <v>Data Analytics Course: ML</v>
      </c>
      <c r="AW1356">
        <v>229</v>
      </c>
      <c r="AX1356">
        <v>1.1100000000000001</v>
      </c>
    </row>
    <row r="1357" spans="48:50" x14ac:dyDescent="0.3">
      <c r="AV1357" t="str">
        <v>Data Analytics Course: ML</v>
      </c>
      <c r="AW1357">
        <v>195</v>
      </c>
      <c r="AX1357">
        <v>2.0299999999999998</v>
      </c>
    </row>
    <row r="1358" spans="48:50" x14ac:dyDescent="0.3">
      <c r="AV1358" t="str">
        <v>Data Analytics Course: ML</v>
      </c>
      <c r="AW1358">
        <v>202</v>
      </c>
      <c r="AX1358">
        <v>1.2</v>
      </c>
    </row>
    <row r="1359" spans="48:50" x14ac:dyDescent="0.3">
      <c r="AV1359" t="str">
        <v>Data Analytics Course: Advanced</v>
      </c>
      <c r="AW1359">
        <v>186</v>
      </c>
      <c r="AX1359">
        <v>1.1399999999999999</v>
      </c>
    </row>
    <row r="1360" spans="48:50" x14ac:dyDescent="0.3">
      <c r="AV1360" t="str">
        <v>Data Analytics Course: Visualizations</v>
      </c>
      <c r="AW1360">
        <v>205</v>
      </c>
      <c r="AX1360">
        <v>1.96</v>
      </c>
    </row>
    <row r="1361" spans="48:50" x14ac:dyDescent="0.3">
      <c r="AV1361" t="str">
        <v>Data Analytics Course: Basics</v>
      </c>
      <c r="AW1361">
        <v>240</v>
      </c>
      <c r="AX1361">
        <v>1.42</v>
      </c>
    </row>
    <row r="1362" spans="48:50" x14ac:dyDescent="0.3">
      <c r="AV1362" t="str">
        <v>Data Analytics Course: Visualizations</v>
      </c>
      <c r="AW1362">
        <v>246</v>
      </c>
      <c r="AX1362">
        <v>0.92</v>
      </c>
    </row>
    <row r="1363" spans="48:50" x14ac:dyDescent="0.3">
      <c r="AV1363" t="str">
        <v>Data Analytics Course: ML</v>
      </c>
      <c r="AW1363">
        <v>209</v>
      </c>
      <c r="AX1363">
        <v>1.1399999999999999</v>
      </c>
    </row>
    <row r="1364" spans="48:50" x14ac:dyDescent="0.3">
      <c r="AV1364" t="str">
        <v>Data Analytics Course: ML</v>
      </c>
      <c r="AW1364">
        <v>244</v>
      </c>
      <c r="AX1364">
        <v>1.01</v>
      </c>
    </row>
    <row r="1365" spans="48:50" x14ac:dyDescent="0.3">
      <c r="AV1365" t="str">
        <v>Data Analytics Course: Advanced</v>
      </c>
      <c r="AW1365">
        <v>200</v>
      </c>
      <c r="AX1365">
        <v>1.91</v>
      </c>
    </row>
    <row r="1366" spans="48:50" x14ac:dyDescent="0.3">
      <c r="AV1366" t="str">
        <v>Data Analytics Course: Advanced</v>
      </c>
      <c r="AW1366">
        <v>239</v>
      </c>
      <c r="AX1366">
        <v>1.36</v>
      </c>
    </row>
    <row r="1367" spans="48:50" x14ac:dyDescent="0.3">
      <c r="AV1367" t="str">
        <v>Data Analytics Course: ML</v>
      </c>
      <c r="AW1367">
        <v>231</v>
      </c>
      <c r="AX1367">
        <v>1.28</v>
      </c>
    </row>
    <row r="1368" spans="48:50" x14ac:dyDescent="0.3">
      <c r="AV1368" t="str">
        <v>Data Analytics Course: Advanced</v>
      </c>
      <c r="AW1368">
        <v>232</v>
      </c>
      <c r="AX1368">
        <v>1.36</v>
      </c>
    </row>
    <row r="1369" spans="48:50" x14ac:dyDescent="0.3">
      <c r="AV1369" t="str">
        <v>Data Analytics Course: ML</v>
      </c>
      <c r="AW1369">
        <v>196</v>
      </c>
      <c r="AX1369">
        <v>1.42</v>
      </c>
    </row>
    <row r="1370" spans="48:50" x14ac:dyDescent="0.3">
      <c r="AV1370" t="str">
        <v>Data Analytics Course: Basics</v>
      </c>
      <c r="AW1370">
        <v>188</v>
      </c>
      <c r="AX1370">
        <v>1.99</v>
      </c>
    </row>
    <row r="1371" spans="48:50" x14ac:dyDescent="0.3">
      <c r="AV1371" t="str">
        <v>Data Analytics Course: Basics</v>
      </c>
      <c r="AW1371">
        <v>304</v>
      </c>
      <c r="AX1371">
        <v>1.02</v>
      </c>
    </row>
    <row r="1372" spans="48:50" x14ac:dyDescent="0.3">
      <c r="AV1372" t="str">
        <v>Data Analytics Course: ML</v>
      </c>
      <c r="AW1372">
        <v>226</v>
      </c>
      <c r="AX1372">
        <v>1.19</v>
      </c>
    </row>
    <row r="1373" spans="48:50" x14ac:dyDescent="0.3">
      <c r="AV1373" t="str">
        <v>Data Analytics Course: Basics</v>
      </c>
      <c r="AW1373">
        <v>211</v>
      </c>
      <c r="AX1373">
        <v>1.35</v>
      </c>
    </row>
    <row r="1374" spans="48:50" x14ac:dyDescent="0.3">
      <c r="AV1374" t="str">
        <v>Data Analytics Course: ML</v>
      </c>
      <c r="AW1374">
        <v>230</v>
      </c>
      <c r="AX1374">
        <v>1.52</v>
      </c>
    </row>
    <row r="1375" spans="48:50" x14ac:dyDescent="0.3">
      <c r="AV1375" t="str">
        <v>Data Analytics Course: Basics</v>
      </c>
      <c r="AW1375">
        <v>247</v>
      </c>
      <c r="AX1375">
        <v>0.9</v>
      </c>
    </row>
    <row r="1376" spans="48:50" x14ac:dyDescent="0.3">
      <c r="AV1376" t="str">
        <v>Data Analytics Course: Advanced</v>
      </c>
      <c r="AW1376">
        <v>227</v>
      </c>
      <c r="AX1376">
        <v>1.36</v>
      </c>
    </row>
    <row r="1377" spans="48:50" x14ac:dyDescent="0.3">
      <c r="AV1377" t="str">
        <v>Data Analytics Course: ML</v>
      </c>
      <c r="AW1377">
        <v>240</v>
      </c>
      <c r="AX1377">
        <v>0.97</v>
      </c>
    </row>
    <row r="1378" spans="48:50" x14ac:dyDescent="0.3">
      <c r="AV1378" t="str">
        <v>Data Analytics Course: Advanced</v>
      </c>
      <c r="AW1378">
        <v>244</v>
      </c>
      <c r="AX1378">
        <v>1.42</v>
      </c>
    </row>
    <row r="1379" spans="48:50" x14ac:dyDescent="0.3">
      <c r="AV1379" t="str">
        <v>Data Analytics Course: Advanced</v>
      </c>
      <c r="AW1379">
        <v>185</v>
      </c>
      <c r="AX1379">
        <v>1.19</v>
      </c>
    </row>
    <row r="1380" spans="48:50" x14ac:dyDescent="0.3">
      <c r="AV1380" t="str">
        <v>Data Analytics Course: ML</v>
      </c>
      <c r="AW1380">
        <v>235</v>
      </c>
      <c r="AX1380">
        <v>0.89</v>
      </c>
    </row>
    <row r="1381" spans="48:50" x14ac:dyDescent="0.3">
      <c r="AV1381" t="str">
        <v>Data Analytics Course: ML</v>
      </c>
      <c r="AW1381">
        <v>194</v>
      </c>
      <c r="AX1381">
        <v>1.78</v>
      </c>
    </row>
    <row r="1382" spans="48:50" x14ac:dyDescent="0.3">
      <c r="AV1382" t="str">
        <v>Data Analytics Course: Basics</v>
      </c>
      <c r="AW1382">
        <v>184</v>
      </c>
      <c r="AX1382">
        <v>2</v>
      </c>
    </row>
    <row r="1383" spans="48:50" x14ac:dyDescent="0.3">
      <c r="AV1383" t="str">
        <v>Data Analytics Course: Advanced</v>
      </c>
      <c r="AW1383">
        <v>201</v>
      </c>
      <c r="AX1383">
        <v>1.8</v>
      </c>
    </row>
    <row r="1384" spans="48:50" x14ac:dyDescent="0.3">
      <c r="AV1384" t="str">
        <v>Data Analytics Course: Basics</v>
      </c>
      <c r="AW1384">
        <v>236</v>
      </c>
      <c r="AX1384">
        <v>1.1399999999999999</v>
      </c>
    </row>
    <row r="1385" spans="48:50" x14ac:dyDescent="0.3">
      <c r="AV1385" t="str">
        <v>Data Analytics Course: Basics</v>
      </c>
      <c r="AW1385">
        <v>226</v>
      </c>
      <c r="AX1385">
        <v>0.94</v>
      </c>
    </row>
    <row r="1386" spans="48:50" x14ac:dyDescent="0.3">
      <c r="AV1386" t="str">
        <v>Data Analytics Course: Visualizations</v>
      </c>
      <c r="AW1386">
        <v>210</v>
      </c>
      <c r="AX1386">
        <v>1.75</v>
      </c>
    </row>
    <row r="1387" spans="48:50" x14ac:dyDescent="0.3">
      <c r="AV1387" t="str">
        <v>Data Analytics Course: Visualizations</v>
      </c>
      <c r="AW1387">
        <v>203</v>
      </c>
      <c r="AX1387">
        <v>1.98</v>
      </c>
    </row>
    <row r="1388" spans="48:50" x14ac:dyDescent="0.3">
      <c r="AV1388" t="str">
        <v>Data Analytics Course: ML</v>
      </c>
      <c r="AW1388">
        <v>226</v>
      </c>
      <c r="AX1388">
        <v>1.1200000000000001</v>
      </c>
    </row>
    <row r="1389" spans="48:50" x14ac:dyDescent="0.3">
      <c r="AV1389" t="str">
        <v>Data Analytics Course: Visualizations</v>
      </c>
      <c r="AW1389">
        <v>215</v>
      </c>
      <c r="AX1389">
        <v>1.02</v>
      </c>
    </row>
    <row r="1390" spans="48:50" x14ac:dyDescent="0.3">
      <c r="AV1390" t="str">
        <v>Data Analytics Course: Advanced</v>
      </c>
      <c r="AW1390">
        <v>226</v>
      </c>
      <c r="AX1390">
        <v>1.07</v>
      </c>
    </row>
    <row r="1391" spans="48:50" x14ac:dyDescent="0.3">
      <c r="AV1391" t="str">
        <v>Data Analytics Course: Visualizations</v>
      </c>
      <c r="AW1391">
        <v>197</v>
      </c>
      <c r="AX1391">
        <v>1.31</v>
      </c>
    </row>
    <row r="1392" spans="48:50" x14ac:dyDescent="0.3">
      <c r="AV1392" t="str">
        <v>Data Analytics Course: ML</v>
      </c>
      <c r="AW1392">
        <v>215</v>
      </c>
      <c r="AX1392">
        <v>1.87</v>
      </c>
    </row>
    <row r="1393" spans="48:50" x14ac:dyDescent="0.3">
      <c r="AV1393" t="str">
        <v>Data Analytics Course: Advanced</v>
      </c>
      <c r="AW1393">
        <v>207</v>
      </c>
      <c r="AX1393">
        <v>1.62</v>
      </c>
    </row>
    <row r="1394" spans="48:50" x14ac:dyDescent="0.3">
      <c r="AV1394" t="str">
        <v>Data Analytics Course: Visualizations</v>
      </c>
      <c r="AW1394">
        <v>204</v>
      </c>
      <c r="AX1394">
        <v>1.1299999999999999</v>
      </c>
    </row>
    <row r="1395" spans="48:50" x14ac:dyDescent="0.3">
      <c r="AV1395" t="str">
        <v>Data Analytics Course: Visualizations</v>
      </c>
      <c r="AW1395">
        <v>247</v>
      </c>
      <c r="AX1395">
        <v>1.32</v>
      </c>
    </row>
    <row r="1396" spans="48:50" x14ac:dyDescent="0.3">
      <c r="AV1396" t="str">
        <v>Data Analytics Course: ML</v>
      </c>
      <c r="AW1396">
        <v>212</v>
      </c>
      <c r="AX1396">
        <v>1.74</v>
      </c>
    </row>
    <row r="1397" spans="48:50" x14ac:dyDescent="0.3">
      <c r="AV1397" t="str">
        <v>Data Analytics Course: Visualizations</v>
      </c>
      <c r="AW1397">
        <v>212</v>
      </c>
      <c r="AX1397">
        <v>1.56</v>
      </c>
    </row>
    <row r="1398" spans="48:50" x14ac:dyDescent="0.3">
      <c r="AV1398" t="str">
        <v>Data Analytics Course: Visualizations</v>
      </c>
      <c r="AW1398">
        <v>222</v>
      </c>
      <c r="AX1398">
        <v>1.1499999999999999</v>
      </c>
    </row>
    <row r="1399" spans="48:50" x14ac:dyDescent="0.3">
      <c r="AV1399" t="str">
        <v>Data Analytics Course: Advanced</v>
      </c>
      <c r="AW1399">
        <v>216</v>
      </c>
      <c r="AX1399">
        <v>1.73</v>
      </c>
    </row>
    <row r="1400" spans="48:50" x14ac:dyDescent="0.3">
      <c r="AV1400" t="str">
        <v>Data Analytics Course: Advanced</v>
      </c>
      <c r="AW1400">
        <v>235</v>
      </c>
      <c r="AX1400">
        <v>1.69</v>
      </c>
    </row>
    <row r="1401" spans="48:50" x14ac:dyDescent="0.3">
      <c r="AV1401" t="str">
        <v>Data Analytics Course: Visualizations</v>
      </c>
      <c r="AW1401">
        <v>186</v>
      </c>
      <c r="AX1401">
        <v>1.59</v>
      </c>
    </row>
    <row r="1402" spans="48:50" x14ac:dyDescent="0.3">
      <c r="AV1402" t="str">
        <v>Data Analytics Course: Advanced</v>
      </c>
      <c r="AW1402">
        <v>197</v>
      </c>
      <c r="AX1402">
        <v>1.03</v>
      </c>
    </row>
    <row r="1403" spans="48:50" x14ac:dyDescent="0.3">
      <c r="AV1403" t="str">
        <v>Data Analytics Course: Advanced</v>
      </c>
      <c r="AW1403">
        <v>215</v>
      </c>
      <c r="AX1403">
        <v>1.1399999999999999</v>
      </c>
    </row>
    <row r="1404" spans="48:50" x14ac:dyDescent="0.3">
      <c r="AV1404" t="str">
        <v>Data Analytics Course: Advanced</v>
      </c>
      <c r="AW1404">
        <v>203</v>
      </c>
      <c r="AX1404">
        <v>1.4</v>
      </c>
    </row>
    <row r="1405" spans="48:50" x14ac:dyDescent="0.3">
      <c r="AV1405" t="str">
        <v>Data Analytics Course: Visualizations</v>
      </c>
      <c r="AW1405">
        <v>233</v>
      </c>
      <c r="AX1405">
        <v>1.5</v>
      </c>
    </row>
    <row r="1406" spans="48:50" x14ac:dyDescent="0.3">
      <c r="AV1406" t="str">
        <v>Data Analytics Course: Advanced</v>
      </c>
      <c r="AW1406">
        <v>225</v>
      </c>
      <c r="AX1406">
        <v>1.2</v>
      </c>
    </row>
    <row r="1407" spans="48:50" x14ac:dyDescent="0.3">
      <c r="AV1407" t="str">
        <v>Data Analytics Course: Basics</v>
      </c>
      <c r="AW1407">
        <v>211</v>
      </c>
      <c r="AX1407">
        <v>1.49</v>
      </c>
    </row>
    <row r="1408" spans="48:50" x14ac:dyDescent="0.3">
      <c r="AV1408" t="str">
        <v>Data Analytics Course: Advanced</v>
      </c>
      <c r="AW1408">
        <v>223</v>
      </c>
      <c r="AX1408">
        <v>1.69</v>
      </c>
    </row>
    <row r="1409" spans="48:50" x14ac:dyDescent="0.3">
      <c r="AV1409" t="str">
        <v>Data Analytics Course: Advanced</v>
      </c>
      <c r="AW1409">
        <v>232</v>
      </c>
      <c r="AX1409">
        <v>1.03</v>
      </c>
    </row>
    <row r="1410" spans="48:50" x14ac:dyDescent="0.3">
      <c r="AV1410" t="str">
        <v>Data Analytics Course: Basics</v>
      </c>
      <c r="AW1410">
        <v>244</v>
      </c>
      <c r="AX1410">
        <v>1.1499999999999999</v>
      </c>
    </row>
    <row r="1411" spans="48:50" x14ac:dyDescent="0.3">
      <c r="AV1411" t="str">
        <v>Data Analytics Course: Advanced</v>
      </c>
      <c r="AW1411">
        <v>215</v>
      </c>
      <c r="AX1411">
        <v>1.68</v>
      </c>
    </row>
    <row r="1412" spans="48:50" x14ac:dyDescent="0.3">
      <c r="AV1412" t="str">
        <v>Data Analytics Course: Advanced</v>
      </c>
      <c r="AW1412">
        <v>219</v>
      </c>
      <c r="AX1412">
        <v>0.85</v>
      </c>
    </row>
    <row r="1413" spans="48:50" x14ac:dyDescent="0.3">
      <c r="AV1413" t="str">
        <v>Data Analytics Course: Visualizations</v>
      </c>
      <c r="AW1413">
        <v>202</v>
      </c>
      <c r="AX1413">
        <v>1.54</v>
      </c>
    </row>
    <row r="1414" spans="48:50" x14ac:dyDescent="0.3">
      <c r="AV1414" t="str">
        <v>Data Analytics Course: Visualizations</v>
      </c>
      <c r="AW1414">
        <v>236</v>
      </c>
      <c r="AX1414">
        <v>1.69</v>
      </c>
    </row>
    <row r="1415" spans="48:50" x14ac:dyDescent="0.3">
      <c r="AV1415" t="str">
        <v>Data Analytics Course: ML</v>
      </c>
      <c r="AW1415">
        <v>190</v>
      </c>
      <c r="AX1415">
        <v>1.34</v>
      </c>
    </row>
    <row r="1416" spans="48:50" x14ac:dyDescent="0.3">
      <c r="AV1416" t="str">
        <v>Data Analytics Course: Advanced</v>
      </c>
      <c r="AW1416">
        <v>243</v>
      </c>
      <c r="AX1416">
        <v>1.3</v>
      </c>
    </row>
    <row r="1417" spans="48:50" x14ac:dyDescent="0.3">
      <c r="AV1417" t="str">
        <v>Data Analytics Course: Advanced</v>
      </c>
      <c r="AW1417">
        <v>189</v>
      </c>
      <c r="AX1417">
        <v>1.27</v>
      </c>
    </row>
    <row r="1418" spans="48:50" x14ac:dyDescent="0.3">
      <c r="AV1418" t="str">
        <v>Data Analytics Course: ML</v>
      </c>
      <c r="AW1418">
        <v>214</v>
      </c>
      <c r="AX1418">
        <v>1.75</v>
      </c>
    </row>
    <row r="1419" spans="48:50" x14ac:dyDescent="0.3">
      <c r="AV1419" t="str">
        <v>Data Analytics Course: Visualizations</v>
      </c>
      <c r="AW1419">
        <v>188</v>
      </c>
      <c r="AX1419">
        <v>1.52</v>
      </c>
    </row>
    <row r="1420" spans="48:50" x14ac:dyDescent="0.3">
      <c r="AV1420" t="str">
        <v>Data Analytics Course: Basics</v>
      </c>
      <c r="AW1420">
        <v>181</v>
      </c>
      <c r="AX1420">
        <v>1.88</v>
      </c>
    </row>
    <row r="1421" spans="48:50" x14ac:dyDescent="0.3">
      <c r="AV1421" t="str">
        <v>Data Analytics Course: ML</v>
      </c>
      <c r="AW1421">
        <v>234</v>
      </c>
      <c r="AX1421">
        <v>0.95</v>
      </c>
    </row>
    <row r="1422" spans="48:50" x14ac:dyDescent="0.3">
      <c r="AV1422" t="str">
        <v>Data Analytics Course: Basics</v>
      </c>
      <c r="AW1422">
        <v>189</v>
      </c>
      <c r="AX1422">
        <v>1.9</v>
      </c>
    </row>
    <row r="1423" spans="48:50" x14ac:dyDescent="0.3">
      <c r="AV1423" t="str">
        <v>Data Analytics Course: Advanced</v>
      </c>
      <c r="AW1423">
        <v>235</v>
      </c>
      <c r="AX1423">
        <v>1.31</v>
      </c>
    </row>
    <row r="1424" spans="48:50" x14ac:dyDescent="0.3">
      <c r="AV1424" t="str">
        <v>Data Analytics Course: Visualizations</v>
      </c>
      <c r="AW1424">
        <v>208</v>
      </c>
      <c r="AX1424">
        <v>1.69</v>
      </c>
    </row>
    <row r="1425" spans="48:50" x14ac:dyDescent="0.3">
      <c r="AV1425" t="str">
        <v>Data Analytics Course: Basics</v>
      </c>
      <c r="AW1425">
        <v>203</v>
      </c>
      <c r="AX1425">
        <v>1.72</v>
      </c>
    </row>
    <row r="1426" spans="48:50" x14ac:dyDescent="0.3">
      <c r="AV1426" t="str">
        <v>Data Analytics Course: Advanced</v>
      </c>
      <c r="AW1426">
        <v>180</v>
      </c>
      <c r="AX1426">
        <v>1.98</v>
      </c>
    </row>
    <row r="1427" spans="48:50" x14ac:dyDescent="0.3">
      <c r="AV1427" t="str">
        <v>Data Analytics Course: ML</v>
      </c>
      <c r="AW1427">
        <v>205</v>
      </c>
      <c r="AX1427">
        <v>2.0499999999999998</v>
      </c>
    </row>
    <row r="1428" spans="48:50" x14ac:dyDescent="0.3">
      <c r="AV1428" t="str">
        <v>Data Analytics Course: ML</v>
      </c>
      <c r="AW1428">
        <v>211</v>
      </c>
      <c r="AX1428">
        <v>1.85</v>
      </c>
    </row>
    <row r="1429" spans="48:50" x14ac:dyDescent="0.3">
      <c r="AV1429" t="str">
        <v>Data Analytics Course: Advanced</v>
      </c>
      <c r="AW1429">
        <v>194</v>
      </c>
      <c r="AX1429">
        <v>1.17</v>
      </c>
    </row>
    <row r="1430" spans="48:50" x14ac:dyDescent="0.3">
      <c r="AV1430" t="str">
        <v>Data Analytics Course: Advanced</v>
      </c>
      <c r="AW1430">
        <v>242</v>
      </c>
      <c r="AX1430">
        <v>1.31</v>
      </c>
    </row>
    <row r="1431" spans="48:50" x14ac:dyDescent="0.3">
      <c r="AV1431" t="str">
        <v>Data Analytics Course: ML</v>
      </c>
      <c r="AW1431">
        <v>243</v>
      </c>
      <c r="AX1431">
        <v>1.64</v>
      </c>
    </row>
    <row r="1432" spans="48:50" x14ac:dyDescent="0.3">
      <c r="AV1432" t="str">
        <v>Data Analytics Course: Basics</v>
      </c>
      <c r="AW1432">
        <v>219</v>
      </c>
      <c r="AX1432">
        <v>1.83</v>
      </c>
    </row>
    <row r="1433" spans="48:50" x14ac:dyDescent="0.3">
      <c r="AV1433" t="str">
        <v>Data Analytics Course: Advanced</v>
      </c>
      <c r="AW1433">
        <v>193</v>
      </c>
      <c r="AX1433">
        <v>1.83</v>
      </c>
    </row>
    <row r="1434" spans="48:50" x14ac:dyDescent="0.3">
      <c r="AV1434" t="str">
        <v>Data Analytics Course: ML</v>
      </c>
      <c r="AW1434">
        <v>185</v>
      </c>
      <c r="AX1434">
        <v>2.15</v>
      </c>
    </row>
    <row r="1435" spans="48:50" x14ac:dyDescent="0.3">
      <c r="AV1435" t="str">
        <v>Data Analytics Course: ML</v>
      </c>
      <c r="AW1435">
        <v>189</v>
      </c>
      <c r="AX1435">
        <v>1.2</v>
      </c>
    </row>
    <row r="1436" spans="48:50" x14ac:dyDescent="0.3">
      <c r="AV1436" t="str">
        <v>Data Analytics Course: Visualizations</v>
      </c>
      <c r="AW1436">
        <v>294</v>
      </c>
      <c r="AX1436">
        <v>0.88</v>
      </c>
    </row>
    <row r="1437" spans="48:50" x14ac:dyDescent="0.3">
      <c r="AV1437" t="str">
        <v>Data Analytics Course: ML</v>
      </c>
      <c r="AW1437">
        <v>196</v>
      </c>
      <c r="AX1437">
        <v>1.1399999999999999</v>
      </c>
    </row>
    <row r="1438" spans="48:50" x14ac:dyDescent="0.3">
      <c r="AV1438" t="str">
        <v>Data Analytics Course: ML</v>
      </c>
      <c r="AW1438">
        <v>240</v>
      </c>
      <c r="AX1438">
        <v>1.4</v>
      </c>
    </row>
    <row r="1439" spans="48:50" x14ac:dyDescent="0.3">
      <c r="AV1439" t="str">
        <v>Data Analytics Course: ML</v>
      </c>
      <c r="AW1439">
        <v>218</v>
      </c>
      <c r="AX1439">
        <v>1.5</v>
      </c>
    </row>
    <row r="1440" spans="48:50" x14ac:dyDescent="0.3">
      <c r="AV1440" t="str">
        <v>Data Analytics Course: Visualizations</v>
      </c>
      <c r="AW1440">
        <v>238</v>
      </c>
      <c r="AX1440">
        <v>1.49</v>
      </c>
    </row>
    <row r="1441" spans="48:50" x14ac:dyDescent="0.3">
      <c r="AV1441" t="str">
        <v>Data Analytics Course: ML</v>
      </c>
      <c r="AW1441">
        <v>214</v>
      </c>
      <c r="AX1441">
        <v>1.52</v>
      </c>
    </row>
    <row r="1442" spans="48:50" x14ac:dyDescent="0.3">
      <c r="AV1442" t="str">
        <v>Data Analytics Course: Basics</v>
      </c>
      <c r="AW1442">
        <v>195</v>
      </c>
      <c r="AX1442">
        <v>1.53</v>
      </c>
    </row>
    <row r="1443" spans="48:50" x14ac:dyDescent="0.3">
      <c r="AV1443" t="str">
        <v>Data Analytics Course: Advanced</v>
      </c>
      <c r="AW1443">
        <v>200</v>
      </c>
      <c r="AX1443">
        <v>1.76</v>
      </c>
    </row>
    <row r="1444" spans="48:50" x14ac:dyDescent="0.3">
      <c r="AV1444" t="str">
        <v>Data Analytics Course: Advanced</v>
      </c>
      <c r="AW1444">
        <v>240</v>
      </c>
      <c r="AX1444">
        <v>1.54</v>
      </c>
    </row>
    <row r="1445" spans="48:50" x14ac:dyDescent="0.3">
      <c r="AV1445" t="str">
        <v>Data Analytics Course: Basics</v>
      </c>
      <c r="AW1445">
        <v>214</v>
      </c>
      <c r="AX1445">
        <v>1.59</v>
      </c>
    </row>
    <row r="1446" spans="48:50" x14ac:dyDescent="0.3">
      <c r="AV1446" t="str">
        <v>Data Analytics Course: ML</v>
      </c>
      <c r="AW1446">
        <v>193</v>
      </c>
      <c r="AX1446">
        <v>1.88</v>
      </c>
    </row>
    <row r="1447" spans="48:50" x14ac:dyDescent="0.3">
      <c r="AV1447" t="str">
        <v>Data Analytics Course: ML</v>
      </c>
      <c r="AW1447">
        <v>193</v>
      </c>
      <c r="AX1447">
        <v>1.22</v>
      </c>
    </row>
    <row r="1448" spans="48:50" x14ac:dyDescent="0.3">
      <c r="AV1448" t="str">
        <v>Data Analytics Course: Advanced</v>
      </c>
      <c r="AW1448">
        <v>213</v>
      </c>
      <c r="AX1448">
        <v>1.87</v>
      </c>
    </row>
    <row r="1449" spans="48:50" x14ac:dyDescent="0.3">
      <c r="AV1449" t="str">
        <v>Data Analytics Course: ML</v>
      </c>
      <c r="AW1449">
        <v>236</v>
      </c>
      <c r="AX1449">
        <v>1.58</v>
      </c>
    </row>
    <row r="1450" spans="48:50" x14ac:dyDescent="0.3">
      <c r="AV1450" t="str">
        <v>Data Analytics Course: ML</v>
      </c>
      <c r="AW1450">
        <v>212</v>
      </c>
      <c r="AX1450">
        <v>1.74</v>
      </c>
    </row>
    <row r="1451" spans="48:50" x14ac:dyDescent="0.3">
      <c r="AV1451" t="str">
        <v>Data Analytics Course: Basics</v>
      </c>
      <c r="AW1451">
        <v>244</v>
      </c>
      <c r="AX1451">
        <v>1.36</v>
      </c>
    </row>
    <row r="1452" spans="48:50" x14ac:dyDescent="0.3">
      <c r="AV1452" t="str">
        <v>Data Analytics Course: Advanced</v>
      </c>
      <c r="AW1452">
        <v>214</v>
      </c>
      <c r="AX1452">
        <v>1.55</v>
      </c>
    </row>
    <row r="1453" spans="48:50" x14ac:dyDescent="0.3">
      <c r="AV1453" t="str">
        <v>Data Analytics Course: Advanced</v>
      </c>
      <c r="AW1453">
        <v>240</v>
      </c>
      <c r="AX1453">
        <v>0.91</v>
      </c>
    </row>
    <row r="1454" spans="48:50" x14ac:dyDescent="0.3">
      <c r="AV1454" t="str">
        <v>Data Analytics Course: Visualizations</v>
      </c>
      <c r="AW1454">
        <v>234</v>
      </c>
      <c r="AX1454">
        <v>1.23</v>
      </c>
    </row>
    <row r="1455" spans="48:50" x14ac:dyDescent="0.3">
      <c r="AV1455" t="str">
        <v>Data Analytics Course: ML</v>
      </c>
      <c r="AW1455">
        <v>237</v>
      </c>
      <c r="AX1455">
        <v>1.62</v>
      </c>
    </row>
    <row r="1456" spans="48:50" x14ac:dyDescent="0.3">
      <c r="AV1456" t="str">
        <v>Data Analytics Course: Basics</v>
      </c>
      <c r="AW1456">
        <v>247</v>
      </c>
      <c r="AX1456">
        <v>1.43</v>
      </c>
    </row>
    <row r="1457" spans="48:50" x14ac:dyDescent="0.3">
      <c r="AV1457" t="str">
        <v>Data Analytics Course: Advanced</v>
      </c>
      <c r="AW1457">
        <v>210</v>
      </c>
      <c r="AX1457">
        <v>1.84</v>
      </c>
    </row>
    <row r="1458" spans="48:50" x14ac:dyDescent="0.3">
      <c r="AV1458" t="str">
        <v>Data Analytics Course: Basics</v>
      </c>
      <c r="AW1458">
        <v>185</v>
      </c>
      <c r="AX1458">
        <v>1.77</v>
      </c>
    </row>
    <row r="1459" spans="48:50" x14ac:dyDescent="0.3">
      <c r="AV1459" t="str">
        <v>Data Analytics Course: Basics</v>
      </c>
      <c r="AW1459">
        <v>207</v>
      </c>
      <c r="AX1459">
        <v>1.84</v>
      </c>
    </row>
    <row r="1460" spans="48:50" x14ac:dyDescent="0.3">
      <c r="AV1460" t="str">
        <v>Data Analytics Course: ML</v>
      </c>
      <c r="AW1460">
        <v>180</v>
      </c>
      <c r="AX1460">
        <v>1.81</v>
      </c>
    </row>
    <row r="1461" spans="48:50" x14ac:dyDescent="0.3">
      <c r="AV1461" t="str">
        <v>Data Analytics Course: ML</v>
      </c>
      <c r="AW1461">
        <v>205</v>
      </c>
      <c r="AX1461">
        <v>1.89</v>
      </c>
    </row>
    <row r="1462" spans="48:50" x14ac:dyDescent="0.3">
      <c r="AV1462" t="str">
        <v>Data Analytics Course: Advanced</v>
      </c>
      <c r="AW1462">
        <v>185</v>
      </c>
      <c r="AX1462">
        <v>2.11</v>
      </c>
    </row>
    <row r="1463" spans="48:50" x14ac:dyDescent="0.3">
      <c r="AV1463" t="str">
        <v>Data Analytics Course: Visualizations</v>
      </c>
      <c r="AW1463">
        <v>203</v>
      </c>
      <c r="AX1463">
        <v>1.0900000000000001</v>
      </c>
    </row>
    <row r="1464" spans="48:50" x14ac:dyDescent="0.3">
      <c r="AV1464" t="str">
        <v>Data Analytics Course: Advanced</v>
      </c>
      <c r="AW1464">
        <v>249</v>
      </c>
      <c r="AX1464">
        <v>1.62</v>
      </c>
    </row>
    <row r="1465" spans="48:50" x14ac:dyDescent="0.3">
      <c r="AV1465" t="str">
        <v>Data Analytics Course: ML</v>
      </c>
      <c r="AW1465">
        <v>182</v>
      </c>
      <c r="AX1465">
        <v>1.24</v>
      </c>
    </row>
    <row r="1466" spans="48:50" x14ac:dyDescent="0.3">
      <c r="AV1466" t="str">
        <v>Data Analytics Course: Basics</v>
      </c>
      <c r="AW1466">
        <v>247</v>
      </c>
      <c r="AX1466">
        <v>1.04</v>
      </c>
    </row>
    <row r="1467" spans="48:50" x14ac:dyDescent="0.3">
      <c r="AV1467" t="str">
        <v>Data Analytics Course: Advanced</v>
      </c>
      <c r="AW1467">
        <v>198</v>
      </c>
      <c r="AX1467">
        <v>1.52</v>
      </c>
    </row>
    <row r="1468" spans="48:50" x14ac:dyDescent="0.3">
      <c r="AV1468" t="str">
        <v>Data Analytics Course: ML</v>
      </c>
      <c r="AW1468">
        <v>235</v>
      </c>
      <c r="AX1468">
        <v>1.51</v>
      </c>
    </row>
    <row r="1469" spans="48:50" x14ac:dyDescent="0.3">
      <c r="AV1469" t="str">
        <v>Data Analytics Course: Basics</v>
      </c>
      <c r="AW1469">
        <v>217</v>
      </c>
      <c r="AX1469">
        <v>1.77</v>
      </c>
    </row>
    <row r="1470" spans="48:50" x14ac:dyDescent="0.3">
      <c r="AV1470" t="str">
        <v>Data Analytics Course: Basics</v>
      </c>
      <c r="AW1470">
        <v>235</v>
      </c>
      <c r="AX1470">
        <v>0.97</v>
      </c>
    </row>
    <row r="1471" spans="48:50" x14ac:dyDescent="0.3">
      <c r="AV1471" t="str">
        <v>Data Analytics Course: ML</v>
      </c>
      <c r="AW1471">
        <v>186</v>
      </c>
      <c r="AX1471">
        <v>1.2</v>
      </c>
    </row>
    <row r="1472" spans="48:50" x14ac:dyDescent="0.3">
      <c r="AV1472" t="str">
        <v>Data Analytics Course: Visualizations</v>
      </c>
      <c r="AW1472">
        <v>198</v>
      </c>
      <c r="AX1472">
        <v>1.8</v>
      </c>
    </row>
    <row r="1473" spans="48:50" x14ac:dyDescent="0.3">
      <c r="AV1473" t="str">
        <v>Data Analytics Course: Basics</v>
      </c>
      <c r="AW1473">
        <v>241</v>
      </c>
      <c r="AX1473">
        <v>0.85</v>
      </c>
    </row>
    <row r="1474" spans="48:50" x14ac:dyDescent="0.3">
      <c r="AV1474" t="str">
        <v>Data Analytics Course: ML</v>
      </c>
      <c r="AW1474">
        <v>182</v>
      </c>
      <c r="AX1474">
        <v>1.45</v>
      </c>
    </row>
    <row r="1475" spans="48:50" x14ac:dyDescent="0.3">
      <c r="AV1475" t="str">
        <v>Data Analytics Course: Advanced</v>
      </c>
      <c r="AW1475">
        <v>191</v>
      </c>
      <c r="AX1475">
        <v>1.69</v>
      </c>
    </row>
    <row r="1476" spans="48:50" x14ac:dyDescent="0.3">
      <c r="AV1476" t="str">
        <v>Data Analytics Course: Basics</v>
      </c>
      <c r="AW1476">
        <v>201</v>
      </c>
      <c r="AX1476">
        <v>1.86</v>
      </c>
    </row>
    <row r="1477" spans="48:50" x14ac:dyDescent="0.3">
      <c r="AV1477" t="str">
        <v>Data Analytics Course: Advanced</v>
      </c>
      <c r="AW1477">
        <v>203</v>
      </c>
      <c r="AX1477">
        <v>1.57</v>
      </c>
    </row>
    <row r="1478" spans="48:50" x14ac:dyDescent="0.3">
      <c r="AV1478" t="str">
        <v>Data Analytics Course: Advanced</v>
      </c>
      <c r="AW1478">
        <v>182</v>
      </c>
      <c r="AX1478">
        <v>1.98</v>
      </c>
    </row>
    <row r="1479" spans="48:50" x14ac:dyDescent="0.3">
      <c r="AV1479" t="str">
        <v>Data Analytics Course: Advanced</v>
      </c>
      <c r="AW1479">
        <v>195</v>
      </c>
      <c r="AX1479">
        <v>1.1299999999999999</v>
      </c>
    </row>
    <row r="1480" spans="48:50" x14ac:dyDescent="0.3">
      <c r="AV1480" t="str">
        <v>Data Analytics Course: Advanced</v>
      </c>
      <c r="AW1480">
        <v>190</v>
      </c>
      <c r="AX1480">
        <v>1.83</v>
      </c>
    </row>
    <row r="1481" spans="48:50" x14ac:dyDescent="0.3">
      <c r="AV1481" t="str">
        <v>Data Analytics Course: ML</v>
      </c>
      <c r="AW1481">
        <v>232</v>
      </c>
      <c r="AX1481">
        <v>1.1000000000000001</v>
      </c>
    </row>
    <row r="1482" spans="48:50" x14ac:dyDescent="0.3">
      <c r="AV1482" t="str">
        <v>Data Analytics Course: Basics</v>
      </c>
      <c r="AW1482">
        <v>186</v>
      </c>
      <c r="AX1482">
        <v>1.76</v>
      </c>
    </row>
    <row r="1483" spans="48:50" x14ac:dyDescent="0.3">
      <c r="AV1483" t="str">
        <v>Data Analytics Course: Basics</v>
      </c>
      <c r="AW1483">
        <v>192</v>
      </c>
      <c r="AX1483">
        <v>2.0099999999999998</v>
      </c>
    </row>
    <row r="1484" spans="48:50" x14ac:dyDescent="0.3">
      <c r="AV1484" t="str">
        <v>Data Analytics Course: Advanced</v>
      </c>
      <c r="AW1484">
        <v>190</v>
      </c>
      <c r="AX1484">
        <v>1.88</v>
      </c>
    </row>
    <row r="1485" spans="48:50" x14ac:dyDescent="0.3">
      <c r="AV1485" t="str">
        <v>Data Analytics Course: Basics</v>
      </c>
      <c r="AW1485">
        <v>233</v>
      </c>
      <c r="AX1485">
        <v>1.32</v>
      </c>
    </row>
    <row r="1486" spans="48:50" x14ac:dyDescent="0.3">
      <c r="AV1486" t="str">
        <v>Data Analytics Course: Basics</v>
      </c>
      <c r="AW1486">
        <v>207</v>
      </c>
      <c r="AX1486">
        <v>1.87</v>
      </c>
    </row>
    <row r="1487" spans="48:50" x14ac:dyDescent="0.3">
      <c r="AV1487" t="str">
        <v>Data Analytics Course: ML</v>
      </c>
      <c r="AW1487">
        <v>212</v>
      </c>
      <c r="AX1487">
        <v>1.82</v>
      </c>
    </row>
    <row r="1488" spans="48:50" x14ac:dyDescent="0.3">
      <c r="AV1488" t="str">
        <v>Data Analytics Course: Basics</v>
      </c>
      <c r="AW1488">
        <v>182</v>
      </c>
      <c r="AX1488">
        <v>2.17</v>
      </c>
    </row>
    <row r="1489" spans="48:50" x14ac:dyDescent="0.3">
      <c r="AV1489" t="str">
        <v>Data Analytics Course: Advanced</v>
      </c>
      <c r="AW1489">
        <v>197</v>
      </c>
      <c r="AX1489">
        <v>1.1299999999999999</v>
      </c>
    </row>
    <row r="1490" spans="48:50" x14ac:dyDescent="0.3">
      <c r="AV1490" t="str">
        <v>Data Analytics Course: Visualizations</v>
      </c>
      <c r="AW1490">
        <v>239</v>
      </c>
      <c r="AX1490">
        <v>1.26</v>
      </c>
    </row>
    <row r="1491" spans="48:50" x14ac:dyDescent="0.3">
      <c r="AV1491" t="str">
        <v>Data Analytics Course: Basics</v>
      </c>
      <c r="AW1491">
        <v>229</v>
      </c>
      <c r="AX1491">
        <v>0.98</v>
      </c>
    </row>
    <row r="1492" spans="48:50" x14ac:dyDescent="0.3">
      <c r="AV1492" t="str">
        <v>Data Analytics Course: ML</v>
      </c>
      <c r="AW1492">
        <v>228</v>
      </c>
      <c r="AX1492">
        <v>1.32</v>
      </c>
    </row>
    <row r="1493" spans="48:50" x14ac:dyDescent="0.3">
      <c r="AV1493" t="str">
        <v>Data Analytics Course: ML</v>
      </c>
      <c r="AW1493">
        <v>188</v>
      </c>
      <c r="AX1493">
        <v>1.55</v>
      </c>
    </row>
    <row r="1494" spans="48:50" x14ac:dyDescent="0.3">
      <c r="AV1494" t="str">
        <v>Data Analytics Course: Advanced</v>
      </c>
      <c r="AW1494">
        <v>192</v>
      </c>
      <c r="AX1494">
        <v>2.04</v>
      </c>
    </row>
    <row r="1495" spans="48:50" x14ac:dyDescent="0.3">
      <c r="AV1495" t="str">
        <v>Data Analytics Course: ML</v>
      </c>
      <c r="AW1495">
        <v>195</v>
      </c>
      <c r="AX1495">
        <v>1.33</v>
      </c>
    </row>
    <row r="1496" spans="48:50" x14ac:dyDescent="0.3">
      <c r="AV1496" t="str">
        <v>Data Analytics Course: Basics</v>
      </c>
      <c r="AW1496">
        <v>191</v>
      </c>
      <c r="AX1496">
        <v>1.5</v>
      </c>
    </row>
    <row r="1497" spans="48:50" x14ac:dyDescent="0.3">
      <c r="AV1497" t="str">
        <v>Data Analytics Course: Visualizations</v>
      </c>
      <c r="AW1497">
        <v>250</v>
      </c>
      <c r="AX1497">
        <v>1.1499999999999999</v>
      </c>
    </row>
    <row r="1498" spans="48:50" x14ac:dyDescent="0.3">
      <c r="AV1498" t="str">
        <v>Data Analytics Course: ML</v>
      </c>
      <c r="AW1498">
        <v>225</v>
      </c>
      <c r="AX1498">
        <v>1.77</v>
      </c>
    </row>
    <row r="1499" spans="48:50" x14ac:dyDescent="0.3">
      <c r="AV1499" t="str">
        <v>Data Analytics Course: ML</v>
      </c>
      <c r="AW1499">
        <v>186</v>
      </c>
      <c r="AX1499">
        <v>1.79</v>
      </c>
    </row>
    <row r="1500" spans="48:50" x14ac:dyDescent="0.3">
      <c r="AV1500" t="str">
        <v>Data Analytics Course: Basics</v>
      </c>
      <c r="AW1500">
        <v>245</v>
      </c>
      <c r="AX1500">
        <v>1.1399999999999999</v>
      </c>
    </row>
    <row r="1501" spans="48:50" x14ac:dyDescent="0.3">
      <c r="AV1501" t="str">
        <v>Data Analytics Course: Basics</v>
      </c>
      <c r="AW1501">
        <v>198</v>
      </c>
      <c r="AX1501">
        <v>1.29</v>
      </c>
    </row>
    <row r="1502" spans="48:50" x14ac:dyDescent="0.3">
      <c r="AV1502" t="str">
        <v>Data Analytics Course: Basics</v>
      </c>
      <c r="AW1502">
        <v>196</v>
      </c>
      <c r="AX1502">
        <v>1.1100000000000001</v>
      </c>
    </row>
    <row r="1503" spans="48:50" x14ac:dyDescent="0.3">
      <c r="AV1503" t="str">
        <v>Data Analytics Course: Advanced</v>
      </c>
      <c r="AW1503">
        <v>236</v>
      </c>
      <c r="AX1503">
        <v>1.07</v>
      </c>
    </row>
    <row r="1504" spans="48:50" x14ac:dyDescent="0.3">
      <c r="AV1504" t="str">
        <v>Data Analytics Course: ML</v>
      </c>
      <c r="AW1504">
        <v>214</v>
      </c>
      <c r="AX1504">
        <v>1.63</v>
      </c>
    </row>
    <row r="1505" spans="48:50" x14ac:dyDescent="0.3">
      <c r="AV1505" t="str">
        <v>Data Analytics Course: Advanced</v>
      </c>
      <c r="AW1505">
        <v>204</v>
      </c>
      <c r="AX1505">
        <v>1.49</v>
      </c>
    </row>
    <row r="1506" spans="48:50" x14ac:dyDescent="0.3">
      <c r="AV1506" t="str">
        <v>Data Analytics Course: Visualizations</v>
      </c>
      <c r="AW1506">
        <v>264</v>
      </c>
      <c r="AX1506">
        <v>1.21</v>
      </c>
    </row>
    <row r="1507" spans="48:50" x14ac:dyDescent="0.3">
      <c r="AV1507" t="str">
        <v>Data Analytics Course: Visualizations</v>
      </c>
      <c r="AW1507">
        <v>212</v>
      </c>
      <c r="AX1507">
        <v>1.19</v>
      </c>
    </row>
    <row r="1508" spans="48:50" x14ac:dyDescent="0.3">
      <c r="AV1508" t="str">
        <v>Data Analytics Course: ML</v>
      </c>
      <c r="AW1508">
        <v>186</v>
      </c>
      <c r="AX1508">
        <v>1.18</v>
      </c>
    </row>
    <row r="1509" spans="48:50" x14ac:dyDescent="0.3">
      <c r="AV1509" t="str">
        <v>Data Analytics Course: ML</v>
      </c>
      <c r="AW1509">
        <v>233</v>
      </c>
      <c r="AX1509">
        <v>1.02</v>
      </c>
    </row>
    <row r="1510" spans="48:50" x14ac:dyDescent="0.3">
      <c r="AV1510" t="str">
        <v>Data Analytics Course: Advanced</v>
      </c>
      <c r="AW1510">
        <v>231</v>
      </c>
      <c r="AX1510">
        <v>1.26</v>
      </c>
    </row>
    <row r="1511" spans="48:50" x14ac:dyDescent="0.3">
      <c r="AV1511" t="str">
        <v>Data Analytics Course: Visualizations</v>
      </c>
      <c r="AW1511">
        <v>217</v>
      </c>
      <c r="AX1511">
        <v>1.7</v>
      </c>
    </row>
    <row r="1512" spans="48:50" x14ac:dyDescent="0.3">
      <c r="AV1512" t="str">
        <v>Data Analytics Course: Visualizations</v>
      </c>
      <c r="AW1512">
        <v>244</v>
      </c>
      <c r="AX1512">
        <v>1.35</v>
      </c>
    </row>
    <row r="1513" spans="48:50" x14ac:dyDescent="0.3">
      <c r="AV1513" t="str">
        <v>Data Analytics Course: ML</v>
      </c>
      <c r="AW1513">
        <v>181</v>
      </c>
      <c r="AX1513">
        <v>1.17</v>
      </c>
    </row>
    <row r="1514" spans="48:50" x14ac:dyDescent="0.3">
      <c r="AV1514" t="str">
        <v>Data Analytics Course: ML</v>
      </c>
      <c r="AW1514">
        <v>223</v>
      </c>
      <c r="AX1514">
        <v>1.4</v>
      </c>
    </row>
    <row r="1515" spans="48:50" x14ac:dyDescent="0.3">
      <c r="AV1515" t="str">
        <v>Data Analytics Course: Advanced</v>
      </c>
      <c r="AW1515">
        <v>181</v>
      </c>
      <c r="AX1515">
        <v>1.83</v>
      </c>
    </row>
    <row r="1516" spans="48:50" x14ac:dyDescent="0.3">
      <c r="AV1516" t="str">
        <v>Data Analytics Course: ML</v>
      </c>
      <c r="AW1516">
        <v>180</v>
      </c>
      <c r="AX1516">
        <v>1.86</v>
      </c>
    </row>
    <row r="1517" spans="48:50" x14ac:dyDescent="0.3">
      <c r="AV1517" t="str">
        <v>Data Analytics Course: Basics</v>
      </c>
      <c r="AW1517">
        <v>216</v>
      </c>
      <c r="AX1517">
        <v>1.78</v>
      </c>
    </row>
    <row r="1518" spans="48:50" x14ac:dyDescent="0.3">
      <c r="AV1518" t="str">
        <v>Data Analytics Course: ML</v>
      </c>
      <c r="AW1518">
        <v>248</v>
      </c>
      <c r="AX1518">
        <v>1.1299999999999999</v>
      </c>
    </row>
    <row r="1519" spans="48:50" x14ac:dyDescent="0.3">
      <c r="AV1519" t="str">
        <v>Data Analytics Course: Advanced</v>
      </c>
      <c r="AW1519">
        <v>221</v>
      </c>
      <c r="AX1519">
        <v>1.5</v>
      </c>
    </row>
    <row r="1520" spans="48:50" x14ac:dyDescent="0.3">
      <c r="AV1520" t="str">
        <v>Data Analytics Course: Advanced</v>
      </c>
      <c r="AW1520">
        <v>209</v>
      </c>
      <c r="AX1520">
        <v>1.68</v>
      </c>
    </row>
    <row r="1521" spans="48:50" x14ac:dyDescent="0.3">
      <c r="AV1521" t="str">
        <v>Data Analytics Course: ML</v>
      </c>
      <c r="AW1521">
        <v>248</v>
      </c>
      <c r="AX1521">
        <v>1.55</v>
      </c>
    </row>
    <row r="1522" spans="48:50" x14ac:dyDescent="0.3">
      <c r="AV1522" t="str">
        <v>Data Analytics Course: Visualizations</v>
      </c>
      <c r="AW1522">
        <v>199</v>
      </c>
      <c r="AX1522">
        <v>1.34</v>
      </c>
    </row>
    <row r="1523" spans="48:50" x14ac:dyDescent="0.3">
      <c r="AV1523" t="str">
        <v>Data Analytics Course: Advanced</v>
      </c>
      <c r="AW1523">
        <v>234</v>
      </c>
      <c r="AX1523">
        <v>0.95</v>
      </c>
    </row>
    <row r="1524" spans="48:50" x14ac:dyDescent="0.3">
      <c r="AV1524" t="str">
        <v>Data Analytics Course: Visualizations</v>
      </c>
      <c r="AW1524">
        <v>191</v>
      </c>
      <c r="AX1524">
        <v>1.8</v>
      </c>
    </row>
    <row r="1525" spans="48:50" x14ac:dyDescent="0.3">
      <c r="AV1525" t="str">
        <v>Data Analytics Course: ML</v>
      </c>
      <c r="AW1525">
        <v>230</v>
      </c>
      <c r="AX1525">
        <v>1.43</v>
      </c>
    </row>
    <row r="1526" spans="48:50" x14ac:dyDescent="0.3">
      <c r="AV1526" t="str">
        <v>Data Analytics Course: Basics</v>
      </c>
      <c r="AW1526">
        <v>246</v>
      </c>
      <c r="AX1526">
        <v>1.1100000000000001</v>
      </c>
    </row>
    <row r="1527" spans="48:50" x14ac:dyDescent="0.3">
      <c r="AV1527" t="str">
        <v>Data Analytics Course: Advanced</v>
      </c>
      <c r="AW1527">
        <v>205</v>
      </c>
      <c r="AX1527">
        <v>1.43</v>
      </c>
    </row>
    <row r="1528" spans="48:50" x14ac:dyDescent="0.3">
      <c r="AV1528" t="str">
        <v>Data Analytics Course: ML</v>
      </c>
      <c r="AW1528">
        <v>207</v>
      </c>
      <c r="AX1528">
        <v>1.2</v>
      </c>
    </row>
    <row r="1529" spans="48:50" x14ac:dyDescent="0.3">
      <c r="AV1529" t="str">
        <v>Data Analytics Course: Advanced</v>
      </c>
      <c r="AW1529">
        <v>247</v>
      </c>
      <c r="AX1529">
        <v>1.64</v>
      </c>
    </row>
    <row r="1530" spans="48:50" x14ac:dyDescent="0.3">
      <c r="AV1530" t="str">
        <v>Data Analytics Course: ML</v>
      </c>
      <c r="AW1530">
        <v>238</v>
      </c>
      <c r="AX1530">
        <v>1.17</v>
      </c>
    </row>
    <row r="1531" spans="48:50" x14ac:dyDescent="0.3">
      <c r="AV1531" t="str">
        <v>Data Analytics Course: Advanced</v>
      </c>
      <c r="AW1531">
        <v>225</v>
      </c>
      <c r="AX1531">
        <v>0.91</v>
      </c>
    </row>
    <row r="1532" spans="48:50" x14ac:dyDescent="0.3">
      <c r="AV1532" t="str">
        <v>Data Analytics Course: Visualizations</v>
      </c>
      <c r="AW1532">
        <v>221</v>
      </c>
      <c r="AX1532">
        <v>1.79</v>
      </c>
    </row>
    <row r="1533" spans="48:50" x14ac:dyDescent="0.3">
      <c r="AV1533" t="str">
        <v>Data Analytics Course: Visualizations</v>
      </c>
      <c r="AW1533">
        <v>202</v>
      </c>
      <c r="AX1533">
        <v>1.06</v>
      </c>
    </row>
    <row r="1534" spans="48:50" x14ac:dyDescent="0.3">
      <c r="AV1534" t="str">
        <v>Data Analytics Course: Basics</v>
      </c>
      <c r="AW1534">
        <v>232</v>
      </c>
      <c r="AX1534">
        <v>1</v>
      </c>
    </row>
    <row r="1535" spans="48:50" x14ac:dyDescent="0.3">
      <c r="AV1535" t="str">
        <v>Data Analytics Course: Advanced</v>
      </c>
      <c r="AW1535">
        <v>190</v>
      </c>
      <c r="AX1535">
        <v>1.67</v>
      </c>
    </row>
    <row r="1536" spans="48:50" x14ac:dyDescent="0.3">
      <c r="AV1536" t="str">
        <v>Data Analytics Course: Visualizations</v>
      </c>
      <c r="AW1536">
        <v>234</v>
      </c>
      <c r="AX1536">
        <v>0.94</v>
      </c>
    </row>
    <row r="1537" spans="48:50" x14ac:dyDescent="0.3">
      <c r="AV1537" t="str">
        <v>Data Analytics Course: Basics</v>
      </c>
      <c r="AW1537">
        <v>207</v>
      </c>
      <c r="AX1537">
        <v>1.36</v>
      </c>
    </row>
    <row r="1538" spans="48:50" x14ac:dyDescent="0.3">
      <c r="AV1538" t="str">
        <v>Data Analytics Course: Visualizations</v>
      </c>
      <c r="AW1538">
        <v>234</v>
      </c>
      <c r="AX1538">
        <v>1.47</v>
      </c>
    </row>
    <row r="1539" spans="48:50" x14ac:dyDescent="0.3">
      <c r="AV1539" t="str">
        <v>Data Analytics Course: Advanced</v>
      </c>
      <c r="AW1539">
        <v>199</v>
      </c>
      <c r="AX1539">
        <v>1.47</v>
      </c>
    </row>
    <row r="1540" spans="48:50" x14ac:dyDescent="0.3">
      <c r="AV1540" t="str">
        <v>Data Analytics Course: Visualizations</v>
      </c>
      <c r="AW1540">
        <v>192</v>
      </c>
      <c r="AX1540">
        <v>2.0499999999999998</v>
      </c>
    </row>
    <row r="1541" spans="48:50" x14ac:dyDescent="0.3">
      <c r="AV1541" t="str">
        <v>Data Analytics Course: Basics</v>
      </c>
      <c r="AW1541">
        <v>245</v>
      </c>
      <c r="AX1541">
        <v>1.28</v>
      </c>
    </row>
    <row r="1542" spans="48:50" x14ac:dyDescent="0.3">
      <c r="AV1542" t="str">
        <v>Data Analytics Course: Advanced</v>
      </c>
      <c r="AW1542">
        <v>188</v>
      </c>
      <c r="AX1542">
        <v>1.89</v>
      </c>
    </row>
    <row r="1543" spans="48:50" x14ac:dyDescent="0.3">
      <c r="AV1543" t="str">
        <v>Data Analytics Course: Advanced</v>
      </c>
      <c r="AW1543">
        <v>197</v>
      </c>
      <c r="AX1543">
        <v>1.07</v>
      </c>
    </row>
    <row r="1544" spans="48:50" x14ac:dyDescent="0.3">
      <c r="AV1544" t="str">
        <v>Data Analytics Course: ML</v>
      </c>
      <c r="AW1544">
        <v>227</v>
      </c>
      <c r="AX1544">
        <v>1.18</v>
      </c>
    </row>
    <row r="1545" spans="48:50" x14ac:dyDescent="0.3">
      <c r="AV1545" t="str">
        <v>Data Analytics Course: ML</v>
      </c>
      <c r="AW1545">
        <v>208</v>
      </c>
      <c r="AX1545">
        <v>1</v>
      </c>
    </row>
    <row r="1546" spans="48:50" x14ac:dyDescent="0.3">
      <c r="AV1546" t="str">
        <v>Data Analytics Course: Basics</v>
      </c>
      <c r="AW1546">
        <v>198</v>
      </c>
      <c r="AX1546">
        <v>1.73</v>
      </c>
    </row>
    <row r="1547" spans="48:50" x14ac:dyDescent="0.3">
      <c r="AV1547" t="str">
        <v>Data Analytics Course: Advanced</v>
      </c>
      <c r="AW1547">
        <v>219</v>
      </c>
      <c r="AX1547">
        <v>1.08</v>
      </c>
    </row>
    <row r="1548" spans="48:50" x14ac:dyDescent="0.3">
      <c r="AV1548" t="str">
        <v>Data Analytics Course: ML</v>
      </c>
      <c r="AW1548">
        <v>181</v>
      </c>
      <c r="AX1548">
        <v>1.83</v>
      </c>
    </row>
    <row r="1549" spans="48:50" x14ac:dyDescent="0.3">
      <c r="AV1549" t="str">
        <v>Data Analytics Course: Basics</v>
      </c>
      <c r="AW1549">
        <v>183</v>
      </c>
      <c r="AX1549">
        <v>1.1100000000000001</v>
      </c>
    </row>
    <row r="1550" spans="48:50" x14ac:dyDescent="0.3">
      <c r="AV1550" t="str">
        <v>Data Analytics Course: Basics</v>
      </c>
      <c r="AW1550">
        <v>227</v>
      </c>
      <c r="AX1550">
        <v>1.47</v>
      </c>
    </row>
    <row r="1551" spans="48:50" x14ac:dyDescent="0.3">
      <c r="AV1551" t="str">
        <v>Data Analytics Course: Advanced</v>
      </c>
      <c r="AW1551">
        <v>206</v>
      </c>
      <c r="AX1551">
        <v>1.88</v>
      </c>
    </row>
    <row r="1552" spans="48:50" x14ac:dyDescent="0.3">
      <c r="AV1552" t="str">
        <v>Data Analytics Course: Visualizations</v>
      </c>
      <c r="AW1552">
        <v>192</v>
      </c>
      <c r="AX1552">
        <v>1.25</v>
      </c>
    </row>
    <row r="1553" spans="48:50" x14ac:dyDescent="0.3">
      <c r="AV1553" t="str">
        <v>Data Analytics Course: Basics</v>
      </c>
      <c r="AW1553">
        <v>225</v>
      </c>
      <c r="AX1553">
        <v>1.1299999999999999</v>
      </c>
    </row>
    <row r="1554" spans="48:50" x14ac:dyDescent="0.3">
      <c r="AV1554" t="str">
        <v>Data Analytics Course: Advanced</v>
      </c>
      <c r="AW1554">
        <v>195</v>
      </c>
      <c r="AX1554">
        <v>1.35</v>
      </c>
    </row>
    <row r="1555" spans="48:50" x14ac:dyDescent="0.3">
      <c r="AV1555" t="str">
        <v>Data Analytics Course: Visualizations</v>
      </c>
      <c r="AW1555">
        <v>211</v>
      </c>
      <c r="AX1555">
        <v>1.78</v>
      </c>
    </row>
    <row r="1556" spans="48:50" x14ac:dyDescent="0.3">
      <c r="AV1556" t="str">
        <v>Data Analytics Course: Visualizations</v>
      </c>
      <c r="AW1556">
        <v>248</v>
      </c>
      <c r="AX1556">
        <v>1.43</v>
      </c>
    </row>
    <row r="1557" spans="48:50" x14ac:dyDescent="0.3">
      <c r="AV1557" t="str">
        <v>Data Analytics Course: Visualizations</v>
      </c>
      <c r="AW1557">
        <v>240</v>
      </c>
      <c r="AX1557">
        <v>1.61</v>
      </c>
    </row>
    <row r="1558" spans="48:50" x14ac:dyDescent="0.3">
      <c r="AV1558" t="str">
        <v>Data Analytics Course: Basics</v>
      </c>
      <c r="AW1558">
        <v>183</v>
      </c>
      <c r="AX1558">
        <v>1.72</v>
      </c>
    </row>
    <row r="1559" spans="48:50" x14ac:dyDescent="0.3">
      <c r="AV1559" t="str">
        <v>Data Analytics Course: Advanced</v>
      </c>
      <c r="AW1559">
        <v>220</v>
      </c>
      <c r="AX1559">
        <v>1.35</v>
      </c>
    </row>
    <row r="1560" spans="48:50" x14ac:dyDescent="0.3">
      <c r="AV1560" t="str">
        <v>Data Analytics Course: Visualizations</v>
      </c>
      <c r="AW1560">
        <v>209</v>
      </c>
      <c r="AX1560">
        <v>1.86</v>
      </c>
    </row>
    <row r="1561" spans="48:50" x14ac:dyDescent="0.3">
      <c r="AV1561" t="str">
        <v>Data Analytics Course: ML</v>
      </c>
      <c r="AW1561">
        <v>232</v>
      </c>
      <c r="AX1561">
        <v>1.67</v>
      </c>
    </row>
    <row r="1562" spans="48:50" x14ac:dyDescent="0.3">
      <c r="AV1562" t="str">
        <v>Data Analytics Course: ML</v>
      </c>
      <c r="AW1562">
        <v>236</v>
      </c>
      <c r="AX1562">
        <v>1.23</v>
      </c>
    </row>
    <row r="1563" spans="48:50" x14ac:dyDescent="0.3">
      <c r="AV1563" t="str">
        <v>Data Analytics Course: Visualizations</v>
      </c>
      <c r="AW1563">
        <v>227</v>
      </c>
      <c r="AX1563">
        <v>1.69</v>
      </c>
    </row>
    <row r="1564" spans="48:50" x14ac:dyDescent="0.3">
      <c r="AV1564" t="str">
        <v>Data Analytics Course: Advanced</v>
      </c>
      <c r="AW1564">
        <v>239</v>
      </c>
      <c r="AX1564">
        <v>0.98</v>
      </c>
    </row>
    <row r="1565" spans="48:50" x14ac:dyDescent="0.3">
      <c r="AV1565" t="str">
        <v>Data Analytics Course: Basics</v>
      </c>
      <c r="AW1565">
        <v>244</v>
      </c>
      <c r="AX1565">
        <v>1.37</v>
      </c>
    </row>
    <row r="1566" spans="48:50" x14ac:dyDescent="0.3">
      <c r="AV1566" t="str">
        <v>Data Analytics Course: Advanced</v>
      </c>
      <c r="AW1566">
        <v>208</v>
      </c>
      <c r="AX1566">
        <v>1.57</v>
      </c>
    </row>
    <row r="1567" spans="48:50" x14ac:dyDescent="0.3">
      <c r="AV1567" t="str">
        <v>Data Analytics Course: Advanced</v>
      </c>
      <c r="AW1567">
        <v>205</v>
      </c>
      <c r="AX1567">
        <v>1.77</v>
      </c>
    </row>
    <row r="1568" spans="48:50" x14ac:dyDescent="0.3">
      <c r="AV1568" t="str">
        <v>Data Analytics Course: Basics</v>
      </c>
      <c r="AW1568">
        <v>236</v>
      </c>
      <c r="AX1568">
        <v>1.04</v>
      </c>
    </row>
    <row r="1569" spans="48:50" x14ac:dyDescent="0.3">
      <c r="AV1569" t="str">
        <v>Data Analytics Course: Basics</v>
      </c>
      <c r="AW1569">
        <v>214</v>
      </c>
      <c r="AX1569">
        <v>1.4</v>
      </c>
    </row>
    <row r="1570" spans="48:50" x14ac:dyDescent="0.3">
      <c r="AV1570" t="str">
        <v>Data Analytics Course: Visualizations</v>
      </c>
      <c r="AW1570">
        <v>206</v>
      </c>
      <c r="AX1570">
        <v>1.75</v>
      </c>
    </row>
    <row r="1571" spans="48:50" x14ac:dyDescent="0.3">
      <c r="AV1571" t="str">
        <v>Data Analytics Course: ML</v>
      </c>
      <c r="AW1571">
        <v>235</v>
      </c>
      <c r="AX1571">
        <v>1.19</v>
      </c>
    </row>
    <row r="1572" spans="48:50" x14ac:dyDescent="0.3">
      <c r="AV1572" t="str">
        <v>Data Analytics Course: Basics</v>
      </c>
      <c r="AW1572">
        <v>239</v>
      </c>
      <c r="AX1572">
        <v>1.34</v>
      </c>
    </row>
    <row r="1573" spans="48:50" x14ac:dyDescent="0.3">
      <c r="AV1573" t="str">
        <v>Data Analytics Course: ML</v>
      </c>
      <c r="AW1573">
        <v>231</v>
      </c>
      <c r="AX1573">
        <v>0.9</v>
      </c>
    </row>
    <row r="1574" spans="48:50" x14ac:dyDescent="0.3">
      <c r="AV1574" t="str">
        <v>Data Analytics Course: Advanced</v>
      </c>
      <c r="AW1574">
        <v>225</v>
      </c>
      <c r="AX1574">
        <v>1.63</v>
      </c>
    </row>
    <row r="1575" spans="48:50" x14ac:dyDescent="0.3">
      <c r="AV1575" t="str">
        <v>Data Analytics Course: Visualizations</v>
      </c>
      <c r="AW1575">
        <v>212</v>
      </c>
      <c r="AX1575">
        <v>1.26</v>
      </c>
    </row>
    <row r="1576" spans="48:50" x14ac:dyDescent="0.3">
      <c r="AV1576" t="str">
        <v>Data Analytics Course: Basics</v>
      </c>
      <c r="AW1576">
        <v>206</v>
      </c>
      <c r="AX1576">
        <v>1.02</v>
      </c>
    </row>
    <row r="1577" spans="48:50" x14ac:dyDescent="0.3">
      <c r="AV1577" t="str">
        <v>Data Analytics Course: Basics</v>
      </c>
      <c r="AW1577">
        <v>215</v>
      </c>
      <c r="AX1577">
        <v>1.63</v>
      </c>
    </row>
    <row r="1578" spans="48:50" x14ac:dyDescent="0.3">
      <c r="AV1578" t="str">
        <v>Data Analytics Course: ML</v>
      </c>
      <c r="AW1578">
        <v>239</v>
      </c>
      <c r="AX1578">
        <v>1.32</v>
      </c>
    </row>
    <row r="1579" spans="48:50" x14ac:dyDescent="0.3">
      <c r="AV1579" t="str">
        <v>Data Analytics Course: ML</v>
      </c>
      <c r="AW1579">
        <v>186</v>
      </c>
      <c r="AX1579">
        <v>1.97</v>
      </c>
    </row>
    <row r="1580" spans="48:50" x14ac:dyDescent="0.3">
      <c r="AV1580" t="str">
        <v>Data Analytics Course: Visualizations</v>
      </c>
      <c r="AW1580">
        <v>248</v>
      </c>
      <c r="AX1580">
        <v>1.02</v>
      </c>
    </row>
    <row r="1581" spans="48:50" x14ac:dyDescent="0.3">
      <c r="AV1581" t="str">
        <v>Data Analytics Course: ML</v>
      </c>
      <c r="AW1581">
        <v>198</v>
      </c>
      <c r="AX1581">
        <v>1.81</v>
      </c>
    </row>
    <row r="1582" spans="48:50" x14ac:dyDescent="0.3">
      <c r="AV1582" t="str">
        <v>Data Analytics Course: ML</v>
      </c>
      <c r="AW1582">
        <v>185</v>
      </c>
      <c r="AX1582">
        <v>1.74</v>
      </c>
    </row>
    <row r="1583" spans="48:50" x14ac:dyDescent="0.3">
      <c r="AV1583" t="str">
        <v>Data Analytics Course: ML</v>
      </c>
      <c r="AW1583">
        <v>196</v>
      </c>
      <c r="AX1583">
        <v>1.73</v>
      </c>
    </row>
    <row r="1584" spans="48:50" x14ac:dyDescent="0.3">
      <c r="AV1584" t="str">
        <v>Data Analytics Course: ML</v>
      </c>
      <c r="AW1584">
        <v>182</v>
      </c>
      <c r="AX1584">
        <v>1.8</v>
      </c>
    </row>
    <row r="1585" spans="48:50" x14ac:dyDescent="0.3">
      <c r="AV1585" t="str">
        <v>Data Analytics Course: Visualizations</v>
      </c>
      <c r="AW1585">
        <v>215</v>
      </c>
      <c r="AX1585">
        <v>1.77</v>
      </c>
    </row>
    <row r="1586" spans="48:50" x14ac:dyDescent="0.3">
      <c r="AV1586" t="str">
        <v>Data Analytics Course: Basics</v>
      </c>
      <c r="AW1586">
        <v>180</v>
      </c>
      <c r="AX1586">
        <v>2.2400000000000002</v>
      </c>
    </row>
    <row r="1587" spans="48:50" x14ac:dyDescent="0.3">
      <c r="AV1587" t="str">
        <v>Data Analytics Course: Basics</v>
      </c>
      <c r="AW1587">
        <v>200</v>
      </c>
      <c r="AX1587">
        <v>1.06</v>
      </c>
    </row>
    <row r="1588" spans="48:50" x14ac:dyDescent="0.3">
      <c r="AV1588" t="str">
        <v>Data Analytics Course: Advanced</v>
      </c>
      <c r="AW1588">
        <v>234</v>
      </c>
      <c r="AX1588">
        <v>1.1299999999999999</v>
      </c>
    </row>
    <row r="1589" spans="48:50" x14ac:dyDescent="0.3">
      <c r="AV1589" t="str">
        <v>Data Analytics Course: Visualizations</v>
      </c>
      <c r="AW1589">
        <v>204</v>
      </c>
      <c r="AX1589">
        <v>1.59</v>
      </c>
    </row>
    <row r="1590" spans="48:50" x14ac:dyDescent="0.3">
      <c r="AV1590" t="str">
        <v>Data Analytics Course: Basics</v>
      </c>
      <c r="AW1590">
        <v>219</v>
      </c>
      <c r="AX1590">
        <v>1.53</v>
      </c>
    </row>
    <row r="1591" spans="48:50" x14ac:dyDescent="0.3">
      <c r="AV1591" t="str">
        <v>Data Analytics Course: Basics</v>
      </c>
      <c r="AW1591">
        <v>213</v>
      </c>
      <c r="AX1591">
        <v>1.74</v>
      </c>
    </row>
    <row r="1592" spans="48:50" x14ac:dyDescent="0.3">
      <c r="AV1592" t="str">
        <v>Data Analytics Course: Basics</v>
      </c>
      <c r="AW1592">
        <v>132</v>
      </c>
      <c r="AX1592">
        <v>2.57</v>
      </c>
    </row>
    <row r="1593" spans="48:50" x14ac:dyDescent="0.3">
      <c r="AV1593" t="str">
        <v>Data Analytics Course: Basics</v>
      </c>
      <c r="AW1593">
        <v>224</v>
      </c>
      <c r="AX1593">
        <v>1.22</v>
      </c>
    </row>
    <row r="1594" spans="48:50" x14ac:dyDescent="0.3">
      <c r="AV1594" t="str">
        <v>Data Analytics Course: Visualizations</v>
      </c>
      <c r="AW1594">
        <v>125</v>
      </c>
      <c r="AX1594">
        <v>2.1800000000000002</v>
      </c>
    </row>
    <row r="1595" spans="48:50" x14ac:dyDescent="0.3">
      <c r="AV1595" t="str">
        <v>Data Analytics Course: Advanced</v>
      </c>
      <c r="AW1595">
        <v>192</v>
      </c>
      <c r="AX1595">
        <v>1.77</v>
      </c>
    </row>
    <row r="1596" spans="48:50" x14ac:dyDescent="0.3">
      <c r="AV1596" t="str">
        <v>Data Analytics Course: Basics</v>
      </c>
      <c r="AW1596">
        <v>235</v>
      </c>
      <c r="AX1596">
        <v>1.44</v>
      </c>
    </row>
    <row r="1597" spans="48:50" x14ac:dyDescent="0.3">
      <c r="AV1597" t="str">
        <v>Data Analytics Course: Basics</v>
      </c>
      <c r="AW1597">
        <v>190</v>
      </c>
      <c r="AX1597">
        <v>2.0699999999999998</v>
      </c>
    </row>
    <row r="1598" spans="48:50" x14ac:dyDescent="0.3">
      <c r="AV1598" t="str">
        <v>Data Analytics Course: Basics</v>
      </c>
      <c r="AW1598">
        <v>190</v>
      </c>
      <c r="AX1598">
        <v>1.1499999999999999</v>
      </c>
    </row>
    <row r="1599" spans="48:50" x14ac:dyDescent="0.3">
      <c r="AV1599" t="str">
        <v>Data Analytics Course: Basics</v>
      </c>
      <c r="AW1599">
        <v>200</v>
      </c>
      <c r="AX1599">
        <v>1.58</v>
      </c>
    </row>
    <row r="1600" spans="48:50" x14ac:dyDescent="0.3">
      <c r="AV1600" t="str">
        <v>Data Analytics Course: Advanced</v>
      </c>
      <c r="AW1600">
        <v>187</v>
      </c>
      <c r="AX1600">
        <v>1.66</v>
      </c>
    </row>
    <row r="1601" spans="48:50" x14ac:dyDescent="0.3">
      <c r="AV1601" t="str">
        <v>Data Analytics Course: Basics</v>
      </c>
      <c r="AW1601">
        <v>214</v>
      </c>
      <c r="AX1601">
        <v>1.47</v>
      </c>
    </row>
    <row r="1602" spans="48:50" x14ac:dyDescent="0.3">
      <c r="AV1602" t="str">
        <v>Data Analytics Course: Advanced</v>
      </c>
      <c r="AW1602">
        <v>235</v>
      </c>
      <c r="AX1602">
        <v>1.0900000000000001</v>
      </c>
    </row>
    <row r="1603" spans="48:50" x14ac:dyDescent="0.3">
      <c r="AV1603" t="str">
        <v>Data Analytics Course: Visualizations</v>
      </c>
      <c r="AW1603">
        <v>183</v>
      </c>
      <c r="AX1603">
        <v>1.24</v>
      </c>
    </row>
    <row r="1604" spans="48:50" x14ac:dyDescent="0.3">
      <c r="AV1604" t="str">
        <v>Data Analytics Course: Advanced</v>
      </c>
      <c r="AW1604">
        <v>237</v>
      </c>
      <c r="AX1604">
        <v>1.2</v>
      </c>
    </row>
    <row r="1605" spans="48:50" x14ac:dyDescent="0.3">
      <c r="AV1605" t="str">
        <v>Data Analytics Course: Basics</v>
      </c>
      <c r="AW1605">
        <v>184</v>
      </c>
      <c r="AX1605">
        <v>1.73</v>
      </c>
    </row>
    <row r="1606" spans="48:50" x14ac:dyDescent="0.3">
      <c r="AV1606" t="str">
        <v>Data Analytics Course: Visualizations</v>
      </c>
      <c r="AW1606">
        <v>221</v>
      </c>
      <c r="AX1606">
        <v>1.1399999999999999</v>
      </c>
    </row>
    <row r="1607" spans="48:50" x14ac:dyDescent="0.3">
      <c r="AV1607" t="str">
        <v>Data Analytics Course: ML</v>
      </c>
      <c r="AW1607">
        <v>183</v>
      </c>
      <c r="AX1607">
        <v>1.66</v>
      </c>
    </row>
    <row r="1608" spans="48:50" x14ac:dyDescent="0.3">
      <c r="AV1608" t="str">
        <v>Data Analytics Course: Visualizations</v>
      </c>
      <c r="AW1608">
        <v>233</v>
      </c>
      <c r="AX1608">
        <v>1.1100000000000001</v>
      </c>
    </row>
    <row r="1609" spans="48:50" x14ac:dyDescent="0.3">
      <c r="AV1609" t="str">
        <v>Data Analytics Course: Advanced</v>
      </c>
      <c r="AW1609">
        <v>186</v>
      </c>
      <c r="AX1609">
        <v>1.85</v>
      </c>
    </row>
    <row r="1610" spans="48:50" x14ac:dyDescent="0.3">
      <c r="AV1610" t="str">
        <v>Data Analytics Course: Advanced</v>
      </c>
      <c r="AW1610">
        <v>206</v>
      </c>
      <c r="AX1610">
        <v>1.65</v>
      </c>
    </row>
    <row r="1611" spans="48:50" x14ac:dyDescent="0.3">
      <c r="AV1611" t="str">
        <v>Data Analytics Course: Basics</v>
      </c>
      <c r="AW1611">
        <v>194</v>
      </c>
      <c r="AX1611">
        <v>2</v>
      </c>
    </row>
    <row r="1612" spans="48:50" x14ac:dyDescent="0.3">
      <c r="AV1612" t="str">
        <v>Data Analytics Course: Basics</v>
      </c>
      <c r="AW1612">
        <v>199</v>
      </c>
      <c r="AX1612">
        <v>1.64</v>
      </c>
    </row>
    <row r="1613" spans="48:50" x14ac:dyDescent="0.3">
      <c r="AV1613" t="str">
        <v>Data Analytics Course: ML</v>
      </c>
      <c r="AW1613">
        <v>187</v>
      </c>
      <c r="AX1613">
        <v>1.1100000000000001</v>
      </c>
    </row>
    <row r="1614" spans="48:50" x14ac:dyDescent="0.3">
      <c r="AV1614" t="str">
        <v>Data Analytics Course: Basics</v>
      </c>
      <c r="AW1614">
        <v>216</v>
      </c>
      <c r="AX1614">
        <v>1.29</v>
      </c>
    </row>
    <row r="1615" spans="48:50" x14ac:dyDescent="0.3">
      <c r="AV1615" t="str">
        <v>Data Analytics Course: Visualizations</v>
      </c>
      <c r="AW1615">
        <v>237</v>
      </c>
      <c r="AX1615">
        <v>1.38</v>
      </c>
    </row>
    <row r="1616" spans="48:50" x14ac:dyDescent="0.3">
      <c r="AV1616" t="str">
        <v>Data Analytics Course: Basics</v>
      </c>
      <c r="AW1616">
        <v>236</v>
      </c>
      <c r="AX1616">
        <v>1.65</v>
      </c>
    </row>
    <row r="1617" spans="48:50" x14ac:dyDescent="0.3">
      <c r="AV1617" t="str">
        <v>Data Analytics Course: ML</v>
      </c>
      <c r="AW1617">
        <v>183</v>
      </c>
      <c r="AX1617">
        <v>1.65</v>
      </c>
    </row>
    <row r="1618" spans="48:50" x14ac:dyDescent="0.3">
      <c r="AV1618" t="str">
        <v>Data Analytics Course: Visualizations</v>
      </c>
      <c r="AW1618">
        <v>215</v>
      </c>
      <c r="AX1618">
        <v>0.95</v>
      </c>
    </row>
    <row r="1619" spans="48:50" x14ac:dyDescent="0.3">
      <c r="AV1619" t="str">
        <v>Data Analytics Course: Advanced</v>
      </c>
      <c r="AW1619">
        <v>225</v>
      </c>
      <c r="AX1619">
        <v>1.19</v>
      </c>
    </row>
    <row r="1620" spans="48:50" x14ac:dyDescent="0.3">
      <c r="AV1620" t="str">
        <v>Data Analytics Course: Advanced</v>
      </c>
      <c r="AW1620">
        <v>147</v>
      </c>
      <c r="AX1620">
        <v>2.74</v>
      </c>
    </row>
    <row r="1621" spans="48:50" x14ac:dyDescent="0.3">
      <c r="AV1621" t="str">
        <v>Data Analytics Course: ML</v>
      </c>
      <c r="AW1621">
        <v>231</v>
      </c>
      <c r="AX1621">
        <v>1.26</v>
      </c>
    </row>
    <row r="1622" spans="48:50" x14ac:dyDescent="0.3">
      <c r="AV1622" t="str">
        <v>Data Analytics Course: Basics</v>
      </c>
      <c r="AW1622">
        <v>227</v>
      </c>
      <c r="AX1622">
        <v>2.06</v>
      </c>
    </row>
    <row r="1623" spans="48:50" x14ac:dyDescent="0.3">
      <c r="AV1623" t="str">
        <v>Data Analytics Course: ML</v>
      </c>
      <c r="AW1623">
        <v>213</v>
      </c>
      <c r="AX1623">
        <v>1.76</v>
      </c>
    </row>
    <row r="1624" spans="48:50" x14ac:dyDescent="0.3">
      <c r="AV1624" t="str">
        <v>Data Analytics Course: Visualizations</v>
      </c>
      <c r="AW1624">
        <v>221</v>
      </c>
      <c r="AX1624">
        <v>0.98</v>
      </c>
    </row>
    <row r="1625" spans="48:50" x14ac:dyDescent="0.3">
      <c r="AV1625" t="str">
        <v>Data Analytics Course: Basics</v>
      </c>
      <c r="AW1625">
        <v>183</v>
      </c>
      <c r="AX1625">
        <v>2.02</v>
      </c>
    </row>
    <row r="1626" spans="48:50" x14ac:dyDescent="0.3">
      <c r="AV1626" t="str">
        <v>Data Analytics Course: ML</v>
      </c>
      <c r="AW1626">
        <v>235</v>
      </c>
      <c r="AX1626">
        <v>1.39</v>
      </c>
    </row>
    <row r="1627" spans="48:50" x14ac:dyDescent="0.3">
      <c r="AV1627" t="str">
        <v>Data Analytics Course: Advanced</v>
      </c>
      <c r="AW1627">
        <v>243</v>
      </c>
      <c r="AX1627">
        <v>1.38</v>
      </c>
    </row>
    <row r="1628" spans="48:50" x14ac:dyDescent="0.3">
      <c r="AV1628" t="str">
        <v>Data Analytics Course: Advanced</v>
      </c>
      <c r="AW1628">
        <v>180</v>
      </c>
      <c r="AX1628">
        <v>1.33</v>
      </c>
    </row>
    <row r="1629" spans="48:50" x14ac:dyDescent="0.3">
      <c r="AV1629" t="str">
        <v>Data Analytics Course: Visualizations</v>
      </c>
      <c r="AW1629">
        <v>204</v>
      </c>
      <c r="AX1629">
        <v>1.88</v>
      </c>
    </row>
    <row r="1630" spans="48:50" x14ac:dyDescent="0.3">
      <c r="AV1630" t="str">
        <v>Data Analytics Course: Visualizations</v>
      </c>
      <c r="AW1630">
        <v>242</v>
      </c>
      <c r="AX1630">
        <v>1.06</v>
      </c>
    </row>
    <row r="1631" spans="48:50" x14ac:dyDescent="0.3">
      <c r="AV1631" t="str">
        <v>Data Analytics Course: Advanced</v>
      </c>
      <c r="AW1631">
        <v>192</v>
      </c>
      <c r="AX1631">
        <v>1.59</v>
      </c>
    </row>
    <row r="1632" spans="48:50" x14ac:dyDescent="0.3">
      <c r="AV1632" t="str">
        <v>Data Analytics Course: Visualizations</v>
      </c>
      <c r="AW1632">
        <v>188</v>
      </c>
      <c r="AX1632">
        <v>2.4900000000000002</v>
      </c>
    </row>
    <row r="1633" spans="48:50" x14ac:dyDescent="0.3">
      <c r="AV1633" t="str">
        <v>Data Analytics Course: Advanced</v>
      </c>
      <c r="AW1633">
        <v>211</v>
      </c>
      <c r="AX1633">
        <v>1.1299999999999999</v>
      </c>
    </row>
    <row r="1634" spans="48:50" x14ac:dyDescent="0.3">
      <c r="AV1634" t="str">
        <v>Data Analytics Course: Visualizations</v>
      </c>
      <c r="AW1634">
        <v>235</v>
      </c>
      <c r="AX1634">
        <v>1.59</v>
      </c>
    </row>
    <row r="1635" spans="48:50" x14ac:dyDescent="0.3">
      <c r="AV1635" t="str">
        <v>Data Analytics Course: ML</v>
      </c>
      <c r="AW1635">
        <v>250</v>
      </c>
      <c r="AX1635">
        <v>1.2</v>
      </c>
    </row>
    <row r="1636" spans="48:50" x14ac:dyDescent="0.3">
      <c r="AV1636" t="str">
        <v>Data Analytics Course: Basics</v>
      </c>
      <c r="AW1636">
        <v>182</v>
      </c>
      <c r="AX1636">
        <v>2.0099999999999998</v>
      </c>
    </row>
    <row r="1637" spans="48:50" x14ac:dyDescent="0.3">
      <c r="AV1637" t="str">
        <v>Data Analytics Course: Advanced</v>
      </c>
      <c r="AW1637">
        <v>221</v>
      </c>
      <c r="AX1637">
        <v>1.54</v>
      </c>
    </row>
    <row r="1638" spans="48:50" x14ac:dyDescent="0.3">
      <c r="AV1638" t="str">
        <v>Data Analytics Course: Visualizations</v>
      </c>
      <c r="AW1638">
        <v>248</v>
      </c>
      <c r="AX1638">
        <v>1.44</v>
      </c>
    </row>
    <row r="1639" spans="48:50" x14ac:dyDescent="0.3">
      <c r="AV1639" t="str">
        <v>Data Analytics Course: Basics</v>
      </c>
      <c r="AW1639">
        <v>227</v>
      </c>
      <c r="AX1639">
        <v>1.36</v>
      </c>
    </row>
    <row r="1640" spans="48:50" x14ac:dyDescent="0.3">
      <c r="AV1640" t="str">
        <v>Data Analytics Course: Basics</v>
      </c>
      <c r="AW1640">
        <v>198</v>
      </c>
      <c r="AX1640">
        <v>2.04</v>
      </c>
    </row>
    <row r="1641" spans="48:50" x14ac:dyDescent="0.3">
      <c r="AV1641" t="str">
        <v>Data Analytics Course: ML</v>
      </c>
      <c r="AW1641">
        <v>239</v>
      </c>
      <c r="AX1641">
        <v>1.68</v>
      </c>
    </row>
    <row r="1642" spans="48:50" x14ac:dyDescent="0.3">
      <c r="AV1642" t="str">
        <v>Data Analytics Course: ML</v>
      </c>
      <c r="AW1642">
        <v>191</v>
      </c>
      <c r="AX1642">
        <v>1.44</v>
      </c>
    </row>
    <row r="1643" spans="48:50" x14ac:dyDescent="0.3">
      <c r="AV1643" t="str">
        <v>Data Analytics Course: Basics</v>
      </c>
      <c r="AW1643">
        <v>195</v>
      </c>
      <c r="AX1643">
        <v>1.27</v>
      </c>
    </row>
    <row r="1644" spans="48:50" x14ac:dyDescent="0.3">
      <c r="AV1644" t="str">
        <v>Data Analytics Course: Advanced</v>
      </c>
      <c r="AW1644">
        <v>208</v>
      </c>
      <c r="AX1644">
        <v>1.1599999999999999</v>
      </c>
    </row>
    <row r="1645" spans="48:50" x14ac:dyDescent="0.3">
      <c r="AV1645" t="str">
        <v>Data Analytics Course: Basics</v>
      </c>
      <c r="AW1645">
        <v>196</v>
      </c>
      <c r="AX1645">
        <v>1.88</v>
      </c>
    </row>
    <row r="1646" spans="48:50" x14ac:dyDescent="0.3">
      <c r="AV1646" t="str">
        <v>Data Analytics Course: Basics</v>
      </c>
      <c r="AW1646">
        <v>198</v>
      </c>
      <c r="AX1646">
        <v>1.57</v>
      </c>
    </row>
    <row r="1647" spans="48:50" x14ac:dyDescent="0.3">
      <c r="AV1647" t="str">
        <v>Data Analytics Course: ML</v>
      </c>
      <c r="AW1647">
        <v>196</v>
      </c>
      <c r="AX1647">
        <v>1.44</v>
      </c>
    </row>
    <row r="1648" spans="48:50" x14ac:dyDescent="0.3">
      <c r="AV1648" t="str">
        <v>Data Analytics Course: Basics</v>
      </c>
      <c r="AW1648">
        <v>200</v>
      </c>
      <c r="AX1648">
        <v>1.51</v>
      </c>
    </row>
    <row r="1649" spans="48:50" x14ac:dyDescent="0.3">
      <c r="AV1649" t="str">
        <v>Data Analytics Course: Visualizations</v>
      </c>
      <c r="AW1649">
        <v>241</v>
      </c>
      <c r="AX1649">
        <v>1.69</v>
      </c>
    </row>
    <row r="1650" spans="48:50" x14ac:dyDescent="0.3">
      <c r="AV1650" t="str">
        <v>Data Analytics Course: Advanced</v>
      </c>
      <c r="AW1650">
        <v>208</v>
      </c>
      <c r="AX1650">
        <v>1.59</v>
      </c>
    </row>
    <row r="1651" spans="48:50" x14ac:dyDescent="0.3">
      <c r="AV1651" t="str">
        <v>Data Analytics Course: Visualizations</v>
      </c>
      <c r="AW1651">
        <v>226</v>
      </c>
      <c r="AX1651">
        <v>1.1100000000000001</v>
      </c>
    </row>
    <row r="1652" spans="48:50" x14ac:dyDescent="0.3">
      <c r="AV1652" t="str">
        <v>Data Analytics Course: ML</v>
      </c>
      <c r="AW1652">
        <v>211</v>
      </c>
      <c r="AX1652">
        <v>1.27</v>
      </c>
    </row>
    <row r="1653" spans="48:50" x14ac:dyDescent="0.3">
      <c r="AV1653" t="str">
        <v>Data Analytics Course: ML</v>
      </c>
      <c r="AW1653">
        <v>198</v>
      </c>
      <c r="AX1653">
        <v>1.23</v>
      </c>
    </row>
    <row r="1654" spans="48:50" x14ac:dyDescent="0.3">
      <c r="AV1654" t="str">
        <v>Data Analytics Course: ML</v>
      </c>
      <c r="AW1654">
        <v>266</v>
      </c>
      <c r="AX1654">
        <v>0.82</v>
      </c>
    </row>
    <row r="1655" spans="48:50" x14ac:dyDescent="0.3">
      <c r="AV1655" t="str">
        <v>Data Analytics Course: Visualizations</v>
      </c>
      <c r="AW1655">
        <v>219</v>
      </c>
      <c r="AX1655">
        <v>1.78</v>
      </c>
    </row>
    <row r="1656" spans="48:50" x14ac:dyDescent="0.3">
      <c r="AV1656" t="str">
        <v>Data Analytics Course: Basics</v>
      </c>
      <c r="AW1656">
        <v>250</v>
      </c>
      <c r="AX1656">
        <v>1.49</v>
      </c>
    </row>
    <row r="1657" spans="48:50" x14ac:dyDescent="0.3">
      <c r="AV1657" t="str">
        <v>Data Analytics Course: Basics</v>
      </c>
      <c r="AW1657">
        <v>235</v>
      </c>
      <c r="AX1657">
        <v>1.07</v>
      </c>
    </row>
    <row r="1658" spans="48:50" x14ac:dyDescent="0.3">
      <c r="AV1658" t="str">
        <v>Data Analytics Course: Visualizations</v>
      </c>
      <c r="AW1658">
        <v>217</v>
      </c>
      <c r="AX1658">
        <v>1.78</v>
      </c>
    </row>
    <row r="1659" spans="48:50" x14ac:dyDescent="0.3">
      <c r="AV1659" t="str">
        <v>Data Analytics Course: Visualizations</v>
      </c>
      <c r="AW1659">
        <v>238</v>
      </c>
      <c r="AX1659">
        <v>1.29</v>
      </c>
    </row>
    <row r="1660" spans="48:50" x14ac:dyDescent="0.3">
      <c r="AV1660" t="str">
        <v>Data Analytics Course: Advanced</v>
      </c>
      <c r="AW1660">
        <v>180</v>
      </c>
      <c r="AX1660">
        <v>2.25</v>
      </c>
    </row>
    <row r="1661" spans="48:50" x14ac:dyDescent="0.3">
      <c r="AV1661" t="str">
        <v>Data Analytics Course: Basics</v>
      </c>
      <c r="AW1661">
        <v>226</v>
      </c>
      <c r="AX1661">
        <v>1.07</v>
      </c>
    </row>
    <row r="1662" spans="48:50" x14ac:dyDescent="0.3">
      <c r="AV1662" t="str">
        <v>Data Analytics Course: Advanced</v>
      </c>
      <c r="AW1662">
        <v>221</v>
      </c>
      <c r="AX1662">
        <v>1.31</v>
      </c>
    </row>
    <row r="1663" spans="48:50" x14ac:dyDescent="0.3">
      <c r="AV1663" t="str">
        <v>Data Analytics Course: ML</v>
      </c>
      <c r="AW1663">
        <v>192</v>
      </c>
      <c r="AX1663">
        <v>1.86</v>
      </c>
    </row>
    <row r="1664" spans="48:50" x14ac:dyDescent="0.3">
      <c r="AV1664" t="str">
        <v>Data Analytics Course: ML</v>
      </c>
      <c r="AW1664">
        <v>230</v>
      </c>
      <c r="AX1664">
        <v>1.27</v>
      </c>
    </row>
    <row r="1665" spans="48:50" x14ac:dyDescent="0.3">
      <c r="AV1665" t="str">
        <v>Data Analytics Course: Advanced</v>
      </c>
      <c r="AW1665">
        <v>242</v>
      </c>
      <c r="AX1665">
        <v>1.4</v>
      </c>
    </row>
    <row r="1666" spans="48:50" x14ac:dyDescent="0.3">
      <c r="AV1666" t="str">
        <v>Data Analytics Course: Advanced</v>
      </c>
      <c r="AW1666">
        <v>227</v>
      </c>
      <c r="AX1666">
        <v>1.3</v>
      </c>
    </row>
    <row r="1667" spans="48:50" x14ac:dyDescent="0.3">
      <c r="AV1667" t="str">
        <v>Data Analytics Course: Basics</v>
      </c>
      <c r="AW1667">
        <v>232</v>
      </c>
      <c r="AX1667">
        <v>1.26</v>
      </c>
    </row>
    <row r="1668" spans="48:50" x14ac:dyDescent="0.3">
      <c r="AV1668" t="str">
        <v>Data Analytics Course: Basics</v>
      </c>
      <c r="AW1668">
        <v>233</v>
      </c>
      <c r="AX1668">
        <v>1.65</v>
      </c>
    </row>
    <row r="1669" spans="48:50" x14ac:dyDescent="0.3">
      <c r="AV1669" t="str">
        <v>Data Analytics Course: Advanced</v>
      </c>
      <c r="AW1669">
        <v>201</v>
      </c>
      <c r="AX1669">
        <v>1.04</v>
      </c>
    </row>
    <row r="1670" spans="48:50" x14ac:dyDescent="0.3">
      <c r="AV1670" t="str">
        <v>Data Analytics Course: Visualizations</v>
      </c>
      <c r="AW1670">
        <v>222</v>
      </c>
      <c r="AX1670">
        <v>1.58</v>
      </c>
    </row>
    <row r="1671" spans="48:50" x14ac:dyDescent="0.3">
      <c r="AV1671" t="str">
        <v>Data Analytics Course: Advanced</v>
      </c>
      <c r="AW1671">
        <v>223</v>
      </c>
      <c r="AX1671">
        <v>1.63</v>
      </c>
    </row>
    <row r="1672" spans="48:50" x14ac:dyDescent="0.3">
      <c r="AV1672" t="str">
        <v>Data Analytics Course: Basics</v>
      </c>
      <c r="AW1672">
        <v>214</v>
      </c>
      <c r="AX1672">
        <v>0.87</v>
      </c>
    </row>
    <row r="1673" spans="48:50" x14ac:dyDescent="0.3">
      <c r="AV1673" t="str">
        <v>Data Analytics Course: Visualizations</v>
      </c>
      <c r="AW1673">
        <v>183</v>
      </c>
      <c r="AX1673">
        <v>1.3</v>
      </c>
    </row>
    <row r="1674" spans="48:50" x14ac:dyDescent="0.3">
      <c r="AV1674" t="str">
        <v>Data Analytics Course: Visualizations</v>
      </c>
      <c r="AW1674">
        <v>202</v>
      </c>
      <c r="AX1674">
        <v>1.03</v>
      </c>
    </row>
    <row r="1675" spans="48:50" x14ac:dyDescent="0.3">
      <c r="AV1675" t="str">
        <v>Data Analytics Course: Basics</v>
      </c>
      <c r="AW1675">
        <v>194</v>
      </c>
      <c r="AX1675">
        <v>2.06</v>
      </c>
    </row>
    <row r="1676" spans="48:50" x14ac:dyDescent="0.3">
      <c r="AV1676" t="str">
        <v>Data Analytics Course: Basics</v>
      </c>
      <c r="AW1676">
        <v>195</v>
      </c>
      <c r="AX1676">
        <v>1.8</v>
      </c>
    </row>
    <row r="1677" spans="48:50" x14ac:dyDescent="0.3">
      <c r="AV1677" t="str">
        <v>Data Analytics Course: Visualizations</v>
      </c>
      <c r="AW1677">
        <v>196</v>
      </c>
      <c r="AX1677">
        <v>1.9</v>
      </c>
    </row>
    <row r="1678" spans="48:50" x14ac:dyDescent="0.3">
      <c r="AV1678" t="str">
        <v>Data Analytics Course: Basics</v>
      </c>
      <c r="AW1678">
        <v>187</v>
      </c>
      <c r="AX1678">
        <v>1.67</v>
      </c>
    </row>
    <row r="1679" spans="48:50" x14ac:dyDescent="0.3">
      <c r="AV1679" t="str">
        <v>Data Analytics Course: Visualizations</v>
      </c>
      <c r="AW1679">
        <v>210</v>
      </c>
      <c r="AX1679">
        <v>1.1200000000000001</v>
      </c>
    </row>
    <row r="1680" spans="48:50" x14ac:dyDescent="0.3">
      <c r="AV1680" t="str">
        <v>Data Analytics Course: ML</v>
      </c>
      <c r="AW1680">
        <v>192</v>
      </c>
      <c r="AX1680">
        <v>1.94</v>
      </c>
    </row>
    <row r="1681" spans="48:50" x14ac:dyDescent="0.3">
      <c r="AV1681" t="str">
        <v>Data Analytics Course: Basics</v>
      </c>
      <c r="AW1681">
        <v>197</v>
      </c>
      <c r="AX1681">
        <v>1.58</v>
      </c>
    </row>
    <row r="1682" spans="48:50" x14ac:dyDescent="0.3">
      <c r="AV1682" t="str">
        <v>Data Analytics Course: Advanced</v>
      </c>
      <c r="AW1682">
        <v>220</v>
      </c>
      <c r="AX1682">
        <v>1.68</v>
      </c>
    </row>
    <row r="1683" spans="48:50" x14ac:dyDescent="0.3">
      <c r="AV1683" t="str">
        <v>Data Analytics Course: ML</v>
      </c>
      <c r="AW1683">
        <v>235</v>
      </c>
      <c r="AX1683">
        <v>1.53</v>
      </c>
    </row>
    <row r="1684" spans="48:50" x14ac:dyDescent="0.3">
      <c r="AV1684" t="str">
        <v>Data Analytics Course: ML</v>
      </c>
      <c r="AW1684">
        <v>226</v>
      </c>
      <c r="AX1684">
        <v>1.7</v>
      </c>
    </row>
    <row r="1685" spans="48:50" x14ac:dyDescent="0.3">
      <c r="AV1685" t="str">
        <v>Data Analytics Course: Basics</v>
      </c>
      <c r="AW1685">
        <v>237</v>
      </c>
      <c r="AX1685">
        <v>0.86</v>
      </c>
    </row>
    <row r="1686" spans="48:50" x14ac:dyDescent="0.3">
      <c r="AV1686" t="str">
        <v>Data Analytics Course: Advanced</v>
      </c>
      <c r="AW1686">
        <v>218</v>
      </c>
      <c r="AX1686">
        <v>1.05</v>
      </c>
    </row>
    <row r="1687" spans="48:50" x14ac:dyDescent="0.3">
      <c r="AV1687" t="str">
        <v>Data Analytics Course: ML</v>
      </c>
      <c r="AW1687">
        <v>248</v>
      </c>
      <c r="AX1687">
        <v>0.84</v>
      </c>
    </row>
    <row r="1688" spans="48:50" x14ac:dyDescent="0.3">
      <c r="AV1688" t="str">
        <v>Data Analytics Course: Visualizations</v>
      </c>
      <c r="AW1688">
        <v>197</v>
      </c>
      <c r="AX1688">
        <v>1.76</v>
      </c>
    </row>
    <row r="1689" spans="48:50" x14ac:dyDescent="0.3">
      <c r="AV1689" t="str">
        <v>Data Analytics Course: Visualizations</v>
      </c>
      <c r="AW1689">
        <v>163</v>
      </c>
      <c r="AX1689">
        <v>1.39</v>
      </c>
    </row>
    <row r="1690" spans="48:50" x14ac:dyDescent="0.3">
      <c r="AV1690" t="str">
        <v>Data Analytics Course: Visualizations</v>
      </c>
      <c r="AW1690">
        <v>191</v>
      </c>
      <c r="AX1690">
        <v>2.11</v>
      </c>
    </row>
    <row r="1691" spans="48:50" x14ac:dyDescent="0.3">
      <c r="AV1691" t="str">
        <v>Data Analytics Course: Basics</v>
      </c>
      <c r="AW1691">
        <v>242</v>
      </c>
      <c r="AX1691">
        <v>1.1299999999999999</v>
      </c>
    </row>
    <row r="1692" spans="48:50" x14ac:dyDescent="0.3">
      <c r="AV1692" t="str">
        <v>Data Analytics Course: ML</v>
      </c>
      <c r="AW1692">
        <v>227</v>
      </c>
      <c r="AX1692">
        <v>1.77</v>
      </c>
    </row>
    <row r="1693" spans="48:50" x14ac:dyDescent="0.3">
      <c r="AV1693" t="str">
        <v>Data Analytics Course: Basics</v>
      </c>
      <c r="AW1693">
        <v>197</v>
      </c>
      <c r="AX1693">
        <v>1.73</v>
      </c>
    </row>
    <row r="1694" spans="48:50" x14ac:dyDescent="0.3">
      <c r="AV1694" t="str">
        <v>Data Analytics Course: Basics</v>
      </c>
      <c r="AW1694">
        <v>213</v>
      </c>
      <c r="AX1694">
        <v>1.45</v>
      </c>
    </row>
    <row r="1695" spans="48:50" x14ac:dyDescent="0.3">
      <c r="AV1695" t="str">
        <v>Data Analytics Course: ML</v>
      </c>
      <c r="AW1695">
        <v>191</v>
      </c>
      <c r="AX1695">
        <v>1.46</v>
      </c>
    </row>
    <row r="1696" spans="48:50" x14ac:dyDescent="0.3">
      <c r="AV1696" t="str">
        <v>Data Analytics Course: Visualizations</v>
      </c>
      <c r="AW1696">
        <v>206</v>
      </c>
      <c r="AX1696">
        <v>1.17</v>
      </c>
    </row>
    <row r="1697" spans="48:50" x14ac:dyDescent="0.3">
      <c r="AV1697" t="str">
        <v>Data Analytics Course: Basics</v>
      </c>
      <c r="AW1697">
        <v>249</v>
      </c>
      <c r="AX1697">
        <v>1.36</v>
      </c>
    </row>
    <row r="1698" spans="48:50" x14ac:dyDescent="0.3">
      <c r="AV1698" t="str">
        <v>Data Analytics Course: ML</v>
      </c>
      <c r="AW1698">
        <v>233</v>
      </c>
      <c r="AX1698">
        <v>1.67</v>
      </c>
    </row>
    <row r="1699" spans="48:50" x14ac:dyDescent="0.3">
      <c r="AV1699" t="str">
        <v>Data Analytics Course: Advanced</v>
      </c>
      <c r="AW1699">
        <v>227</v>
      </c>
      <c r="AX1699">
        <v>1.3</v>
      </c>
    </row>
    <row r="1700" spans="48:50" x14ac:dyDescent="0.3">
      <c r="AV1700" t="str">
        <v>Data Analytics Course: Basics</v>
      </c>
      <c r="AW1700">
        <v>204</v>
      </c>
      <c r="AX1700">
        <v>1.43</v>
      </c>
    </row>
    <row r="1701" spans="48:50" x14ac:dyDescent="0.3">
      <c r="AV1701" t="str">
        <v>Data Analytics Course: Visualizations</v>
      </c>
      <c r="AW1701">
        <v>243</v>
      </c>
      <c r="AX1701">
        <v>1.1399999999999999</v>
      </c>
    </row>
    <row r="1702" spans="48:50" x14ac:dyDescent="0.3">
      <c r="AV1702" t="str">
        <v>Data Analytics Course: Advanced</v>
      </c>
      <c r="AW1702">
        <v>247</v>
      </c>
      <c r="AX1702">
        <v>0.99</v>
      </c>
    </row>
    <row r="1703" spans="48:50" x14ac:dyDescent="0.3">
      <c r="AV1703" t="str">
        <v>Data Analytics Course: Advanced</v>
      </c>
      <c r="AW1703">
        <v>225</v>
      </c>
      <c r="AX1703">
        <v>1.46</v>
      </c>
    </row>
    <row r="1704" spans="48:50" x14ac:dyDescent="0.3">
      <c r="AV1704" t="str">
        <v>Data Analytics Course: Advanced</v>
      </c>
      <c r="AW1704">
        <v>190</v>
      </c>
      <c r="AX1704">
        <v>1.31</v>
      </c>
    </row>
    <row r="1705" spans="48:50" x14ac:dyDescent="0.3">
      <c r="AV1705" t="str">
        <v>Data Analytics Course: Basics</v>
      </c>
      <c r="AW1705">
        <v>237</v>
      </c>
      <c r="AX1705">
        <v>1.31</v>
      </c>
    </row>
    <row r="1706" spans="48:50" x14ac:dyDescent="0.3">
      <c r="AV1706" t="str">
        <v>Data Analytics Course: Basics</v>
      </c>
      <c r="AW1706">
        <v>250</v>
      </c>
      <c r="AX1706">
        <v>1.27</v>
      </c>
    </row>
    <row r="1707" spans="48:50" x14ac:dyDescent="0.3">
      <c r="AV1707" t="str">
        <v>Data Analytics Course: Advanced</v>
      </c>
      <c r="AW1707">
        <v>230</v>
      </c>
      <c r="AX1707">
        <v>1.49</v>
      </c>
    </row>
    <row r="1708" spans="48:50" x14ac:dyDescent="0.3">
      <c r="AV1708" t="str">
        <v>Data Analytics Course: ML</v>
      </c>
      <c r="AW1708">
        <v>192</v>
      </c>
      <c r="AX1708">
        <v>1.85</v>
      </c>
    </row>
    <row r="1709" spans="48:50" x14ac:dyDescent="0.3">
      <c r="AV1709" t="str">
        <v>Data Analytics Course: ML</v>
      </c>
      <c r="AW1709">
        <v>187</v>
      </c>
      <c r="AX1709">
        <v>1.2</v>
      </c>
    </row>
    <row r="1710" spans="48:50" x14ac:dyDescent="0.3">
      <c r="AV1710" t="str">
        <v>Data Analytics Course: Visualizations</v>
      </c>
      <c r="AW1710">
        <v>246</v>
      </c>
      <c r="AX1710">
        <v>1.54</v>
      </c>
    </row>
    <row r="1711" spans="48:50" x14ac:dyDescent="0.3">
      <c r="AV1711" t="str">
        <v>Data Analytics Course: Advanced</v>
      </c>
      <c r="AW1711">
        <v>242</v>
      </c>
      <c r="AX1711">
        <v>1.1299999999999999</v>
      </c>
    </row>
    <row r="1712" spans="48:50" x14ac:dyDescent="0.3">
      <c r="AV1712" t="str">
        <v>Data Analytics Course: Basics</v>
      </c>
      <c r="AW1712">
        <v>208</v>
      </c>
      <c r="AX1712">
        <v>1.62</v>
      </c>
    </row>
    <row r="1713" spans="48:50" x14ac:dyDescent="0.3">
      <c r="AV1713" t="str">
        <v>Data Analytics Course: Advanced</v>
      </c>
      <c r="AW1713">
        <v>248</v>
      </c>
      <c r="AX1713">
        <v>0.91</v>
      </c>
    </row>
    <row r="1714" spans="48:50" x14ac:dyDescent="0.3">
      <c r="AV1714" t="str">
        <v>Data Analytics Course: Visualizations</v>
      </c>
      <c r="AW1714">
        <v>227</v>
      </c>
      <c r="AX1714">
        <v>0.91</v>
      </c>
    </row>
    <row r="1715" spans="48:50" x14ac:dyDescent="0.3">
      <c r="AV1715" t="str">
        <v>Data Analytics Course: ML</v>
      </c>
      <c r="AW1715">
        <v>182</v>
      </c>
      <c r="AX1715">
        <v>1.74</v>
      </c>
    </row>
    <row r="1716" spans="48:50" x14ac:dyDescent="0.3">
      <c r="AV1716" t="str">
        <v>Data Analytics Course: ML</v>
      </c>
      <c r="AW1716">
        <v>215</v>
      </c>
      <c r="AX1716">
        <v>1.77</v>
      </c>
    </row>
    <row r="1717" spans="48:50" x14ac:dyDescent="0.3">
      <c r="AV1717" t="str">
        <v>Data Analytics Course: Visualizations</v>
      </c>
      <c r="AW1717">
        <v>215</v>
      </c>
      <c r="AX1717">
        <v>1.25</v>
      </c>
    </row>
    <row r="1718" spans="48:50" x14ac:dyDescent="0.3">
      <c r="AV1718" t="str">
        <v>Data Analytics Course: Visualizations</v>
      </c>
      <c r="AW1718">
        <v>230</v>
      </c>
      <c r="AX1718">
        <v>1.36</v>
      </c>
    </row>
    <row r="1719" spans="48:50" x14ac:dyDescent="0.3">
      <c r="AV1719" t="str">
        <v>Data Analytics Course: Visualizations</v>
      </c>
      <c r="AW1719">
        <v>225</v>
      </c>
      <c r="AX1719">
        <v>1.59</v>
      </c>
    </row>
    <row r="1720" spans="48:50" x14ac:dyDescent="0.3">
      <c r="AV1720" t="str">
        <v>Data Analytics Course: ML</v>
      </c>
      <c r="AW1720">
        <v>192</v>
      </c>
      <c r="AX1720">
        <v>1.41</v>
      </c>
    </row>
    <row r="1721" spans="48:50" x14ac:dyDescent="0.3">
      <c r="AV1721" t="str">
        <v>Data Analytics Course: Visualizations</v>
      </c>
      <c r="AW1721">
        <v>228</v>
      </c>
      <c r="AX1721">
        <v>1.65</v>
      </c>
    </row>
    <row r="1722" spans="48:50" x14ac:dyDescent="0.3">
      <c r="AV1722" t="str">
        <v>Data Analytics Course: Visualizations</v>
      </c>
      <c r="AW1722">
        <v>225</v>
      </c>
      <c r="AX1722">
        <v>1.27</v>
      </c>
    </row>
    <row r="1723" spans="48:50" x14ac:dyDescent="0.3">
      <c r="AV1723" t="str">
        <v>Data Analytics Course: Basics</v>
      </c>
      <c r="AW1723">
        <v>186</v>
      </c>
      <c r="AX1723">
        <v>2.09</v>
      </c>
    </row>
    <row r="1724" spans="48:50" x14ac:dyDescent="0.3">
      <c r="AV1724" t="str">
        <v>Data Analytics Course: Visualizations</v>
      </c>
      <c r="AW1724">
        <v>223</v>
      </c>
      <c r="AX1724">
        <v>1.27</v>
      </c>
    </row>
    <row r="1725" spans="48:50" x14ac:dyDescent="0.3">
      <c r="AV1725" t="str">
        <v>Data Analytics Course: Advanced</v>
      </c>
      <c r="AW1725">
        <v>232</v>
      </c>
      <c r="AX1725">
        <v>1.41</v>
      </c>
    </row>
    <row r="1726" spans="48:50" x14ac:dyDescent="0.3">
      <c r="AV1726" t="str">
        <v>Data Analytics Course: Advanced</v>
      </c>
      <c r="AW1726">
        <v>207</v>
      </c>
      <c r="AX1726">
        <v>1.0900000000000001</v>
      </c>
    </row>
    <row r="1727" spans="48:50" x14ac:dyDescent="0.3">
      <c r="AV1727" t="str">
        <v>Data Analytics Course: Advanced</v>
      </c>
      <c r="AW1727">
        <v>208</v>
      </c>
      <c r="AX1727">
        <v>1.75</v>
      </c>
    </row>
    <row r="1728" spans="48:50" x14ac:dyDescent="0.3">
      <c r="AV1728" t="str">
        <v>Data Analytics Course: Visualizations</v>
      </c>
      <c r="AW1728">
        <v>212</v>
      </c>
      <c r="AX1728">
        <v>1.35</v>
      </c>
    </row>
    <row r="1729" spans="48:50" x14ac:dyDescent="0.3">
      <c r="AV1729" t="str">
        <v>Data Analytics Course: Advanced</v>
      </c>
      <c r="AW1729">
        <v>248</v>
      </c>
      <c r="AX1729">
        <v>1.3</v>
      </c>
    </row>
    <row r="1730" spans="48:50" x14ac:dyDescent="0.3">
      <c r="AV1730" t="str">
        <v>Data Analytics Course: Advanced</v>
      </c>
      <c r="AW1730">
        <v>184</v>
      </c>
      <c r="AX1730">
        <v>1.29</v>
      </c>
    </row>
    <row r="1731" spans="48:50" x14ac:dyDescent="0.3">
      <c r="AV1731" t="str">
        <v>Data Analytics Course: Advanced</v>
      </c>
      <c r="AW1731">
        <v>243</v>
      </c>
      <c r="AX1731">
        <v>1.32</v>
      </c>
    </row>
    <row r="1732" spans="48:50" x14ac:dyDescent="0.3">
      <c r="AV1732" t="str">
        <v>Data Analytics Course: Basics</v>
      </c>
      <c r="AW1732">
        <v>232</v>
      </c>
      <c r="AX1732">
        <v>1.3</v>
      </c>
    </row>
    <row r="1733" spans="48:50" x14ac:dyDescent="0.3">
      <c r="AV1733" t="str">
        <v>Data Analytics Course: Visualizations</v>
      </c>
      <c r="AW1733">
        <v>187</v>
      </c>
      <c r="AX1733">
        <v>1.89</v>
      </c>
    </row>
    <row r="1734" spans="48:50" x14ac:dyDescent="0.3">
      <c r="AV1734" t="str">
        <v>Data Analytics Course: Advanced</v>
      </c>
      <c r="AW1734">
        <v>191</v>
      </c>
      <c r="AX1734">
        <v>1.24</v>
      </c>
    </row>
    <row r="1735" spans="48:50" x14ac:dyDescent="0.3">
      <c r="AV1735" t="str">
        <v>Data Analytics Course: Basics</v>
      </c>
      <c r="AW1735">
        <v>190</v>
      </c>
      <c r="AX1735">
        <v>1.4</v>
      </c>
    </row>
    <row r="1736" spans="48:50" x14ac:dyDescent="0.3">
      <c r="AV1736" t="str">
        <v>Data Analytics Course: Advanced</v>
      </c>
      <c r="AW1736">
        <v>216</v>
      </c>
      <c r="AX1736">
        <v>1.1499999999999999</v>
      </c>
    </row>
    <row r="1737" spans="48:50" x14ac:dyDescent="0.3">
      <c r="AV1737" t="str">
        <v>Data Analytics Course: ML</v>
      </c>
      <c r="AW1737">
        <v>241</v>
      </c>
      <c r="AX1737">
        <v>1.25</v>
      </c>
    </row>
    <row r="1738" spans="48:50" x14ac:dyDescent="0.3">
      <c r="AV1738" t="str">
        <v>Data Analytics Course: Advanced</v>
      </c>
      <c r="AW1738">
        <v>215</v>
      </c>
      <c r="AX1738">
        <v>1.65</v>
      </c>
    </row>
    <row r="1739" spans="48:50" x14ac:dyDescent="0.3">
      <c r="AV1739" t="str">
        <v>Data Analytics Course: Advanced</v>
      </c>
      <c r="AW1739">
        <v>183</v>
      </c>
      <c r="AX1739">
        <v>1.38</v>
      </c>
    </row>
    <row r="1740" spans="48:50" x14ac:dyDescent="0.3">
      <c r="AV1740" t="str">
        <v>Data Analytics Course: Visualizations</v>
      </c>
      <c r="AW1740">
        <v>224</v>
      </c>
      <c r="AX1740">
        <v>1.7</v>
      </c>
    </row>
    <row r="1741" spans="48:50" x14ac:dyDescent="0.3">
      <c r="AV1741" t="str">
        <v>Data Analytics Course: ML</v>
      </c>
      <c r="AW1741">
        <v>238</v>
      </c>
      <c r="AX1741">
        <v>1.0900000000000001</v>
      </c>
    </row>
    <row r="1742" spans="48:50" x14ac:dyDescent="0.3">
      <c r="AV1742" t="str">
        <v>Data Analytics Course: Basics</v>
      </c>
      <c r="AW1742">
        <v>192</v>
      </c>
      <c r="AX1742">
        <v>1.6</v>
      </c>
    </row>
    <row r="1743" spans="48:50" x14ac:dyDescent="0.3">
      <c r="AV1743" t="str">
        <v>Data Analytics Course: Visualizations</v>
      </c>
      <c r="AW1743">
        <v>204</v>
      </c>
      <c r="AX1743">
        <v>1.04</v>
      </c>
    </row>
    <row r="1744" spans="48:50" x14ac:dyDescent="0.3">
      <c r="AV1744" t="str">
        <v>Data Analytics Course: Visualizations</v>
      </c>
      <c r="AW1744">
        <v>199</v>
      </c>
      <c r="AX1744">
        <v>1.71</v>
      </c>
    </row>
    <row r="1745" spans="48:50" x14ac:dyDescent="0.3">
      <c r="AV1745" t="str">
        <v>Data Analytics Course: Visualizations</v>
      </c>
      <c r="AW1745">
        <v>246</v>
      </c>
      <c r="AX1745">
        <v>0.93</v>
      </c>
    </row>
    <row r="1746" spans="48:50" x14ac:dyDescent="0.3">
      <c r="AV1746" t="str">
        <v>Data Analytics Course: Basics</v>
      </c>
      <c r="AW1746">
        <v>201</v>
      </c>
      <c r="AX1746">
        <v>1.84</v>
      </c>
    </row>
    <row r="1747" spans="48:50" x14ac:dyDescent="0.3">
      <c r="AV1747" t="str">
        <v>Data Analytics Course: Basics</v>
      </c>
      <c r="AW1747">
        <v>215</v>
      </c>
      <c r="AX1747">
        <v>1.72</v>
      </c>
    </row>
    <row r="1748" spans="48:50" x14ac:dyDescent="0.3">
      <c r="AV1748" t="str">
        <v>Data Analytics Course: Advanced</v>
      </c>
      <c r="AW1748">
        <v>198</v>
      </c>
      <c r="AX1748">
        <v>1.51</v>
      </c>
    </row>
    <row r="1749" spans="48:50" x14ac:dyDescent="0.3">
      <c r="AV1749" t="str">
        <v>Data Analytics Course: Basics</v>
      </c>
      <c r="AW1749">
        <v>218</v>
      </c>
      <c r="AX1749">
        <v>1.72</v>
      </c>
    </row>
    <row r="1750" spans="48:50" x14ac:dyDescent="0.3">
      <c r="AV1750" t="str">
        <v>Data Analytics Course: ML</v>
      </c>
      <c r="AW1750">
        <v>224</v>
      </c>
      <c r="AX1750">
        <v>1.0900000000000001</v>
      </c>
    </row>
    <row r="1751" spans="48:50" x14ac:dyDescent="0.3">
      <c r="AV1751" t="str">
        <v>Data Analytics Course: Visualizations</v>
      </c>
      <c r="AW1751">
        <v>249</v>
      </c>
      <c r="AX1751">
        <v>0.87</v>
      </c>
    </row>
    <row r="1752" spans="48:50" x14ac:dyDescent="0.3">
      <c r="AV1752" t="str">
        <v>Data Analytics Course: Basics</v>
      </c>
      <c r="AW1752">
        <v>186</v>
      </c>
      <c r="AX1752">
        <v>1.1299999999999999</v>
      </c>
    </row>
    <row r="1753" spans="48:50" x14ac:dyDescent="0.3">
      <c r="AV1753" t="str">
        <v>Data Analytics Course: Advanced</v>
      </c>
      <c r="AW1753">
        <v>223</v>
      </c>
      <c r="AX1753">
        <v>1.32</v>
      </c>
    </row>
    <row r="1754" spans="48:50" x14ac:dyDescent="0.3">
      <c r="AV1754" t="str">
        <v>Data Analytics Course: Basics</v>
      </c>
      <c r="AW1754">
        <v>199</v>
      </c>
      <c r="AX1754">
        <v>1.1599999999999999</v>
      </c>
    </row>
    <row r="1755" spans="48:50" x14ac:dyDescent="0.3">
      <c r="AV1755" t="str">
        <v>Data Analytics Course: Visualizations</v>
      </c>
      <c r="AW1755">
        <v>201</v>
      </c>
      <c r="AX1755">
        <v>1.62</v>
      </c>
    </row>
    <row r="1756" spans="48:50" x14ac:dyDescent="0.3">
      <c r="AV1756" t="str">
        <v>Data Analytics Course: Basics</v>
      </c>
      <c r="AW1756">
        <v>248</v>
      </c>
      <c r="AX1756">
        <v>1.44</v>
      </c>
    </row>
    <row r="1757" spans="48:50" x14ac:dyDescent="0.3">
      <c r="AV1757" t="str">
        <v>Data Analytics Course: Visualizations</v>
      </c>
      <c r="AW1757">
        <v>214</v>
      </c>
      <c r="AX1757">
        <v>1.63</v>
      </c>
    </row>
    <row r="1758" spans="48:50" x14ac:dyDescent="0.3">
      <c r="AV1758" t="str">
        <v>Data Analytics Course: Basics</v>
      </c>
      <c r="AW1758">
        <v>214</v>
      </c>
      <c r="AX1758">
        <v>1.44</v>
      </c>
    </row>
    <row r="1759" spans="48:50" x14ac:dyDescent="0.3">
      <c r="AV1759" t="str">
        <v>Data Analytics Course: Visualizations</v>
      </c>
      <c r="AW1759">
        <v>250</v>
      </c>
      <c r="AX1759">
        <v>1.55</v>
      </c>
    </row>
    <row r="1760" spans="48:50" x14ac:dyDescent="0.3">
      <c r="AV1760" t="str">
        <v>Data Analytics Course: Visualizations</v>
      </c>
      <c r="AW1760">
        <v>206</v>
      </c>
      <c r="AX1760">
        <v>1.1499999999999999</v>
      </c>
    </row>
    <row r="1761" spans="48:50" x14ac:dyDescent="0.3">
      <c r="AV1761" t="str">
        <v>Data Analytics Course: Visualizations</v>
      </c>
      <c r="AW1761">
        <v>187</v>
      </c>
      <c r="AX1761">
        <v>2.17</v>
      </c>
    </row>
    <row r="1762" spans="48:50" x14ac:dyDescent="0.3">
      <c r="AV1762" t="str">
        <v>Data Analytics Course: Visualizations</v>
      </c>
      <c r="AW1762">
        <v>245</v>
      </c>
      <c r="AX1762">
        <v>1.6</v>
      </c>
    </row>
    <row r="1763" spans="48:50" x14ac:dyDescent="0.3">
      <c r="AV1763" t="str">
        <v>Data Analytics Course: Advanced</v>
      </c>
      <c r="AW1763">
        <v>232</v>
      </c>
      <c r="AX1763">
        <v>1.55</v>
      </c>
    </row>
    <row r="1764" spans="48:50" x14ac:dyDescent="0.3">
      <c r="AV1764" t="str">
        <v>Data Analytics Course: Advanced</v>
      </c>
      <c r="AW1764">
        <v>228</v>
      </c>
      <c r="AX1764">
        <v>1.36</v>
      </c>
    </row>
    <row r="1765" spans="48:50" x14ac:dyDescent="0.3">
      <c r="AV1765" t="str">
        <v>Data Analytics Course: Visualizations</v>
      </c>
      <c r="AW1765">
        <v>202</v>
      </c>
      <c r="AX1765">
        <v>1.23</v>
      </c>
    </row>
    <row r="1766" spans="48:50" x14ac:dyDescent="0.3">
      <c r="AV1766" t="str">
        <v>Data Analytics Course: Basics</v>
      </c>
      <c r="AW1766">
        <v>197</v>
      </c>
      <c r="AX1766">
        <v>1.48</v>
      </c>
    </row>
    <row r="1767" spans="48:50" x14ac:dyDescent="0.3">
      <c r="AV1767" t="str">
        <v>Data Analytics Course: ML</v>
      </c>
      <c r="AW1767">
        <v>187</v>
      </c>
      <c r="AX1767">
        <v>1.65</v>
      </c>
    </row>
    <row r="1768" spans="48:50" x14ac:dyDescent="0.3">
      <c r="AV1768" t="str">
        <v>Data Analytics Course: Basics</v>
      </c>
      <c r="AW1768">
        <v>221</v>
      </c>
      <c r="AX1768">
        <v>1.24</v>
      </c>
    </row>
    <row r="1769" spans="48:50" x14ac:dyDescent="0.3">
      <c r="AV1769" t="str">
        <v>Data Analytics Course: Advanced</v>
      </c>
      <c r="AW1769">
        <v>227</v>
      </c>
      <c r="AX1769">
        <v>1.39</v>
      </c>
    </row>
    <row r="1770" spans="48:50" x14ac:dyDescent="0.3">
      <c r="AV1770" t="str">
        <v>Data Analytics Course: Advanced</v>
      </c>
      <c r="AW1770">
        <v>211</v>
      </c>
      <c r="AX1770">
        <v>1.05</v>
      </c>
    </row>
    <row r="1771" spans="48:50" x14ac:dyDescent="0.3">
      <c r="AV1771" t="str">
        <v>Data Analytics Course: Visualizations</v>
      </c>
      <c r="AW1771">
        <v>224</v>
      </c>
      <c r="AX1771">
        <v>1.05</v>
      </c>
    </row>
    <row r="1772" spans="48:50" x14ac:dyDescent="0.3">
      <c r="AV1772" t="str">
        <v>Data Analytics Course: Visualizations</v>
      </c>
      <c r="AW1772">
        <v>214</v>
      </c>
      <c r="AX1772">
        <v>0.99</v>
      </c>
    </row>
    <row r="1773" spans="48:50" x14ac:dyDescent="0.3">
      <c r="AV1773" t="str">
        <v>Data Analytics Course: Advanced</v>
      </c>
      <c r="AW1773">
        <v>199</v>
      </c>
      <c r="AX1773">
        <v>1.51</v>
      </c>
    </row>
    <row r="1774" spans="48:50" x14ac:dyDescent="0.3">
      <c r="AV1774" t="str">
        <v>Data Analytics Course: Advanced</v>
      </c>
      <c r="AW1774">
        <v>190</v>
      </c>
      <c r="AX1774">
        <v>2.0299999999999998</v>
      </c>
    </row>
    <row r="1775" spans="48:50" x14ac:dyDescent="0.3">
      <c r="AV1775" t="str">
        <v>Data Analytics Course: Visualizations</v>
      </c>
      <c r="AW1775">
        <v>214</v>
      </c>
      <c r="AX1775">
        <v>1.42</v>
      </c>
    </row>
    <row r="1776" spans="48:50" x14ac:dyDescent="0.3">
      <c r="AV1776" t="str">
        <v>Data Analytics Course: Advanced</v>
      </c>
      <c r="AW1776">
        <v>247</v>
      </c>
      <c r="AX1776">
        <v>0.92</v>
      </c>
    </row>
    <row r="1777" spans="48:50" x14ac:dyDescent="0.3">
      <c r="AV1777" t="str">
        <v>Data Analytics Course: Advanced</v>
      </c>
      <c r="AW1777">
        <v>219</v>
      </c>
      <c r="AX1777">
        <v>1.67</v>
      </c>
    </row>
    <row r="1778" spans="48:50" x14ac:dyDescent="0.3">
      <c r="AV1778" t="str">
        <v>Data Analytics Course: ML</v>
      </c>
      <c r="AW1778">
        <v>225</v>
      </c>
      <c r="AX1778">
        <v>1</v>
      </c>
    </row>
    <row r="1779" spans="48:50" x14ac:dyDescent="0.3">
      <c r="AV1779" t="str">
        <v>Data Analytics Course: Advanced</v>
      </c>
      <c r="AW1779">
        <v>208</v>
      </c>
      <c r="AX1779">
        <v>1.42</v>
      </c>
    </row>
    <row r="1780" spans="48:50" x14ac:dyDescent="0.3">
      <c r="AV1780" t="str">
        <v>Data Analytics Course: Advanced</v>
      </c>
      <c r="AW1780">
        <v>187</v>
      </c>
      <c r="AX1780">
        <v>1.88</v>
      </c>
    </row>
    <row r="1781" spans="48:50" x14ac:dyDescent="0.3">
      <c r="AV1781" t="str">
        <v>Data Analytics Course: Basics</v>
      </c>
      <c r="AW1781">
        <v>249</v>
      </c>
      <c r="AX1781">
        <v>1.51</v>
      </c>
    </row>
    <row r="1782" spans="48:50" x14ac:dyDescent="0.3">
      <c r="AV1782" t="str">
        <v>Data Analytics Course: ML</v>
      </c>
      <c r="AW1782">
        <v>193</v>
      </c>
      <c r="AX1782">
        <v>1.24</v>
      </c>
    </row>
    <row r="1783" spans="48:50" x14ac:dyDescent="0.3">
      <c r="AV1783" t="str">
        <v>Data Analytics Course: Visualizations</v>
      </c>
      <c r="AW1783">
        <v>201</v>
      </c>
      <c r="AX1783">
        <v>1.74</v>
      </c>
    </row>
    <row r="1784" spans="48:50" x14ac:dyDescent="0.3">
      <c r="AV1784" t="str">
        <v>Data Analytics Course: Advanced</v>
      </c>
      <c r="AW1784">
        <v>184</v>
      </c>
      <c r="AX1784">
        <v>1.38</v>
      </c>
    </row>
    <row r="1785" spans="48:50" x14ac:dyDescent="0.3">
      <c r="AV1785" t="str">
        <v>Data Analytics Course: Advanced</v>
      </c>
      <c r="AW1785">
        <v>239</v>
      </c>
      <c r="AX1785">
        <v>1.41</v>
      </c>
    </row>
    <row r="1786" spans="48:50" x14ac:dyDescent="0.3">
      <c r="AV1786" t="str">
        <v>Data Analytics Course: Visualizations</v>
      </c>
      <c r="AW1786">
        <v>224</v>
      </c>
      <c r="AX1786">
        <v>1.69</v>
      </c>
    </row>
    <row r="1787" spans="48:50" x14ac:dyDescent="0.3">
      <c r="AV1787" t="str">
        <v>Data Analytics Course: ML</v>
      </c>
      <c r="AW1787">
        <v>232</v>
      </c>
      <c r="AX1787">
        <v>0.9</v>
      </c>
    </row>
    <row r="1788" spans="48:50" x14ac:dyDescent="0.3">
      <c r="AV1788" t="str">
        <v>Data Analytics Course: ML</v>
      </c>
      <c r="AW1788">
        <v>192</v>
      </c>
      <c r="AX1788">
        <v>1.94</v>
      </c>
    </row>
    <row r="1789" spans="48:50" x14ac:dyDescent="0.3">
      <c r="AV1789" t="str">
        <v>Data Analytics Course: Basics</v>
      </c>
      <c r="AW1789">
        <v>202</v>
      </c>
      <c r="AX1789">
        <v>1.04</v>
      </c>
    </row>
    <row r="1790" spans="48:50" x14ac:dyDescent="0.3">
      <c r="AV1790" t="str">
        <v>Data Analytics Course: Basics</v>
      </c>
      <c r="AW1790">
        <v>233</v>
      </c>
      <c r="AX1790">
        <v>1.1399999999999999</v>
      </c>
    </row>
    <row r="1791" spans="48:50" x14ac:dyDescent="0.3">
      <c r="AV1791" t="str">
        <v>Data Analytics Course: ML</v>
      </c>
      <c r="AW1791">
        <v>245</v>
      </c>
      <c r="AX1791">
        <v>0.93</v>
      </c>
    </row>
    <row r="1792" spans="48:50" x14ac:dyDescent="0.3">
      <c r="AV1792" t="str">
        <v>Data Analytics Course: Basics</v>
      </c>
      <c r="AW1792">
        <v>197</v>
      </c>
      <c r="AX1792">
        <v>1.32</v>
      </c>
    </row>
    <row r="1793" spans="48:50" x14ac:dyDescent="0.3">
      <c r="AV1793" t="str">
        <v>Data Analytics Course: ML</v>
      </c>
      <c r="AW1793">
        <v>196</v>
      </c>
      <c r="AX1793">
        <v>1.81</v>
      </c>
    </row>
    <row r="1794" spans="48:50" x14ac:dyDescent="0.3">
      <c r="AV1794" t="str">
        <v>Data Analytics Course: ML</v>
      </c>
      <c r="AW1794">
        <v>181</v>
      </c>
      <c r="AX1794">
        <v>1.69</v>
      </c>
    </row>
    <row r="1795" spans="48:50" x14ac:dyDescent="0.3">
      <c r="AV1795" t="str">
        <v>Data Analytics Course: ML</v>
      </c>
      <c r="AW1795">
        <v>200</v>
      </c>
      <c r="AX1795">
        <v>1.87</v>
      </c>
    </row>
    <row r="1796" spans="48:50" x14ac:dyDescent="0.3">
      <c r="AV1796" t="str">
        <v>Data Analytics Course: ML</v>
      </c>
      <c r="AW1796">
        <v>241</v>
      </c>
      <c r="AX1796">
        <v>1.04</v>
      </c>
    </row>
    <row r="1797" spans="48:50" x14ac:dyDescent="0.3">
      <c r="AV1797" t="str">
        <v>Data Analytics Course: Visualizations</v>
      </c>
      <c r="AW1797">
        <v>296</v>
      </c>
      <c r="AX1797">
        <v>0.7</v>
      </c>
    </row>
    <row r="1798" spans="48:50" x14ac:dyDescent="0.3">
      <c r="AV1798" t="str">
        <v>Data Analytics Course: Basics</v>
      </c>
      <c r="AW1798">
        <v>238</v>
      </c>
      <c r="AX1798">
        <v>1.44</v>
      </c>
    </row>
    <row r="1799" spans="48:50" x14ac:dyDescent="0.3">
      <c r="AV1799" t="str">
        <v>Data Analytics Course: Basics</v>
      </c>
      <c r="AW1799">
        <v>244</v>
      </c>
      <c r="AX1799">
        <v>1.46</v>
      </c>
    </row>
    <row r="1800" spans="48:50" x14ac:dyDescent="0.3">
      <c r="AV1800" t="str">
        <v>Data Analytics Course: Visualizations</v>
      </c>
      <c r="AW1800">
        <v>244</v>
      </c>
      <c r="AX1800">
        <v>1.05</v>
      </c>
    </row>
    <row r="1801" spans="48:50" x14ac:dyDescent="0.3">
      <c r="AV1801" t="str">
        <v>Data Analytics Course: ML</v>
      </c>
      <c r="AW1801">
        <v>226</v>
      </c>
      <c r="AX1801">
        <v>1.53</v>
      </c>
    </row>
    <row r="1802" spans="48:50" x14ac:dyDescent="0.3">
      <c r="AV1802" t="str">
        <v>Data Analytics Course: Basics</v>
      </c>
      <c r="AW1802">
        <v>210</v>
      </c>
      <c r="AX1802">
        <v>1.91</v>
      </c>
    </row>
    <row r="1803" spans="48:50" x14ac:dyDescent="0.3">
      <c r="AV1803" t="str">
        <v>Data Analytics Course: ML</v>
      </c>
      <c r="AW1803">
        <v>231</v>
      </c>
      <c r="AX1803">
        <v>1.08</v>
      </c>
    </row>
    <row r="1804" spans="48:50" x14ac:dyDescent="0.3">
      <c r="AV1804" t="str">
        <v>Data Analytics Course: Basics</v>
      </c>
      <c r="AW1804">
        <v>212</v>
      </c>
      <c r="AX1804">
        <v>1.68</v>
      </c>
    </row>
    <row r="1805" spans="48:50" x14ac:dyDescent="0.3">
      <c r="AV1805" t="str">
        <v>Data Analytics Course: Basics</v>
      </c>
      <c r="AW1805">
        <v>182</v>
      </c>
      <c r="AX1805">
        <v>2.08</v>
      </c>
    </row>
    <row r="1806" spans="48:50" x14ac:dyDescent="0.3">
      <c r="AV1806" t="str">
        <v>Data Analytics Course: ML</v>
      </c>
      <c r="AW1806">
        <v>219</v>
      </c>
      <c r="AX1806">
        <v>1.61</v>
      </c>
    </row>
    <row r="1807" spans="48:50" x14ac:dyDescent="0.3">
      <c r="AV1807" t="str">
        <v>Data Analytics Course: ML</v>
      </c>
      <c r="AW1807">
        <v>247</v>
      </c>
      <c r="AX1807">
        <v>1.64</v>
      </c>
    </row>
    <row r="1808" spans="48:50" x14ac:dyDescent="0.3">
      <c r="AV1808" t="str">
        <v>Data Analytics Course: Basics</v>
      </c>
      <c r="AW1808">
        <v>225</v>
      </c>
      <c r="AX1808">
        <v>1.1299999999999999</v>
      </c>
    </row>
    <row r="1809" spans="48:50" x14ac:dyDescent="0.3">
      <c r="AV1809" t="str">
        <v>Data Analytics Course: ML</v>
      </c>
      <c r="AW1809">
        <v>242</v>
      </c>
      <c r="AX1809">
        <v>1.66</v>
      </c>
    </row>
    <row r="1810" spans="48:50" x14ac:dyDescent="0.3">
      <c r="AV1810" t="str">
        <v>Data Analytics Course: Visualizations</v>
      </c>
      <c r="AW1810">
        <v>217</v>
      </c>
      <c r="AX1810">
        <v>1.62</v>
      </c>
    </row>
    <row r="1811" spans="48:50" x14ac:dyDescent="0.3">
      <c r="AV1811" t="str">
        <v>Data Analytics Course: Visualizations</v>
      </c>
      <c r="AW1811">
        <v>241</v>
      </c>
      <c r="AX1811">
        <v>0.99</v>
      </c>
    </row>
    <row r="1812" spans="48:50" x14ac:dyDescent="0.3">
      <c r="AV1812" t="str">
        <v>Data Analytics Course: ML</v>
      </c>
      <c r="AW1812">
        <v>184</v>
      </c>
      <c r="AX1812">
        <v>1.99</v>
      </c>
    </row>
    <row r="1813" spans="48:50" x14ac:dyDescent="0.3">
      <c r="AV1813" t="str">
        <v>Data Analytics Course: Basics</v>
      </c>
      <c r="AW1813">
        <v>248</v>
      </c>
      <c r="AX1813">
        <v>1.27</v>
      </c>
    </row>
    <row r="1814" spans="48:50" x14ac:dyDescent="0.3">
      <c r="AV1814" t="str">
        <v>Data Analytics Course: Basics</v>
      </c>
      <c r="AW1814">
        <v>214</v>
      </c>
      <c r="AX1814">
        <v>1.1200000000000001</v>
      </c>
    </row>
    <row r="1815" spans="48:50" x14ac:dyDescent="0.3">
      <c r="AV1815" t="str">
        <v>Data Analytics Course: Advanced</v>
      </c>
      <c r="AW1815">
        <v>199</v>
      </c>
      <c r="AX1815">
        <v>0.94</v>
      </c>
    </row>
    <row r="1816" spans="48:50" x14ac:dyDescent="0.3">
      <c r="AV1816" t="str">
        <v>Data Analytics Course: Basics</v>
      </c>
      <c r="AW1816">
        <v>242</v>
      </c>
      <c r="AX1816">
        <v>1.4</v>
      </c>
    </row>
    <row r="1817" spans="48:50" x14ac:dyDescent="0.3">
      <c r="AV1817" t="str">
        <v>Data Analytics Course: Basics</v>
      </c>
      <c r="AW1817">
        <v>185</v>
      </c>
      <c r="AX1817">
        <v>1.58</v>
      </c>
    </row>
    <row r="1818" spans="48:50" x14ac:dyDescent="0.3">
      <c r="AV1818" t="str">
        <v>Data Analytics Course: Visualizations</v>
      </c>
      <c r="AW1818">
        <v>209</v>
      </c>
      <c r="AX1818">
        <v>1.68</v>
      </c>
    </row>
    <row r="1819" spans="48:50" x14ac:dyDescent="0.3">
      <c r="AV1819" t="str">
        <v>Data Analytics Course: Basics</v>
      </c>
      <c r="AW1819">
        <v>183</v>
      </c>
      <c r="AX1819">
        <v>1.39</v>
      </c>
    </row>
    <row r="1820" spans="48:50" x14ac:dyDescent="0.3">
      <c r="AV1820" t="str">
        <v>Data Analytics Course: Basics</v>
      </c>
      <c r="AW1820">
        <v>192</v>
      </c>
      <c r="AX1820">
        <v>1.55</v>
      </c>
    </row>
    <row r="1821" spans="48:50" x14ac:dyDescent="0.3">
      <c r="AV1821" t="str">
        <v>Data Analytics Course: Visualizations</v>
      </c>
      <c r="AW1821">
        <v>240</v>
      </c>
      <c r="AX1821">
        <v>1.32</v>
      </c>
    </row>
    <row r="1822" spans="48:50" x14ac:dyDescent="0.3">
      <c r="AV1822" t="str">
        <v>Data Analytics Course: Basics</v>
      </c>
      <c r="AW1822">
        <v>234</v>
      </c>
      <c r="AX1822">
        <v>1.42</v>
      </c>
    </row>
    <row r="1823" spans="48:50" x14ac:dyDescent="0.3">
      <c r="AV1823" t="str">
        <v>Data Analytics Course: Basics</v>
      </c>
      <c r="AW1823">
        <v>234</v>
      </c>
      <c r="AX1823">
        <v>1.19</v>
      </c>
    </row>
    <row r="1824" spans="48:50" x14ac:dyDescent="0.3">
      <c r="AV1824" t="str">
        <v>Data Analytics Course: ML</v>
      </c>
      <c r="AW1824">
        <v>191</v>
      </c>
      <c r="AX1824">
        <v>1.18</v>
      </c>
    </row>
    <row r="1825" spans="48:50" x14ac:dyDescent="0.3">
      <c r="AV1825" t="str">
        <v>Data Analytics Course: Advanced</v>
      </c>
      <c r="AW1825">
        <v>223</v>
      </c>
      <c r="AX1825">
        <v>0.98</v>
      </c>
    </row>
    <row r="1826" spans="48:50" x14ac:dyDescent="0.3">
      <c r="AV1826" t="str">
        <v>Data Analytics Course: Basics</v>
      </c>
      <c r="AW1826">
        <v>196</v>
      </c>
      <c r="AX1826">
        <v>1.3</v>
      </c>
    </row>
    <row r="1827" spans="48:50" x14ac:dyDescent="0.3">
      <c r="AV1827" t="str">
        <v>Data Analytics Course: ML</v>
      </c>
      <c r="AW1827">
        <v>231</v>
      </c>
      <c r="AX1827">
        <v>1.73</v>
      </c>
    </row>
    <row r="1828" spans="48:50" x14ac:dyDescent="0.3">
      <c r="AV1828" t="str">
        <v>Data Analytics Course: ML</v>
      </c>
      <c r="AW1828">
        <v>228</v>
      </c>
      <c r="AX1828">
        <v>1.46</v>
      </c>
    </row>
    <row r="1829" spans="48:50" x14ac:dyDescent="0.3">
      <c r="AV1829" t="str">
        <v>Data Analytics Course: ML</v>
      </c>
      <c r="AW1829">
        <v>220</v>
      </c>
      <c r="AX1829">
        <v>1.38</v>
      </c>
    </row>
    <row r="1830" spans="48:50" x14ac:dyDescent="0.3">
      <c r="AV1830" t="str">
        <v>Data Analytics Course: Visualizations</v>
      </c>
      <c r="AW1830">
        <v>248</v>
      </c>
      <c r="AX1830">
        <v>1.31</v>
      </c>
    </row>
    <row r="1831" spans="48:50" x14ac:dyDescent="0.3">
      <c r="AV1831" t="str">
        <v>Data Analytics Course: Visualizations</v>
      </c>
      <c r="AW1831">
        <v>182</v>
      </c>
      <c r="AX1831">
        <v>1.56</v>
      </c>
    </row>
    <row r="1832" spans="48:50" x14ac:dyDescent="0.3">
      <c r="AV1832" t="str">
        <v>Data Analytics Course: Basics</v>
      </c>
      <c r="AW1832">
        <v>203</v>
      </c>
      <c r="AX1832">
        <v>1.38</v>
      </c>
    </row>
    <row r="1833" spans="48:50" x14ac:dyDescent="0.3">
      <c r="AV1833" t="str">
        <v>Data Analytics Course: Visualizations</v>
      </c>
      <c r="AW1833">
        <v>174</v>
      </c>
      <c r="AX1833">
        <v>1.84</v>
      </c>
    </row>
    <row r="1834" spans="48:50" x14ac:dyDescent="0.3">
      <c r="AV1834" t="str">
        <v>Data Analytics Course: ML</v>
      </c>
      <c r="AW1834">
        <v>201</v>
      </c>
      <c r="AX1834">
        <v>1.38</v>
      </c>
    </row>
    <row r="1835" spans="48:50" x14ac:dyDescent="0.3">
      <c r="AV1835" t="str">
        <v>Data Analytics Course: Visualizations</v>
      </c>
      <c r="AW1835">
        <v>208</v>
      </c>
      <c r="AX1835">
        <v>1.1499999999999999</v>
      </c>
    </row>
    <row r="1836" spans="48:50" x14ac:dyDescent="0.3">
      <c r="AV1836" t="str">
        <v>Data Analytics Course: Advanced</v>
      </c>
      <c r="AW1836">
        <v>229</v>
      </c>
      <c r="AX1836">
        <v>1.39</v>
      </c>
    </row>
    <row r="1837" spans="48:50" x14ac:dyDescent="0.3">
      <c r="AV1837" t="str">
        <v>Data Analytics Course: Advanced</v>
      </c>
      <c r="AW1837">
        <v>224</v>
      </c>
      <c r="AX1837">
        <v>1.79</v>
      </c>
    </row>
    <row r="1838" spans="48:50" x14ac:dyDescent="0.3">
      <c r="AV1838" t="str">
        <v>Data Analytics Course: Advanced</v>
      </c>
      <c r="AW1838">
        <v>201</v>
      </c>
      <c r="AX1838">
        <v>1.76</v>
      </c>
    </row>
    <row r="1839" spans="48:50" x14ac:dyDescent="0.3">
      <c r="AV1839" t="str">
        <v>Data Analytics Course: ML</v>
      </c>
      <c r="AW1839">
        <v>221</v>
      </c>
      <c r="AX1839">
        <v>1.32</v>
      </c>
    </row>
    <row r="1840" spans="48:50" x14ac:dyDescent="0.3">
      <c r="AV1840" t="str">
        <v>Data Analytics Course: Basics</v>
      </c>
      <c r="AW1840">
        <v>199</v>
      </c>
      <c r="AX1840">
        <v>1.27</v>
      </c>
    </row>
    <row r="1841" spans="48:50" x14ac:dyDescent="0.3">
      <c r="AV1841" t="str">
        <v>Data Analytics Course: Visualizations</v>
      </c>
      <c r="AW1841">
        <v>207</v>
      </c>
      <c r="AX1841">
        <v>1.4</v>
      </c>
    </row>
    <row r="1842" spans="48:50" x14ac:dyDescent="0.3">
      <c r="AV1842" t="str">
        <v>Data Analytics Course: ML</v>
      </c>
      <c r="AW1842">
        <v>228</v>
      </c>
      <c r="AX1842">
        <v>1.1200000000000001</v>
      </c>
    </row>
    <row r="1843" spans="48:50" x14ac:dyDescent="0.3">
      <c r="AV1843" t="str">
        <v>Data Analytics Course: Basics</v>
      </c>
      <c r="AW1843">
        <v>183</v>
      </c>
      <c r="AX1843">
        <v>1.72</v>
      </c>
    </row>
    <row r="1844" spans="48:50" x14ac:dyDescent="0.3">
      <c r="AV1844" t="str">
        <v>Data Analytics Course: Advanced</v>
      </c>
      <c r="AW1844">
        <v>199</v>
      </c>
      <c r="AX1844">
        <v>1.17</v>
      </c>
    </row>
    <row r="1845" spans="48:50" x14ac:dyDescent="0.3">
      <c r="AV1845" t="str">
        <v>Data Analytics Course: ML</v>
      </c>
      <c r="AW1845">
        <v>213</v>
      </c>
      <c r="AX1845">
        <v>1.41</v>
      </c>
    </row>
    <row r="1846" spans="48:50" x14ac:dyDescent="0.3">
      <c r="AV1846" t="str">
        <v>Data Analytics Course: Advanced</v>
      </c>
      <c r="AW1846">
        <v>198</v>
      </c>
      <c r="AX1846">
        <v>1.21</v>
      </c>
    </row>
    <row r="1847" spans="48:50" x14ac:dyDescent="0.3">
      <c r="AV1847" t="str">
        <v>Data Analytics Course: Visualizations</v>
      </c>
      <c r="AW1847">
        <v>232</v>
      </c>
      <c r="AX1847">
        <v>1.48</v>
      </c>
    </row>
    <row r="1848" spans="48:50" x14ac:dyDescent="0.3">
      <c r="AV1848" t="str">
        <v>Data Analytics Course: Basics</v>
      </c>
      <c r="AW1848">
        <v>239</v>
      </c>
      <c r="AX1848">
        <v>1.1200000000000001</v>
      </c>
    </row>
    <row r="1849" spans="48:50" x14ac:dyDescent="0.3">
      <c r="AV1849" t="str">
        <v>Data Analytics Course: Advanced</v>
      </c>
      <c r="AW1849">
        <v>228</v>
      </c>
      <c r="AX1849">
        <v>1.5</v>
      </c>
    </row>
    <row r="1850" spans="48:50" x14ac:dyDescent="0.3">
      <c r="AV1850" t="str">
        <v>Data Analytics Course: ML</v>
      </c>
      <c r="AW1850">
        <v>225</v>
      </c>
      <c r="AX1850">
        <v>1.6</v>
      </c>
    </row>
    <row r="1851" spans="48:50" x14ac:dyDescent="0.3">
      <c r="AV1851" t="str">
        <v>Data Analytics Course: ML</v>
      </c>
      <c r="AW1851">
        <v>198</v>
      </c>
      <c r="AX1851">
        <v>1.3</v>
      </c>
    </row>
    <row r="1852" spans="48:50" x14ac:dyDescent="0.3">
      <c r="AV1852" t="str">
        <v>Data Analytics Course: Visualizations</v>
      </c>
      <c r="AW1852">
        <v>192</v>
      </c>
      <c r="AX1852">
        <v>1.7</v>
      </c>
    </row>
    <row r="1853" spans="48:50" x14ac:dyDescent="0.3">
      <c r="AV1853" t="str">
        <v>Data Analytics Course: Visualizations</v>
      </c>
      <c r="AW1853">
        <v>230</v>
      </c>
      <c r="AX1853">
        <v>1.1499999999999999</v>
      </c>
    </row>
    <row r="1854" spans="48:50" x14ac:dyDescent="0.3">
      <c r="AV1854" t="str">
        <v>Data Analytics Course: ML</v>
      </c>
      <c r="AW1854">
        <v>181</v>
      </c>
      <c r="AX1854">
        <v>1.51</v>
      </c>
    </row>
    <row r="1855" spans="48:50" x14ac:dyDescent="0.3">
      <c r="AV1855" t="str">
        <v>Data Analytics Course: Basics</v>
      </c>
      <c r="AW1855">
        <v>185</v>
      </c>
      <c r="AX1855">
        <v>2.0699999999999998</v>
      </c>
    </row>
    <row r="1856" spans="48:50" x14ac:dyDescent="0.3">
      <c r="AV1856" t="str">
        <v>Data Analytics Course: Basics</v>
      </c>
      <c r="AW1856">
        <v>214</v>
      </c>
      <c r="AX1856">
        <v>1.07</v>
      </c>
    </row>
    <row r="1857" spans="48:50" x14ac:dyDescent="0.3">
      <c r="AV1857" t="str">
        <v>Data Analytics Course: Advanced</v>
      </c>
      <c r="AW1857">
        <v>192</v>
      </c>
      <c r="AX1857">
        <v>1.9</v>
      </c>
    </row>
    <row r="1858" spans="48:50" x14ac:dyDescent="0.3">
      <c r="AV1858" t="str">
        <v>Data Analytics Course: Advanced</v>
      </c>
      <c r="AW1858">
        <v>229</v>
      </c>
      <c r="AX1858">
        <v>1.57</v>
      </c>
    </row>
    <row r="1859" spans="48:50" x14ac:dyDescent="0.3">
      <c r="AV1859" t="str">
        <v>Data Analytics Course: Advanced</v>
      </c>
      <c r="AW1859">
        <v>222</v>
      </c>
      <c r="AX1859">
        <v>1.37</v>
      </c>
    </row>
    <row r="1860" spans="48:50" x14ac:dyDescent="0.3">
      <c r="AV1860" t="str">
        <v>Data Analytics Course: Advanced</v>
      </c>
      <c r="AW1860">
        <v>185</v>
      </c>
      <c r="AX1860">
        <v>1.1200000000000001</v>
      </c>
    </row>
    <row r="1861" spans="48:50" x14ac:dyDescent="0.3">
      <c r="AV1861" t="str">
        <v>Data Analytics Course: ML</v>
      </c>
      <c r="AW1861">
        <v>206</v>
      </c>
      <c r="AX1861">
        <v>1.21</v>
      </c>
    </row>
    <row r="1862" spans="48:50" x14ac:dyDescent="0.3">
      <c r="AV1862" t="str">
        <v>Data Analytics Course: Visualizations</v>
      </c>
      <c r="AW1862">
        <v>203</v>
      </c>
      <c r="AX1862">
        <v>1.07</v>
      </c>
    </row>
    <row r="1863" spans="48:50" x14ac:dyDescent="0.3">
      <c r="AV1863" t="str">
        <v>Data Analytics Course: Basics</v>
      </c>
      <c r="AW1863">
        <v>205</v>
      </c>
      <c r="AX1863">
        <v>1.7</v>
      </c>
    </row>
    <row r="1864" spans="48:50" x14ac:dyDescent="0.3">
      <c r="AV1864" t="str">
        <v>Data Analytics Course: Basics</v>
      </c>
      <c r="AW1864">
        <v>226</v>
      </c>
      <c r="AX1864">
        <v>1.65</v>
      </c>
    </row>
    <row r="1865" spans="48:50" x14ac:dyDescent="0.3">
      <c r="AV1865" t="str">
        <v>Data Analytics Course: Visualizations</v>
      </c>
      <c r="AW1865">
        <v>183</v>
      </c>
      <c r="AX1865">
        <v>1.1399999999999999</v>
      </c>
    </row>
    <row r="1866" spans="48:50" x14ac:dyDescent="0.3">
      <c r="AV1866" t="str">
        <v>Data Analytics Course: Visualizations</v>
      </c>
      <c r="AW1866">
        <v>197</v>
      </c>
      <c r="AX1866">
        <v>1.1299999999999999</v>
      </c>
    </row>
    <row r="1867" spans="48:50" x14ac:dyDescent="0.3">
      <c r="AV1867" t="str">
        <v>Data Analytics Course: Visualizations</v>
      </c>
      <c r="AW1867">
        <v>181</v>
      </c>
      <c r="AX1867">
        <v>1.24</v>
      </c>
    </row>
    <row r="1868" spans="48:50" x14ac:dyDescent="0.3">
      <c r="AV1868" t="str">
        <v>Data Analytics Course: Advanced</v>
      </c>
      <c r="AW1868">
        <v>228</v>
      </c>
      <c r="AX1868">
        <v>1.24</v>
      </c>
    </row>
    <row r="1869" spans="48:50" x14ac:dyDescent="0.3">
      <c r="AV1869" t="str">
        <v>Data Analytics Course: Visualizations</v>
      </c>
      <c r="AW1869">
        <v>222</v>
      </c>
      <c r="AX1869">
        <v>1.8</v>
      </c>
    </row>
    <row r="1870" spans="48:50" x14ac:dyDescent="0.3">
      <c r="AV1870" t="str">
        <v>Data Analytics Course: Basics</v>
      </c>
      <c r="AW1870">
        <v>301</v>
      </c>
      <c r="AX1870">
        <v>1.22</v>
      </c>
    </row>
    <row r="1871" spans="48:50" x14ac:dyDescent="0.3">
      <c r="AV1871" t="str">
        <v>Data Analytics Course: Visualizations</v>
      </c>
      <c r="AW1871">
        <v>237</v>
      </c>
      <c r="AX1871">
        <v>1.49</v>
      </c>
    </row>
    <row r="1872" spans="48:50" x14ac:dyDescent="0.3">
      <c r="AV1872" t="str">
        <v>Data Analytics Course: Visualizations</v>
      </c>
      <c r="AW1872">
        <v>240</v>
      </c>
      <c r="AX1872">
        <v>1.05</v>
      </c>
    </row>
    <row r="1873" spans="48:50" x14ac:dyDescent="0.3">
      <c r="AV1873" t="str">
        <v>Data Analytics Course: Visualizations</v>
      </c>
      <c r="AW1873">
        <v>224</v>
      </c>
      <c r="AX1873">
        <v>1.58</v>
      </c>
    </row>
    <row r="1874" spans="48:50" x14ac:dyDescent="0.3">
      <c r="AV1874" t="str">
        <v>Data Analytics Course: Visualizations</v>
      </c>
      <c r="AW1874">
        <v>194</v>
      </c>
      <c r="AX1874">
        <v>1.46</v>
      </c>
    </row>
    <row r="1875" spans="48:50" x14ac:dyDescent="0.3">
      <c r="AV1875" t="str">
        <v>Data Analytics Course: ML</v>
      </c>
      <c r="AW1875">
        <v>231</v>
      </c>
      <c r="AX1875">
        <v>1.73</v>
      </c>
    </row>
    <row r="1876" spans="48:50" x14ac:dyDescent="0.3">
      <c r="AV1876" t="str">
        <v>Data Analytics Course: Advanced</v>
      </c>
      <c r="AW1876">
        <v>217</v>
      </c>
      <c r="AX1876">
        <v>1.67</v>
      </c>
    </row>
    <row r="1877" spans="48:50" x14ac:dyDescent="0.3">
      <c r="AV1877" t="str">
        <v>Data Analytics Course: Visualizations</v>
      </c>
      <c r="AW1877">
        <v>228</v>
      </c>
      <c r="AX1877">
        <v>0.9</v>
      </c>
    </row>
    <row r="1878" spans="48:50" x14ac:dyDescent="0.3">
      <c r="AV1878" t="str">
        <v>Data Analytics Course: Advanced</v>
      </c>
      <c r="AW1878">
        <v>248</v>
      </c>
      <c r="AX1878">
        <v>1.46</v>
      </c>
    </row>
    <row r="1879" spans="48:50" x14ac:dyDescent="0.3">
      <c r="AV1879" t="str">
        <v>Data Analytics Course: Advanced</v>
      </c>
      <c r="AW1879">
        <v>204</v>
      </c>
      <c r="AX1879">
        <v>1.96</v>
      </c>
    </row>
    <row r="1880" spans="48:50" x14ac:dyDescent="0.3">
      <c r="AV1880" t="str">
        <v>Data Analytics Course: Basics</v>
      </c>
      <c r="AW1880">
        <v>191</v>
      </c>
      <c r="AX1880">
        <v>1.93</v>
      </c>
    </row>
    <row r="1881" spans="48:50" x14ac:dyDescent="0.3">
      <c r="AV1881" t="str">
        <v>Data Analytics Course: ML</v>
      </c>
      <c r="AW1881">
        <v>241</v>
      </c>
      <c r="AX1881">
        <v>1.34</v>
      </c>
    </row>
    <row r="1882" spans="48:50" x14ac:dyDescent="0.3">
      <c r="AV1882" t="str">
        <v>Data Analytics Course: Basics</v>
      </c>
      <c r="AW1882">
        <v>193</v>
      </c>
      <c r="AX1882">
        <v>1.1499999999999999</v>
      </c>
    </row>
    <row r="1883" spans="48:50" x14ac:dyDescent="0.3">
      <c r="AV1883" t="str">
        <v>Data Analytics Course: Advanced</v>
      </c>
      <c r="AW1883">
        <v>247</v>
      </c>
      <c r="AX1883">
        <v>0.94</v>
      </c>
    </row>
    <row r="1884" spans="48:50" x14ac:dyDescent="0.3">
      <c r="AV1884" t="str">
        <v>Data Analytics Course: Advanced</v>
      </c>
      <c r="AW1884">
        <v>195</v>
      </c>
      <c r="AX1884">
        <v>1.59</v>
      </c>
    </row>
    <row r="1885" spans="48:50" x14ac:dyDescent="0.3">
      <c r="AV1885" t="str">
        <v>Data Analytics Course: Visualizations</v>
      </c>
      <c r="AW1885">
        <v>191</v>
      </c>
      <c r="AX1885">
        <v>1.43</v>
      </c>
    </row>
    <row r="1886" spans="48:50" x14ac:dyDescent="0.3">
      <c r="AV1886" t="str">
        <v>Data Analytics Course: Basics</v>
      </c>
      <c r="AW1886">
        <v>214</v>
      </c>
      <c r="AX1886">
        <v>1.03</v>
      </c>
    </row>
    <row r="1887" spans="48:50" x14ac:dyDescent="0.3">
      <c r="AV1887" t="str">
        <v>Data Analytics Course: Advanced</v>
      </c>
      <c r="AW1887">
        <v>199</v>
      </c>
      <c r="AX1887">
        <v>1.96</v>
      </c>
    </row>
    <row r="1888" spans="48:50" x14ac:dyDescent="0.3">
      <c r="AV1888" t="str">
        <v>Data Analytics Course: Advanced</v>
      </c>
      <c r="AW1888">
        <v>233</v>
      </c>
      <c r="AX1888">
        <v>1.56</v>
      </c>
    </row>
    <row r="1889" spans="48:50" x14ac:dyDescent="0.3">
      <c r="AV1889" t="str">
        <v>Data Analytics Course: Visualizations</v>
      </c>
      <c r="AW1889">
        <v>189</v>
      </c>
      <c r="AX1889">
        <v>1.35</v>
      </c>
    </row>
    <row r="1890" spans="48:50" x14ac:dyDescent="0.3">
      <c r="AV1890" t="str">
        <v>Data Analytics Course: Basics</v>
      </c>
      <c r="AW1890">
        <v>206</v>
      </c>
      <c r="AX1890">
        <v>1.58</v>
      </c>
    </row>
    <row r="1891" spans="48:50" x14ac:dyDescent="0.3">
      <c r="AV1891" t="str">
        <v>Data Analytics Course: Basics</v>
      </c>
      <c r="AW1891">
        <v>185</v>
      </c>
      <c r="AX1891">
        <v>1.72</v>
      </c>
    </row>
    <row r="1892" spans="48:50" x14ac:dyDescent="0.3">
      <c r="AV1892" t="str">
        <v>Data Analytics Course: Basics</v>
      </c>
      <c r="AW1892">
        <v>244</v>
      </c>
      <c r="AX1892">
        <v>1.6</v>
      </c>
    </row>
    <row r="1893" spans="48:50" x14ac:dyDescent="0.3">
      <c r="AV1893" t="str">
        <v>Data Analytics Course: Visualizations</v>
      </c>
      <c r="AW1893">
        <v>206</v>
      </c>
      <c r="AX1893">
        <v>1.82</v>
      </c>
    </row>
    <row r="1894" spans="48:50" x14ac:dyDescent="0.3">
      <c r="AV1894" t="str">
        <v>Data Analytics Course: Basics</v>
      </c>
      <c r="AW1894">
        <v>222</v>
      </c>
      <c r="AX1894">
        <v>1.03</v>
      </c>
    </row>
    <row r="1895" spans="48:50" x14ac:dyDescent="0.3">
      <c r="AV1895" t="str">
        <v>Data Analytics Course: ML</v>
      </c>
      <c r="AW1895">
        <v>230</v>
      </c>
      <c r="AX1895">
        <v>1.45</v>
      </c>
    </row>
    <row r="1896" spans="48:50" x14ac:dyDescent="0.3">
      <c r="AV1896" t="str">
        <v>Data Analytics Course: Visualizations</v>
      </c>
      <c r="AW1896">
        <v>183</v>
      </c>
      <c r="AX1896">
        <v>1.38</v>
      </c>
    </row>
    <row r="1897" spans="48:50" x14ac:dyDescent="0.3">
      <c r="AV1897" t="str">
        <v>Data Analytics Course: ML</v>
      </c>
      <c r="AW1897">
        <v>202</v>
      </c>
      <c r="AX1897">
        <v>1.88</v>
      </c>
    </row>
    <row r="1898" spans="48:50" x14ac:dyDescent="0.3">
      <c r="AV1898" t="str">
        <v>Data Analytics Course: Advanced</v>
      </c>
      <c r="AW1898">
        <v>202</v>
      </c>
      <c r="AX1898">
        <v>1.1200000000000001</v>
      </c>
    </row>
    <row r="1899" spans="48:50" x14ac:dyDescent="0.3">
      <c r="AV1899" t="str">
        <v>Data Analytics Course: ML</v>
      </c>
      <c r="AW1899">
        <v>241</v>
      </c>
      <c r="AX1899">
        <v>1.26</v>
      </c>
    </row>
    <row r="1900" spans="48:50" x14ac:dyDescent="0.3">
      <c r="AV1900" t="str">
        <v>Data Analytics Course: Advanced</v>
      </c>
      <c r="AW1900">
        <v>193</v>
      </c>
      <c r="AX1900">
        <v>1.25</v>
      </c>
    </row>
    <row r="1901" spans="48:50" x14ac:dyDescent="0.3">
      <c r="AV1901" t="str">
        <v>Data Analytics Course: ML</v>
      </c>
      <c r="AW1901">
        <v>181</v>
      </c>
      <c r="AX1901">
        <v>2.04</v>
      </c>
    </row>
    <row r="1902" spans="48:50" x14ac:dyDescent="0.3">
      <c r="AV1902" t="str">
        <v>Data Analytics Course: Basics</v>
      </c>
      <c r="AW1902">
        <v>204</v>
      </c>
      <c r="AX1902">
        <v>1.78</v>
      </c>
    </row>
    <row r="1903" spans="48:50" x14ac:dyDescent="0.3">
      <c r="AV1903" t="str">
        <v>Data Analytics Course: ML</v>
      </c>
      <c r="AW1903">
        <v>227</v>
      </c>
      <c r="AX1903">
        <v>1.23</v>
      </c>
    </row>
    <row r="1904" spans="48:50" x14ac:dyDescent="0.3">
      <c r="AV1904" t="str">
        <v>Data Analytics Course: Basics</v>
      </c>
      <c r="AW1904">
        <v>187</v>
      </c>
      <c r="AX1904">
        <v>1.2</v>
      </c>
    </row>
    <row r="1905" spans="48:50" x14ac:dyDescent="0.3">
      <c r="AV1905" t="str">
        <v>Data Analytics Course: Basics</v>
      </c>
      <c r="AW1905">
        <v>210</v>
      </c>
      <c r="AX1905">
        <v>1.7</v>
      </c>
    </row>
    <row r="1906" spans="48:50" x14ac:dyDescent="0.3">
      <c r="AV1906" t="str">
        <v>Data Analytics Course: Visualizations</v>
      </c>
      <c r="AW1906">
        <v>236</v>
      </c>
      <c r="AX1906">
        <v>1.19</v>
      </c>
    </row>
    <row r="1907" spans="48:50" x14ac:dyDescent="0.3">
      <c r="AV1907" t="str">
        <v>Data Analytics Course: ML</v>
      </c>
      <c r="AW1907">
        <v>213</v>
      </c>
      <c r="AX1907">
        <v>0.97</v>
      </c>
    </row>
    <row r="1908" spans="48:50" x14ac:dyDescent="0.3">
      <c r="AV1908" t="str">
        <v>Data Analytics Course: Basics</v>
      </c>
      <c r="AW1908">
        <v>240</v>
      </c>
      <c r="AX1908">
        <v>1.54</v>
      </c>
    </row>
    <row r="1909" spans="48:50" x14ac:dyDescent="0.3">
      <c r="AV1909" t="str">
        <v>Data Analytics Course: ML</v>
      </c>
      <c r="AW1909">
        <v>210</v>
      </c>
      <c r="AX1909">
        <v>0.99</v>
      </c>
    </row>
    <row r="1910" spans="48:50" x14ac:dyDescent="0.3">
      <c r="AV1910" t="str">
        <v>Data Analytics Course: ML</v>
      </c>
      <c r="AW1910">
        <v>244</v>
      </c>
      <c r="AX1910">
        <v>1.6</v>
      </c>
    </row>
    <row r="1911" spans="48:50" x14ac:dyDescent="0.3">
      <c r="AV1911" t="str">
        <v>Data Analytics Course: ML</v>
      </c>
      <c r="AW1911">
        <v>189</v>
      </c>
      <c r="AX1911">
        <v>1.68</v>
      </c>
    </row>
    <row r="1912" spans="48:50" x14ac:dyDescent="0.3">
      <c r="AV1912" t="str">
        <v>Data Analytics Course: Advanced</v>
      </c>
      <c r="AW1912">
        <v>183</v>
      </c>
      <c r="AX1912">
        <v>1.28</v>
      </c>
    </row>
    <row r="1913" spans="48:50" x14ac:dyDescent="0.3">
      <c r="AV1913" t="str">
        <v>Data Analytics Course: Basics</v>
      </c>
      <c r="AW1913">
        <v>241</v>
      </c>
      <c r="AX1913">
        <v>1.28</v>
      </c>
    </row>
    <row r="1914" spans="48:50" x14ac:dyDescent="0.3">
      <c r="AV1914" t="str">
        <v>Data Analytics Course: Advanced</v>
      </c>
      <c r="AW1914">
        <v>243</v>
      </c>
      <c r="AX1914">
        <v>0.89</v>
      </c>
    </row>
    <row r="1915" spans="48:50" x14ac:dyDescent="0.3">
      <c r="AV1915" t="str">
        <v>Data Analytics Course: ML</v>
      </c>
      <c r="AW1915">
        <v>238</v>
      </c>
      <c r="AX1915">
        <v>1.1000000000000001</v>
      </c>
    </row>
    <row r="1916" spans="48:50" x14ac:dyDescent="0.3">
      <c r="AV1916" t="str">
        <v>Data Analytics Course: ML</v>
      </c>
      <c r="AW1916">
        <v>216</v>
      </c>
      <c r="AX1916">
        <v>1.63</v>
      </c>
    </row>
    <row r="1917" spans="48:50" x14ac:dyDescent="0.3">
      <c r="AV1917" t="str">
        <v>Data Analytics Course: Basics</v>
      </c>
      <c r="AW1917">
        <v>211</v>
      </c>
      <c r="AX1917">
        <v>1.04</v>
      </c>
    </row>
    <row r="1918" spans="48:50" x14ac:dyDescent="0.3">
      <c r="AV1918" t="str">
        <v>Data Analytics Course: Basics</v>
      </c>
      <c r="AW1918">
        <v>187</v>
      </c>
      <c r="AX1918">
        <v>1.92</v>
      </c>
    </row>
    <row r="1919" spans="48:50" x14ac:dyDescent="0.3">
      <c r="AV1919" t="str">
        <v>Data Analytics Course: Visualizations</v>
      </c>
      <c r="AW1919">
        <v>224</v>
      </c>
      <c r="AX1919">
        <v>0.98</v>
      </c>
    </row>
    <row r="1920" spans="48:50" x14ac:dyDescent="0.3">
      <c r="AV1920" t="str">
        <v>Data Analytics Course: Advanced</v>
      </c>
      <c r="AW1920">
        <v>248</v>
      </c>
      <c r="AX1920">
        <v>0.95</v>
      </c>
    </row>
    <row r="1921" spans="48:50" x14ac:dyDescent="0.3">
      <c r="AV1921" t="str">
        <v>Data Analytics Course: Basics</v>
      </c>
      <c r="AW1921">
        <v>210</v>
      </c>
      <c r="AX1921">
        <v>1.92</v>
      </c>
    </row>
    <row r="1922" spans="48:50" x14ac:dyDescent="0.3">
      <c r="AV1922" t="str">
        <v>Data Analytics Course: ML</v>
      </c>
      <c r="AW1922">
        <v>245</v>
      </c>
      <c r="AX1922">
        <v>1.66</v>
      </c>
    </row>
    <row r="1923" spans="48:50" x14ac:dyDescent="0.3">
      <c r="AV1923" t="str">
        <v>Data Analytics Course: Advanced</v>
      </c>
      <c r="AW1923">
        <v>221</v>
      </c>
      <c r="AX1923">
        <v>1.27</v>
      </c>
    </row>
    <row r="1924" spans="48:50" x14ac:dyDescent="0.3">
      <c r="AV1924" t="str">
        <v>Data Analytics Course: Advanced</v>
      </c>
      <c r="AW1924">
        <v>221</v>
      </c>
      <c r="AX1924">
        <v>1.75</v>
      </c>
    </row>
    <row r="1925" spans="48:50" x14ac:dyDescent="0.3">
      <c r="AV1925" t="str">
        <v>Data Analytics Course: Visualizations</v>
      </c>
      <c r="AW1925">
        <v>238</v>
      </c>
      <c r="AX1925">
        <v>1.62</v>
      </c>
    </row>
    <row r="1926" spans="48:50" x14ac:dyDescent="0.3">
      <c r="AV1926" t="str">
        <v>Data Analytics Course: Visualizations</v>
      </c>
      <c r="AW1926">
        <v>182</v>
      </c>
      <c r="AX1926">
        <v>1.21</v>
      </c>
    </row>
    <row r="1927" spans="48:50" x14ac:dyDescent="0.3">
      <c r="AV1927" t="str">
        <v>Data Analytics Course: ML</v>
      </c>
      <c r="AW1927">
        <v>202</v>
      </c>
      <c r="AX1927">
        <v>1.74</v>
      </c>
    </row>
    <row r="1928" spans="48:50" x14ac:dyDescent="0.3">
      <c r="AV1928" t="str">
        <v>Data Analytics Course: Basics</v>
      </c>
      <c r="AW1928">
        <v>234</v>
      </c>
      <c r="AX1928">
        <v>1.37</v>
      </c>
    </row>
    <row r="1929" spans="48:50" x14ac:dyDescent="0.3">
      <c r="AV1929" t="str">
        <v>Data Analytics Course: Basics</v>
      </c>
      <c r="AW1929">
        <v>141</v>
      </c>
      <c r="AX1929">
        <v>2.79</v>
      </c>
    </row>
    <row r="1930" spans="48:50" x14ac:dyDescent="0.3">
      <c r="AV1930" t="str">
        <v>Data Analytics Course: Visualizations</v>
      </c>
      <c r="AW1930">
        <v>186</v>
      </c>
      <c r="AX1930">
        <v>1.44</v>
      </c>
    </row>
    <row r="1931" spans="48:50" x14ac:dyDescent="0.3">
      <c r="AV1931" t="str">
        <v>Data Analytics Course: Advanced</v>
      </c>
      <c r="AW1931">
        <v>242</v>
      </c>
      <c r="AX1931">
        <v>1.5</v>
      </c>
    </row>
    <row r="1932" spans="48:50" x14ac:dyDescent="0.3">
      <c r="AV1932" t="str">
        <v>Data Analytics Course: Basics</v>
      </c>
      <c r="AW1932">
        <v>217</v>
      </c>
      <c r="AX1932">
        <v>1.42</v>
      </c>
    </row>
    <row r="1933" spans="48:50" x14ac:dyDescent="0.3">
      <c r="AV1933" t="str">
        <v>Data Analytics Course: Basics</v>
      </c>
      <c r="AW1933">
        <v>211</v>
      </c>
      <c r="AX1933">
        <v>1.33</v>
      </c>
    </row>
    <row r="1934" spans="48:50" x14ac:dyDescent="0.3">
      <c r="AV1934" t="str">
        <v>Data Analytics Course: Basics</v>
      </c>
      <c r="AW1934">
        <v>185</v>
      </c>
      <c r="AX1934">
        <v>1.1499999999999999</v>
      </c>
    </row>
    <row r="1935" spans="48:50" x14ac:dyDescent="0.3">
      <c r="AV1935" t="str">
        <v>Data Analytics Course: ML</v>
      </c>
      <c r="AW1935">
        <v>200</v>
      </c>
      <c r="AX1935">
        <v>1.94</v>
      </c>
    </row>
    <row r="1936" spans="48:50" x14ac:dyDescent="0.3">
      <c r="AV1936" t="str">
        <v>Data Analytics Course: Advanced</v>
      </c>
      <c r="AW1936">
        <v>212</v>
      </c>
      <c r="AX1936">
        <v>1.1599999999999999</v>
      </c>
    </row>
    <row r="1937" spans="48:50" x14ac:dyDescent="0.3">
      <c r="AV1937" t="str">
        <v>Data Analytics Course: ML</v>
      </c>
      <c r="AW1937">
        <v>233</v>
      </c>
      <c r="AX1937">
        <v>1.22</v>
      </c>
    </row>
    <row r="1938" spans="48:50" x14ac:dyDescent="0.3">
      <c r="AV1938" t="str">
        <v>Data Analytics Course: ML</v>
      </c>
      <c r="AW1938">
        <v>199</v>
      </c>
      <c r="AX1938">
        <v>1.27</v>
      </c>
    </row>
    <row r="1939" spans="48:50" x14ac:dyDescent="0.3">
      <c r="AV1939" t="str">
        <v>Data Analytics Course: Basics</v>
      </c>
      <c r="AW1939">
        <v>244</v>
      </c>
      <c r="AX1939">
        <v>0.94</v>
      </c>
    </row>
    <row r="1940" spans="48:50" x14ac:dyDescent="0.3">
      <c r="AV1940" t="str">
        <v>Data Analytics Course: Basics</v>
      </c>
      <c r="AW1940">
        <v>227</v>
      </c>
      <c r="AX1940">
        <v>1.76</v>
      </c>
    </row>
    <row r="1941" spans="48:50" x14ac:dyDescent="0.3">
      <c r="AV1941" t="str">
        <v>Data Analytics Course: ML</v>
      </c>
      <c r="AW1941">
        <v>225</v>
      </c>
      <c r="AX1941">
        <v>1.36</v>
      </c>
    </row>
    <row r="1942" spans="48:50" x14ac:dyDescent="0.3">
      <c r="AV1942" t="str">
        <v>Data Analytics Course: Advanced</v>
      </c>
      <c r="AW1942">
        <v>181</v>
      </c>
      <c r="AX1942">
        <v>2.0499999999999998</v>
      </c>
    </row>
    <row r="1943" spans="48:50" x14ac:dyDescent="0.3">
      <c r="AV1943" t="str">
        <v>Data Analytics Course: ML</v>
      </c>
      <c r="AW1943">
        <v>215</v>
      </c>
      <c r="AX1943">
        <v>1.25</v>
      </c>
    </row>
    <row r="1944" spans="48:50" x14ac:dyDescent="0.3">
      <c r="AV1944" t="str">
        <v>Data Analytics Course: Basics</v>
      </c>
      <c r="AW1944">
        <v>199</v>
      </c>
      <c r="AX1944">
        <v>1.49</v>
      </c>
    </row>
    <row r="1945" spans="48:50" x14ac:dyDescent="0.3">
      <c r="AV1945" t="str">
        <v>Data Analytics Course: Basics</v>
      </c>
      <c r="AW1945">
        <v>211</v>
      </c>
      <c r="AX1945">
        <v>1.81</v>
      </c>
    </row>
    <row r="1946" spans="48:50" x14ac:dyDescent="0.3">
      <c r="AV1946" t="str">
        <v>Data Analytics Course: Visualizations</v>
      </c>
      <c r="AW1946">
        <v>235</v>
      </c>
      <c r="AX1946">
        <v>1.99</v>
      </c>
    </row>
    <row r="1947" spans="48:50" x14ac:dyDescent="0.3">
      <c r="AV1947" t="str">
        <v>Data Analytics Course: Basics</v>
      </c>
      <c r="AW1947">
        <v>221</v>
      </c>
      <c r="AX1947">
        <v>1.24</v>
      </c>
    </row>
    <row r="1948" spans="48:50" x14ac:dyDescent="0.3">
      <c r="AV1948" t="str">
        <v>Data Analytics Course: Visualizations</v>
      </c>
      <c r="AW1948">
        <v>185</v>
      </c>
      <c r="AX1948">
        <v>2.5299999999999998</v>
      </c>
    </row>
    <row r="1949" spans="48:50" x14ac:dyDescent="0.3">
      <c r="AV1949" t="str">
        <v>Data Analytics Course: ML</v>
      </c>
      <c r="AW1949">
        <v>224</v>
      </c>
      <c r="AX1949">
        <v>1.72</v>
      </c>
    </row>
    <row r="1950" spans="48:50" x14ac:dyDescent="0.3">
      <c r="AV1950" t="str">
        <v>Data Analytics Course: Basics</v>
      </c>
      <c r="AW1950">
        <v>213</v>
      </c>
      <c r="AX1950">
        <v>1.3</v>
      </c>
    </row>
    <row r="1951" spans="48:50" x14ac:dyDescent="0.3">
      <c r="AV1951" t="str">
        <v>Data Analytics Course: ML</v>
      </c>
      <c r="AW1951">
        <v>217</v>
      </c>
      <c r="AX1951">
        <v>1.48</v>
      </c>
    </row>
    <row r="1952" spans="48:50" x14ac:dyDescent="0.3">
      <c r="AV1952" t="str">
        <v>Data Analytics Course: Basics</v>
      </c>
      <c r="AW1952">
        <v>225</v>
      </c>
      <c r="AX1952">
        <v>1.42</v>
      </c>
    </row>
    <row r="1953" spans="48:50" x14ac:dyDescent="0.3">
      <c r="AV1953" t="str">
        <v>Data Analytics Course: Visualizations</v>
      </c>
      <c r="AW1953">
        <v>234</v>
      </c>
      <c r="AX1953">
        <v>0.97</v>
      </c>
    </row>
    <row r="1954" spans="48:50" x14ac:dyDescent="0.3">
      <c r="AV1954" t="str">
        <v>Data Analytics Course: Basics</v>
      </c>
      <c r="AW1954">
        <v>212</v>
      </c>
      <c r="AX1954">
        <v>1.35</v>
      </c>
    </row>
    <row r="1955" spans="48:50" x14ac:dyDescent="0.3">
      <c r="AV1955" t="str">
        <v>Data Analytics Course: ML</v>
      </c>
      <c r="AW1955">
        <v>205</v>
      </c>
      <c r="AX1955">
        <v>1.1499999999999999</v>
      </c>
    </row>
    <row r="1956" spans="48:50" x14ac:dyDescent="0.3">
      <c r="AV1956" t="str">
        <v>Data Analytics Course: Basics</v>
      </c>
      <c r="AW1956">
        <v>210</v>
      </c>
      <c r="AX1956">
        <v>1.28</v>
      </c>
    </row>
    <row r="1957" spans="48:50" x14ac:dyDescent="0.3">
      <c r="AV1957" t="str">
        <v>Data Analytics Course: Basics</v>
      </c>
      <c r="AW1957">
        <v>234</v>
      </c>
      <c r="AX1957">
        <v>1.01</v>
      </c>
    </row>
    <row r="1958" spans="48:50" x14ac:dyDescent="0.3">
      <c r="AV1958" t="str">
        <v>Data Analytics Course: Advanced</v>
      </c>
      <c r="AW1958">
        <v>158</v>
      </c>
      <c r="AX1958">
        <v>2.2400000000000002</v>
      </c>
    </row>
    <row r="1959" spans="48:50" x14ac:dyDescent="0.3">
      <c r="AV1959" t="str">
        <v>Data Analytics Course: Advanced</v>
      </c>
      <c r="AW1959">
        <v>240</v>
      </c>
      <c r="AX1959">
        <v>1.31</v>
      </c>
    </row>
    <row r="1960" spans="48:50" x14ac:dyDescent="0.3">
      <c r="AV1960" t="str">
        <v>Data Analytics Course: Visualizations</v>
      </c>
      <c r="AW1960">
        <v>199</v>
      </c>
      <c r="AX1960">
        <v>1.51</v>
      </c>
    </row>
    <row r="1961" spans="48:50" x14ac:dyDescent="0.3">
      <c r="AV1961" t="str">
        <v>Data Analytics Course: Basics</v>
      </c>
      <c r="AW1961">
        <v>247</v>
      </c>
      <c r="AX1961">
        <v>1.1599999999999999</v>
      </c>
    </row>
    <row r="1962" spans="48:50" x14ac:dyDescent="0.3">
      <c r="AV1962" t="str">
        <v>Data Analytics Course: Visualizations</v>
      </c>
      <c r="AW1962">
        <v>224</v>
      </c>
      <c r="AX1962">
        <v>1.29</v>
      </c>
    </row>
    <row r="1963" spans="48:50" x14ac:dyDescent="0.3">
      <c r="AV1963" t="str">
        <v>Data Analytics Course: Advanced</v>
      </c>
      <c r="AW1963">
        <v>233</v>
      </c>
      <c r="AX1963">
        <v>1.05</v>
      </c>
    </row>
    <row r="1964" spans="48:50" x14ac:dyDescent="0.3">
      <c r="AV1964" t="str">
        <v>Data Analytics Course: ML</v>
      </c>
      <c r="AW1964">
        <v>206</v>
      </c>
      <c r="AX1964">
        <v>1.1200000000000001</v>
      </c>
    </row>
    <row r="1965" spans="48:50" x14ac:dyDescent="0.3">
      <c r="AV1965" t="str">
        <v>Data Analytics Course: ML</v>
      </c>
      <c r="AW1965">
        <v>200</v>
      </c>
      <c r="AX1965">
        <v>1.45</v>
      </c>
    </row>
    <row r="1966" spans="48:50" x14ac:dyDescent="0.3">
      <c r="AV1966" t="str">
        <v>Data Analytics Course: Visualizations</v>
      </c>
      <c r="AW1966">
        <v>188</v>
      </c>
      <c r="AX1966">
        <v>1.69</v>
      </c>
    </row>
    <row r="1967" spans="48:50" x14ac:dyDescent="0.3">
      <c r="AV1967" t="str">
        <v>Data Analytics Course: ML</v>
      </c>
      <c r="AW1967">
        <v>226</v>
      </c>
      <c r="AX1967">
        <v>1.1299999999999999</v>
      </c>
    </row>
    <row r="1968" spans="48:50" x14ac:dyDescent="0.3">
      <c r="AV1968" t="str">
        <v>Data Analytics Course: ML</v>
      </c>
      <c r="AW1968">
        <v>223</v>
      </c>
      <c r="AX1968">
        <v>1.55</v>
      </c>
    </row>
    <row r="1969" spans="48:50" x14ac:dyDescent="0.3">
      <c r="AV1969" t="str">
        <v>Data Analytics Course: Basics</v>
      </c>
      <c r="AW1969">
        <v>229</v>
      </c>
      <c r="AX1969">
        <v>1.0900000000000001</v>
      </c>
    </row>
    <row r="1970" spans="48:50" x14ac:dyDescent="0.3">
      <c r="AV1970" t="str">
        <v>Data Analytics Course: Advanced</v>
      </c>
      <c r="AW1970">
        <v>199</v>
      </c>
      <c r="AX1970">
        <v>2.02</v>
      </c>
    </row>
    <row r="1971" spans="48:50" x14ac:dyDescent="0.3">
      <c r="AV1971" t="str">
        <v>Data Analytics Course: Visualizations</v>
      </c>
      <c r="AW1971">
        <v>224</v>
      </c>
      <c r="AX1971">
        <v>1.1299999999999999</v>
      </c>
    </row>
    <row r="1972" spans="48:50" x14ac:dyDescent="0.3">
      <c r="AV1972" t="str">
        <v>Data Analytics Course: ML</v>
      </c>
      <c r="AW1972">
        <v>214</v>
      </c>
      <c r="AX1972">
        <v>1.1299999999999999</v>
      </c>
    </row>
    <row r="1973" spans="48:50" x14ac:dyDescent="0.3">
      <c r="AV1973" t="str">
        <v>Data Analytics Course: Basics</v>
      </c>
      <c r="AW1973">
        <v>184</v>
      </c>
      <c r="AX1973">
        <v>2.09</v>
      </c>
    </row>
    <row r="1974" spans="48:50" x14ac:dyDescent="0.3">
      <c r="AV1974" t="str">
        <v>Data Analytics Course: Basics</v>
      </c>
      <c r="AW1974">
        <v>196</v>
      </c>
      <c r="AX1974">
        <v>1.85</v>
      </c>
    </row>
    <row r="1975" spans="48:50" x14ac:dyDescent="0.3">
      <c r="AV1975" t="str">
        <v>Data Analytics Course: Visualizations</v>
      </c>
      <c r="AW1975">
        <v>223</v>
      </c>
      <c r="AX1975">
        <v>1.02</v>
      </c>
    </row>
    <row r="1976" spans="48:50" x14ac:dyDescent="0.3">
      <c r="AV1976" t="str">
        <v>Data Analytics Course: Basics</v>
      </c>
      <c r="AW1976">
        <v>232</v>
      </c>
      <c r="AX1976">
        <v>1.23</v>
      </c>
    </row>
    <row r="1977" spans="48:50" x14ac:dyDescent="0.3">
      <c r="AV1977" t="str">
        <v>Data Analytics Course: ML</v>
      </c>
      <c r="AW1977">
        <v>192</v>
      </c>
      <c r="AX1977">
        <v>1.22</v>
      </c>
    </row>
    <row r="1978" spans="48:50" x14ac:dyDescent="0.3">
      <c r="AV1978" t="str">
        <v>Data Analytics Course: ML</v>
      </c>
      <c r="AW1978">
        <v>183</v>
      </c>
      <c r="AX1978">
        <v>1.52</v>
      </c>
    </row>
    <row r="1979" spans="48:50" x14ac:dyDescent="0.3">
      <c r="AV1979" t="str">
        <v>Data Analytics Course: Basics</v>
      </c>
      <c r="AW1979">
        <v>244</v>
      </c>
      <c r="AX1979">
        <v>1.57</v>
      </c>
    </row>
    <row r="1980" spans="48:50" x14ac:dyDescent="0.3">
      <c r="AV1980" t="str">
        <v>Data Analytics Course: Advanced</v>
      </c>
      <c r="AW1980">
        <v>216</v>
      </c>
      <c r="AX1980">
        <v>1.78</v>
      </c>
    </row>
    <row r="1981" spans="48:50" x14ac:dyDescent="0.3">
      <c r="AV1981" t="str">
        <v>Data Analytics Course: Basics</v>
      </c>
      <c r="AW1981">
        <v>215</v>
      </c>
      <c r="AX1981">
        <v>1.61</v>
      </c>
    </row>
    <row r="1982" spans="48:50" x14ac:dyDescent="0.3">
      <c r="AV1982" t="str">
        <v>Data Analytics Course: Basics</v>
      </c>
      <c r="AW1982">
        <v>224</v>
      </c>
      <c r="AX1982">
        <v>0.99</v>
      </c>
    </row>
    <row r="1983" spans="48:50" x14ac:dyDescent="0.3">
      <c r="AV1983" t="str">
        <v>Data Analytics Course: Basics</v>
      </c>
      <c r="AW1983">
        <v>182</v>
      </c>
      <c r="AX1983">
        <v>1.38</v>
      </c>
    </row>
    <row r="1984" spans="48:50" x14ac:dyDescent="0.3">
      <c r="AV1984" t="str">
        <v>Data Analytics Course: Basics</v>
      </c>
      <c r="AW1984">
        <v>181</v>
      </c>
      <c r="AX1984">
        <v>1.41</v>
      </c>
    </row>
    <row r="1985" spans="48:50" x14ac:dyDescent="0.3">
      <c r="AV1985" t="str">
        <v>Data Analytics Course: Basics</v>
      </c>
      <c r="AW1985">
        <v>183</v>
      </c>
      <c r="AX1985">
        <v>1.25</v>
      </c>
    </row>
    <row r="1986" spans="48:50" x14ac:dyDescent="0.3">
      <c r="AV1986" t="str">
        <v>Data Analytics Course: Basics</v>
      </c>
      <c r="AW1986">
        <v>223</v>
      </c>
      <c r="AX1986">
        <v>1.59</v>
      </c>
    </row>
    <row r="1987" spans="48:50" x14ac:dyDescent="0.3">
      <c r="AV1987" t="str">
        <v>Data Analytics Course: Advanced</v>
      </c>
      <c r="AW1987">
        <v>191</v>
      </c>
      <c r="AX1987">
        <v>1.85</v>
      </c>
    </row>
    <row r="1988" spans="48:50" x14ac:dyDescent="0.3">
      <c r="AV1988" t="str">
        <v>Data Analytics Course: ML</v>
      </c>
      <c r="AW1988">
        <v>235</v>
      </c>
      <c r="AX1988">
        <v>1.35</v>
      </c>
    </row>
    <row r="1989" spans="48:50" x14ac:dyDescent="0.3">
      <c r="AV1989" t="str">
        <v>Data Analytics Course: Basics</v>
      </c>
      <c r="AW1989">
        <v>250</v>
      </c>
      <c r="AX1989">
        <v>1.6</v>
      </c>
    </row>
    <row r="1990" spans="48:50" x14ac:dyDescent="0.3">
      <c r="AV1990" t="str">
        <v>Data Analytics Course: Visualizations</v>
      </c>
      <c r="AW1990">
        <v>196</v>
      </c>
      <c r="AX1990">
        <v>1.29</v>
      </c>
    </row>
    <row r="1991" spans="48:50" x14ac:dyDescent="0.3">
      <c r="AV1991" t="str">
        <v>Data Analytics Course: Basics</v>
      </c>
      <c r="AW1991">
        <v>220</v>
      </c>
      <c r="AX1991">
        <v>1.8</v>
      </c>
    </row>
    <row r="1992" spans="48:50" x14ac:dyDescent="0.3">
      <c r="AV1992" t="str">
        <v>Data Analytics Course: Advanced</v>
      </c>
      <c r="AW1992">
        <v>233</v>
      </c>
      <c r="AX1992">
        <v>1.45</v>
      </c>
    </row>
    <row r="1993" spans="48:50" x14ac:dyDescent="0.3">
      <c r="AV1993" t="str">
        <v>Data Analytics Course: Advanced</v>
      </c>
      <c r="AW1993">
        <v>227</v>
      </c>
      <c r="AX1993">
        <v>1.3</v>
      </c>
    </row>
    <row r="1994" spans="48:50" x14ac:dyDescent="0.3">
      <c r="AV1994" t="str">
        <v>Data Analytics Course: Advanced</v>
      </c>
      <c r="AW1994">
        <v>190</v>
      </c>
      <c r="AX1994">
        <v>1.95</v>
      </c>
    </row>
    <row r="1995" spans="48:50" x14ac:dyDescent="0.3">
      <c r="AV1995" t="str">
        <v>Data Analytics Course: Basics</v>
      </c>
      <c r="AW1995">
        <v>232</v>
      </c>
      <c r="AX1995">
        <v>1.38</v>
      </c>
    </row>
    <row r="1996" spans="48:50" x14ac:dyDescent="0.3">
      <c r="AV1996" t="str">
        <v>Data Analytics Course: Advanced</v>
      </c>
      <c r="AW1996">
        <v>184</v>
      </c>
      <c r="AX1996">
        <v>1.86</v>
      </c>
    </row>
    <row r="1997" spans="48:50" x14ac:dyDescent="0.3">
      <c r="AV1997" t="str">
        <v>Data Analytics Course: Advanced</v>
      </c>
      <c r="AW1997">
        <v>214</v>
      </c>
      <c r="AX1997">
        <v>1.47</v>
      </c>
    </row>
    <row r="1998" spans="48:50" x14ac:dyDescent="0.3">
      <c r="AV1998" t="str">
        <v>Data Analytics Course: ML</v>
      </c>
      <c r="AW1998">
        <v>241</v>
      </c>
      <c r="AX1998">
        <v>0.94</v>
      </c>
    </row>
    <row r="1999" spans="48:50" x14ac:dyDescent="0.3">
      <c r="AV1999" t="str">
        <v>Data Analytics Course: Visualizations</v>
      </c>
      <c r="AW1999">
        <v>211</v>
      </c>
      <c r="AX1999">
        <v>1.04</v>
      </c>
    </row>
    <row r="2000" spans="48:50" x14ac:dyDescent="0.3">
      <c r="AV2000" t="str">
        <v>Data Analytics Course: ML</v>
      </c>
      <c r="AW2000">
        <v>248</v>
      </c>
      <c r="AX2000">
        <v>1.44</v>
      </c>
    </row>
    <row r="2001" spans="48:50" x14ac:dyDescent="0.3">
      <c r="AV2001" t="str">
        <v>Data Analytics Course: Visualizations</v>
      </c>
      <c r="AW2001">
        <v>194</v>
      </c>
      <c r="AX2001">
        <v>1.27</v>
      </c>
    </row>
    <row r="2002" spans="48:50" x14ac:dyDescent="0.3">
      <c r="AV2002" t="str">
        <v>Data Analytics Course: ML</v>
      </c>
      <c r="AW2002">
        <v>198</v>
      </c>
      <c r="AX2002">
        <v>1.07</v>
      </c>
    </row>
    <row r="2003" spans="48:50" x14ac:dyDescent="0.3">
      <c r="AV2003" t="str">
        <v>Data Analytics Course: Visualizations</v>
      </c>
      <c r="AW2003">
        <v>205</v>
      </c>
      <c r="AX2003">
        <v>2.2799999999999998</v>
      </c>
    </row>
    <row r="2004" spans="48:50" x14ac:dyDescent="0.3">
      <c r="AV2004" t="str">
        <v>Data Analytics Course: Visualizations</v>
      </c>
      <c r="AW2004">
        <v>196</v>
      </c>
      <c r="AX2004">
        <v>1.41</v>
      </c>
    </row>
    <row r="2005" spans="48:50" x14ac:dyDescent="0.3">
      <c r="AV2005" t="str">
        <v>Data Analytics Course: Visualizations</v>
      </c>
      <c r="AW2005">
        <v>184</v>
      </c>
      <c r="AX2005">
        <v>2.17</v>
      </c>
    </row>
    <row r="2006" spans="48:50" x14ac:dyDescent="0.3">
      <c r="AV2006" t="str">
        <v>Data Analytics Course: Advanced</v>
      </c>
      <c r="AW2006">
        <v>172</v>
      </c>
      <c r="AX2006">
        <v>1.52</v>
      </c>
    </row>
    <row r="2007" spans="48:50" x14ac:dyDescent="0.3">
      <c r="AV2007" t="str">
        <v>Data Analytics Course: Basics</v>
      </c>
      <c r="AW2007">
        <v>222</v>
      </c>
      <c r="AX2007">
        <v>1</v>
      </c>
    </row>
    <row r="2008" spans="48:50" x14ac:dyDescent="0.3">
      <c r="AV2008" t="str">
        <v>Data Analytics Course: Visualizations</v>
      </c>
      <c r="AW2008">
        <v>194</v>
      </c>
      <c r="AX2008">
        <v>1.78</v>
      </c>
    </row>
    <row r="2009" spans="48:50" x14ac:dyDescent="0.3">
      <c r="AV2009" t="str">
        <v>Data Analytics Course: Visualizations</v>
      </c>
      <c r="AW2009">
        <v>248</v>
      </c>
      <c r="AX2009">
        <v>1.37</v>
      </c>
    </row>
    <row r="2010" spans="48:50" x14ac:dyDescent="0.3">
      <c r="AV2010" t="str">
        <v>Data Analytics Course: ML</v>
      </c>
      <c r="AW2010">
        <v>222</v>
      </c>
      <c r="AX2010">
        <v>0.98</v>
      </c>
    </row>
    <row r="2011" spans="48:50" x14ac:dyDescent="0.3">
      <c r="AV2011" t="str">
        <v>Data Analytics Course: Advanced</v>
      </c>
      <c r="AW2011">
        <v>210</v>
      </c>
      <c r="AX2011">
        <v>1.1100000000000001</v>
      </c>
    </row>
    <row r="2012" spans="48:50" x14ac:dyDescent="0.3">
      <c r="AV2012" t="str">
        <v>Data Analytics Course: Visualizations</v>
      </c>
      <c r="AW2012">
        <v>247</v>
      </c>
      <c r="AX2012">
        <v>1.25</v>
      </c>
    </row>
    <row r="2013" spans="48:50" x14ac:dyDescent="0.3">
      <c r="AV2013" t="str">
        <v>Data Analytics Course: Advanced</v>
      </c>
      <c r="AW2013">
        <v>197</v>
      </c>
      <c r="AX2013">
        <v>1.57</v>
      </c>
    </row>
    <row r="2014" spans="48:50" x14ac:dyDescent="0.3">
      <c r="AV2014" t="str">
        <v>Data Analytics Course: Visualizations</v>
      </c>
      <c r="AW2014">
        <v>221</v>
      </c>
      <c r="AX2014">
        <v>1.5</v>
      </c>
    </row>
    <row r="2015" spans="48:50" x14ac:dyDescent="0.3">
      <c r="AV2015" t="str">
        <v>Data Analytics Course: Basics</v>
      </c>
      <c r="AW2015">
        <v>233</v>
      </c>
      <c r="AX2015">
        <v>0.95</v>
      </c>
    </row>
    <row r="2016" spans="48:50" x14ac:dyDescent="0.3">
      <c r="AV2016" t="str">
        <v>Data Analytics Course: ML</v>
      </c>
      <c r="AW2016">
        <v>223</v>
      </c>
      <c r="AX2016">
        <v>1.71</v>
      </c>
    </row>
    <row r="2017" spans="48:50" x14ac:dyDescent="0.3">
      <c r="AV2017" t="str">
        <v>Data Analytics Course: Advanced</v>
      </c>
      <c r="AW2017">
        <v>186</v>
      </c>
      <c r="AX2017">
        <v>1.1299999999999999</v>
      </c>
    </row>
    <row r="2018" spans="48:50" x14ac:dyDescent="0.3">
      <c r="AV2018" t="str">
        <v>Data Analytics Course: ML</v>
      </c>
      <c r="AW2018">
        <v>170</v>
      </c>
      <c r="AX2018">
        <v>1.76</v>
      </c>
    </row>
    <row r="2019" spans="48:50" x14ac:dyDescent="0.3">
      <c r="AV2019" t="str">
        <v>Data Analytics Course: Basics</v>
      </c>
      <c r="AW2019">
        <v>261</v>
      </c>
      <c r="AX2019">
        <v>1.33</v>
      </c>
    </row>
    <row r="2020" spans="48:50" x14ac:dyDescent="0.3">
      <c r="AV2020" t="str">
        <v>Data Analytics Course: Advanced</v>
      </c>
      <c r="AW2020">
        <v>231</v>
      </c>
      <c r="AX2020">
        <v>1.32</v>
      </c>
    </row>
    <row r="2021" spans="48:50" x14ac:dyDescent="0.3">
      <c r="AV2021" t="str">
        <v>Data Analytics Course: Advanced</v>
      </c>
      <c r="AW2021">
        <v>193</v>
      </c>
      <c r="AX2021">
        <v>1.39</v>
      </c>
    </row>
    <row r="2022" spans="48:50" x14ac:dyDescent="0.3">
      <c r="AV2022" t="str">
        <v>Data Analytics Course: Advanced</v>
      </c>
      <c r="AW2022">
        <v>248</v>
      </c>
      <c r="AX2022">
        <v>1.6</v>
      </c>
    </row>
    <row r="2023" spans="48:50" x14ac:dyDescent="0.3">
      <c r="AV2023" t="str">
        <v>Data Analytics Course: Visualizations</v>
      </c>
      <c r="AW2023">
        <v>181</v>
      </c>
      <c r="AX2023">
        <v>1.77</v>
      </c>
    </row>
    <row r="2024" spans="48:50" x14ac:dyDescent="0.3">
      <c r="AV2024" t="str">
        <v>Data Analytics Course: Advanced</v>
      </c>
      <c r="AW2024">
        <v>242</v>
      </c>
      <c r="AX2024">
        <v>1.02</v>
      </c>
    </row>
    <row r="2025" spans="48:50" x14ac:dyDescent="0.3">
      <c r="AV2025" t="str">
        <v>Data Analytics Course: Basics</v>
      </c>
      <c r="AW2025">
        <v>200</v>
      </c>
      <c r="AX2025">
        <v>1.22</v>
      </c>
    </row>
    <row r="2026" spans="48:50" x14ac:dyDescent="0.3">
      <c r="AV2026" t="str">
        <v>Data Analytics Course: Basics</v>
      </c>
      <c r="AW2026">
        <v>201</v>
      </c>
      <c r="AX2026">
        <v>1.74</v>
      </c>
    </row>
    <row r="2027" spans="48:50" x14ac:dyDescent="0.3">
      <c r="AV2027" t="str">
        <v>Data Analytics Course: Basics</v>
      </c>
      <c r="AW2027">
        <v>236</v>
      </c>
      <c r="AX2027">
        <v>1.36</v>
      </c>
    </row>
    <row r="2028" spans="48:50" x14ac:dyDescent="0.3">
      <c r="AV2028" t="str">
        <v>Data Analytics Course: ML</v>
      </c>
      <c r="AW2028">
        <v>224</v>
      </c>
      <c r="AX2028">
        <v>1.17</v>
      </c>
    </row>
    <row r="2029" spans="48:50" x14ac:dyDescent="0.3">
      <c r="AV2029" t="str">
        <v>Data Analytics Course: Visualizations</v>
      </c>
      <c r="AW2029">
        <v>206</v>
      </c>
      <c r="AX2029">
        <v>1.66</v>
      </c>
    </row>
    <row r="2030" spans="48:50" x14ac:dyDescent="0.3">
      <c r="AV2030" t="str">
        <v>Data Analytics Course: Advanced</v>
      </c>
      <c r="AW2030">
        <v>245</v>
      </c>
      <c r="AX2030">
        <v>1.33</v>
      </c>
    </row>
    <row r="2031" spans="48:50" x14ac:dyDescent="0.3">
      <c r="AV2031" t="str">
        <v>Data Analytics Course: Visualizations</v>
      </c>
      <c r="AW2031">
        <v>219</v>
      </c>
      <c r="AX2031">
        <v>1.43</v>
      </c>
    </row>
    <row r="2032" spans="48:50" x14ac:dyDescent="0.3">
      <c r="AV2032" t="str">
        <v>Data Analytics Course: Basics</v>
      </c>
      <c r="AW2032">
        <v>195</v>
      </c>
      <c r="AX2032">
        <v>1.52</v>
      </c>
    </row>
    <row r="2033" spans="48:50" x14ac:dyDescent="0.3">
      <c r="AV2033" t="str">
        <v>Data Analytics Course: Visualizations</v>
      </c>
      <c r="AW2033">
        <v>215</v>
      </c>
      <c r="AX2033">
        <v>1.72</v>
      </c>
    </row>
    <row r="2034" spans="48:50" x14ac:dyDescent="0.3">
      <c r="AV2034" t="str">
        <v>Data Analytics Course: Basics</v>
      </c>
      <c r="AW2034">
        <v>229</v>
      </c>
      <c r="AX2034">
        <v>0.94</v>
      </c>
    </row>
    <row r="2035" spans="48:50" x14ac:dyDescent="0.3">
      <c r="AV2035" t="str">
        <v>Data Analytics Course: Visualizations</v>
      </c>
      <c r="AW2035">
        <v>205</v>
      </c>
      <c r="AX2035">
        <v>1.67</v>
      </c>
    </row>
    <row r="2036" spans="48:50" x14ac:dyDescent="0.3">
      <c r="AV2036" t="str">
        <v>Data Analytics Course: Basics</v>
      </c>
      <c r="AW2036">
        <v>209</v>
      </c>
      <c r="AX2036">
        <v>1.18</v>
      </c>
    </row>
    <row r="2037" spans="48:50" x14ac:dyDescent="0.3">
      <c r="AV2037" t="str">
        <v>Data Analytics Course: Advanced</v>
      </c>
      <c r="AW2037">
        <v>230</v>
      </c>
      <c r="AX2037">
        <v>1.52</v>
      </c>
    </row>
    <row r="2038" spans="48:50" x14ac:dyDescent="0.3">
      <c r="AV2038" t="str">
        <v>Data Analytics Course: Advanced</v>
      </c>
      <c r="AW2038">
        <v>236</v>
      </c>
      <c r="AX2038">
        <v>1.1399999999999999</v>
      </c>
    </row>
    <row r="2039" spans="48:50" x14ac:dyDescent="0.3">
      <c r="AV2039" t="str">
        <v>Data Analytics Course: ML</v>
      </c>
      <c r="AW2039">
        <v>192</v>
      </c>
      <c r="AX2039">
        <v>1.1200000000000001</v>
      </c>
    </row>
    <row r="2040" spans="48:50" x14ac:dyDescent="0.3">
      <c r="AV2040" t="str">
        <v>Data Analytics Course: Advanced</v>
      </c>
      <c r="AW2040">
        <v>237</v>
      </c>
      <c r="AX2040">
        <v>1.61</v>
      </c>
    </row>
    <row r="2041" spans="48:50" x14ac:dyDescent="0.3">
      <c r="AV2041" t="str">
        <v>Data Analytics Course: Visualizations</v>
      </c>
      <c r="AW2041">
        <v>242</v>
      </c>
      <c r="AX2041">
        <v>1.2</v>
      </c>
    </row>
    <row r="2042" spans="48:50" x14ac:dyDescent="0.3">
      <c r="AV2042" t="str">
        <v>Data Analytics Course: ML</v>
      </c>
      <c r="AW2042">
        <v>221</v>
      </c>
      <c r="AX2042">
        <v>1.27</v>
      </c>
    </row>
    <row r="2043" spans="48:50" x14ac:dyDescent="0.3">
      <c r="AV2043" t="str">
        <v>Data Analytics Course: ML</v>
      </c>
      <c r="AW2043">
        <v>214</v>
      </c>
      <c r="AX2043">
        <v>1.67</v>
      </c>
    </row>
    <row r="2044" spans="48:50" x14ac:dyDescent="0.3">
      <c r="AV2044" t="str">
        <v>Data Analytics Course: ML</v>
      </c>
      <c r="AW2044">
        <v>220</v>
      </c>
      <c r="AX2044">
        <v>1.1200000000000001</v>
      </c>
    </row>
    <row r="2045" spans="48:50" x14ac:dyDescent="0.3">
      <c r="AV2045" t="str">
        <v>Data Analytics Course: Advanced</v>
      </c>
      <c r="AW2045">
        <v>205</v>
      </c>
      <c r="AX2045">
        <v>1.7</v>
      </c>
    </row>
    <row r="2046" spans="48:50" x14ac:dyDescent="0.3">
      <c r="AV2046" t="str">
        <v>Data Analytics Course: Visualizations</v>
      </c>
      <c r="AW2046">
        <v>233</v>
      </c>
      <c r="AX2046">
        <v>1.72</v>
      </c>
    </row>
    <row r="2047" spans="48:50" x14ac:dyDescent="0.3">
      <c r="AV2047" t="str">
        <v>Data Analytics Course: Basics</v>
      </c>
      <c r="AW2047">
        <v>237</v>
      </c>
      <c r="AX2047">
        <v>1.37</v>
      </c>
    </row>
    <row r="2048" spans="48:50" x14ac:dyDescent="0.3">
      <c r="AV2048" t="str">
        <v>Data Analytics Course: Visualizations</v>
      </c>
      <c r="AW2048">
        <v>190</v>
      </c>
      <c r="AX2048">
        <v>1.62</v>
      </c>
    </row>
    <row r="2049" spans="48:50" x14ac:dyDescent="0.3">
      <c r="AV2049" t="str">
        <v>Data Analytics Course: ML</v>
      </c>
      <c r="AW2049">
        <v>187</v>
      </c>
      <c r="AX2049">
        <v>1.67</v>
      </c>
    </row>
    <row r="2050" spans="48:50" x14ac:dyDescent="0.3">
      <c r="AV2050" t="str">
        <v>Data Analytics Course: ML</v>
      </c>
      <c r="AW2050">
        <v>191</v>
      </c>
      <c r="AX2050">
        <v>1.9</v>
      </c>
    </row>
    <row r="2051" spans="48:50" x14ac:dyDescent="0.3">
      <c r="AV2051" t="str">
        <v>Data Analytics Course: ML</v>
      </c>
      <c r="AW2051">
        <v>192</v>
      </c>
      <c r="AX2051">
        <v>1.48</v>
      </c>
    </row>
    <row r="2052" spans="48:50" x14ac:dyDescent="0.3">
      <c r="AV2052" t="str">
        <v>Data Analytics Course: Visualizations</v>
      </c>
      <c r="AW2052">
        <v>212</v>
      </c>
      <c r="AX2052">
        <v>1.55</v>
      </c>
    </row>
    <row r="2053" spans="48:50" x14ac:dyDescent="0.3">
      <c r="AV2053" t="str">
        <v>Data Analytics Course: ML</v>
      </c>
      <c r="AW2053">
        <v>211</v>
      </c>
      <c r="AX2053">
        <v>1.86</v>
      </c>
    </row>
    <row r="2054" spans="48:50" x14ac:dyDescent="0.3">
      <c r="AV2054" t="str">
        <v>Data Analytics Course: Basics</v>
      </c>
      <c r="AW2054">
        <v>243</v>
      </c>
      <c r="AX2054">
        <v>0.86</v>
      </c>
    </row>
    <row r="2055" spans="48:50" x14ac:dyDescent="0.3">
      <c r="AV2055" t="str">
        <v>Data Analytics Course: Advanced</v>
      </c>
      <c r="AW2055">
        <v>210</v>
      </c>
      <c r="AX2055">
        <v>0.89</v>
      </c>
    </row>
    <row r="2056" spans="48:50" x14ac:dyDescent="0.3">
      <c r="AV2056" t="str">
        <v>Data Analytics Course: ML</v>
      </c>
      <c r="AW2056">
        <v>236</v>
      </c>
      <c r="AX2056">
        <v>0.79</v>
      </c>
    </row>
    <row r="2057" spans="48:50" x14ac:dyDescent="0.3">
      <c r="AV2057" t="str">
        <v>Data Analytics Course: Advanced</v>
      </c>
      <c r="AW2057">
        <v>213</v>
      </c>
      <c r="AX2057">
        <v>1.1100000000000001</v>
      </c>
    </row>
    <row r="2058" spans="48:50" x14ac:dyDescent="0.3">
      <c r="AV2058" t="str">
        <v>Data Analytics Course: Basics</v>
      </c>
      <c r="AW2058">
        <v>200</v>
      </c>
      <c r="AX2058">
        <v>1.87</v>
      </c>
    </row>
    <row r="2059" spans="48:50" x14ac:dyDescent="0.3">
      <c r="AV2059" t="str">
        <v>Data Analytics Course: Basics</v>
      </c>
      <c r="AW2059">
        <v>220</v>
      </c>
      <c r="AX2059">
        <v>1.19</v>
      </c>
    </row>
    <row r="2060" spans="48:50" x14ac:dyDescent="0.3">
      <c r="AV2060" t="str">
        <v>Data Analytics Course: Advanced</v>
      </c>
      <c r="AW2060">
        <v>226</v>
      </c>
      <c r="AX2060">
        <v>1.45</v>
      </c>
    </row>
    <row r="2061" spans="48:50" x14ac:dyDescent="0.3">
      <c r="AV2061" t="str">
        <v>Data Analytics Course: Visualizations</v>
      </c>
      <c r="AW2061">
        <v>226</v>
      </c>
      <c r="AX2061">
        <v>1.35</v>
      </c>
    </row>
    <row r="2062" spans="48:50" x14ac:dyDescent="0.3">
      <c r="AV2062" t="str">
        <v>Data Analytics Course: ML</v>
      </c>
      <c r="AW2062">
        <v>234</v>
      </c>
      <c r="AX2062">
        <v>1.36</v>
      </c>
    </row>
    <row r="2063" spans="48:50" x14ac:dyDescent="0.3">
      <c r="AV2063" t="str">
        <v>Data Analytics Course: ML</v>
      </c>
      <c r="AW2063">
        <v>218</v>
      </c>
      <c r="AX2063">
        <v>1.32</v>
      </c>
    </row>
    <row r="2064" spans="48:50" x14ac:dyDescent="0.3">
      <c r="AV2064" t="str">
        <v>Data Analytics Course: Visualizations</v>
      </c>
      <c r="AW2064">
        <v>215</v>
      </c>
      <c r="AX2064">
        <v>1.2</v>
      </c>
    </row>
    <row r="2065" spans="48:50" x14ac:dyDescent="0.3">
      <c r="AV2065" t="str">
        <v>Data Analytics Course: Basics</v>
      </c>
      <c r="AW2065">
        <v>224</v>
      </c>
      <c r="AX2065">
        <v>0.96</v>
      </c>
    </row>
    <row r="2066" spans="48:50" x14ac:dyDescent="0.3">
      <c r="AV2066" t="str">
        <v>Data Analytics Course: Advanced</v>
      </c>
      <c r="AW2066">
        <v>248</v>
      </c>
      <c r="AX2066">
        <v>1.55</v>
      </c>
    </row>
    <row r="2067" spans="48:50" x14ac:dyDescent="0.3">
      <c r="AV2067" t="str">
        <v>Data Analytics Course: Advanced</v>
      </c>
      <c r="AW2067">
        <v>222</v>
      </c>
      <c r="AX2067">
        <v>1.0900000000000001</v>
      </c>
    </row>
    <row r="2068" spans="48:50" x14ac:dyDescent="0.3">
      <c r="AV2068" t="str">
        <v>Data Analytics Course: ML</v>
      </c>
      <c r="AW2068">
        <v>219</v>
      </c>
      <c r="AX2068">
        <v>1.73</v>
      </c>
    </row>
    <row r="2069" spans="48:50" x14ac:dyDescent="0.3">
      <c r="AV2069" t="str">
        <v>Data Analytics Course: ML</v>
      </c>
      <c r="AW2069">
        <v>219</v>
      </c>
      <c r="AX2069">
        <v>1.44</v>
      </c>
    </row>
    <row r="2070" spans="48:50" x14ac:dyDescent="0.3">
      <c r="AV2070" t="str">
        <v>Data Analytics Course: Advanced</v>
      </c>
      <c r="AW2070">
        <v>207</v>
      </c>
      <c r="AX2070">
        <v>1.59</v>
      </c>
    </row>
    <row r="2071" spans="48:50" x14ac:dyDescent="0.3">
      <c r="AV2071" t="str">
        <v>Data Analytics Course: ML</v>
      </c>
      <c r="AW2071">
        <v>203</v>
      </c>
      <c r="AX2071">
        <v>1.64</v>
      </c>
    </row>
    <row r="2072" spans="48:50" x14ac:dyDescent="0.3">
      <c r="AV2072" t="str">
        <v>Data Analytics Course: Visualizations</v>
      </c>
      <c r="AW2072">
        <v>186</v>
      </c>
      <c r="AX2072">
        <v>1.17</v>
      </c>
    </row>
    <row r="2073" spans="48:50" x14ac:dyDescent="0.3">
      <c r="AV2073" t="str">
        <v>Data Analytics Course: Advanced</v>
      </c>
      <c r="AW2073">
        <v>245</v>
      </c>
      <c r="AX2073">
        <v>1</v>
      </c>
    </row>
    <row r="2074" spans="48:50" x14ac:dyDescent="0.3">
      <c r="AV2074" t="str">
        <v>Data Analytics Course: Visualizations</v>
      </c>
      <c r="AW2074">
        <v>188</v>
      </c>
      <c r="AX2074">
        <v>1.23</v>
      </c>
    </row>
    <row r="2075" spans="48:50" x14ac:dyDescent="0.3">
      <c r="AV2075" t="str">
        <v>Data Analytics Course: ML</v>
      </c>
      <c r="AW2075">
        <v>190</v>
      </c>
      <c r="AX2075">
        <v>2.1</v>
      </c>
    </row>
    <row r="2076" spans="48:50" x14ac:dyDescent="0.3">
      <c r="AV2076" t="str">
        <v>Data Analytics Course: Basics</v>
      </c>
      <c r="AW2076">
        <v>231</v>
      </c>
      <c r="AX2076">
        <v>1.42</v>
      </c>
    </row>
    <row r="2077" spans="48:50" x14ac:dyDescent="0.3">
      <c r="AV2077" t="str">
        <v>Data Analytics Course: Visualizations</v>
      </c>
      <c r="AW2077">
        <v>247</v>
      </c>
      <c r="AX2077">
        <v>1.31</v>
      </c>
    </row>
    <row r="2078" spans="48:50" x14ac:dyDescent="0.3">
      <c r="AV2078" t="str">
        <v>Data Analytics Course: Visualizations</v>
      </c>
      <c r="AW2078">
        <v>218</v>
      </c>
      <c r="AX2078">
        <v>1.18</v>
      </c>
    </row>
    <row r="2079" spans="48:50" x14ac:dyDescent="0.3">
      <c r="AV2079" t="str">
        <v>Data Analytics Course: Basics</v>
      </c>
      <c r="AW2079">
        <v>246</v>
      </c>
      <c r="AX2079">
        <v>1.33</v>
      </c>
    </row>
    <row r="2080" spans="48:50" x14ac:dyDescent="0.3">
      <c r="AV2080" t="str">
        <v>Data Analytics Course: Basics</v>
      </c>
      <c r="AW2080">
        <v>192</v>
      </c>
      <c r="AX2080">
        <v>1.06</v>
      </c>
    </row>
    <row r="2081" spans="48:50" x14ac:dyDescent="0.3">
      <c r="AV2081" t="str">
        <v>Data Analytics Course: Visualizations</v>
      </c>
      <c r="AW2081">
        <v>209</v>
      </c>
      <c r="AX2081">
        <v>1.7</v>
      </c>
    </row>
    <row r="2082" spans="48:50" x14ac:dyDescent="0.3">
      <c r="AV2082" t="str">
        <v>Data Analytics Course: ML</v>
      </c>
      <c r="AW2082">
        <v>228</v>
      </c>
      <c r="AX2082">
        <v>1.01</v>
      </c>
    </row>
    <row r="2083" spans="48:50" x14ac:dyDescent="0.3">
      <c r="AV2083" t="str">
        <v>Data Analytics Course: Basics</v>
      </c>
      <c r="AW2083">
        <v>225</v>
      </c>
      <c r="AX2083">
        <v>1.06</v>
      </c>
    </row>
    <row r="2084" spans="48:50" x14ac:dyDescent="0.3">
      <c r="AV2084" t="str">
        <v>Data Analytics Course: Basics</v>
      </c>
      <c r="AW2084">
        <v>245</v>
      </c>
      <c r="AX2084">
        <v>1.65</v>
      </c>
    </row>
    <row r="2085" spans="48:50" x14ac:dyDescent="0.3">
      <c r="AV2085" t="str">
        <v>Data Analytics Course: Basics</v>
      </c>
      <c r="AW2085">
        <v>247</v>
      </c>
      <c r="AX2085">
        <v>1.39</v>
      </c>
    </row>
    <row r="2086" spans="48:50" x14ac:dyDescent="0.3">
      <c r="AV2086" t="str">
        <v>Data Analytics Course: ML</v>
      </c>
      <c r="AW2086">
        <v>216</v>
      </c>
      <c r="AX2086">
        <v>1.53</v>
      </c>
    </row>
    <row r="2087" spans="48:50" x14ac:dyDescent="0.3">
      <c r="AV2087" t="str">
        <v>Data Analytics Course: Basics</v>
      </c>
      <c r="AW2087">
        <v>209</v>
      </c>
      <c r="AX2087">
        <v>1.89</v>
      </c>
    </row>
    <row r="2088" spans="48:50" x14ac:dyDescent="0.3">
      <c r="AV2088" t="str">
        <v>Data Analytics Course: Advanced</v>
      </c>
      <c r="AW2088">
        <v>245</v>
      </c>
      <c r="AX2088">
        <v>1.65</v>
      </c>
    </row>
    <row r="2089" spans="48:50" x14ac:dyDescent="0.3">
      <c r="AV2089" t="str">
        <v>Data Analytics Course: ML</v>
      </c>
      <c r="AW2089">
        <v>232</v>
      </c>
      <c r="AX2089">
        <v>1.21</v>
      </c>
    </row>
    <row r="2090" spans="48:50" x14ac:dyDescent="0.3">
      <c r="AV2090" t="str">
        <v>Data Analytics Course: Basics</v>
      </c>
      <c r="AW2090">
        <v>206</v>
      </c>
      <c r="AX2090">
        <v>1.17</v>
      </c>
    </row>
    <row r="2091" spans="48:50" x14ac:dyDescent="0.3">
      <c r="AV2091" t="str">
        <v>Data Analytics Course: ML</v>
      </c>
      <c r="AW2091">
        <v>216</v>
      </c>
      <c r="AX2091">
        <v>1.27</v>
      </c>
    </row>
    <row r="2092" spans="48:50" x14ac:dyDescent="0.3">
      <c r="AV2092" t="str">
        <v>Data Analytics Course: Advanced</v>
      </c>
      <c r="AW2092">
        <v>182</v>
      </c>
      <c r="AX2092">
        <v>1.4</v>
      </c>
    </row>
    <row r="2093" spans="48:50" x14ac:dyDescent="0.3">
      <c r="AV2093" t="str">
        <v>Data Analytics Course: ML</v>
      </c>
      <c r="AW2093">
        <v>223</v>
      </c>
      <c r="AX2093">
        <v>1.17</v>
      </c>
    </row>
    <row r="2094" spans="48:50" x14ac:dyDescent="0.3">
      <c r="AV2094" t="str">
        <v>Data Analytics Course: ML</v>
      </c>
      <c r="AW2094">
        <v>220</v>
      </c>
      <c r="AX2094">
        <v>1.36</v>
      </c>
    </row>
    <row r="2095" spans="48:50" x14ac:dyDescent="0.3">
      <c r="AV2095" t="str">
        <v>Data Analytics Course: Advanced</v>
      </c>
      <c r="AW2095">
        <v>186</v>
      </c>
      <c r="AX2095">
        <v>1.5</v>
      </c>
    </row>
    <row r="2096" spans="48:50" x14ac:dyDescent="0.3">
      <c r="AV2096" t="str">
        <v>Data Analytics Course: ML</v>
      </c>
      <c r="AW2096">
        <v>215</v>
      </c>
      <c r="AX2096">
        <v>1.1200000000000001</v>
      </c>
    </row>
    <row r="2097" spans="48:50" x14ac:dyDescent="0.3">
      <c r="AV2097" t="str">
        <v>Data Analytics Course: ML</v>
      </c>
      <c r="AW2097">
        <v>190</v>
      </c>
      <c r="AX2097">
        <v>1.91</v>
      </c>
    </row>
    <row r="2098" spans="48:50" x14ac:dyDescent="0.3">
      <c r="AV2098" t="str">
        <v>Data Analytics Course: Advanced</v>
      </c>
      <c r="AW2098">
        <v>193</v>
      </c>
      <c r="AX2098">
        <v>1.48</v>
      </c>
    </row>
    <row r="2099" spans="48:50" x14ac:dyDescent="0.3">
      <c r="AV2099" t="str">
        <v>Data Analytics Course: Advanced</v>
      </c>
      <c r="AW2099">
        <v>248</v>
      </c>
      <c r="AX2099">
        <v>1.51</v>
      </c>
    </row>
    <row r="2100" spans="48:50" x14ac:dyDescent="0.3">
      <c r="AV2100" t="str">
        <v>Data Analytics Course: Visualizations</v>
      </c>
      <c r="AW2100">
        <v>194</v>
      </c>
      <c r="AX2100">
        <v>1.2</v>
      </c>
    </row>
    <row r="2101" spans="48:50" x14ac:dyDescent="0.3">
      <c r="AV2101" t="str">
        <v>Data Analytics Course: ML</v>
      </c>
      <c r="AW2101">
        <v>233</v>
      </c>
      <c r="AX2101">
        <v>1.56</v>
      </c>
    </row>
    <row r="2102" spans="48:50" x14ac:dyDescent="0.3">
      <c r="AV2102" t="str">
        <v>Data Analytics Course: ML</v>
      </c>
      <c r="AW2102">
        <v>221</v>
      </c>
      <c r="AX2102">
        <v>1.44</v>
      </c>
    </row>
    <row r="2103" spans="48:50" x14ac:dyDescent="0.3">
      <c r="AV2103" t="str">
        <v>Data Analytics Course: Basics</v>
      </c>
      <c r="AW2103">
        <v>201</v>
      </c>
      <c r="AX2103">
        <v>1.54</v>
      </c>
    </row>
    <row r="2104" spans="48:50" x14ac:dyDescent="0.3">
      <c r="AV2104" t="str">
        <v>Data Analytics Course: Advanced</v>
      </c>
      <c r="AW2104">
        <v>233</v>
      </c>
      <c r="AX2104">
        <v>1.49</v>
      </c>
    </row>
    <row r="2105" spans="48:50" x14ac:dyDescent="0.3">
      <c r="AV2105" t="str">
        <v>Data Analytics Course: ML</v>
      </c>
      <c r="AW2105">
        <v>239</v>
      </c>
      <c r="AX2105">
        <v>1.1299999999999999</v>
      </c>
    </row>
    <row r="2106" spans="48:50" x14ac:dyDescent="0.3">
      <c r="AV2106" t="str">
        <v>Data Analytics Course: Advanced</v>
      </c>
      <c r="AW2106">
        <v>197</v>
      </c>
      <c r="AX2106">
        <v>1.2</v>
      </c>
    </row>
    <row r="2107" spans="48:50" x14ac:dyDescent="0.3">
      <c r="AV2107" t="str">
        <v>Data Analytics Course: Visualizations</v>
      </c>
      <c r="AW2107">
        <v>200</v>
      </c>
      <c r="AX2107">
        <v>1.63</v>
      </c>
    </row>
    <row r="2108" spans="48:50" x14ac:dyDescent="0.3">
      <c r="AV2108" t="str">
        <v>Data Analytics Course: Basics</v>
      </c>
      <c r="AW2108">
        <v>238</v>
      </c>
      <c r="AX2108">
        <v>1.24</v>
      </c>
    </row>
    <row r="2109" spans="48:50" x14ac:dyDescent="0.3">
      <c r="AV2109" t="str">
        <v>Data Analytics Course: Advanced</v>
      </c>
      <c r="AW2109">
        <v>202</v>
      </c>
      <c r="AX2109">
        <v>1.04</v>
      </c>
    </row>
    <row r="2110" spans="48:50" x14ac:dyDescent="0.3">
      <c r="AV2110" t="str">
        <v>Data Analytics Course: Visualizations</v>
      </c>
      <c r="AW2110">
        <v>203</v>
      </c>
      <c r="AX2110">
        <v>1.81</v>
      </c>
    </row>
    <row r="2111" spans="48:50" x14ac:dyDescent="0.3">
      <c r="AV2111" t="str">
        <v>Data Analytics Course: Basics</v>
      </c>
      <c r="AW2111">
        <v>237</v>
      </c>
      <c r="AX2111">
        <v>1.17</v>
      </c>
    </row>
    <row r="2112" spans="48:50" x14ac:dyDescent="0.3">
      <c r="AV2112" t="str">
        <v>Data Analytics Course: Basics</v>
      </c>
      <c r="AW2112">
        <v>180</v>
      </c>
      <c r="AX2112">
        <v>1.27</v>
      </c>
    </row>
    <row r="2113" spans="48:50" x14ac:dyDescent="0.3">
      <c r="AV2113" t="str">
        <v>Data Analytics Course: Advanced</v>
      </c>
      <c r="AW2113">
        <v>189</v>
      </c>
      <c r="AX2113">
        <v>1.77</v>
      </c>
    </row>
    <row r="2114" spans="48:50" x14ac:dyDescent="0.3">
      <c r="AV2114" t="str">
        <v>Data Analytics Course: Basics</v>
      </c>
      <c r="AW2114">
        <v>187</v>
      </c>
      <c r="AX2114">
        <v>1.29</v>
      </c>
    </row>
    <row r="2115" spans="48:50" x14ac:dyDescent="0.3">
      <c r="AV2115" t="str">
        <v>Data Analytics Course: ML</v>
      </c>
      <c r="AW2115">
        <v>238</v>
      </c>
      <c r="AX2115">
        <v>1.06</v>
      </c>
    </row>
    <row r="2116" spans="48:50" x14ac:dyDescent="0.3">
      <c r="AV2116" t="str">
        <v>Data Analytics Course: ML</v>
      </c>
      <c r="AW2116">
        <v>209</v>
      </c>
      <c r="AX2116">
        <v>1.1599999999999999</v>
      </c>
    </row>
    <row r="2117" spans="48:50" x14ac:dyDescent="0.3">
      <c r="AV2117" t="str">
        <v>Data Analytics Course: Basics</v>
      </c>
      <c r="AW2117">
        <v>227</v>
      </c>
      <c r="AX2117">
        <v>1.44</v>
      </c>
    </row>
    <row r="2118" spans="48:50" x14ac:dyDescent="0.3">
      <c r="AV2118" t="str">
        <v>Data Analytics Course: Advanced</v>
      </c>
      <c r="AW2118">
        <v>217</v>
      </c>
      <c r="AX2118">
        <v>1.04</v>
      </c>
    </row>
    <row r="2119" spans="48:50" x14ac:dyDescent="0.3">
      <c r="AV2119" t="str">
        <v>Data Analytics Course: Visualizations</v>
      </c>
      <c r="AW2119">
        <v>226</v>
      </c>
      <c r="AX2119">
        <v>1.78</v>
      </c>
    </row>
    <row r="2120" spans="48:50" x14ac:dyDescent="0.3">
      <c r="AV2120" t="str">
        <v>Data Analytics Course: Basics</v>
      </c>
      <c r="AW2120">
        <v>189</v>
      </c>
      <c r="AX2120">
        <v>1.2</v>
      </c>
    </row>
    <row r="2121" spans="48:50" x14ac:dyDescent="0.3">
      <c r="AV2121" t="str">
        <v>Data Analytics Course: Basics</v>
      </c>
      <c r="AW2121">
        <v>180</v>
      </c>
      <c r="AX2121">
        <v>1.91</v>
      </c>
    </row>
    <row r="2122" spans="48:50" x14ac:dyDescent="0.3">
      <c r="AV2122" t="str">
        <v>Data Analytics Course: Advanced</v>
      </c>
      <c r="AW2122">
        <v>218</v>
      </c>
      <c r="AX2122">
        <v>1.39</v>
      </c>
    </row>
    <row r="2123" spans="48:50" x14ac:dyDescent="0.3">
      <c r="AV2123" t="str">
        <v>Data Analytics Course: Basics</v>
      </c>
      <c r="AW2123">
        <v>209</v>
      </c>
      <c r="AX2123">
        <v>1.66</v>
      </c>
    </row>
    <row r="2124" spans="48:50" x14ac:dyDescent="0.3">
      <c r="AV2124" t="str">
        <v>Data Analytics Course: Advanced</v>
      </c>
      <c r="AW2124">
        <v>245</v>
      </c>
      <c r="AX2124">
        <v>1.47</v>
      </c>
    </row>
    <row r="2125" spans="48:50" x14ac:dyDescent="0.3">
      <c r="AV2125" t="str">
        <v>Data Analytics Course: Basics</v>
      </c>
      <c r="AW2125">
        <v>226</v>
      </c>
      <c r="AX2125">
        <v>1.51</v>
      </c>
    </row>
    <row r="2126" spans="48:50" x14ac:dyDescent="0.3">
      <c r="AV2126" t="str">
        <v>Data Analytics Course: Visualizations</v>
      </c>
      <c r="AW2126">
        <v>184</v>
      </c>
      <c r="AX2126">
        <v>1.41</v>
      </c>
    </row>
    <row r="2127" spans="48:50" x14ac:dyDescent="0.3">
      <c r="AV2127" t="str">
        <v>Data Analytics Course: ML</v>
      </c>
      <c r="AW2127">
        <v>213</v>
      </c>
      <c r="AX2127">
        <v>1.26</v>
      </c>
    </row>
    <row r="2128" spans="48:50" x14ac:dyDescent="0.3">
      <c r="AV2128" t="str">
        <v>Data Analytics Course: ML</v>
      </c>
      <c r="AW2128">
        <v>194</v>
      </c>
      <c r="AX2128">
        <v>1.57</v>
      </c>
    </row>
    <row r="2129" spans="48:50" x14ac:dyDescent="0.3">
      <c r="AV2129" t="str">
        <v>Data Analytics Course: Advanced</v>
      </c>
      <c r="AW2129">
        <v>244</v>
      </c>
      <c r="AX2129">
        <v>1.53</v>
      </c>
    </row>
    <row r="2130" spans="48:50" x14ac:dyDescent="0.3">
      <c r="AV2130" t="str">
        <v>Data Analytics Course: ML</v>
      </c>
      <c r="AW2130">
        <v>243</v>
      </c>
      <c r="AX2130">
        <v>1.49</v>
      </c>
    </row>
    <row r="2131" spans="48:50" x14ac:dyDescent="0.3">
      <c r="AV2131" t="str">
        <v>Data Analytics Course: Basics</v>
      </c>
      <c r="AW2131">
        <v>244</v>
      </c>
      <c r="AX2131">
        <v>0.97</v>
      </c>
    </row>
    <row r="2132" spans="48:50" x14ac:dyDescent="0.3">
      <c r="AV2132" t="str">
        <v>Data Analytics Course: Basics</v>
      </c>
      <c r="AW2132">
        <v>228</v>
      </c>
      <c r="AX2132">
        <v>1.24</v>
      </c>
    </row>
    <row r="2133" spans="48:50" x14ac:dyDescent="0.3">
      <c r="AV2133" t="str">
        <v>Data Analytics Course: Advanced</v>
      </c>
      <c r="AW2133">
        <v>219</v>
      </c>
      <c r="AX2133">
        <v>1.78</v>
      </c>
    </row>
    <row r="2134" spans="48:50" x14ac:dyDescent="0.3">
      <c r="AV2134" t="str">
        <v>Data Analytics Course: Visualizations</v>
      </c>
      <c r="AW2134">
        <v>225</v>
      </c>
      <c r="AX2134">
        <v>1.04</v>
      </c>
    </row>
    <row r="2135" spans="48:50" x14ac:dyDescent="0.3">
      <c r="AV2135" t="str">
        <v>Data Analytics Course: ML</v>
      </c>
      <c r="AW2135">
        <v>224</v>
      </c>
      <c r="AX2135">
        <v>0.98</v>
      </c>
    </row>
    <row r="2136" spans="48:50" x14ac:dyDescent="0.3">
      <c r="AV2136" t="str">
        <v>Data Analytics Course: Advanced</v>
      </c>
      <c r="AW2136">
        <v>249</v>
      </c>
      <c r="AX2136">
        <v>1.59</v>
      </c>
    </row>
    <row r="2137" spans="48:50" x14ac:dyDescent="0.3">
      <c r="AV2137" t="str">
        <v>Data Analytics Course: ML</v>
      </c>
      <c r="AW2137">
        <v>195</v>
      </c>
      <c r="AX2137">
        <v>1.31</v>
      </c>
    </row>
    <row r="2138" spans="48:50" x14ac:dyDescent="0.3">
      <c r="AV2138" t="str">
        <v>Data Analytics Course: Advanced</v>
      </c>
      <c r="AW2138">
        <v>222</v>
      </c>
      <c r="AX2138">
        <v>1.1000000000000001</v>
      </c>
    </row>
    <row r="2139" spans="48:50" x14ac:dyDescent="0.3">
      <c r="AV2139" t="str">
        <v>Data Analytics Course: Basics</v>
      </c>
      <c r="AW2139">
        <v>194</v>
      </c>
      <c r="AX2139">
        <v>1.44</v>
      </c>
    </row>
    <row r="2140" spans="48:50" x14ac:dyDescent="0.3">
      <c r="AV2140" t="str">
        <v>Data Analytics Course: Basics</v>
      </c>
      <c r="AW2140">
        <v>129</v>
      </c>
      <c r="AX2140">
        <v>2.4</v>
      </c>
    </row>
    <row r="2141" spans="48:50" x14ac:dyDescent="0.3">
      <c r="AV2141" t="str">
        <v>Data Analytics Course: Basics</v>
      </c>
      <c r="AW2141">
        <v>231</v>
      </c>
      <c r="AX2141">
        <v>1.17</v>
      </c>
    </row>
    <row r="2142" spans="48:50" x14ac:dyDescent="0.3">
      <c r="AV2142" t="str">
        <v>Data Analytics Course: Basics</v>
      </c>
      <c r="AW2142">
        <v>244</v>
      </c>
      <c r="AX2142">
        <v>0.97</v>
      </c>
    </row>
    <row r="2143" spans="48:50" x14ac:dyDescent="0.3">
      <c r="AV2143" t="str">
        <v>Data Analytics Course: ML</v>
      </c>
      <c r="AW2143">
        <v>248</v>
      </c>
      <c r="AX2143">
        <v>1.07</v>
      </c>
    </row>
    <row r="2144" spans="48:50" x14ac:dyDescent="0.3">
      <c r="AV2144" t="str">
        <v>Data Analytics Course: Visualizations</v>
      </c>
      <c r="AW2144">
        <v>208</v>
      </c>
      <c r="AX2144">
        <v>1.93</v>
      </c>
    </row>
    <row r="2145" spans="48:50" x14ac:dyDescent="0.3">
      <c r="AV2145" t="str">
        <v>Data Analytics Course: Advanced</v>
      </c>
      <c r="AW2145">
        <v>223</v>
      </c>
      <c r="AX2145">
        <v>0.97</v>
      </c>
    </row>
    <row r="2146" spans="48:50" x14ac:dyDescent="0.3">
      <c r="AV2146" t="str">
        <v>Data Analytics Course: ML</v>
      </c>
      <c r="AW2146">
        <v>228</v>
      </c>
      <c r="AX2146">
        <v>1.05</v>
      </c>
    </row>
    <row r="2147" spans="48:50" x14ac:dyDescent="0.3">
      <c r="AV2147" t="str">
        <v>Data Analytics Course: Visualizations</v>
      </c>
      <c r="AW2147">
        <v>184</v>
      </c>
      <c r="AX2147">
        <v>2.09</v>
      </c>
    </row>
    <row r="2148" spans="48:50" x14ac:dyDescent="0.3">
      <c r="AV2148" t="str">
        <v>Data Analytics Course: Advanced</v>
      </c>
      <c r="AW2148">
        <v>200</v>
      </c>
      <c r="AX2148">
        <v>1.75</v>
      </c>
    </row>
    <row r="2149" spans="48:50" x14ac:dyDescent="0.3">
      <c r="AV2149" t="str">
        <v>Data Analytics Course: Advanced</v>
      </c>
      <c r="AW2149">
        <v>225</v>
      </c>
      <c r="AX2149">
        <v>1.45</v>
      </c>
    </row>
    <row r="2150" spans="48:50" x14ac:dyDescent="0.3">
      <c r="AV2150" t="str">
        <v>Data Analytics Course: Visualizations</v>
      </c>
      <c r="AW2150">
        <v>180</v>
      </c>
      <c r="AX2150">
        <v>1.84</v>
      </c>
    </row>
    <row r="2151" spans="48:50" x14ac:dyDescent="0.3">
      <c r="AV2151" t="str">
        <v>Data Analytics Course: Visualizations</v>
      </c>
      <c r="AW2151">
        <v>204</v>
      </c>
      <c r="AX2151">
        <v>1.18</v>
      </c>
    </row>
    <row r="2152" spans="48:50" x14ac:dyDescent="0.3">
      <c r="AV2152" t="str">
        <v>Data Analytics Course: Advanced</v>
      </c>
      <c r="AW2152">
        <v>201</v>
      </c>
      <c r="AX2152">
        <v>1.61</v>
      </c>
    </row>
    <row r="2153" spans="48:50" x14ac:dyDescent="0.3">
      <c r="AV2153" t="str">
        <v>Data Analytics Course: Advanced</v>
      </c>
      <c r="AW2153">
        <v>224</v>
      </c>
      <c r="AX2153">
        <v>1.18</v>
      </c>
    </row>
    <row r="2154" spans="48:50" x14ac:dyDescent="0.3">
      <c r="AV2154" t="str">
        <v>Data Analytics Course: ML</v>
      </c>
      <c r="AW2154">
        <v>243</v>
      </c>
      <c r="AX2154">
        <v>0.96</v>
      </c>
    </row>
    <row r="2155" spans="48:50" x14ac:dyDescent="0.3">
      <c r="AV2155" t="str">
        <v>Data Analytics Course: Basics</v>
      </c>
      <c r="AW2155">
        <v>233</v>
      </c>
      <c r="AX2155">
        <v>1.74</v>
      </c>
    </row>
    <row r="2156" spans="48:50" x14ac:dyDescent="0.3">
      <c r="AV2156" t="str">
        <v>Data Analytics Course: Basics</v>
      </c>
      <c r="AW2156">
        <v>244</v>
      </c>
      <c r="AX2156">
        <v>1.01</v>
      </c>
    </row>
    <row r="2157" spans="48:50" x14ac:dyDescent="0.3">
      <c r="AV2157" t="str">
        <v>Data Analytics Course: Advanced</v>
      </c>
      <c r="AW2157">
        <v>200</v>
      </c>
      <c r="AX2157">
        <v>1.58</v>
      </c>
    </row>
    <row r="2158" spans="48:50" x14ac:dyDescent="0.3">
      <c r="AV2158" t="str">
        <v>Data Analytics Course: Basics</v>
      </c>
      <c r="AW2158">
        <v>274</v>
      </c>
      <c r="AX2158">
        <v>0.99</v>
      </c>
    </row>
    <row r="2159" spans="48:50" x14ac:dyDescent="0.3">
      <c r="AV2159" t="str">
        <v>Data Analytics Course: Visualizations</v>
      </c>
      <c r="AW2159">
        <v>186</v>
      </c>
      <c r="AX2159">
        <v>2.11</v>
      </c>
    </row>
    <row r="2160" spans="48:50" x14ac:dyDescent="0.3">
      <c r="AV2160" t="str">
        <v>Data Analytics Course: Advanced</v>
      </c>
      <c r="AW2160">
        <v>185</v>
      </c>
      <c r="AX2160">
        <v>1.65</v>
      </c>
    </row>
    <row r="2161" spans="48:50" x14ac:dyDescent="0.3">
      <c r="AV2161" t="str">
        <v>Data Analytics Course: Basics</v>
      </c>
      <c r="AW2161">
        <v>217</v>
      </c>
      <c r="AX2161">
        <v>1.24</v>
      </c>
    </row>
    <row r="2162" spans="48:50" x14ac:dyDescent="0.3">
      <c r="AV2162" t="str">
        <v>Data Analytics Course: ML</v>
      </c>
      <c r="AW2162">
        <v>247</v>
      </c>
      <c r="AX2162">
        <v>1.2</v>
      </c>
    </row>
    <row r="2163" spans="48:50" x14ac:dyDescent="0.3">
      <c r="AV2163" t="str">
        <v>Data Analytics Course: Basics</v>
      </c>
      <c r="AW2163">
        <v>227</v>
      </c>
      <c r="AX2163">
        <v>1.1000000000000001</v>
      </c>
    </row>
    <row r="2164" spans="48:50" x14ac:dyDescent="0.3">
      <c r="AV2164" t="str">
        <v>Data Analytics Course: Visualizations</v>
      </c>
      <c r="AW2164">
        <v>239</v>
      </c>
      <c r="AX2164">
        <v>1.53</v>
      </c>
    </row>
    <row r="2165" spans="48:50" x14ac:dyDescent="0.3">
      <c r="AV2165" t="str">
        <v>Data Analytics Course: Basics</v>
      </c>
      <c r="AW2165">
        <v>180</v>
      </c>
      <c r="AX2165">
        <v>1.8</v>
      </c>
    </row>
    <row r="2166" spans="48:50" x14ac:dyDescent="0.3">
      <c r="AV2166" t="str">
        <v>Data Analytics Course: Visualizations</v>
      </c>
      <c r="AW2166">
        <v>246</v>
      </c>
      <c r="AX2166">
        <v>1.62</v>
      </c>
    </row>
    <row r="2167" spans="48:50" x14ac:dyDescent="0.3">
      <c r="AV2167" t="str">
        <v>Data Analytics Course: Visualizations</v>
      </c>
      <c r="AW2167">
        <v>220</v>
      </c>
      <c r="AX2167">
        <v>1.2</v>
      </c>
    </row>
    <row r="2168" spans="48:50" x14ac:dyDescent="0.3">
      <c r="AV2168" t="str">
        <v>Data Analytics Course: Advanced</v>
      </c>
      <c r="AW2168">
        <v>184</v>
      </c>
      <c r="AX2168">
        <v>1.73</v>
      </c>
    </row>
    <row r="2169" spans="48:50" x14ac:dyDescent="0.3">
      <c r="AV2169" t="str">
        <v>Data Analytics Course: Visualizations</v>
      </c>
      <c r="AW2169">
        <v>186</v>
      </c>
      <c r="AX2169">
        <v>1.1399999999999999</v>
      </c>
    </row>
    <row r="2170" spans="48:50" x14ac:dyDescent="0.3">
      <c r="AV2170" t="str">
        <v>Data Analytics Course: Visualizations</v>
      </c>
      <c r="AW2170">
        <v>239</v>
      </c>
      <c r="AX2170">
        <v>0.86</v>
      </c>
    </row>
    <row r="2171" spans="48:50" x14ac:dyDescent="0.3">
      <c r="AV2171" t="str">
        <v>Data Analytics Course: Visualizations</v>
      </c>
      <c r="AW2171">
        <v>187</v>
      </c>
      <c r="AX2171">
        <v>1.34</v>
      </c>
    </row>
    <row r="2172" spans="48:50" x14ac:dyDescent="0.3">
      <c r="AV2172" t="str">
        <v>Data Analytics Course: Visualizations</v>
      </c>
      <c r="AW2172">
        <v>198</v>
      </c>
      <c r="AX2172">
        <v>1.76</v>
      </c>
    </row>
    <row r="2173" spans="48:50" x14ac:dyDescent="0.3">
      <c r="AV2173" t="str">
        <v>Data Analytics Course: Visualizations</v>
      </c>
      <c r="AW2173">
        <v>232</v>
      </c>
      <c r="AX2173">
        <v>1.44</v>
      </c>
    </row>
    <row r="2174" spans="48:50" x14ac:dyDescent="0.3">
      <c r="AV2174" t="str">
        <v>Data Analytics Course: Advanced</v>
      </c>
      <c r="AW2174">
        <v>238</v>
      </c>
      <c r="AX2174">
        <v>1.45</v>
      </c>
    </row>
    <row r="2175" spans="48:50" x14ac:dyDescent="0.3">
      <c r="AV2175" t="str">
        <v>Data Analytics Course: Visualizations</v>
      </c>
      <c r="AW2175">
        <v>184</v>
      </c>
      <c r="AX2175">
        <v>1.52</v>
      </c>
    </row>
    <row r="2176" spans="48:50" x14ac:dyDescent="0.3">
      <c r="AV2176" t="str">
        <v>Data Analytics Course: Visualizations</v>
      </c>
      <c r="AW2176">
        <v>237</v>
      </c>
      <c r="AX2176">
        <v>1.56</v>
      </c>
    </row>
    <row r="2177" spans="48:50" x14ac:dyDescent="0.3">
      <c r="AV2177" t="str">
        <v>Data Analytics Course: Visualizations</v>
      </c>
      <c r="AW2177">
        <v>184</v>
      </c>
      <c r="AX2177">
        <v>2.04</v>
      </c>
    </row>
    <row r="2178" spans="48:50" x14ac:dyDescent="0.3">
      <c r="AV2178" t="str">
        <v>Data Analytics Course: Advanced</v>
      </c>
      <c r="AW2178">
        <v>207</v>
      </c>
      <c r="AX2178">
        <v>1.45</v>
      </c>
    </row>
    <row r="2179" spans="48:50" x14ac:dyDescent="0.3">
      <c r="AV2179" t="str">
        <v>Data Analytics Course: Basics</v>
      </c>
      <c r="AW2179">
        <v>204</v>
      </c>
      <c r="AX2179">
        <v>1.4</v>
      </c>
    </row>
    <row r="2180" spans="48:50" x14ac:dyDescent="0.3">
      <c r="AV2180" t="str">
        <v>Data Analytics Course: Visualizations</v>
      </c>
      <c r="AW2180">
        <v>234</v>
      </c>
      <c r="AX2180">
        <v>1.05</v>
      </c>
    </row>
    <row r="2181" spans="48:50" x14ac:dyDescent="0.3">
      <c r="AV2181" t="str">
        <v>Data Analytics Course: Basics</v>
      </c>
      <c r="AW2181">
        <v>233</v>
      </c>
      <c r="AX2181">
        <v>1.05</v>
      </c>
    </row>
    <row r="2182" spans="48:50" x14ac:dyDescent="0.3">
      <c r="AV2182" t="str">
        <v>Data Analytics Course: Basics</v>
      </c>
      <c r="AW2182">
        <v>211</v>
      </c>
      <c r="AX2182">
        <v>1.6</v>
      </c>
    </row>
    <row r="2183" spans="48:50" x14ac:dyDescent="0.3">
      <c r="AV2183" t="str">
        <v>Data Analytics Course: ML</v>
      </c>
      <c r="AW2183">
        <v>201</v>
      </c>
      <c r="AX2183">
        <v>1.9</v>
      </c>
    </row>
    <row r="2184" spans="48:50" x14ac:dyDescent="0.3">
      <c r="AV2184" t="str">
        <v>Data Analytics Course: Basics</v>
      </c>
      <c r="AW2184">
        <v>200</v>
      </c>
      <c r="AX2184">
        <v>1.6</v>
      </c>
    </row>
    <row r="2185" spans="48:50" x14ac:dyDescent="0.3">
      <c r="AV2185" t="str">
        <v>Data Analytics Course: ML</v>
      </c>
      <c r="AW2185">
        <v>223</v>
      </c>
      <c r="AX2185">
        <v>1.67</v>
      </c>
    </row>
    <row r="2186" spans="48:50" x14ac:dyDescent="0.3">
      <c r="AV2186" t="str">
        <v>Data Analytics Course: Advanced</v>
      </c>
      <c r="AW2186">
        <v>248</v>
      </c>
      <c r="AX2186">
        <v>1.39</v>
      </c>
    </row>
    <row r="2187" spans="48:50" x14ac:dyDescent="0.3">
      <c r="AV2187" t="str">
        <v>Data Analytics Course: Advanced</v>
      </c>
      <c r="AW2187">
        <v>211</v>
      </c>
      <c r="AX2187">
        <v>1.24</v>
      </c>
    </row>
    <row r="2188" spans="48:50" x14ac:dyDescent="0.3">
      <c r="AV2188" t="str">
        <v>Data Analytics Course: ML</v>
      </c>
      <c r="AW2188">
        <v>246</v>
      </c>
      <c r="AX2188">
        <v>1.1499999999999999</v>
      </c>
    </row>
    <row r="2189" spans="48:50" x14ac:dyDescent="0.3">
      <c r="AV2189" t="str">
        <v>Data Analytics Course: ML</v>
      </c>
      <c r="AW2189">
        <v>230</v>
      </c>
      <c r="AX2189">
        <v>0.91</v>
      </c>
    </row>
    <row r="2190" spans="48:50" x14ac:dyDescent="0.3">
      <c r="AV2190" t="str">
        <v>Data Analytics Course: Advanced</v>
      </c>
      <c r="AW2190">
        <v>181</v>
      </c>
      <c r="AX2190">
        <v>1.25</v>
      </c>
    </row>
    <row r="2191" spans="48:50" x14ac:dyDescent="0.3">
      <c r="AV2191" t="str">
        <v>Data Analytics Course: Visualizations</v>
      </c>
      <c r="AW2191">
        <v>209</v>
      </c>
      <c r="AX2191">
        <v>1.04</v>
      </c>
    </row>
    <row r="2192" spans="48:50" x14ac:dyDescent="0.3">
      <c r="AV2192" t="str">
        <v>Data Analytics Course: Advanced</v>
      </c>
      <c r="AW2192">
        <v>220</v>
      </c>
      <c r="AX2192">
        <v>1.17</v>
      </c>
    </row>
    <row r="2193" spans="48:50" x14ac:dyDescent="0.3">
      <c r="AV2193" t="str">
        <v>Data Analytics Course: Basics</v>
      </c>
      <c r="AW2193">
        <v>229</v>
      </c>
      <c r="AX2193">
        <v>1.1299999999999999</v>
      </c>
    </row>
    <row r="2194" spans="48:50" x14ac:dyDescent="0.3">
      <c r="AV2194" t="str">
        <v>Data Analytics Course: Advanced</v>
      </c>
      <c r="AW2194">
        <v>243</v>
      </c>
      <c r="AX2194">
        <v>0.96</v>
      </c>
    </row>
    <row r="2195" spans="48:50" x14ac:dyDescent="0.3">
      <c r="AV2195" t="str">
        <v>Data Analytics Course: Visualizations</v>
      </c>
      <c r="AW2195">
        <v>218</v>
      </c>
      <c r="AX2195">
        <v>1.7</v>
      </c>
    </row>
    <row r="2196" spans="48:50" x14ac:dyDescent="0.3">
      <c r="AV2196" t="str">
        <v>Data Analytics Course: Basics</v>
      </c>
      <c r="AW2196">
        <v>238</v>
      </c>
      <c r="AX2196">
        <v>1.28</v>
      </c>
    </row>
    <row r="2197" spans="48:50" x14ac:dyDescent="0.3">
      <c r="AV2197" t="str">
        <v>Data Analytics Course: Basics</v>
      </c>
      <c r="AW2197">
        <v>214</v>
      </c>
      <c r="AX2197">
        <v>1.31</v>
      </c>
    </row>
    <row r="2198" spans="48:50" x14ac:dyDescent="0.3">
      <c r="AV2198" t="str">
        <v>Data Analytics Course: Advanced</v>
      </c>
      <c r="AW2198">
        <v>228</v>
      </c>
      <c r="AX2198">
        <v>1.08</v>
      </c>
    </row>
    <row r="2199" spans="48:50" x14ac:dyDescent="0.3">
      <c r="AV2199" t="str">
        <v>Data Analytics Course: ML</v>
      </c>
      <c r="AW2199">
        <v>184</v>
      </c>
      <c r="AX2199">
        <v>1.39</v>
      </c>
    </row>
    <row r="2200" spans="48:50" x14ac:dyDescent="0.3">
      <c r="AV2200" t="str">
        <v>Data Analytics Course: Basics</v>
      </c>
      <c r="AW2200">
        <v>224</v>
      </c>
      <c r="AX2200">
        <v>1.47</v>
      </c>
    </row>
    <row r="2201" spans="48:50" x14ac:dyDescent="0.3">
      <c r="AV2201" t="str">
        <v>Data Analytics Course: Basics</v>
      </c>
      <c r="AW2201">
        <v>191</v>
      </c>
      <c r="AX2201">
        <v>2.2000000000000002</v>
      </c>
    </row>
    <row r="2202" spans="48:50" x14ac:dyDescent="0.3">
      <c r="AV2202" t="str">
        <v>Data Analytics Course: Basics</v>
      </c>
      <c r="AW2202">
        <v>217</v>
      </c>
      <c r="AX2202">
        <v>1.56</v>
      </c>
    </row>
    <row r="2203" spans="48:50" x14ac:dyDescent="0.3">
      <c r="AV2203" t="str">
        <v>Data Analytics Course: ML</v>
      </c>
      <c r="AW2203">
        <v>226</v>
      </c>
      <c r="AX2203">
        <v>1.37</v>
      </c>
    </row>
    <row r="2204" spans="48:50" x14ac:dyDescent="0.3">
      <c r="AV2204" t="str">
        <v>Data Analytics Course: ML</v>
      </c>
      <c r="AW2204">
        <v>187</v>
      </c>
      <c r="AX2204">
        <v>1.86</v>
      </c>
    </row>
    <row r="2205" spans="48:50" x14ac:dyDescent="0.3">
      <c r="AV2205" t="str">
        <v>Data Analytics Course: Advanced</v>
      </c>
      <c r="AW2205">
        <v>240</v>
      </c>
      <c r="AX2205">
        <v>1.23</v>
      </c>
    </row>
    <row r="2206" spans="48:50" x14ac:dyDescent="0.3">
      <c r="AV2206" t="str">
        <v>Data Analytics Course: Basics</v>
      </c>
      <c r="AW2206">
        <v>235</v>
      </c>
      <c r="AX2206">
        <v>1.61</v>
      </c>
    </row>
    <row r="2207" spans="48:50" x14ac:dyDescent="0.3">
      <c r="AV2207" t="str">
        <v>Data Analytics Course: Visualizations</v>
      </c>
      <c r="AW2207">
        <v>246</v>
      </c>
      <c r="AX2207">
        <v>1.23</v>
      </c>
    </row>
    <row r="2208" spans="48:50" x14ac:dyDescent="0.3">
      <c r="AV2208" t="str">
        <v>Data Analytics Course: Basics</v>
      </c>
      <c r="AW2208">
        <v>186</v>
      </c>
      <c r="AX2208">
        <v>1.89</v>
      </c>
    </row>
    <row r="2209" spans="48:50" x14ac:dyDescent="0.3">
      <c r="AV2209" t="str">
        <v>Data Analytics Course: Advanced</v>
      </c>
      <c r="AW2209">
        <v>191</v>
      </c>
      <c r="AX2209">
        <v>2</v>
      </c>
    </row>
    <row r="2210" spans="48:50" x14ac:dyDescent="0.3">
      <c r="AV2210" t="str">
        <v>Data Analytics Course: Advanced</v>
      </c>
      <c r="AW2210">
        <v>244</v>
      </c>
      <c r="AX2210">
        <v>1.32</v>
      </c>
    </row>
    <row r="2211" spans="48:50" x14ac:dyDescent="0.3">
      <c r="AV2211" t="str">
        <v>Data Analytics Course: Basics</v>
      </c>
      <c r="AW2211">
        <v>223</v>
      </c>
      <c r="AX2211">
        <v>1.36</v>
      </c>
    </row>
    <row r="2212" spans="48:50" x14ac:dyDescent="0.3">
      <c r="AV2212" t="str">
        <v>Data Analytics Course: Advanced</v>
      </c>
      <c r="AW2212">
        <v>242</v>
      </c>
      <c r="AX2212">
        <v>1.02</v>
      </c>
    </row>
    <row r="2213" spans="48:50" x14ac:dyDescent="0.3">
      <c r="AV2213" t="str">
        <v>Data Analytics Course: Visualizations</v>
      </c>
      <c r="AW2213">
        <v>207</v>
      </c>
      <c r="AX2213">
        <v>1.5</v>
      </c>
    </row>
    <row r="2214" spans="48:50" x14ac:dyDescent="0.3">
      <c r="AV2214" t="str">
        <v>Data Analytics Course: ML</v>
      </c>
      <c r="AW2214">
        <v>210</v>
      </c>
      <c r="AX2214">
        <v>1.88</v>
      </c>
    </row>
    <row r="2215" spans="48:50" x14ac:dyDescent="0.3">
      <c r="AV2215" t="str">
        <v>Data Analytics Course: Advanced</v>
      </c>
      <c r="AW2215">
        <v>238</v>
      </c>
      <c r="AX2215">
        <v>1.62</v>
      </c>
    </row>
    <row r="2216" spans="48:50" x14ac:dyDescent="0.3">
      <c r="AV2216" t="str">
        <v>Data Analytics Course: Advanced</v>
      </c>
      <c r="AW2216">
        <v>209</v>
      </c>
      <c r="AX2216">
        <v>1.77</v>
      </c>
    </row>
    <row r="2217" spans="48:50" x14ac:dyDescent="0.3">
      <c r="AV2217" t="str">
        <v>Data Analytics Course: Advanced</v>
      </c>
      <c r="AW2217">
        <v>215</v>
      </c>
      <c r="AX2217">
        <v>1.83</v>
      </c>
    </row>
    <row r="2218" spans="48:50" x14ac:dyDescent="0.3">
      <c r="AV2218" t="str">
        <v>Data Analytics Course: Advanced</v>
      </c>
      <c r="AW2218">
        <v>195</v>
      </c>
      <c r="AX2218">
        <v>1.72</v>
      </c>
    </row>
    <row r="2219" spans="48:50" x14ac:dyDescent="0.3">
      <c r="AV2219" t="str">
        <v>Data Analytics Course: Visualizations</v>
      </c>
      <c r="AW2219">
        <v>223</v>
      </c>
      <c r="AX2219">
        <v>1.46</v>
      </c>
    </row>
    <row r="2220" spans="48:50" x14ac:dyDescent="0.3">
      <c r="AV2220" t="str">
        <v>Data Analytics Course: ML</v>
      </c>
      <c r="AW2220">
        <v>231</v>
      </c>
      <c r="AX2220">
        <v>1.0900000000000001</v>
      </c>
    </row>
    <row r="2221" spans="48:50" x14ac:dyDescent="0.3">
      <c r="AV2221" t="str">
        <v>Data Analytics Course: ML</v>
      </c>
      <c r="AW2221">
        <v>208</v>
      </c>
      <c r="AX2221">
        <v>1.33</v>
      </c>
    </row>
    <row r="2222" spans="48:50" x14ac:dyDescent="0.3">
      <c r="AV2222" t="str">
        <v>Data Analytics Course: Visualizations</v>
      </c>
      <c r="AW2222">
        <v>206</v>
      </c>
      <c r="AX2222">
        <v>1.33</v>
      </c>
    </row>
    <row r="2223" spans="48:50" x14ac:dyDescent="0.3">
      <c r="AV2223" t="str">
        <v>Data Analytics Course: Basics</v>
      </c>
      <c r="AW2223">
        <v>194</v>
      </c>
      <c r="AX2223">
        <v>1.36</v>
      </c>
    </row>
    <row r="2224" spans="48:50" x14ac:dyDescent="0.3">
      <c r="AV2224" t="str">
        <v>Data Analytics Course: Advanced</v>
      </c>
      <c r="AW2224">
        <v>239</v>
      </c>
      <c r="AX2224">
        <v>1.52</v>
      </c>
    </row>
    <row r="2225" spans="48:50" x14ac:dyDescent="0.3">
      <c r="AV2225" t="str">
        <v>Data Analytics Course: Visualizations</v>
      </c>
      <c r="AW2225">
        <v>183</v>
      </c>
      <c r="AX2225">
        <v>1.96</v>
      </c>
    </row>
    <row r="2226" spans="48:50" x14ac:dyDescent="0.3">
      <c r="AV2226" t="str">
        <v>Data Analytics Course: Advanced</v>
      </c>
      <c r="AW2226">
        <v>238</v>
      </c>
      <c r="AX2226">
        <v>1.65</v>
      </c>
    </row>
    <row r="2227" spans="48:50" x14ac:dyDescent="0.3">
      <c r="AV2227" t="str">
        <v>Data Analytics Course: Basics</v>
      </c>
      <c r="AW2227">
        <v>223</v>
      </c>
      <c r="AX2227">
        <v>1.55</v>
      </c>
    </row>
    <row r="2228" spans="48:50" x14ac:dyDescent="0.3">
      <c r="AV2228" t="str">
        <v>Data Analytics Course: Basics</v>
      </c>
      <c r="AW2228">
        <v>204</v>
      </c>
      <c r="AX2228">
        <v>1.77</v>
      </c>
    </row>
    <row r="2229" spans="48:50" x14ac:dyDescent="0.3">
      <c r="AV2229" t="str">
        <v>Data Analytics Course: Visualizations</v>
      </c>
      <c r="AW2229">
        <v>238</v>
      </c>
      <c r="AX2229">
        <v>1.54</v>
      </c>
    </row>
    <row r="2230" spans="48:50" x14ac:dyDescent="0.3">
      <c r="AV2230" t="str">
        <v>Data Analytics Course: ML</v>
      </c>
      <c r="AW2230">
        <v>189</v>
      </c>
      <c r="AX2230">
        <v>1.59</v>
      </c>
    </row>
    <row r="2231" spans="48:50" x14ac:dyDescent="0.3">
      <c r="AV2231" t="str">
        <v>Data Analytics Course: Advanced</v>
      </c>
      <c r="AW2231">
        <v>219</v>
      </c>
      <c r="AX2231">
        <v>1.19</v>
      </c>
    </row>
    <row r="2232" spans="48:50" x14ac:dyDescent="0.3">
      <c r="AV2232" t="str">
        <v>Data Analytics Course: ML</v>
      </c>
      <c r="AW2232">
        <v>238</v>
      </c>
      <c r="AX2232">
        <v>1.96</v>
      </c>
    </row>
    <row r="2233" spans="48:50" x14ac:dyDescent="0.3">
      <c r="AV2233" t="str">
        <v>Data Analytics Course: Visualizations</v>
      </c>
      <c r="AW2233">
        <v>193</v>
      </c>
      <c r="AX2233">
        <v>1.37</v>
      </c>
    </row>
    <row r="2234" spans="48:50" x14ac:dyDescent="0.3">
      <c r="AV2234" t="str">
        <v>Data Analytics Course: Visualizations</v>
      </c>
      <c r="AW2234">
        <v>208</v>
      </c>
      <c r="AX2234">
        <v>2.02</v>
      </c>
    </row>
    <row r="2235" spans="48:50" x14ac:dyDescent="0.3">
      <c r="AV2235" t="str">
        <v>Data Analytics Course: Visualizations</v>
      </c>
      <c r="AW2235">
        <v>243</v>
      </c>
      <c r="AX2235">
        <v>1.03</v>
      </c>
    </row>
    <row r="2236" spans="48:50" x14ac:dyDescent="0.3">
      <c r="AV2236" t="str">
        <v>Data Analytics Course: Visualizations</v>
      </c>
      <c r="AW2236">
        <v>243</v>
      </c>
      <c r="AX2236">
        <v>1.65</v>
      </c>
    </row>
    <row r="2237" spans="48:50" x14ac:dyDescent="0.3">
      <c r="AV2237" t="str">
        <v>Data Analytics Course: Advanced</v>
      </c>
      <c r="AW2237">
        <v>223</v>
      </c>
      <c r="AX2237">
        <v>0.96</v>
      </c>
    </row>
    <row r="2238" spans="48:50" x14ac:dyDescent="0.3">
      <c r="AV2238" t="str">
        <v>Data Analytics Course: Advanced</v>
      </c>
      <c r="AW2238">
        <v>223</v>
      </c>
      <c r="AX2238">
        <v>1.2</v>
      </c>
    </row>
    <row r="2239" spans="48:50" x14ac:dyDescent="0.3">
      <c r="AV2239" t="str">
        <v>Data Analytics Course: Basics</v>
      </c>
      <c r="AW2239">
        <v>231</v>
      </c>
      <c r="AX2239">
        <v>1.19</v>
      </c>
    </row>
    <row r="2240" spans="48:50" x14ac:dyDescent="0.3">
      <c r="AV2240" t="str">
        <v>Data Analytics Course: Advanced</v>
      </c>
      <c r="AW2240">
        <v>249</v>
      </c>
      <c r="AX2240">
        <v>1.36</v>
      </c>
    </row>
    <row r="2241" spans="48:50" x14ac:dyDescent="0.3">
      <c r="AV2241" t="str">
        <v>Data Analytics Course: ML</v>
      </c>
      <c r="AW2241">
        <v>202</v>
      </c>
      <c r="AX2241">
        <v>1.08</v>
      </c>
    </row>
    <row r="2242" spans="48:50" x14ac:dyDescent="0.3">
      <c r="AV2242" t="str">
        <v>Data Analytics Course: Visualizations</v>
      </c>
      <c r="AW2242">
        <v>185</v>
      </c>
      <c r="AX2242">
        <v>1.73</v>
      </c>
    </row>
    <row r="2243" spans="48:50" x14ac:dyDescent="0.3">
      <c r="AV2243" t="str">
        <v>Data Analytics Course: ML</v>
      </c>
      <c r="AW2243">
        <v>235</v>
      </c>
      <c r="AX2243">
        <v>1.01</v>
      </c>
    </row>
    <row r="2244" spans="48:50" x14ac:dyDescent="0.3">
      <c r="AV2244" t="str">
        <v>Data Analytics Course: ML</v>
      </c>
      <c r="AW2244">
        <v>219</v>
      </c>
      <c r="AX2244">
        <v>1.27</v>
      </c>
    </row>
    <row r="2245" spans="48:50" x14ac:dyDescent="0.3">
      <c r="AV2245" t="str">
        <v>Data Analytics Course: ML</v>
      </c>
      <c r="AW2245">
        <v>191</v>
      </c>
      <c r="AX2245">
        <v>1.61</v>
      </c>
    </row>
    <row r="2246" spans="48:50" x14ac:dyDescent="0.3">
      <c r="AV2246" t="str">
        <v>Data Analytics Course: Basics</v>
      </c>
      <c r="AW2246">
        <v>259</v>
      </c>
      <c r="AX2246">
        <v>1.46</v>
      </c>
    </row>
    <row r="2247" spans="48:50" x14ac:dyDescent="0.3">
      <c r="AV2247" t="str">
        <v>Data Analytics Course: Advanced</v>
      </c>
      <c r="AW2247">
        <v>248</v>
      </c>
      <c r="AX2247">
        <v>0.83</v>
      </c>
    </row>
    <row r="2248" spans="48:50" x14ac:dyDescent="0.3">
      <c r="AV2248" t="str">
        <v>Data Analytics Course: ML</v>
      </c>
      <c r="AW2248">
        <v>214</v>
      </c>
      <c r="AX2248">
        <v>1.32</v>
      </c>
    </row>
    <row r="2249" spans="48:50" x14ac:dyDescent="0.3">
      <c r="AV2249" t="str">
        <v>Data Analytics Course: Basics</v>
      </c>
      <c r="AW2249">
        <v>195</v>
      </c>
      <c r="AX2249">
        <v>1.2</v>
      </c>
    </row>
    <row r="2250" spans="48:50" x14ac:dyDescent="0.3">
      <c r="AV2250" t="str">
        <v>Data Analytics Course: Basics</v>
      </c>
      <c r="AW2250">
        <v>231</v>
      </c>
      <c r="AX2250">
        <v>1.52</v>
      </c>
    </row>
    <row r="2251" spans="48:50" x14ac:dyDescent="0.3">
      <c r="AV2251" t="str">
        <v>Data Analytics Course: Advanced</v>
      </c>
      <c r="AW2251">
        <v>220</v>
      </c>
      <c r="AX2251">
        <v>1.27</v>
      </c>
    </row>
    <row r="2252" spans="48:50" x14ac:dyDescent="0.3">
      <c r="AV2252" t="str">
        <v>Data Analytics Course: Advanced</v>
      </c>
      <c r="AW2252">
        <v>210</v>
      </c>
      <c r="AX2252">
        <v>1.92</v>
      </c>
    </row>
    <row r="2253" spans="48:50" x14ac:dyDescent="0.3">
      <c r="AV2253" t="str">
        <v>Data Analytics Course: ML</v>
      </c>
      <c r="AW2253">
        <v>217</v>
      </c>
      <c r="AX2253">
        <v>1.42</v>
      </c>
    </row>
    <row r="2254" spans="48:50" x14ac:dyDescent="0.3">
      <c r="AV2254" t="str">
        <v>Data Analytics Course: Basics</v>
      </c>
      <c r="AW2254">
        <v>216</v>
      </c>
      <c r="AX2254">
        <v>1.75</v>
      </c>
    </row>
    <row r="2255" spans="48:50" x14ac:dyDescent="0.3">
      <c r="AV2255" t="str">
        <v>Data Analytics Course: Visualizations</v>
      </c>
      <c r="AW2255">
        <v>127</v>
      </c>
      <c r="AX2255">
        <v>2.54</v>
      </c>
    </row>
    <row r="2256" spans="48:50" x14ac:dyDescent="0.3">
      <c r="AV2256" t="str">
        <v>Data Analytics Course: Visualizations</v>
      </c>
      <c r="AW2256">
        <v>239</v>
      </c>
      <c r="AX2256">
        <v>1.42</v>
      </c>
    </row>
    <row r="2257" spans="48:50" x14ac:dyDescent="0.3">
      <c r="AV2257" t="str">
        <v>Data Analytics Course: Advanced</v>
      </c>
      <c r="AW2257">
        <v>234</v>
      </c>
      <c r="AX2257">
        <v>1.61</v>
      </c>
    </row>
    <row r="2258" spans="48:50" x14ac:dyDescent="0.3">
      <c r="AV2258" t="str">
        <v>Data Analytics Course: Basics</v>
      </c>
      <c r="AW2258">
        <v>250</v>
      </c>
      <c r="AX2258">
        <v>1.43</v>
      </c>
    </row>
    <row r="2259" spans="48:50" x14ac:dyDescent="0.3">
      <c r="AV2259" t="str">
        <v>Data Analytics Course: ML</v>
      </c>
      <c r="AW2259">
        <v>231</v>
      </c>
      <c r="AX2259">
        <v>1.4</v>
      </c>
    </row>
    <row r="2260" spans="48:50" x14ac:dyDescent="0.3">
      <c r="AV2260" t="str">
        <v>Data Analytics Course: ML</v>
      </c>
      <c r="AW2260">
        <v>195</v>
      </c>
      <c r="AX2260">
        <v>1.46</v>
      </c>
    </row>
    <row r="2261" spans="48:50" x14ac:dyDescent="0.3">
      <c r="AV2261" t="str">
        <v>Data Analytics Course: Visualizations</v>
      </c>
      <c r="AW2261">
        <v>190</v>
      </c>
      <c r="AX2261">
        <v>1.21</v>
      </c>
    </row>
    <row r="2262" spans="48:50" x14ac:dyDescent="0.3">
      <c r="AV2262" t="str">
        <v>Data Analytics Course: ML</v>
      </c>
      <c r="AW2262">
        <v>201</v>
      </c>
      <c r="AX2262">
        <v>1.71</v>
      </c>
    </row>
    <row r="2263" spans="48:50" x14ac:dyDescent="0.3">
      <c r="AV2263" t="str">
        <v>Data Analytics Course: ML</v>
      </c>
      <c r="AW2263">
        <v>207</v>
      </c>
      <c r="AX2263">
        <v>1.76</v>
      </c>
    </row>
    <row r="2264" spans="48:50" x14ac:dyDescent="0.3">
      <c r="AV2264" t="str">
        <v>Data Analytics Course: Advanced</v>
      </c>
      <c r="AW2264">
        <v>198</v>
      </c>
      <c r="AX2264">
        <v>1.89</v>
      </c>
    </row>
    <row r="2265" spans="48:50" x14ac:dyDescent="0.3">
      <c r="AV2265" t="str">
        <v>Data Analytics Course: Visualizations</v>
      </c>
      <c r="AW2265">
        <v>231</v>
      </c>
      <c r="AX2265">
        <v>0.93</v>
      </c>
    </row>
    <row r="2266" spans="48:50" x14ac:dyDescent="0.3">
      <c r="AV2266" t="str">
        <v>Data Analytics Course: Advanced</v>
      </c>
      <c r="AW2266">
        <v>244</v>
      </c>
      <c r="AX2266">
        <v>0.98</v>
      </c>
    </row>
    <row r="2267" spans="48:50" x14ac:dyDescent="0.3">
      <c r="AV2267" t="str">
        <v>Data Analytics Course: Basics</v>
      </c>
      <c r="AW2267">
        <v>204</v>
      </c>
      <c r="AX2267">
        <v>1.45</v>
      </c>
    </row>
    <row r="2268" spans="48:50" x14ac:dyDescent="0.3">
      <c r="AV2268" t="str">
        <v>Data Analytics Course: Visualizations</v>
      </c>
      <c r="AW2268">
        <v>241</v>
      </c>
      <c r="AX2268">
        <v>0.9</v>
      </c>
    </row>
    <row r="2269" spans="48:50" x14ac:dyDescent="0.3">
      <c r="AV2269" t="str">
        <v>Data Analytics Course: Basics</v>
      </c>
      <c r="AW2269">
        <v>228</v>
      </c>
      <c r="AX2269">
        <v>1.6</v>
      </c>
    </row>
    <row r="2270" spans="48:50" x14ac:dyDescent="0.3">
      <c r="AV2270" t="str">
        <v>Data Analytics Course: Visualizations</v>
      </c>
      <c r="AW2270">
        <v>239</v>
      </c>
      <c r="AX2270">
        <v>1.57</v>
      </c>
    </row>
    <row r="2271" spans="48:50" x14ac:dyDescent="0.3">
      <c r="AV2271" t="str">
        <v>Data Analytics Course: Visualizations</v>
      </c>
      <c r="AW2271">
        <v>224</v>
      </c>
      <c r="AX2271">
        <v>1.05</v>
      </c>
    </row>
    <row r="2272" spans="48:50" x14ac:dyDescent="0.3">
      <c r="AV2272" t="str">
        <v>Data Analytics Course: ML</v>
      </c>
      <c r="AW2272">
        <v>198</v>
      </c>
      <c r="AX2272">
        <v>0.71</v>
      </c>
    </row>
    <row r="2273" spans="48:50" x14ac:dyDescent="0.3">
      <c r="AV2273" t="str">
        <v>Data Analytics Course: Advanced</v>
      </c>
      <c r="AW2273">
        <v>247</v>
      </c>
      <c r="AX2273">
        <v>1.42</v>
      </c>
    </row>
    <row r="2274" spans="48:50" x14ac:dyDescent="0.3">
      <c r="AV2274" t="str">
        <v>Data Analytics Course: ML</v>
      </c>
      <c r="AW2274">
        <v>219</v>
      </c>
      <c r="AX2274">
        <v>1.43</v>
      </c>
    </row>
    <row r="2275" spans="48:50" x14ac:dyDescent="0.3">
      <c r="AV2275" t="str">
        <v>Data Analytics Course: Basics</v>
      </c>
      <c r="AW2275">
        <v>184</v>
      </c>
      <c r="AX2275">
        <v>1.85</v>
      </c>
    </row>
    <row r="2276" spans="48:50" x14ac:dyDescent="0.3">
      <c r="AV2276" t="str">
        <v>Data Analytics Course: Visualizations</v>
      </c>
      <c r="AW2276">
        <v>238</v>
      </c>
      <c r="AX2276">
        <v>1.24</v>
      </c>
    </row>
    <row r="2277" spans="48:50" x14ac:dyDescent="0.3">
      <c r="AV2277" t="str">
        <v>Data Analytics Course: Visualizations</v>
      </c>
      <c r="AW2277">
        <v>190</v>
      </c>
      <c r="AX2277">
        <v>1.68</v>
      </c>
    </row>
    <row r="2278" spans="48:50" x14ac:dyDescent="0.3">
      <c r="AV2278" t="str">
        <v>Data Analytics Course: ML</v>
      </c>
      <c r="AW2278">
        <v>201</v>
      </c>
      <c r="AX2278">
        <v>1.92</v>
      </c>
    </row>
    <row r="2279" spans="48:50" x14ac:dyDescent="0.3">
      <c r="AV2279" t="str">
        <v>Data Analytics Course: ML</v>
      </c>
      <c r="AW2279">
        <v>214</v>
      </c>
      <c r="AX2279">
        <v>1.29</v>
      </c>
    </row>
    <row r="2280" spans="48:50" x14ac:dyDescent="0.3">
      <c r="AV2280" t="str">
        <v>Data Analytics Course: Visualizations</v>
      </c>
      <c r="AW2280">
        <v>272</v>
      </c>
      <c r="AX2280">
        <v>1.03</v>
      </c>
    </row>
    <row r="2281" spans="48:50" x14ac:dyDescent="0.3">
      <c r="AV2281" t="str">
        <v>Data Analytics Course: ML</v>
      </c>
      <c r="AW2281">
        <v>229</v>
      </c>
      <c r="AX2281">
        <v>1.39</v>
      </c>
    </row>
    <row r="2282" spans="48:50" x14ac:dyDescent="0.3">
      <c r="AV2282" t="str">
        <v>Data Analytics Course: ML</v>
      </c>
      <c r="AW2282">
        <v>188</v>
      </c>
      <c r="AX2282">
        <v>1.43</v>
      </c>
    </row>
    <row r="2283" spans="48:50" x14ac:dyDescent="0.3">
      <c r="AV2283" t="str">
        <v>Data Analytics Course: ML</v>
      </c>
      <c r="AW2283">
        <v>232</v>
      </c>
      <c r="AX2283">
        <v>1.61</v>
      </c>
    </row>
    <row r="2284" spans="48:50" x14ac:dyDescent="0.3">
      <c r="AV2284" t="str">
        <v>Data Analytics Course: Visualizations</v>
      </c>
      <c r="AW2284">
        <v>238</v>
      </c>
      <c r="AX2284">
        <v>1.33</v>
      </c>
    </row>
    <row r="2285" spans="48:50" x14ac:dyDescent="0.3">
      <c r="AV2285" t="str">
        <v>Data Analytics Course: Basics</v>
      </c>
      <c r="AW2285">
        <v>235</v>
      </c>
      <c r="AX2285">
        <v>1.57</v>
      </c>
    </row>
    <row r="2286" spans="48:50" x14ac:dyDescent="0.3">
      <c r="AV2286" t="str">
        <v>Data Analytics Course: Basics</v>
      </c>
      <c r="AW2286">
        <v>244</v>
      </c>
      <c r="AX2286">
        <v>1.41</v>
      </c>
    </row>
    <row r="2287" spans="48:50" x14ac:dyDescent="0.3">
      <c r="AV2287" t="str">
        <v>Data Analytics Course: ML</v>
      </c>
      <c r="AW2287">
        <v>237</v>
      </c>
      <c r="AX2287">
        <v>1.61</v>
      </c>
    </row>
    <row r="2288" spans="48:50" x14ac:dyDescent="0.3">
      <c r="AV2288" t="str">
        <v>Data Analytics Course: Advanced</v>
      </c>
      <c r="AW2288">
        <v>203</v>
      </c>
      <c r="AX2288">
        <v>1.37</v>
      </c>
    </row>
    <row r="2289" spans="48:50" x14ac:dyDescent="0.3">
      <c r="AV2289" t="str">
        <v>Data Analytics Course: Visualizations</v>
      </c>
      <c r="AW2289">
        <v>221</v>
      </c>
      <c r="AX2289">
        <v>1.1000000000000001</v>
      </c>
    </row>
    <row r="2290" spans="48:50" x14ac:dyDescent="0.3">
      <c r="AV2290" t="str">
        <v>Data Analytics Course: Visualizations</v>
      </c>
      <c r="AW2290">
        <v>227</v>
      </c>
      <c r="AX2290">
        <v>1.29</v>
      </c>
    </row>
    <row r="2291" spans="48:50" x14ac:dyDescent="0.3">
      <c r="AV2291" t="str">
        <v>Data Analytics Course: ML</v>
      </c>
      <c r="AW2291">
        <v>238</v>
      </c>
      <c r="AX2291">
        <v>1.51</v>
      </c>
    </row>
    <row r="2292" spans="48:50" x14ac:dyDescent="0.3">
      <c r="AV2292" t="str">
        <v>Data Analytics Course: ML</v>
      </c>
      <c r="AW2292">
        <v>189</v>
      </c>
      <c r="AX2292">
        <v>1.87</v>
      </c>
    </row>
    <row r="2293" spans="48:50" x14ac:dyDescent="0.3">
      <c r="AV2293" t="str">
        <v>Data Analytics Course: Visualizations</v>
      </c>
      <c r="AW2293">
        <v>233</v>
      </c>
      <c r="AX2293">
        <v>1.33</v>
      </c>
    </row>
    <row r="2294" spans="48:50" x14ac:dyDescent="0.3">
      <c r="AV2294" t="str">
        <v>Data Analytics Course: Basics</v>
      </c>
      <c r="AW2294">
        <v>248</v>
      </c>
      <c r="AX2294">
        <v>1.32</v>
      </c>
    </row>
    <row r="2295" spans="48:50" x14ac:dyDescent="0.3">
      <c r="AV2295" t="str">
        <v>Data Analytics Course: ML</v>
      </c>
      <c r="AW2295">
        <v>214</v>
      </c>
      <c r="AX2295">
        <v>1.81</v>
      </c>
    </row>
    <row r="2296" spans="48:50" x14ac:dyDescent="0.3">
      <c r="AV2296" t="str">
        <v>Data Analytics Course: Basics</v>
      </c>
      <c r="AW2296">
        <v>247</v>
      </c>
      <c r="AX2296">
        <v>0.94</v>
      </c>
    </row>
    <row r="2297" spans="48:50" x14ac:dyDescent="0.3">
      <c r="AV2297" t="str">
        <v>Data Analytics Course: ML</v>
      </c>
      <c r="AW2297">
        <v>236</v>
      </c>
      <c r="AX2297">
        <v>1.1100000000000001</v>
      </c>
    </row>
    <row r="2298" spans="48:50" x14ac:dyDescent="0.3">
      <c r="AV2298" t="str">
        <v>Data Analytics Course: Visualizations</v>
      </c>
      <c r="AW2298">
        <v>234</v>
      </c>
      <c r="AX2298">
        <v>1.65</v>
      </c>
    </row>
    <row r="2299" spans="48:50" x14ac:dyDescent="0.3">
      <c r="AV2299" t="str">
        <v>Data Analytics Course: Basics</v>
      </c>
      <c r="AW2299">
        <v>181</v>
      </c>
      <c r="AX2299">
        <v>1.82</v>
      </c>
    </row>
    <row r="2300" spans="48:50" x14ac:dyDescent="0.3">
      <c r="AV2300" t="str">
        <v>Data Analytics Course: Advanced</v>
      </c>
      <c r="AW2300">
        <v>208</v>
      </c>
      <c r="AX2300">
        <v>1.37</v>
      </c>
    </row>
    <row r="2301" spans="48:50" x14ac:dyDescent="0.3">
      <c r="AV2301" t="str">
        <v>Data Analytics Course: Advanced</v>
      </c>
      <c r="AW2301">
        <v>230</v>
      </c>
      <c r="AX2301">
        <v>1.59</v>
      </c>
    </row>
    <row r="2302" spans="48:50" x14ac:dyDescent="0.3">
      <c r="AV2302" t="str">
        <v>Data Analytics Course: Advanced</v>
      </c>
      <c r="AW2302">
        <v>240</v>
      </c>
      <c r="AX2302">
        <v>1.29</v>
      </c>
    </row>
    <row r="2303" spans="48:50" x14ac:dyDescent="0.3">
      <c r="AV2303" t="str">
        <v>Data Analytics Course: ML</v>
      </c>
      <c r="AW2303">
        <v>229</v>
      </c>
      <c r="AX2303">
        <v>0.61</v>
      </c>
    </row>
    <row r="2304" spans="48:50" x14ac:dyDescent="0.3">
      <c r="AV2304" t="str">
        <v>Data Analytics Course: Visualizations</v>
      </c>
      <c r="AW2304">
        <v>182</v>
      </c>
      <c r="AX2304">
        <v>1.3</v>
      </c>
    </row>
    <row r="2305" spans="48:50" x14ac:dyDescent="0.3">
      <c r="AV2305" t="str">
        <v>Data Analytics Course: ML</v>
      </c>
      <c r="AW2305">
        <v>226</v>
      </c>
      <c r="AX2305">
        <v>1.63</v>
      </c>
    </row>
    <row r="2306" spans="48:50" x14ac:dyDescent="0.3">
      <c r="AV2306" t="str">
        <v>Data Analytics Course: Visualizations</v>
      </c>
      <c r="AW2306">
        <v>221</v>
      </c>
      <c r="AX2306">
        <v>1.64</v>
      </c>
    </row>
    <row r="2307" spans="48:50" x14ac:dyDescent="0.3">
      <c r="AV2307" t="str">
        <v>Data Analytics Course: Basics</v>
      </c>
      <c r="AW2307">
        <v>212</v>
      </c>
      <c r="AX2307">
        <v>1.48</v>
      </c>
    </row>
    <row r="2308" spans="48:50" x14ac:dyDescent="0.3">
      <c r="AV2308" t="str">
        <v>Data Analytics Course: Basics</v>
      </c>
      <c r="AW2308">
        <v>192</v>
      </c>
      <c r="AX2308">
        <v>1.1200000000000001</v>
      </c>
    </row>
    <row r="2309" spans="48:50" x14ac:dyDescent="0.3">
      <c r="AV2309" t="str">
        <v>Data Analytics Course: Advanced</v>
      </c>
      <c r="AW2309">
        <v>238</v>
      </c>
      <c r="AX2309">
        <v>1.0900000000000001</v>
      </c>
    </row>
    <row r="2310" spans="48:50" x14ac:dyDescent="0.3">
      <c r="AV2310" t="str">
        <v>Data Analytics Course: Advanced</v>
      </c>
      <c r="AW2310">
        <v>281</v>
      </c>
      <c r="AX2310">
        <v>1.05</v>
      </c>
    </row>
    <row r="2311" spans="48:50" x14ac:dyDescent="0.3">
      <c r="AV2311" t="str">
        <v>Data Analytics Course: Advanced</v>
      </c>
      <c r="AW2311">
        <v>224</v>
      </c>
      <c r="AX2311">
        <v>1.1200000000000001</v>
      </c>
    </row>
    <row r="2312" spans="48:50" x14ac:dyDescent="0.3">
      <c r="AV2312" t="str">
        <v>Data Analytics Course: Basics</v>
      </c>
      <c r="AW2312">
        <v>232</v>
      </c>
      <c r="AX2312">
        <v>0.91</v>
      </c>
    </row>
    <row r="2313" spans="48:50" x14ac:dyDescent="0.3">
      <c r="AV2313" t="str">
        <v>Data Analytics Course: Advanced</v>
      </c>
      <c r="AW2313">
        <v>208</v>
      </c>
      <c r="AX2313">
        <v>1.85</v>
      </c>
    </row>
    <row r="2314" spans="48:50" x14ac:dyDescent="0.3">
      <c r="AV2314" t="str">
        <v>Data Analytics Course: ML</v>
      </c>
      <c r="AW2314">
        <v>213</v>
      </c>
      <c r="AX2314">
        <v>0.98</v>
      </c>
    </row>
    <row r="2315" spans="48:50" x14ac:dyDescent="0.3">
      <c r="AV2315" t="str">
        <v>Data Analytics Course: ML</v>
      </c>
      <c r="AW2315">
        <v>227</v>
      </c>
      <c r="AX2315">
        <v>1.66</v>
      </c>
    </row>
    <row r="2316" spans="48:50" x14ac:dyDescent="0.3">
      <c r="AV2316" t="str">
        <v>Data Analytics Course: Visualizations</v>
      </c>
      <c r="AW2316">
        <v>219</v>
      </c>
      <c r="AX2316">
        <v>1.7</v>
      </c>
    </row>
    <row r="2317" spans="48:50" x14ac:dyDescent="0.3">
      <c r="AV2317" t="str">
        <v>Data Analytics Course: ML</v>
      </c>
      <c r="AW2317">
        <v>233</v>
      </c>
      <c r="AX2317">
        <v>1.21</v>
      </c>
    </row>
    <row r="2318" spans="48:50" x14ac:dyDescent="0.3">
      <c r="AV2318" t="str">
        <v>Data Analytics Course: Advanced</v>
      </c>
      <c r="AW2318">
        <v>239</v>
      </c>
      <c r="AX2318">
        <v>0.86</v>
      </c>
    </row>
    <row r="2319" spans="48:50" x14ac:dyDescent="0.3">
      <c r="AV2319" t="str">
        <v>Data Analytics Course: Basics</v>
      </c>
      <c r="AW2319">
        <v>206</v>
      </c>
      <c r="AX2319">
        <v>1.75</v>
      </c>
    </row>
    <row r="2320" spans="48:50" x14ac:dyDescent="0.3">
      <c r="AV2320" t="str">
        <v>Data Analytics Course: Visualizations</v>
      </c>
      <c r="AW2320">
        <v>239</v>
      </c>
      <c r="AX2320">
        <v>1.7</v>
      </c>
    </row>
    <row r="2321" spans="48:50" x14ac:dyDescent="0.3">
      <c r="AV2321" t="str">
        <v>Data Analytics Course: ML</v>
      </c>
      <c r="AW2321">
        <v>236</v>
      </c>
      <c r="AX2321">
        <v>1.49</v>
      </c>
    </row>
    <row r="2322" spans="48:50" x14ac:dyDescent="0.3">
      <c r="AV2322" t="str">
        <v>Data Analytics Course: Basics</v>
      </c>
      <c r="AW2322">
        <v>209</v>
      </c>
      <c r="AX2322">
        <v>1.31</v>
      </c>
    </row>
    <row r="2323" spans="48:50" x14ac:dyDescent="0.3">
      <c r="AV2323" t="str">
        <v>Data Analytics Course: ML</v>
      </c>
      <c r="AW2323">
        <v>220</v>
      </c>
      <c r="AX2323">
        <v>1.91</v>
      </c>
    </row>
    <row r="2324" spans="48:50" x14ac:dyDescent="0.3">
      <c r="AV2324" t="str">
        <v>Data Analytics Course: Advanced</v>
      </c>
      <c r="AW2324">
        <v>217</v>
      </c>
      <c r="AX2324">
        <v>0.64</v>
      </c>
    </row>
    <row r="2325" spans="48:50" x14ac:dyDescent="0.3">
      <c r="AV2325" t="str">
        <v>Data Analytics Course: Visualizations</v>
      </c>
      <c r="AW2325">
        <v>192</v>
      </c>
      <c r="AX2325">
        <v>1.84</v>
      </c>
    </row>
    <row r="2326" spans="48:50" x14ac:dyDescent="0.3">
      <c r="AV2326" t="str">
        <v>Data Analytics Course: ML</v>
      </c>
      <c r="AW2326">
        <v>185</v>
      </c>
      <c r="AX2326">
        <v>1.18</v>
      </c>
    </row>
    <row r="2327" spans="48:50" x14ac:dyDescent="0.3">
      <c r="AV2327" t="str">
        <v>Data Analytics Course: ML</v>
      </c>
      <c r="AW2327">
        <v>237</v>
      </c>
      <c r="AX2327">
        <v>1.4</v>
      </c>
    </row>
    <row r="2328" spans="48:50" x14ac:dyDescent="0.3">
      <c r="AV2328" t="str">
        <v>Data Analytics Course: Basics</v>
      </c>
      <c r="AW2328">
        <v>194</v>
      </c>
      <c r="AX2328">
        <v>1.95</v>
      </c>
    </row>
    <row r="2329" spans="48:50" x14ac:dyDescent="0.3">
      <c r="AV2329" t="str">
        <v>Data Analytics Course: Advanced</v>
      </c>
      <c r="AW2329">
        <v>197</v>
      </c>
      <c r="AX2329">
        <v>1.37</v>
      </c>
    </row>
    <row r="2330" spans="48:50" x14ac:dyDescent="0.3">
      <c r="AV2330" t="str">
        <v>Data Analytics Course: Advanced</v>
      </c>
      <c r="AW2330">
        <v>235</v>
      </c>
      <c r="AX2330">
        <v>1.1299999999999999</v>
      </c>
    </row>
    <row r="2331" spans="48:50" x14ac:dyDescent="0.3">
      <c r="AV2331" t="str">
        <v>Data Analytics Course: Advanced</v>
      </c>
      <c r="AW2331">
        <v>240</v>
      </c>
      <c r="AX2331">
        <v>1.24</v>
      </c>
    </row>
    <row r="2332" spans="48:50" x14ac:dyDescent="0.3">
      <c r="AV2332" t="str">
        <v>Data Analytics Course: ML</v>
      </c>
      <c r="AW2332">
        <v>224</v>
      </c>
      <c r="AX2332">
        <v>1.67</v>
      </c>
    </row>
    <row r="2333" spans="48:50" x14ac:dyDescent="0.3">
      <c r="AV2333" t="str">
        <v>Data Analytics Course: ML</v>
      </c>
      <c r="AW2333">
        <v>203</v>
      </c>
      <c r="AX2333">
        <v>2.0099999999999998</v>
      </c>
    </row>
    <row r="2334" spans="48:50" x14ac:dyDescent="0.3">
      <c r="AV2334" t="str">
        <v>Data Analytics Course: ML</v>
      </c>
      <c r="AW2334">
        <v>194</v>
      </c>
      <c r="AX2334">
        <v>1.1200000000000001</v>
      </c>
    </row>
    <row r="2335" spans="48:50" x14ac:dyDescent="0.3">
      <c r="AV2335" t="str">
        <v>Data Analytics Course: Advanced</v>
      </c>
      <c r="AW2335">
        <v>158</v>
      </c>
      <c r="AX2335">
        <v>2.21</v>
      </c>
    </row>
    <row r="2336" spans="48:50" x14ac:dyDescent="0.3">
      <c r="AV2336" t="str">
        <v>Data Analytics Course: ML</v>
      </c>
      <c r="AW2336">
        <v>184</v>
      </c>
      <c r="AX2336">
        <v>1.58</v>
      </c>
    </row>
    <row r="2337" spans="48:50" x14ac:dyDescent="0.3">
      <c r="AV2337" t="str">
        <v>Data Analytics Course: Basics</v>
      </c>
      <c r="AW2337">
        <v>212</v>
      </c>
      <c r="AX2337">
        <v>1.82</v>
      </c>
    </row>
    <row r="2338" spans="48:50" x14ac:dyDescent="0.3">
      <c r="AV2338" t="str">
        <v>Data Analytics Course: Visualizations</v>
      </c>
      <c r="AW2338">
        <v>246</v>
      </c>
      <c r="AX2338">
        <v>1.47</v>
      </c>
    </row>
    <row r="2339" spans="48:50" x14ac:dyDescent="0.3">
      <c r="AV2339" t="str">
        <v>Data Analytics Course: Visualizations</v>
      </c>
      <c r="AW2339">
        <v>183</v>
      </c>
      <c r="AX2339">
        <v>1.54</v>
      </c>
    </row>
    <row r="2340" spans="48:50" x14ac:dyDescent="0.3">
      <c r="AV2340" t="str">
        <v>Data Analytics Course: Advanced</v>
      </c>
      <c r="AW2340">
        <v>226</v>
      </c>
      <c r="AX2340">
        <v>1.22</v>
      </c>
    </row>
    <row r="2341" spans="48:50" x14ac:dyDescent="0.3">
      <c r="AV2341" t="str">
        <v>Data Analytics Course: ML</v>
      </c>
      <c r="AW2341">
        <v>192</v>
      </c>
      <c r="AX2341">
        <v>1.49</v>
      </c>
    </row>
    <row r="2342" spans="48:50" x14ac:dyDescent="0.3">
      <c r="AV2342" t="str">
        <v>Data Analytics Course: Basics</v>
      </c>
      <c r="AW2342">
        <v>191</v>
      </c>
      <c r="AX2342">
        <v>1.19</v>
      </c>
    </row>
    <row r="2343" spans="48:50" x14ac:dyDescent="0.3">
      <c r="AV2343" t="str">
        <v>Data Analytics Course: Advanced</v>
      </c>
      <c r="AW2343">
        <v>223</v>
      </c>
      <c r="AX2343">
        <v>0.91</v>
      </c>
    </row>
    <row r="2344" spans="48:50" x14ac:dyDescent="0.3">
      <c r="AV2344" t="str">
        <v>Data Analytics Course: Advanced</v>
      </c>
      <c r="AW2344">
        <v>184</v>
      </c>
      <c r="AX2344">
        <v>2.08</v>
      </c>
    </row>
    <row r="2345" spans="48:50" x14ac:dyDescent="0.3">
      <c r="AV2345" t="str">
        <v>Data Analytics Course: Advanced</v>
      </c>
      <c r="AW2345">
        <v>185</v>
      </c>
      <c r="AX2345">
        <v>2.1</v>
      </c>
    </row>
    <row r="2346" spans="48:50" x14ac:dyDescent="0.3">
      <c r="AV2346" t="str">
        <v>Data Analytics Course: Visualizations</v>
      </c>
      <c r="AW2346">
        <v>231</v>
      </c>
      <c r="AX2346">
        <v>0.98</v>
      </c>
    </row>
    <row r="2347" spans="48:50" x14ac:dyDescent="0.3">
      <c r="AV2347" t="str">
        <v>Data Analytics Course: ML</v>
      </c>
      <c r="AW2347">
        <v>230</v>
      </c>
      <c r="AX2347">
        <v>1.62</v>
      </c>
    </row>
    <row r="2348" spans="48:50" x14ac:dyDescent="0.3">
      <c r="AV2348" t="str">
        <v>Data Analytics Course: Visualizations</v>
      </c>
      <c r="AW2348">
        <v>214</v>
      </c>
      <c r="AX2348">
        <v>1.38</v>
      </c>
    </row>
    <row r="2349" spans="48:50" x14ac:dyDescent="0.3">
      <c r="AV2349" t="str">
        <v>Data Analytics Course: Visualizations</v>
      </c>
      <c r="AW2349">
        <v>229</v>
      </c>
      <c r="AX2349">
        <v>1.1499999999999999</v>
      </c>
    </row>
    <row r="2350" spans="48:50" x14ac:dyDescent="0.3">
      <c r="AV2350" t="str">
        <v>Data Analytics Course: Advanced</v>
      </c>
      <c r="AW2350">
        <v>182</v>
      </c>
      <c r="AX2350">
        <v>2.16</v>
      </c>
    </row>
    <row r="2351" spans="48:50" x14ac:dyDescent="0.3">
      <c r="AV2351" t="str">
        <v>Data Analytics Course: Basics</v>
      </c>
      <c r="AW2351">
        <v>192</v>
      </c>
      <c r="AX2351">
        <v>2.0099999999999998</v>
      </c>
    </row>
    <row r="2352" spans="48:50" x14ac:dyDescent="0.3">
      <c r="AV2352" t="str">
        <v>Data Analytics Course: ML</v>
      </c>
      <c r="AW2352">
        <v>223</v>
      </c>
      <c r="AX2352">
        <v>1.26</v>
      </c>
    </row>
    <row r="2353" spans="48:50" x14ac:dyDescent="0.3">
      <c r="AV2353" t="str">
        <v>Data Analytics Course: Advanced</v>
      </c>
      <c r="AW2353">
        <v>234</v>
      </c>
      <c r="AX2353">
        <v>1.52</v>
      </c>
    </row>
    <row r="2354" spans="48:50" x14ac:dyDescent="0.3">
      <c r="AV2354" t="str">
        <v>Data Analytics Course: Visualizations</v>
      </c>
      <c r="AW2354">
        <v>181</v>
      </c>
      <c r="AX2354">
        <v>1.34</v>
      </c>
    </row>
    <row r="2355" spans="48:50" x14ac:dyDescent="0.3">
      <c r="AV2355" t="str">
        <v>Data Analytics Course: Advanced</v>
      </c>
      <c r="AW2355">
        <v>183</v>
      </c>
      <c r="AX2355">
        <v>1.23</v>
      </c>
    </row>
    <row r="2356" spans="48:50" x14ac:dyDescent="0.3">
      <c r="AV2356" t="str">
        <v>Data Analytics Course: Advanced</v>
      </c>
      <c r="AW2356">
        <v>180</v>
      </c>
      <c r="AX2356">
        <v>1.87</v>
      </c>
    </row>
    <row r="2357" spans="48:50" x14ac:dyDescent="0.3">
      <c r="AV2357" t="str">
        <v>Data Analytics Course: Basics</v>
      </c>
      <c r="AW2357">
        <v>209</v>
      </c>
      <c r="AX2357">
        <v>1.59</v>
      </c>
    </row>
    <row r="2358" spans="48:50" x14ac:dyDescent="0.3">
      <c r="AV2358" t="str">
        <v>Data Analytics Course: Basics</v>
      </c>
      <c r="AW2358">
        <v>220</v>
      </c>
      <c r="AX2358">
        <v>1.49</v>
      </c>
    </row>
    <row r="2359" spans="48:50" x14ac:dyDescent="0.3">
      <c r="AV2359" t="str">
        <v>Data Analytics Course: ML</v>
      </c>
      <c r="AW2359">
        <v>244</v>
      </c>
      <c r="AX2359">
        <v>1.1599999999999999</v>
      </c>
    </row>
    <row r="2360" spans="48:50" x14ac:dyDescent="0.3">
      <c r="AV2360" t="str">
        <v>Data Analytics Course: Visualizations</v>
      </c>
      <c r="AW2360">
        <v>228</v>
      </c>
      <c r="AX2360">
        <v>0.95</v>
      </c>
    </row>
    <row r="2361" spans="48:50" x14ac:dyDescent="0.3">
      <c r="AV2361" t="str">
        <v>Data Analytics Course: Advanced</v>
      </c>
      <c r="AW2361">
        <v>187</v>
      </c>
      <c r="AX2361">
        <v>1.46</v>
      </c>
    </row>
    <row r="2362" spans="48:50" x14ac:dyDescent="0.3">
      <c r="AV2362" t="str">
        <v>Data Analytics Course: Visualizations</v>
      </c>
      <c r="AW2362">
        <v>216</v>
      </c>
      <c r="AX2362">
        <v>1.43</v>
      </c>
    </row>
    <row r="2363" spans="48:50" x14ac:dyDescent="0.3">
      <c r="AV2363" t="str">
        <v>Data Analytics Course: Basics</v>
      </c>
      <c r="AW2363">
        <v>249</v>
      </c>
      <c r="AX2363">
        <v>0.96</v>
      </c>
    </row>
    <row r="2364" spans="48:50" x14ac:dyDescent="0.3">
      <c r="AV2364" t="str">
        <v>Data Analytics Course: Visualizations</v>
      </c>
      <c r="AW2364">
        <v>225</v>
      </c>
      <c r="AX2364">
        <v>1.31</v>
      </c>
    </row>
    <row r="2365" spans="48:50" x14ac:dyDescent="0.3">
      <c r="AV2365" t="str">
        <v>Data Analytics Course: Advanced</v>
      </c>
      <c r="AW2365">
        <v>190</v>
      </c>
      <c r="AX2365">
        <v>1.82</v>
      </c>
    </row>
    <row r="2366" spans="48:50" x14ac:dyDescent="0.3">
      <c r="AV2366" t="str">
        <v>Data Analytics Course: Basics</v>
      </c>
      <c r="AW2366">
        <v>209</v>
      </c>
      <c r="AX2366">
        <v>1.74</v>
      </c>
    </row>
    <row r="2367" spans="48:50" x14ac:dyDescent="0.3">
      <c r="AV2367" t="str">
        <v>Data Analytics Course: Visualizations</v>
      </c>
      <c r="AW2367">
        <v>221</v>
      </c>
      <c r="AX2367">
        <v>1.73</v>
      </c>
    </row>
    <row r="2368" spans="48:50" x14ac:dyDescent="0.3">
      <c r="AV2368" t="str">
        <v>Data Analytics Course: Basics</v>
      </c>
      <c r="AW2368">
        <v>216</v>
      </c>
      <c r="AX2368">
        <v>1.62</v>
      </c>
    </row>
    <row r="2369" spans="48:50" x14ac:dyDescent="0.3">
      <c r="AV2369" t="str">
        <v>Data Analytics Course: Advanced</v>
      </c>
      <c r="AW2369">
        <v>214</v>
      </c>
      <c r="AX2369">
        <v>1.63</v>
      </c>
    </row>
    <row r="2370" spans="48:50" x14ac:dyDescent="0.3">
      <c r="AV2370" t="str">
        <v>Data Analytics Course: ML</v>
      </c>
      <c r="AW2370">
        <v>222</v>
      </c>
      <c r="AX2370">
        <v>1.65</v>
      </c>
    </row>
    <row r="2371" spans="48:50" x14ac:dyDescent="0.3">
      <c r="AV2371" t="str">
        <v>Data Analytics Course: Visualizations</v>
      </c>
      <c r="AW2371">
        <v>248</v>
      </c>
      <c r="AX2371">
        <v>1.27</v>
      </c>
    </row>
    <row r="2372" spans="48:50" x14ac:dyDescent="0.3">
      <c r="AV2372" t="str">
        <v>Data Analytics Course: Basics</v>
      </c>
      <c r="AW2372">
        <v>223</v>
      </c>
      <c r="AX2372">
        <v>1.42</v>
      </c>
    </row>
    <row r="2373" spans="48:50" x14ac:dyDescent="0.3">
      <c r="AV2373" t="str">
        <v>Data Analytics Course: Advanced</v>
      </c>
      <c r="AW2373">
        <v>200</v>
      </c>
      <c r="AX2373">
        <v>1.69</v>
      </c>
    </row>
    <row r="2374" spans="48:50" x14ac:dyDescent="0.3">
      <c r="AV2374" t="str">
        <v>Data Analytics Course: Advanced</v>
      </c>
      <c r="AW2374">
        <v>185</v>
      </c>
      <c r="AX2374">
        <v>1.31</v>
      </c>
    </row>
    <row r="2375" spans="48:50" x14ac:dyDescent="0.3">
      <c r="AV2375" t="str">
        <v>Data Analytics Course: Basics</v>
      </c>
      <c r="AW2375">
        <v>245</v>
      </c>
      <c r="AX2375">
        <v>1.37</v>
      </c>
    </row>
    <row r="2376" spans="48:50" x14ac:dyDescent="0.3">
      <c r="AV2376" t="str">
        <v>Data Analytics Course: ML</v>
      </c>
      <c r="AW2376">
        <v>234</v>
      </c>
      <c r="AX2376">
        <v>1.42</v>
      </c>
    </row>
    <row r="2377" spans="48:50" x14ac:dyDescent="0.3">
      <c r="AV2377" t="str">
        <v>Data Analytics Course: Basics</v>
      </c>
      <c r="AW2377">
        <v>181</v>
      </c>
      <c r="AX2377">
        <v>1.18</v>
      </c>
    </row>
    <row r="2378" spans="48:50" x14ac:dyDescent="0.3">
      <c r="AV2378" t="str">
        <v>Data Analytics Course: Visualizations</v>
      </c>
      <c r="AW2378">
        <v>217</v>
      </c>
      <c r="AX2378">
        <v>1.42</v>
      </c>
    </row>
    <row r="2379" spans="48:50" x14ac:dyDescent="0.3">
      <c r="AV2379" t="str">
        <v>Data Analytics Course: Basics</v>
      </c>
      <c r="AW2379">
        <v>221</v>
      </c>
      <c r="AX2379">
        <v>1.55</v>
      </c>
    </row>
    <row r="2380" spans="48:50" x14ac:dyDescent="0.3">
      <c r="AV2380" t="str">
        <v>Data Analytics Course: Advanced</v>
      </c>
      <c r="AW2380">
        <v>225</v>
      </c>
      <c r="AX2380">
        <v>1.61</v>
      </c>
    </row>
    <row r="2381" spans="48:50" x14ac:dyDescent="0.3">
      <c r="AV2381" t="str">
        <v>Data Analytics Course: Visualizations</v>
      </c>
      <c r="AW2381">
        <v>195</v>
      </c>
      <c r="AX2381">
        <v>1.1100000000000001</v>
      </c>
    </row>
    <row r="2382" spans="48:50" x14ac:dyDescent="0.3">
      <c r="AV2382" t="str">
        <v>Data Analytics Course: Advanced</v>
      </c>
      <c r="AW2382">
        <v>233</v>
      </c>
      <c r="AX2382">
        <v>0.96</v>
      </c>
    </row>
    <row r="2383" spans="48:50" x14ac:dyDescent="0.3">
      <c r="AV2383" t="str">
        <v>Data Analytics Course: Advanced</v>
      </c>
      <c r="AW2383">
        <v>197</v>
      </c>
      <c r="AX2383">
        <v>1.07</v>
      </c>
    </row>
    <row r="2384" spans="48:50" x14ac:dyDescent="0.3">
      <c r="AV2384" t="str">
        <v>Data Analytics Course: ML</v>
      </c>
      <c r="AW2384">
        <v>231</v>
      </c>
      <c r="AX2384">
        <v>1.36</v>
      </c>
    </row>
    <row r="2385" spans="48:50" x14ac:dyDescent="0.3">
      <c r="AV2385" t="str">
        <v>Data Analytics Course: Visualizations</v>
      </c>
      <c r="AW2385">
        <v>196</v>
      </c>
      <c r="AX2385">
        <v>1.43</v>
      </c>
    </row>
    <row r="2386" spans="48:50" x14ac:dyDescent="0.3">
      <c r="AV2386" t="str">
        <v>Data Analytics Course: ML</v>
      </c>
      <c r="AW2386">
        <v>239</v>
      </c>
      <c r="AX2386">
        <v>1.53</v>
      </c>
    </row>
    <row r="2387" spans="48:50" x14ac:dyDescent="0.3">
      <c r="AV2387" t="str">
        <v>Data Analytics Course: Advanced</v>
      </c>
      <c r="AW2387">
        <v>218</v>
      </c>
      <c r="AX2387">
        <v>1.23</v>
      </c>
    </row>
    <row r="2388" spans="48:50" x14ac:dyDescent="0.3">
      <c r="AV2388" t="str">
        <v>Data Analytics Course: Visualizations</v>
      </c>
      <c r="AW2388">
        <v>217</v>
      </c>
      <c r="AX2388">
        <v>1.68</v>
      </c>
    </row>
    <row r="2389" spans="48:50" x14ac:dyDescent="0.3">
      <c r="AV2389" t="str">
        <v>Data Analytics Course: Advanced</v>
      </c>
      <c r="AW2389">
        <v>223</v>
      </c>
      <c r="AX2389">
        <v>1.47</v>
      </c>
    </row>
    <row r="2390" spans="48:50" x14ac:dyDescent="0.3">
      <c r="AV2390" t="str">
        <v>Data Analytics Course: Basics</v>
      </c>
      <c r="AW2390">
        <v>182</v>
      </c>
      <c r="AX2390">
        <v>1.49</v>
      </c>
    </row>
    <row r="2391" spans="48:50" x14ac:dyDescent="0.3">
      <c r="AV2391" t="str">
        <v>Data Analytics Course: ML</v>
      </c>
      <c r="AW2391">
        <v>209</v>
      </c>
      <c r="AX2391">
        <v>1.28</v>
      </c>
    </row>
    <row r="2392" spans="48:50" x14ac:dyDescent="0.3">
      <c r="AV2392" t="str">
        <v>Data Analytics Course: Advanced</v>
      </c>
      <c r="AW2392">
        <v>204</v>
      </c>
      <c r="AX2392">
        <v>1.41</v>
      </c>
    </row>
    <row r="2393" spans="48:50" x14ac:dyDescent="0.3">
      <c r="AV2393" t="str">
        <v>Data Analytics Course: ML</v>
      </c>
      <c r="AW2393">
        <v>238</v>
      </c>
      <c r="AX2393">
        <v>1.2</v>
      </c>
    </row>
    <row r="2394" spans="48:50" x14ac:dyDescent="0.3">
      <c r="AV2394" t="str">
        <v>Data Analytics Course: Advanced</v>
      </c>
      <c r="AW2394">
        <v>187</v>
      </c>
      <c r="AX2394">
        <v>1.1499999999999999</v>
      </c>
    </row>
    <row r="2395" spans="48:50" x14ac:dyDescent="0.3">
      <c r="AV2395" t="str">
        <v>Data Analytics Course: Advanced</v>
      </c>
      <c r="AW2395">
        <v>236</v>
      </c>
      <c r="AX2395">
        <v>1.38</v>
      </c>
    </row>
    <row r="2396" spans="48:50" x14ac:dyDescent="0.3">
      <c r="AV2396" t="str">
        <v>Data Analytics Course: Visualizations</v>
      </c>
      <c r="AW2396">
        <v>213</v>
      </c>
      <c r="AX2396">
        <v>1.01</v>
      </c>
    </row>
    <row r="2397" spans="48:50" x14ac:dyDescent="0.3">
      <c r="AV2397" t="str">
        <v>Data Analytics Course: Advanced</v>
      </c>
      <c r="AW2397">
        <v>183</v>
      </c>
      <c r="AX2397">
        <v>2.0699999999999998</v>
      </c>
    </row>
    <row r="2398" spans="48:50" x14ac:dyDescent="0.3">
      <c r="AV2398" t="str">
        <v>Data Analytics Course: Advanced</v>
      </c>
      <c r="AW2398">
        <v>183</v>
      </c>
      <c r="AX2398">
        <v>2.2200000000000002</v>
      </c>
    </row>
    <row r="2399" spans="48:50" x14ac:dyDescent="0.3">
      <c r="AV2399" t="str">
        <v>Data Analytics Course: Basics</v>
      </c>
      <c r="AW2399">
        <v>180</v>
      </c>
      <c r="AX2399">
        <v>1.78</v>
      </c>
    </row>
    <row r="2400" spans="48:50" x14ac:dyDescent="0.3">
      <c r="AV2400" t="str">
        <v>Data Analytics Course: ML</v>
      </c>
      <c r="AW2400">
        <v>186</v>
      </c>
      <c r="AX2400">
        <v>1.23</v>
      </c>
    </row>
    <row r="2401" spans="48:50" x14ac:dyDescent="0.3">
      <c r="AV2401" t="str">
        <v>Data Analytics Course: Basics</v>
      </c>
      <c r="AW2401">
        <v>193</v>
      </c>
      <c r="AX2401">
        <v>1.41</v>
      </c>
    </row>
    <row r="2402" spans="48:50" x14ac:dyDescent="0.3">
      <c r="AV2402" t="str">
        <v>Data Analytics Course: Basics</v>
      </c>
      <c r="AW2402">
        <v>202</v>
      </c>
      <c r="AX2402">
        <v>1.66</v>
      </c>
    </row>
    <row r="2403" spans="48:50" x14ac:dyDescent="0.3">
      <c r="AV2403" t="str">
        <v>Data Analytics Course: Visualizations</v>
      </c>
      <c r="AW2403">
        <v>250</v>
      </c>
      <c r="AX2403">
        <v>0.87</v>
      </c>
    </row>
    <row r="2404" spans="48:50" x14ac:dyDescent="0.3">
      <c r="AV2404" t="str">
        <v>Data Analytics Course: Visualizations</v>
      </c>
      <c r="AW2404">
        <v>192</v>
      </c>
      <c r="AX2404">
        <v>1.55</v>
      </c>
    </row>
    <row r="2405" spans="48:50" x14ac:dyDescent="0.3">
      <c r="AV2405" t="str">
        <v>Data Analytics Course: ML</v>
      </c>
      <c r="AW2405">
        <v>189</v>
      </c>
      <c r="AX2405">
        <v>1.28</v>
      </c>
    </row>
    <row r="2406" spans="48:50" x14ac:dyDescent="0.3">
      <c r="AV2406" t="str">
        <v>Data Analytics Course: Visualizations</v>
      </c>
      <c r="AW2406">
        <v>203</v>
      </c>
      <c r="AX2406">
        <v>1.1399999999999999</v>
      </c>
    </row>
    <row r="2407" spans="48:50" x14ac:dyDescent="0.3">
      <c r="AV2407" t="str">
        <v>Data Analytics Course: Advanced</v>
      </c>
      <c r="AW2407">
        <v>206</v>
      </c>
      <c r="AX2407">
        <v>1.59</v>
      </c>
    </row>
    <row r="2408" spans="48:50" x14ac:dyDescent="0.3">
      <c r="AV2408" t="str">
        <v>Data Analytics Course: Advanced</v>
      </c>
      <c r="AW2408">
        <v>208</v>
      </c>
      <c r="AX2408">
        <v>1.43</v>
      </c>
    </row>
    <row r="2409" spans="48:50" x14ac:dyDescent="0.3">
      <c r="AV2409" t="str">
        <v>Data Analytics Course: Basics</v>
      </c>
      <c r="AW2409">
        <v>187</v>
      </c>
      <c r="AX2409">
        <v>1.39</v>
      </c>
    </row>
    <row r="2410" spans="48:50" x14ac:dyDescent="0.3">
      <c r="AV2410" t="str">
        <v>Data Analytics Course: ML</v>
      </c>
      <c r="AW2410">
        <v>240</v>
      </c>
      <c r="AX2410">
        <v>1.1200000000000001</v>
      </c>
    </row>
    <row r="2411" spans="48:50" x14ac:dyDescent="0.3">
      <c r="AV2411" t="str">
        <v>Data Analytics Course: Advanced</v>
      </c>
      <c r="AW2411">
        <v>203</v>
      </c>
      <c r="AX2411">
        <v>1.9</v>
      </c>
    </row>
    <row r="2412" spans="48:50" x14ac:dyDescent="0.3">
      <c r="AV2412" t="str">
        <v>Data Analytics Course: ML</v>
      </c>
      <c r="AW2412">
        <v>218</v>
      </c>
      <c r="AX2412">
        <v>0.95</v>
      </c>
    </row>
    <row r="2413" spans="48:50" x14ac:dyDescent="0.3">
      <c r="AV2413" t="str">
        <v>Data Analytics Course: Visualizations</v>
      </c>
      <c r="AW2413">
        <v>232</v>
      </c>
      <c r="AX2413">
        <v>1.1499999999999999</v>
      </c>
    </row>
    <row r="2414" spans="48:50" x14ac:dyDescent="0.3">
      <c r="AV2414" t="str">
        <v>Data Analytics Course: ML</v>
      </c>
      <c r="AW2414">
        <v>247</v>
      </c>
      <c r="AX2414">
        <v>1.51</v>
      </c>
    </row>
    <row r="2415" spans="48:50" x14ac:dyDescent="0.3">
      <c r="AV2415" t="str">
        <v>Data Analytics Course: Visualizations</v>
      </c>
      <c r="AW2415">
        <v>200</v>
      </c>
      <c r="AX2415">
        <v>1.35</v>
      </c>
    </row>
    <row r="2416" spans="48:50" x14ac:dyDescent="0.3">
      <c r="AV2416" t="str">
        <v>Data Analytics Course: Visualizations</v>
      </c>
      <c r="AW2416">
        <v>182</v>
      </c>
      <c r="AX2416">
        <v>1.56</v>
      </c>
    </row>
    <row r="2417" spans="48:50" x14ac:dyDescent="0.3">
      <c r="AV2417" t="str">
        <v>Data Analytics Course: Visualizations</v>
      </c>
      <c r="AW2417">
        <v>207</v>
      </c>
      <c r="AX2417">
        <v>1.3</v>
      </c>
    </row>
    <row r="2418" spans="48:50" x14ac:dyDescent="0.3">
      <c r="AV2418" t="str">
        <v>Data Analytics Course: Visualizations</v>
      </c>
      <c r="AW2418">
        <v>213</v>
      </c>
      <c r="AX2418">
        <v>1.66</v>
      </c>
    </row>
    <row r="2419" spans="48:50" x14ac:dyDescent="0.3">
      <c r="AV2419" t="str">
        <v>Data Analytics Course: Visualizations</v>
      </c>
      <c r="AW2419">
        <v>189</v>
      </c>
      <c r="AX2419">
        <v>1.48</v>
      </c>
    </row>
    <row r="2420" spans="48:50" x14ac:dyDescent="0.3">
      <c r="AV2420" t="str">
        <v>Data Analytics Course: ML</v>
      </c>
      <c r="AW2420">
        <v>207</v>
      </c>
      <c r="AX2420">
        <v>1.04</v>
      </c>
    </row>
    <row r="2421" spans="48:50" x14ac:dyDescent="0.3">
      <c r="AV2421" t="str">
        <v>Data Analytics Course: Visualizations</v>
      </c>
      <c r="AW2421">
        <v>276</v>
      </c>
      <c r="AX2421">
        <v>0.82</v>
      </c>
    </row>
    <row r="2422" spans="48:50" x14ac:dyDescent="0.3">
      <c r="AV2422" t="str">
        <v>Data Analytics Course: ML</v>
      </c>
      <c r="AW2422">
        <v>243</v>
      </c>
      <c r="AX2422">
        <v>1.35</v>
      </c>
    </row>
    <row r="2423" spans="48:50" x14ac:dyDescent="0.3">
      <c r="AV2423" t="str">
        <v>Data Analytics Course: Basics</v>
      </c>
      <c r="AW2423">
        <v>205</v>
      </c>
      <c r="AX2423">
        <v>1.31</v>
      </c>
    </row>
    <row r="2424" spans="48:50" x14ac:dyDescent="0.3">
      <c r="AV2424" t="str">
        <v>Data Analytics Course: ML</v>
      </c>
      <c r="AW2424">
        <v>236</v>
      </c>
      <c r="AX2424">
        <v>0.91</v>
      </c>
    </row>
    <row r="2425" spans="48:50" x14ac:dyDescent="0.3">
      <c r="AV2425" t="str">
        <v>Data Analytics Course: Visualizations</v>
      </c>
      <c r="AW2425">
        <v>204</v>
      </c>
      <c r="AX2425">
        <v>1.98</v>
      </c>
    </row>
    <row r="2426" spans="48:50" x14ac:dyDescent="0.3">
      <c r="AV2426" t="str">
        <v>Data Analytics Course: ML</v>
      </c>
      <c r="AW2426">
        <v>213</v>
      </c>
      <c r="AX2426">
        <v>1.68</v>
      </c>
    </row>
    <row r="2427" spans="48:50" x14ac:dyDescent="0.3">
      <c r="AV2427" t="str">
        <v>Data Analytics Course: Visualizations</v>
      </c>
      <c r="AW2427">
        <v>265</v>
      </c>
      <c r="AX2427">
        <v>0.79</v>
      </c>
    </row>
    <row r="2428" spans="48:50" x14ac:dyDescent="0.3">
      <c r="AV2428" t="str">
        <v>Data Analytics Course: ML</v>
      </c>
      <c r="AW2428">
        <v>247</v>
      </c>
      <c r="AX2428">
        <v>1.32</v>
      </c>
    </row>
    <row r="2429" spans="48:50" x14ac:dyDescent="0.3">
      <c r="AV2429" t="str">
        <v>Data Analytics Course: Visualizations</v>
      </c>
      <c r="AW2429">
        <v>231</v>
      </c>
      <c r="AX2429">
        <v>1.28</v>
      </c>
    </row>
    <row r="2430" spans="48:50" x14ac:dyDescent="0.3">
      <c r="AV2430" t="str">
        <v>Data Analytics Course: Visualizations</v>
      </c>
      <c r="AW2430">
        <v>247</v>
      </c>
      <c r="AX2430">
        <v>1.51</v>
      </c>
    </row>
    <row r="2431" spans="48:50" x14ac:dyDescent="0.3">
      <c r="AV2431" t="str">
        <v>Data Analytics Course: Visualizations</v>
      </c>
      <c r="AW2431">
        <v>233</v>
      </c>
      <c r="AX2431">
        <v>0.99</v>
      </c>
    </row>
    <row r="2432" spans="48:50" x14ac:dyDescent="0.3">
      <c r="AV2432" t="str">
        <v>Data Analytics Course: Advanced</v>
      </c>
      <c r="AW2432">
        <v>209</v>
      </c>
      <c r="AX2432">
        <v>1.04</v>
      </c>
    </row>
    <row r="2433" spans="48:50" x14ac:dyDescent="0.3">
      <c r="AV2433" t="str">
        <v>Data Analytics Course: Basics</v>
      </c>
      <c r="AW2433">
        <v>191</v>
      </c>
      <c r="AX2433">
        <v>1.9</v>
      </c>
    </row>
    <row r="2434" spans="48:50" x14ac:dyDescent="0.3">
      <c r="AV2434" t="str">
        <v>Data Analytics Course: Visualizations</v>
      </c>
      <c r="AW2434">
        <v>186</v>
      </c>
      <c r="AX2434">
        <v>1.34</v>
      </c>
    </row>
    <row r="2435" spans="48:50" x14ac:dyDescent="0.3">
      <c r="AV2435" t="str">
        <v>Data Analytics Course: Visualizations</v>
      </c>
      <c r="AW2435">
        <v>207</v>
      </c>
      <c r="AX2435">
        <v>1.59</v>
      </c>
    </row>
    <row r="2436" spans="48:50" x14ac:dyDescent="0.3">
      <c r="AV2436" t="str">
        <v>Data Analytics Course: Basics</v>
      </c>
      <c r="AW2436">
        <v>198</v>
      </c>
      <c r="AX2436">
        <v>2.36</v>
      </c>
    </row>
    <row r="2437" spans="48:50" x14ac:dyDescent="0.3">
      <c r="AV2437" t="str">
        <v>Data Analytics Course: ML</v>
      </c>
      <c r="AW2437">
        <v>206</v>
      </c>
      <c r="AX2437">
        <v>1.8</v>
      </c>
    </row>
    <row r="2438" spans="48:50" x14ac:dyDescent="0.3">
      <c r="AV2438" t="str">
        <v>Data Analytics Course: ML</v>
      </c>
      <c r="AW2438">
        <v>236</v>
      </c>
      <c r="AX2438">
        <v>1.67</v>
      </c>
    </row>
    <row r="2439" spans="48:50" x14ac:dyDescent="0.3">
      <c r="AV2439" t="str">
        <v>Data Analytics Course: Advanced</v>
      </c>
      <c r="AW2439">
        <v>220</v>
      </c>
      <c r="AX2439">
        <v>1.73</v>
      </c>
    </row>
    <row r="2440" spans="48:50" x14ac:dyDescent="0.3">
      <c r="AV2440" t="str">
        <v>Data Analytics Course: Basics</v>
      </c>
      <c r="AW2440">
        <v>220</v>
      </c>
      <c r="AX2440">
        <v>1.06</v>
      </c>
    </row>
    <row r="2441" spans="48:50" x14ac:dyDescent="0.3">
      <c r="AV2441" t="str">
        <v>Data Analytics Course: Advanced</v>
      </c>
      <c r="AW2441">
        <v>209</v>
      </c>
      <c r="AX2441">
        <v>1.58</v>
      </c>
    </row>
    <row r="2442" spans="48:50" x14ac:dyDescent="0.3">
      <c r="AV2442" t="str">
        <v>Data Analytics Course: Basics</v>
      </c>
      <c r="AW2442">
        <v>248</v>
      </c>
      <c r="AX2442">
        <v>1.05</v>
      </c>
    </row>
    <row r="2443" spans="48:50" x14ac:dyDescent="0.3">
      <c r="AV2443" t="str">
        <v>Data Analytics Course: Visualizations</v>
      </c>
      <c r="AW2443">
        <v>201</v>
      </c>
      <c r="AX2443">
        <v>1.35</v>
      </c>
    </row>
    <row r="2444" spans="48:50" x14ac:dyDescent="0.3">
      <c r="AV2444" t="str">
        <v>Data Analytics Course: Basics</v>
      </c>
      <c r="AW2444">
        <v>190</v>
      </c>
      <c r="AX2444">
        <v>1.17</v>
      </c>
    </row>
    <row r="2445" spans="48:50" x14ac:dyDescent="0.3">
      <c r="AV2445" t="str">
        <v>Data Analytics Course: ML</v>
      </c>
      <c r="AW2445">
        <v>192</v>
      </c>
      <c r="AX2445">
        <v>1.0900000000000001</v>
      </c>
    </row>
    <row r="2446" spans="48:50" x14ac:dyDescent="0.3">
      <c r="AV2446" t="str">
        <v>Data Analytics Course: Advanced</v>
      </c>
      <c r="AW2446">
        <v>234</v>
      </c>
      <c r="AX2446">
        <v>1.4</v>
      </c>
    </row>
    <row r="2447" spans="48:50" x14ac:dyDescent="0.3">
      <c r="AV2447" t="str">
        <v>Data Analytics Course: Visualizations</v>
      </c>
      <c r="AW2447">
        <v>228</v>
      </c>
      <c r="AX2447">
        <v>0.95</v>
      </c>
    </row>
    <row r="2448" spans="48:50" x14ac:dyDescent="0.3">
      <c r="AV2448" t="str">
        <v>Data Analytics Course: ML</v>
      </c>
      <c r="AW2448">
        <v>243</v>
      </c>
      <c r="AX2448">
        <v>1.29</v>
      </c>
    </row>
    <row r="2449" spans="48:50" x14ac:dyDescent="0.3">
      <c r="AV2449" t="str">
        <v>Data Analytics Course: Visualizations</v>
      </c>
      <c r="AW2449">
        <v>203</v>
      </c>
      <c r="AX2449">
        <v>1.82</v>
      </c>
    </row>
    <row r="2450" spans="48:50" x14ac:dyDescent="0.3">
      <c r="AV2450" t="str">
        <v>Data Analytics Course: ML</v>
      </c>
      <c r="AW2450">
        <v>221</v>
      </c>
      <c r="AX2450">
        <v>1.59</v>
      </c>
    </row>
    <row r="2451" spans="48:50" x14ac:dyDescent="0.3">
      <c r="AV2451" t="str">
        <v>Data Analytics Course: Advanced</v>
      </c>
      <c r="AW2451">
        <v>184</v>
      </c>
      <c r="AX2451">
        <v>2.0099999999999998</v>
      </c>
    </row>
    <row r="2452" spans="48:50" x14ac:dyDescent="0.3">
      <c r="AV2452" t="str">
        <v>Data Analytics Course: Basics</v>
      </c>
      <c r="AW2452">
        <v>219</v>
      </c>
      <c r="AX2452">
        <v>1.39</v>
      </c>
    </row>
    <row r="2453" spans="48:50" x14ac:dyDescent="0.3">
      <c r="AV2453" t="str">
        <v>Data Analytics Course: Advanced</v>
      </c>
      <c r="AW2453">
        <v>191</v>
      </c>
      <c r="AX2453">
        <v>1.47</v>
      </c>
    </row>
    <row r="2454" spans="48:50" x14ac:dyDescent="0.3">
      <c r="AV2454" t="str">
        <v>Data Analytics Course: ML</v>
      </c>
      <c r="AW2454">
        <v>242</v>
      </c>
      <c r="AX2454">
        <v>1.6</v>
      </c>
    </row>
    <row r="2455" spans="48:50" x14ac:dyDescent="0.3">
      <c r="AV2455" t="str">
        <v>Data Analytics Course: ML</v>
      </c>
      <c r="AW2455">
        <v>187</v>
      </c>
      <c r="AX2455">
        <v>1.28</v>
      </c>
    </row>
    <row r="2456" spans="48:50" x14ac:dyDescent="0.3">
      <c r="AV2456" t="str">
        <v>Data Analytics Course: ML</v>
      </c>
      <c r="AW2456">
        <v>223</v>
      </c>
      <c r="AX2456">
        <v>1.44</v>
      </c>
    </row>
    <row r="2457" spans="48:50" x14ac:dyDescent="0.3">
      <c r="AV2457" t="str">
        <v>Data Analytics Course: Visualizations</v>
      </c>
      <c r="AW2457">
        <v>239</v>
      </c>
      <c r="AX2457">
        <v>0.59</v>
      </c>
    </row>
    <row r="2458" spans="48:50" x14ac:dyDescent="0.3">
      <c r="AV2458" t="str">
        <v>Data Analytics Course: Advanced</v>
      </c>
      <c r="AW2458">
        <v>180</v>
      </c>
      <c r="AX2458">
        <v>2.2400000000000002</v>
      </c>
    </row>
    <row r="2459" spans="48:50" x14ac:dyDescent="0.3">
      <c r="AV2459" t="str">
        <v>Data Analytics Course: Advanced</v>
      </c>
      <c r="AW2459">
        <v>215</v>
      </c>
      <c r="AX2459">
        <v>1.34</v>
      </c>
    </row>
    <row r="2460" spans="48:50" x14ac:dyDescent="0.3">
      <c r="AV2460" t="str">
        <v>Data Analytics Course: Visualizations</v>
      </c>
      <c r="AW2460">
        <v>186</v>
      </c>
      <c r="AX2460">
        <v>1.81</v>
      </c>
    </row>
    <row r="2461" spans="48:50" x14ac:dyDescent="0.3">
      <c r="AV2461" t="str">
        <v>Data Analytics Course: Basics</v>
      </c>
      <c r="AW2461">
        <v>209</v>
      </c>
      <c r="AX2461">
        <v>2.23</v>
      </c>
    </row>
    <row r="2462" spans="48:50" x14ac:dyDescent="0.3">
      <c r="AV2462" t="str">
        <v>Data Analytics Course: Advanced</v>
      </c>
      <c r="AW2462">
        <v>186</v>
      </c>
      <c r="AX2462">
        <v>2.19</v>
      </c>
    </row>
    <row r="2463" spans="48:50" x14ac:dyDescent="0.3">
      <c r="AV2463" t="str">
        <v>Data Analytics Course: Visualizations</v>
      </c>
      <c r="AW2463">
        <v>246</v>
      </c>
      <c r="AX2463">
        <v>1.1100000000000001</v>
      </c>
    </row>
    <row r="2464" spans="48:50" x14ac:dyDescent="0.3">
      <c r="AV2464" t="str">
        <v>Data Analytics Course: ML</v>
      </c>
      <c r="AW2464">
        <v>241</v>
      </c>
      <c r="AX2464">
        <v>1.7</v>
      </c>
    </row>
    <row r="2465" spans="48:50" x14ac:dyDescent="0.3">
      <c r="AV2465" t="str">
        <v>Data Analytics Course: Visualizations</v>
      </c>
      <c r="AW2465">
        <v>183</v>
      </c>
      <c r="AX2465">
        <v>2.14</v>
      </c>
    </row>
    <row r="2466" spans="48:50" x14ac:dyDescent="0.3">
      <c r="AV2466" t="str">
        <v>Data Analytics Course: ML</v>
      </c>
      <c r="AW2466">
        <v>236</v>
      </c>
      <c r="AX2466">
        <v>1.27</v>
      </c>
    </row>
    <row r="2467" spans="48:50" x14ac:dyDescent="0.3">
      <c r="AV2467" t="str">
        <v>Data Analytics Course: Advanced</v>
      </c>
      <c r="AW2467">
        <v>235</v>
      </c>
      <c r="AX2467">
        <v>1.65</v>
      </c>
    </row>
    <row r="2468" spans="48:50" x14ac:dyDescent="0.3">
      <c r="AV2468" t="str">
        <v>Data Analytics Course: Advanced</v>
      </c>
      <c r="AW2468">
        <v>247</v>
      </c>
      <c r="AX2468">
        <v>0.92</v>
      </c>
    </row>
    <row r="2469" spans="48:50" x14ac:dyDescent="0.3">
      <c r="AV2469" t="str">
        <v>Data Analytics Course: ML</v>
      </c>
      <c r="AW2469">
        <v>204</v>
      </c>
      <c r="AX2469">
        <v>1.73</v>
      </c>
    </row>
    <row r="2470" spans="48:50" x14ac:dyDescent="0.3">
      <c r="AV2470" t="str">
        <v>Data Analytics Course: ML</v>
      </c>
      <c r="AW2470">
        <v>199</v>
      </c>
      <c r="AX2470">
        <v>1.59</v>
      </c>
    </row>
    <row r="2471" spans="48:50" x14ac:dyDescent="0.3">
      <c r="AV2471" t="str">
        <v>Data Analytics Course: Advanced</v>
      </c>
      <c r="AW2471">
        <v>199</v>
      </c>
      <c r="AX2471">
        <v>1.28</v>
      </c>
    </row>
    <row r="2472" spans="48:50" x14ac:dyDescent="0.3">
      <c r="AV2472" t="str">
        <v>Data Analytics Course: ML</v>
      </c>
      <c r="AW2472">
        <v>220</v>
      </c>
      <c r="AX2472">
        <v>1.82</v>
      </c>
    </row>
    <row r="2473" spans="48:50" x14ac:dyDescent="0.3">
      <c r="AV2473" t="str">
        <v>Data Analytics Course: Advanced</v>
      </c>
      <c r="AW2473">
        <v>209</v>
      </c>
      <c r="AX2473">
        <v>1.89</v>
      </c>
    </row>
    <row r="2474" spans="48:50" x14ac:dyDescent="0.3">
      <c r="AV2474" t="str">
        <v>Data Analytics Course: Basics</v>
      </c>
      <c r="AW2474">
        <v>246</v>
      </c>
      <c r="AX2474">
        <v>1.1000000000000001</v>
      </c>
    </row>
    <row r="2475" spans="48:50" x14ac:dyDescent="0.3">
      <c r="AV2475" t="str">
        <v>Data Analytics Course: Visualizations</v>
      </c>
      <c r="AW2475">
        <v>174</v>
      </c>
      <c r="AX2475">
        <v>1.43</v>
      </c>
    </row>
    <row r="2476" spans="48:50" x14ac:dyDescent="0.3">
      <c r="AV2476" t="str">
        <v>Data Analytics Course: Basics</v>
      </c>
      <c r="AW2476">
        <v>186</v>
      </c>
      <c r="AX2476">
        <v>1.67</v>
      </c>
    </row>
    <row r="2477" spans="48:50" x14ac:dyDescent="0.3">
      <c r="AV2477" t="str">
        <v>Data Analytics Course: Advanced</v>
      </c>
      <c r="AW2477">
        <v>200</v>
      </c>
      <c r="AX2477">
        <v>1.71</v>
      </c>
    </row>
    <row r="2478" spans="48:50" x14ac:dyDescent="0.3">
      <c r="AV2478" t="str">
        <v>Data Analytics Course: ML</v>
      </c>
      <c r="AW2478">
        <v>186</v>
      </c>
      <c r="AX2478">
        <v>1.34</v>
      </c>
    </row>
    <row r="2479" spans="48:50" x14ac:dyDescent="0.3">
      <c r="AV2479" t="str">
        <v>Data Analytics Course: Basics</v>
      </c>
      <c r="AW2479">
        <v>216</v>
      </c>
      <c r="AX2479">
        <v>1.25</v>
      </c>
    </row>
    <row r="2480" spans="48:50" x14ac:dyDescent="0.3">
      <c r="AV2480" t="str">
        <v>Data Analytics Course: Basics</v>
      </c>
      <c r="AW2480">
        <v>189</v>
      </c>
      <c r="AX2480">
        <v>1.42</v>
      </c>
    </row>
    <row r="2481" spans="48:50" x14ac:dyDescent="0.3">
      <c r="AV2481" t="str">
        <v>Data Analytics Course: Visualizations</v>
      </c>
      <c r="AW2481">
        <v>233</v>
      </c>
      <c r="AX2481">
        <v>0.99</v>
      </c>
    </row>
    <row r="2482" spans="48:50" x14ac:dyDescent="0.3">
      <c r="AV2482" t="str">
        <v>Data Analytics Course: Basics</v>
      </c>
      <c r="AW2482">
        <v>220</v>
      </c>
      <c r="AX2482">
        <v>0.96</v>
      </c>
    </row>
    <row r="2483" spans="48:50" x14ac:dyDescent="0.3">
      <c r="AV2483" t="str">
        <v>Data Analytics Course: Visualizations</v>
      </c>
      <c r="AW2483">
        <v>236</v>
      </c>
      <c r="AX2483">
        <v>0.59</v>
      </c>
    </row>
    <row r="2484" spans="48:50" x14ac:dyDescent="0.3">
      <c r="AV2484" t="str">
        <v>Data Analytics Course: Visualizations</v>
      </c>
      <c r="AW2484">
        <v>239</v>
      </c>
      <c r="AX2484">
        <v>1.08</v>
      </c>
    </row>
    <row r="2485" spans="48:50" x14ac:dyDescent="0.3">
      <c r="AV2485" t="str">
        <v>Data Analytics Course: Basics</v>
      </c>
      <c r="AW2485">
        <v>214</v>
      </c>
      <c r="AX2485">
        <v>1.44</v>
      </c>
    </row>
    <row r="2486" spans="48:50" x14ac:dyDescent="0.3">
      <c r="AV2486" t="str">
        <v>Data Analytics Course: Advanced</v>
      </c>
      <c r="AW2486">
        <v>212</v>
      </c>
      <c r="AX2486">
        <v>1.41</v>
      </c>
    </row>
    <row r="2487" spans="48:50" x14ac:dyDescent="0.3">
      <c r="AV2487" t="str">
        <v>Data Analytics Course: Advanced</v>
      </c>
      <c r="AW2487">
        <v>233</v>
      </c>
      <c r="AX2487">
        <v>0.97</v>
      </c>
    </row>
    <row r="2488" spans="48:50" x14ac:dyDescent="0.3">
      <c r="AV2488" t="str">
        <v>Data Analytics Course: Visualizations</v>
      </c>
      <c r="AW2488">
        <v>193</v>
      </c>
      <c r="AX2488">
        <v>1.0900000000000001</v>
      </c>
    </row>
    <row r="2489" spans="48:50" x14ac:dyDescent="0.3">
      <c r="AV2489" t="str">
        <v>Data Analytics Course: Basics</v>
      </c>
      <c r="AW2489">
        <v>182</v>
      </c>
      <c r="AX2489">
        <v>1.67</v>
      </c>
    </row>
    <row r="2490" spans="48:50" x14ac:dyDescent="0.3">
      <c r="AV2490" t="str">
        <v>Data Analytics Course: Advanced</v>
      </c>
      <c r="AW2490">
        <v>188</v>
      </c>
      <c r="AX2490">
        <v>2.08</v>
      </c>
    </row>
    <row r="2491" spans="48:50" x14ac:dyDescent="0.3">
      <c r="AV2491" t="str">
        <v>Data Analytics Course: Visualizations</v>
      </c>
      <c r="AW2491">
        <v>201</v>
      </c>
      <c r="AX2491">
        <v>1.8</v>
      </c>
    </row>
    <row r="2492" spans="48:50" x14ac:dyDescent="0.3">
      <c r="AV2492" t="str">
        <v>Data Analytics Course: Advanced</v>
      </c>
      <c r="AW2492">
        <v>233</v>
      </c>
      <c r="AX2492">
        <v>1.75</v>
      </c>
    </row>
    <row r="2493" spans="48:50" x14ac:dyDescent="0.3">
      <c r="AV2493" t="str">
        <v>Data Analytics Course: Visualizations</v>
      </c>
      <c r="AW2493">
        <v>188</v>
      </c>
      <c r="AX2493">
        <v>1.67</v>
      </c>
    </row>
    <row r="2494" spans="48:50" x14ac:dyDescent="0.3">
      <c r="AV2494" t="str">
        <v>Data Analytics Course: Basics</v>
      </c>
      <c r="AW2494">
        <v>238</v>
      </c>
      <c r="AX2494">
        <v>1.64</v>
      </c>
    </row>
    <row r="2495" spans="48:50" x14ac:dyDescent="0.3">
      <c r="AV2495" t="str">
        <v>Data Analytics Course: ML</v>
      </c>
      <c r="AW2495">
        <v>180</v>
      </c>
      <c r="AX2495">
        <v>1.47</v>
      </c>
    </row>
    <row r="2496" spans="48:50" x14ac:dyDescent="0.3">
      <c r="AV2496" t="str">
        <v>Data Analytics Course: Visualizations</v>
      </c>
      <c r="AW2496">
        <v>212</v>
      </c>
      <c r="AX2496">
        <v>1.64</v>
      </c>
    </row>
    <row r="2497" spans="48:50" x14ac:dyDescent="0.3">
      <c r="AV2497" t="str">
        <v>Data Analytics Course: ML</v>
      </c>
      <c r="AW2497">
        <v>229</v>
      </c>
      <c r="AX2497">
        <v>0.99</v>
      </c>
    </row>
    <row r="2498" spans="48:50" x14ac:dyDescent="0.3">
      <c r="AV2498" t="str">
        <v>Data Analytics Course: ML</v>
      </c>
      <c r="AW2498">
        <v>182</v>
      </c>
      <c r="AX2498">
        <v>2.2000000000000002</v>
      </c>
    </row>
    <row r="2499" spans="48:50" x14ac:dyDescent="0.3">
      <c r="AV2499" t="str">
        <v>Data Analytics Course: ML</v>
      </c>
      <c r="AW2499">
        <v>249</v>
      </c>
      <c r="AX2499">
        <v>1.48</v>
      </c>
    </row>
    <row r="2500" spans="48:50" x14ac:dyDescent="0.3">
      <c r="AV2500" t="str">
        <v>Data Analytics Course: Visualizations</v>
      </c>
      <c r="AW2500">
        <v>228</v>
      </c>
      <c r="AX2500">
        <v>0.62</v>
      </c>
    </row>
    <row r="2501" spans="48:50" x14ac:dyDescent="0.3">
      <c r="AV2501" t="str">
        <v>Data Analytics Course: Basics</v>
      </c>
      <c r="AW2501">
        <v>191</v>
      </c>
      <c r="AX2501">
        <v>1.67</v>
      </c>
    </row>
    <row r="2502" spans="48:50" x14ac:dyDescent="0.3">
      <c r="AV2502" t="str">
        <v>Data Analytics Course: Basics</v>
      </c>
      <c r="AW2502">
        <v>212</v>
      </c>
      <c r="AX2502">
        <v>1.79</v>
      </c>
    </row>
    <row r="2503" spans="48:50" x14ac:dyDescent="0.3">
      <c r="AV2503" t="str">
        <v>Data Analytics Course: Basics</v>
      </c>
      <c r="AW2503">
        <v>180</v>
      </c>
      <c r="AX2503">
        <v>1.1399999999999999</v>
      </c>
    </row>
    <row r="2504" spans="48:50" x14ac:dyDescent="0.3">
      <c r="AV2504" t="str">
        <v>Data Analytics Course: Visualizations</v>
      </c>
      <c r="AW2504">
        <v>199</v>
      </c>
      <c r="AX2504">
        <v>1.23</v>
      </c>
    </row>
    <row r="2505" spans="48:50" x14ac:dyDescent="0.3">
      <c r="AV2505" t="str">
        <v>Data Analytics Course: Basics</v>
      </c>
      <c r="AW2505">
        <v>205</v>
      </c>
      <c r="AX2505">
        <v>1.77</v>
      </c>
    </row>
    <row r="2506" spans="48:50" x14ac:dyDescent="0.3">
      <c r="AV2506" t="str">
        <v>Data Analytics Course: Basics</v>
      </c>
      <c r="AW2506">
        <v>189</v>
      </c>
      <c r="AX2506">
        <v>1.28</v>
      </c>
    </row>
    <row r="2507" spans="48:50" x14ac:dyDescent="0.3">
      <c r="AV2507" t="str">
        <v>Data Analytics Course: Advanced</v>
      </c>
      <c r="AW2507">
        <v>191</v>
      </c>
      <c r="AX2507">
        <v>1.96</v>
      </c>
    </row>
    <row r="2508" spans="48:50" x14ac:dyDescent="0.3">
      <c r="AV2508" t="str">
        <v>Data Analytics Course: Advanced</v>
      </c>
      <c r="AW2508">
        <v>211</v>
      </c>
      <c r="AX2508">
        <v>1.7</v>
      </c>
    </row>
    <row r="2509" spans="48:50" x14ac:dyDescent="0.3">
      <c r="AV2509" t="str">
        <v>Data Analytics Course: Basics</v>
      </c>
      <c r="AW2509">
        <v>242</v>
      </c>
      <c r="AX2509">
        <v>1.03</v>
      </c>
    </row>
    <row r="2510" spans="48:50" x14ac:dyDescent="0.3">
      <c r="AV2510" t="str">
        <v>Data Analytics Course: Visualizations</v>
      </c>
      <c r="AW2510">
        <v>187</v>
      </c>
      <c r="AX2510">
        <v>1.54</v>
      </c>
    </row>
    <row r="2511" spans="48:50" x14ac:dyDescent="0.3">
      <c r="AV2511" t="str">
        <v>Data Analytics Course: ML</v>
      </c>
      <c r="AW2511">
        <v>214</v>
      </c>
      <c r="AX2511">
        <v>1.49</v>
      </c>
    </row>
    <row r="2512" spans="48:50" x14ac:dyDescent="0.3">
      <c r="AV2512" t="str">
        <v>Data Analytics Course: Advanced</v>
      </c>
      <c r="AW2512">
        <v>232</v>
      </c>
      <c r="AX2512">
        <v>0.99</v>
      </c>
    </row>
    <row r="2513" spans="48:50" x14ac:dyDescent="0.3">
      <c r="AV2513" t="str">
        <v>Data Analytics Course: Advanced</v>
      </c>
      <c r="AW2513">
        <v>206</v>
      </c>
      <c r="AX2513">
        <v>1.67</v>
      </c>
    </row>
    <row r="2514" spans="48:50" x14ac:dyDescent="0.3">
      <c r="AV2514" t="str">
        <v>Data Analytics Course: Basics</v>
      </c>
      <c r="AW2514">
        <v>228</v>
      </c>
      <c r="AX2514">
        <v>0.92</v>
      </c>
    </row>
    <row r="2515" spans="48:50" x14ac:dyDescent="0.3">
      <c r="AV2515" t="str">
        <v>Data Analytics Course: Advanced</v>
      </c>
      <c r="AW2515">
        <v>232</v>
      </c>
      <c r="AX2515">
        <v>1.45</v>
      </c>
    </row>
    <row r="2516" spans="48:50" x14ac:dyDescent="0.3">
      <c r="AV2516" t="str">
        <v>Data Analytics Course: Visualizations</v>
      </c>
      <c r="AW2516">
        <v>216</v>
      </c>
      <c r="AX2516">
        <v>1.17</v>
      </c>
    </row>
    <row r="2517" spans="48:50" x14ac:dyDescent="0.3">
      <c r="AV2517" t="str">
        <v>Data Analytics Course: Visualizations</v>
      </c>
      <c r="AW2517">
        <v>193</v>
      </c>
      <c r="AX2517">
        <v>1.33</v>
      </c>
    </row>
    <row r="2518" spans="48:50" x14ac:dyDescent="0.3">
      <c r="AV2518" t="str">
        <v>Data Analytics Course: Visualizations</v>
      </c>
      <c r="AW2518">
        <v>204</v>
      </c>
      <c r="AX2518">
        <v>1.58</v>
      </c>
    </row>
    <row r="2519" spans="48:50" x14ac:dyDescent="0.3">
      <c r="AV2519" t="str">
        <v>Data Analytics Course: Advanced</v>
      </c>
      <c r="AW2519">
        <v>209</v>
      </c>
      <c r="AX2519">
        <v>1.59</v>
      </c>
    </row>
    <row r="2520" spans="48:50" x14ac:dyDescent="0.3">
      <c r="AV2520" t="str">
        <v>Data Analytics Course: Visualizations</v>
      </c>
      <c r="AW2520">
        <v>183</v>
      </c>
      <c r="AX2520">
        <v>2.21</v>
      </c>
    </row>
    <row r="2521" spans="48:50" x14ac:dyDescent="0.3">
      <c r="AV2521" t="str">
        <v>Data Analytics Course: ML</v>
      </c>
      <c r="AW2521">
        <v>196</v>
      </c>
      <c r="AX2521">
        <v>1.44</v>
      </c>
    </row>
    <row r="2522" spans="48:50" x14ac:dyDescent="0.3">
      <c r="AV2522" t="str">
        <v>Data Analytics Course: Visualizations</v>
      </c>
      <c r="AW2522">
        <v>215</v>
      </c>
      <c r="AX2522">
        <v>1.36</v>
      </c>
    </row>
    <row r="2523" spans="48:50" x14ac:dyDescent="0.3">
      <c r="AV2523" t="str">
        <v>Data Analytics Course: ML</v>
      </c>
      <c r="AW2523">
        <v>221</v>
      </c>
      <c r="AX2523">
        <v>1.17</v>
      </c>
    </row>
    <row r="2524" spans="48:50" x14ac:dyDescent="0.3">
      <c r="AV2524" t="str">
        <v>Data Analytics Course: Basics</v>
      </c>
      <c r="AW2524">
        <v>186</v>
      </c>
      <c r="AX2524">
        <v>1.39</v>
      </c>
    </row>
    <row r="2525" spans="48:50" x14ac:dyDescent="0.3">
      <c r="AV2525" t="str">
        <v>Data Analytics Course: ML</v>
      </c>
      <c r="AW2525">
        <v>219</v>
      </c>
      <c r="AX2525">
        <v>1.66</v>
      </c>
    </row>
    <row r="2526" spans="48:50" x14ac:dyDescent="0.3">
      <c r="AV2526" t="str">
        <v>Data Analytics Course: Advanced</v>
      </c>
      <c r="AW2526">
        <v>208</v>
      </c>
      <c r="AX2526">
        <v>0.98</v>
      </c>
    </row>
    <row r="2527" spans="48:50" x14ac:dyDescent="0.3">
      <c r="AV2527" t="str">
        <v>Data Analytics Course: Basics</v>
      </c>
      <c r="AW2527">
        <v>207</v>
      </c>
      <c r="AX2527">
        <v>1.47</v>
      </c>
    </row>
    <row r="2528" spans="48:50" x14ac:dyDescent="0.3">
      <c r="AV2528" t="str">
        <v>Data Analytics Course: Visualizations</v>
      </c>
      <c r="AW2528">
        <v>228</v>
      </c>
      <c r="AX2528">
        <v>1.44</v>
      </c>
    </row>
    <row r="2529" spans="48:50" x14ac:dyDescent="0.3">
      <c r="AV2529" t="str">
        <v>Data Analytics Course: ML</v>
      </c>
      <c r="AW2529">
        <v>189</v>
      </c>
      <c r="AX2529">
        <v>2.06</v>
      </c>
    </row>
    <row r="2530" spans="48:50" x14ac:dyDescent="0.3">
      <c r="AV2530" t="str">
        <v>Data Analytics Course: Visualizations</v>
      </c>
      <c r="AW2530">
        <v>244</v>
      </c>
      <c r="AX2530">
        <v>1.53</v>
      </c>
    </row>
    <row r="2531" spans="48:50" x14ac:dyDescent="0.3">
      <c r="AV2531" t="str">
        <v>Data Analytics Course: Basics</v>
      </c>
      <c r="AW2531">
        <v>221</v>
      </c>
      <c r="AX2531">
        <v>0.94</v>
      </c>
    </row>
    <row r="2532" spans="48:50" x14ac:dyDescent="0.3">
      <c r="AV2532" t="str">
        <v>Data Analytics Course: Visualizations</v>
      </c>
      <c r="AW2532">
        <v>222</v>
      </c>
      <c r="AX2532">
        <v>1.37</v>
      </c>
    </row>
    <row r="2533" spans="48:50" x14ac:dyDescent="0.3">
      <c r="AV2533" t="str">
        <v>Data Analytics Course: ML</v>
      </c>
      <c r="AW2533">
        <v>191</v>
      </c>
      <c r="AX2533">
        <v>1.33</v>
      </c>
    </row>
    <row r="2534" spans="48:50" x14ac:dyDescent="0.3">
      <c r="AV2534" t="str">
        <v>Data Analytics Course: Visualizations</v>
      </c>
      <c r="AW2534">
        <v>227</v>
      </c>
      <c r="AX2534">
        <v>1.01</v>
      </c>
    </row>
    <row r="2535" spans="48:50" x14ac:dyDescent="0.3">
      <c r="AV2535" t="str">
        <v>Data Analytics Course: Basics</v>
      </c>
      <c r="AW2535">
        <v>224</v>
      </c>
      <c r="AX2535">
        <v>1.82</v>
      </c>
    </row>
    <row r="2536" spans="48:50" x14ac:dyDescent="0.3">
      <c r="AV2536" t="str">
        <v>Data Analytics Course: ML</v>
      </c>
      <c r="AW2536">
        <v>217</v>
      </c>
      <c r="AX2536">
        <v>1.1299999999999999</v>
      </c>
    </row>
    <row r="2537" spans="48:50" x14ac:dyDescent="0.3">
      <c r="AV2537" t="str">
        <v>Data Analytics Course: ML</v>
      </c>
      <c r="AW2537">
        <v>181</v>
      </c>
      <c r="AX2537">
        <v>1.9</v>
      </c>
    </row>
    <row r="2538" spans="48:50" x14ac:dyDescent="0.3">
      <c r="AV2538" t="str">
        <v>Data Analytics Course: Basics</v>
      </c>
      <c r="AW2538">
        <v>222</v>
      </c>
      <c r="AX2538">
        <v>1.79</v>
      </c>
    </row>
    <row r="2539" spans="48:50" x14ac:dyDescent="0.3">
      <c r="AV2539" t="str">
        <v>Data Analytics Course: Basics</v>
      </c>
      <c r="AW2539">
        <v>201</v>
      </c>
      <c r="AX2539">
        <v>1.99</v>
      </c>
    </row>
    <row r="2540" spans="48:50" x14ac:dyDescent="0.3">
      <c r="AV2540" t="str">
        <v>Data Analytics Course: Visualizations</v>
      </c>
      <c r="AW2540">
        <v>204</v>
      </c>
      <c r="AX2540">
        <v>1.22</v>
      </c>
    </row>
    <row r="2541" spans="48:50" x14ac:dyDescent="0.3">
      <c r="AV2541" t="str">
        <v>Data Analytics Course: Visualizations</v>
      </c>
      <c r="AW2541">
        <v>239</v>
      </c>
      <c r="AX2541">
        <v>1.48</v>
      </c>
    </row>
    <row r="2542" spans="48:50" x14ac:dyDescent="0.3">
      <c r="AV2542" t="str">
        <v>Data Analytics Course: Advanced</v>
      </c>
      <c r="AW2542">
        <v>223</v>
      </c>
      <c r="AX2542">
        <v>1.53</v>
      </c>
    </row>
    <row r="2543" spans="48:50" x14ac:dyDescent="0.3">
      <c r="AV2543" t="str">
        <v>Data Analytics Course: Basics</v>
      </c>
      <c r="AW2543">
        <v>232</v>
      </c>
      <c r="AX2543">
        <v>1.61</v>
      </c>
    </row>
    <row r="2544" spans="48:50" x14ac:dyDescent="0.3">
      <c r="AV2544" t="str">
        <v>Data Analytics Course: ML</v>
      </c>
      <c r="AW2544">
        <v>239</v>
      </c>
      <c r="AX2544">
        <v>1.1100000000000001</v>
      </c>
    </row>
    <row r="2545" spans="48:50" x14ac:dyDescent="0.3">
      <c r="AV2545" t="str">
        <v>Data Analytics Course: Basics</v>
      </c>
      <c r="AW2545">
        <v>206</v>
      </c>
      <c r="AX2545">
        <v>1.1200000000000001</v>
      </c>
    </row>
    <row r="2546" spans="48:50" x14ac:dyDescent="0.3">
      <c r="AV2546" t="str">
        <v>Data Analytics Course: Visualizations</v>
      </c>
      <c r="AW2546">
        <v>186</v>
      </c>
      <c r="AX2546">
        <v>1.1200000000000001</v>
      </c>
    </row>
    <row r="2547" spans="48:50" x14ac:dyDescent="0.3">
      <c r="AV2547" t="str">
        <v>Data Analytics Course: Basics</v>
      </c>
      <c r="AW2547">
        <v>181</v>
      </c>
      <c r="AX2547">
        <v>1.93</v>
      </c>
    </row>
    <row r="2548" spans="48:50" x14ac:dyDescent="0.3">
      <c r="AV2548" t="str">
        <v>Data Analytics Course: Visualizations</v>
      </c>
      <c r="AW2548">
        <v>226</v>
      </c>
      <c r="AX2548">
        <v>1.7</v>
      </c>
    </row>
    <row r="2549" spans="48:50" x14ac:dyDescent="0.3">
      <c r="AV2549" t="str">
        <v>Data Analytics Course: Visualizations</v>
      </c>
      <c r="AW2549">
        <v>205</v>
      </c>
      <c r="AX2549">
        <v>1.47</v>
      </c>
    </row>
    <row r="2550" spans="48:50" x14ac:dyDescent="0.3">
      <c r="AV2550" t="str">
        <v>Data Analytics Course: Visualizations</v>
      </c>
      <c r="AW2550">
        <v>221</v>
      </c>
      <c r="AX2550">
        <v>0.99</v>
      </c>
    </row>
    <row r="2551" spans="48:50" x14ac:dyDescent="0.3">
      <c r="AV2551" t="str">
        <v>Data Analytics Course: ML</v>
      </c>
      <c r="AW2551">
        <v>198</v>
      </c>
      <c r="AX2551">
        <v>1.76</v>
      </c>
    </row>
    <row r="2552" spans="48:50" x14ac:dyDescent="0.3">
      <c r="AV2552" t="str">
        <v>Data Analytics Course: Visualizations</v>
      </c>
      <c r="AW2552">
        <v>187</v>
      </c>
      <c r="AX2552">
        <v>1.51</v>
      </c>
    </row>
    <row r="2553" spans="48:50" x14ac:dyDescent="0.3">
      <c r="AV2553" t="str">
        <v>Data Analytics Course: Visualizations</v>
      </c>
      <c r="AW2553">
        <v>182</v>
      </c>
      <c r="AX2553">
        <v>2.04</v>
      </c>
    </row>
    <row r="2554" spans="48:50" x14ac:dyDescent="0.3">
      <c r="AV2554" t="str">
        <v>Data Analytics Course: ML</v>
      </c>
      <c r="AW2554">
        <v>224</v>
      </c>
      <c r="AX2554">
        <v>1.04</v>
      </c>
    </row>
    <row r="2555" spans="48:50" x14ac:dyDescent="0.3">
      <c r="AV2555" t="str">
        <v>Data Analytics Course: Visualizations</v>
      </c>
      <c r="AW2555">
        <v>202</v>
      </c>
      <c r="AX2555">
        <v>1.71</v>
      </c>
    </row>
    <row r="2556" spans="48:50" x14ac:dyDescent="0.3">
      <c r="AV2556" t="str">
        <v>Data Analytics Course: ML</v>
      </c>
      <c r="AW2556">
        <v>227</v>
      </c>
      <c r="AX2556">
        <v>1.07</v>
      </c>
    </row>
    <row r="2557" spans="48:50" x14ac:dyDescent="0.3">
      <c r="AV2557" t="str">
        <v>Data Analytics Course: Advanced</v>
      </c>
      <c r="AW2557">
        <v>218</v>
      </c>
      <c r="AX2557">
        <v>1.52</v>
      </c>
    </row>
    <row r="2558" spans="48:50" x14ac:dyDescent="0.3">
      <c r="AV2558" t="str">
        <v>Data Analytics Course: ML</v>
      </c>
      <c r="AW2558">
        <v>188</v>
      </c>
      <c r="AX2558">
        <v>1.87</v>
      </c>
    </row>
    <row r="2559" spans="48:50" x14ac:dyDescent="0.3">
      <c r="AV2559" t="str">
        <v>Data Analytics Course: Visualizations</v>
      </c>
      <c r="AW2559">
        <v>236</v>
      </c>
      <c r="AX2559">
        <v>0.91</v>
      </c>
    </row>
    <row r="2560" spans="48:50" x14ac:dyDescent="0.3">
      <c r="AV2560" t="str">
        <v>Data Analytics Course: Visualizations</v>
      </c>
      <c r="AW2560">
        <v>194</v>
      </c>
      <c r="AX2560">
        <v>1.44</v>
      </c>
    </row>
    <row r="2561" spans="48:50" x14ac:dyDescent="0.3">
      <c r="AV2561" t="str">
        <v>Data Analytics Course: ML</v>
      </c>
      <c r="AW2561">
        <v>236</v>
      </c>
      <c r="AX2561">
        <v>0.92</v>
      </c>
    </row>
    <row r="2562" spans="48:50" x14ac:dyDescent="0.3">
      <c r="AV2562" t="str">
        <v>Data Analytics Course: Basics</v>
      </c>
      <c r="AW2562">
        <v>227</v>
      </c>
      <c r="AX2562">
        <v>1.24</v>
      </c>
    </row>
    <row r="2563" spans="48:50" x14ac:dyDescent="0.3">
      <c r="AV2563" t="str">
        <v>Data Analytics Course: Advanced</v>
      </c>
      <c r="AW2563">
        <v>202</v>
      </c>
      <c r="AX2563">
        <v>1.39</v>
      </c>
    </row>
    <row r="2564" spans="48:50" x14ac:dyDescent="0.3">
      <c r="AV2564" t="str">
        <v>Data Analytics Course: Basics</v>
      </c>
      <c r="AW2564">
        <v>180</v>
      </c>
      <c r="AX2564">
        <v>1.33</v>
      </c>
    </row>
    <row r="2565" spans="48:50" x14ac:dyDescent="0.3">
      <c r="AV2565" t="str">
        <v>Data Analytics Course: Advanced</v>
      </c>
      <c r="AW2565">
        <v>212</v>
      </c>
      <c r="AX2565">
        <v>1.45</v>
      </c>
    </row>
    <row r="2566" spans="48:50" x14ac:dyDescent="0.3">
      <c r="AV2566" t="str">
        <v>Data Analytics Course: Basics</v>
      </c>
      <c r="AW2566">
        <v>247</v>
      </c>
      <c r="AX2566">
        <v>1.43</v>
      </c>
    </row>
    <row r="2567" spans="48:50" x14ac:dyDescent="0.3">
      <c r="AV2567" t="str">
        <v>Data Analytics Course: Advanced</v>
      </c>
      <c r="AW2567">
        <v>217</v>
      </c>
      <c r="AX2567">
        <v>1.76</v>
      </c>
    </row>
    <row r="2568" spans="48:50" x14ac:dyDescent="0.3">
      <c r="AV2568" t="str">
        <v>Data Analytics Course: Visualizations</v>
      </c>
      <c r="AW2568">
        <v>245</v>
      </c>
      <c r="AX2568">
        <v>1.1000000000000001</v>
      </c>
    </row>
    <row r="2569" spans="48:50" x14ac:dyDescent="0.3">
      <c r="AV2569" t="str">
        <v>Data Analytics Course: ML</v>
      </c>
      <c r="AW2569">
        <v>229</v>
      </c>
      <c r="AX2569">
        <v>1.25</v>
      </c>
    </row>
    <row r="2570" spans="48:50" x14ac:dyDescent="0.3">
      <c r="AV2570" t="str">
        <v>Data Analytics Course: Basics</v>
      </c>
      <c r="AW2570">
        <v>220</v>
      </c>
      <c r="AX2570">
        <v>1.35</v>
      </c>
    </row>
    <row r="2571" spans="48:50" x14ac:dyDescent="0.3">
      <c r="AV2571" t="str">
        <v>Data Analytics Course: ML</v>
      </c>
      <c r="AW2571">
        <v>230</v>
      </c>
      <c r="AX2571">
        <v>1.22</v>
      </c>
    </row>
    <row r="2572" spans="48:50" x14ac:dyDescent="0.3">
      <c r="AV2572" t="str">
        <v>Data Analytics Course: ML</v>
      </c>
      <c r="AW2572">
        <v>191</v>
      </c>
      <c r="AX2572">
        <v>2.09</v>
      </c>
    </row>
    <row r="2573" spans="48:50" x14ac:dyDescent="0.3">
      <c r="AV2573" t="str">
        <v>Data Analytics Course: Basics</v>
      </c>
      <c r="AW2573">
        <v>220</v>
      </c>
      <c r="AX2573">
        <v>1.51</v>
      </c>
    </row>
    <row r="2574" spans="48:50" x14ac:dyDescent="0.3">
      <c r="AV2574" t="str">
        <v>Data Analytics Course: Advanced</v>
      </c>
      <c r="AW2574">
        <v>232</v>
      </c>
      <c r="AX2574">
        <v>0.89</v>
      </c>
    </row>
    <row r="2575" spans="48:50" x14ac:dyDescent="0.3">
      <c r="AV2575" t="str">
        <v>Data Analytics Course: Visualizations</v>
      </c>
      <c r="AW2575">
        <v>185</v>
      </c>
      <c r="AX2575">
        <v>1.84</v>
      </c>
    </row>
    <row r="2576" spans="48:50" x14ac:dyDescent="0.3">
      <c r="AV2576" t="str">
        <v>Data Analytics Course: Advanced</v>
      </c>
      <c r="AW2576">
        <v>222</v>
      </c>
      <c r="AX2576">
        <v>1.31</v>
      </c>
    </row>
    <row r="2577" spans="48:50" x14ac:dyDescent="0.3">
      <c r="AV2577" t="str">
        <v>Data Analytics Course: Visualizations</v>
      </c>
      <c r="AW2577">
        <v>239</v>
      </c>
      <c r="AX2577">
        <v>1.68</v>
      </c>
    </row>
    <row r="2578" spans="48:50" x14ac:dyDescent="0.3">
      <c r="AV2578" t="str">
        <v>Data Analytics Course: Visualizations</v>
      </c>
      <c r="AW2578">
        <v>195</v>
      </c>
      <c r="AX2578">
        <v>1.06</v>
      </c>
    </row>
    <row r="2579" spans="48:50" x14ac:dyDescent="0.3">
      <c r="AV2579" t="str">
        <v>Data Analytics Course: Basics</v>
      </c>
      <c r="AW2579">
        <v>220</v>
      </c>
      <c r="AX2579">
        <v>1.73</v>
      </c>
    </row>
    <row r="2580" spans="48:50" x14ac:dyDescent="0.3">
      <c r="AV2580" t="str">
        <v>Data Analytics Course: Advanced</v>
      </c>
      <c r="AW2580">
        <v>252</v>
      </c>
      <c r="AX2580">
        <v>1.03</v>
      </c>
    </row>
    <row r="2581" spans="48:50" x14ac:dyDescent="0.3">
      <c r="AV2581" t="str">
        <v>Data Analytics Course: Basics</v>
      </c>
      <c r="AW2581">
        <v>183</v>
      </c>
      <c r="AX2581">
        <v>1.75</v>
      </c>
    </row>
    <row r="2582" spans="48:50" x14ac:dyDescent="0.3">
      <c r="AV2582" t="str">
        <v>Data Analytics Course: Basics</v>
      </c>
      <c r="AW2582">
        <v>225</v>
      </c>
      <c r="AX2582">
        <v>1.1499999999999999</v>
      </c>
    </row>
    <row r="2583" spans="48:50" x14ac:dyDescent="0.3">
      <c r="AV2583" t="str">
        <v>Data Analytics Course: Visualizations</v>
      </c>
      <c r="AW2583">
        <v>190</v>
      </c>
      <c r="AX2583">
        <v>1.75</v>
      </c>
    </row>
    <row r="2584" spans="48:50" x14ac:dyDescent="0.3">
      <c r="AV2584" t="str">
        <v>Data Analytics Course: Advanced</v>
      </c>
      <c r="AW2584">
        <v>226</v>
      </c>
      <c r="AX2584">
        <v>1.7</v>
      </c>
    </row>
    <row r="2585" spans="48:50" x14ac:dyDescent="0.3">
      <c r="AV2585" t="str">
        <v>Data Analytics Course: Basics</v>
      </c>
      <c r="AW2585">
        <v>238</v>
      </c>
      <c r="AX2585">
        <v>1.6</v>
      </c>
    </row>
    <row r="2586" spans="48:50" x14ac:dyDescent="0.3">
      <c r="AV2586" t="str">
        <v>Data Analytics Course: ML</v>
      </c>
      <c r="AW2586">
        <v>211</v>
      </c>
      <c r="AX2586">
        <v>1.04</v>
      </c>
    </row>
    <row r="2587" spans="48:50" x14ac:dyDescent="0.3">
      <c r="AV2587" t="str">
        <v>Data Analytics Course: Visualizations</v>
      </c>
      <c r="AW2587">
        <v>205</v>
      </c>
      <c r="AX2587">
        <v>1.06</v>
      </c>
    </row>
    <row r="2588" spans="48:50" x14ac:dyDescent="0.3">
      <c r="AV2588" t="str">
        <v>Data Analytics Course: Visualizations</v>
      </c>
      <c r="AW2588">
        <v>200</v>
      </c>
      <c r="AX2588">
        <v>1.73</v>
      </c>
    </row>
    <row r="2589" spans="48:50" x14ac:dyDescent="0.3">
      <c r="AV2589" t="str">
        <v>Data Analytics Course: Advanced</v>
      </c>
      <c r="AW2589">
        <v>201</v>
      </c>
      <c r="AX2589">
        <v>1.84</v>
      </c>
    </row>
    <row r="2590" spans="48:50" x14ac:dyDescent="0.3">
      <c r="AV2590" t="str">
        <v>Data Analytics Course: Basics</v>
      </c>
      <c r="AW2590">
        <v>190</v>
      </c>
      <c r="AX2590">
        <v>1.19</v>
      </c>
    </row>
    <row r="2591" spans="48:50" x14ac:dyDescent="0.3">
      <c r="AV2591" t="str">
        <v>Data Analytics Course: ML</v>
      </c>
      <c r="AW2591">
        <v>234</v>
      </c>
      <c r="AX2591">
        <v>1.37</v>
      </c>
    </row>
    <row r="2592" spans="48:50" x14ac:dyDescent="0.3">
      <c r="AV2592" t="str">
        <v>Data Analytics Course: ML</v>
      </c>
      <c r="AW2592">
        <v>203</v>
      </c>
      <c r="AX2592">
        <v>1.37</v>
      </c>
    </row>
    <row r="2593" spans="48:50" x14ac:dyDescent="0.3">
      <c r="AV2593" t="str">
        <v>Data Analytics Course: Visualizations</v>
      </c>
      <c r="AW2593">
        <v>234</v>
      </c>
      <c r="AX2593">
        <v>1.04</v>
      </c>
    </row>
    <row r="2594" spans="48:50" x14ac:dyDescent="0.3">
      <c r="AV2594" t="str">
        <v>Data Analytics Course: Basics</v>
      </c>
      <c r="AW2594">
        <v>242</v>
      </c>
      <c r="AX2594">
        <v>1.19</v>
      </c>
    </row>
    <row r="2595" spans="48:50" x14ac:dyDescent="0.3">
      <c r="AV2595" t="str">
        <v>Data Analytics Course: Basics</v>
      </c>
      <c r="AW2595">
        <v>248</v>
      </c>
      <c r="AX2595">
        <v>1.6</v>
      </c>
    </row>
    <row r="2596" spans="48:50" x14ac:dyDescent="0.3">
      <c r="AV2596" t="str">
        <v>Data Analytics Course: Visualizations</v>
      </c>
      <c r="AW2596">
        <v>233</v>
      </c>
      <c r="AX2596">
        <v>0.95</v>
      </c>
    </row>
    <row r="2597" spans="48:50" x14ac:dyDescent="0.3">
      <c r="AV2597" t="str">
        <v>Data Analytics Course: ML</v>
      </c>
      <c r="AW2597">
        <v>220</v>
      </c>
      <c r="AX2597">
        <v>1.44</v>
      </c>
    </row>
    <row r="2598" spans="48:50" x14ac:dyDescent="0.3">
      <c r="AV2598" t="str">
        <v>Data Analytics Course: ML</v>
      </c>
      <c r="AW2598">
        <v>259</v>
      </c>
      <c r="AX2598">
        <v>0.93</v>
      </c>
    </row>
  </sheetData>
  <mergeCells count="3">
    <mergeCell ref="AI295:AJ296"/>
    <mergeCell ref="AK295:AK296"/>
    <mergeCell ref="AL295:AN296"/>
  </mergeCells>
  <phoneticPr fontId="6" type="noConversion"/>
  <dataValidations count="1">
    <dataValidation type="list" allowBlank="1" showInputMessage="1" showErrorMessage="1" sqref="AN11 AL295" xr:uid="{A92D3C0A-B4B0-4DB2-A021-77C553E72C03}">
      <formula1>$AG$20:$AG$24</formula1>
    </dataValidation>
  </dataValidations>
  <pageMargins left="0.7" right="0.7" top="0.75" bottom="0.75" header="0.3" footer="0.3"/>
  <drawing r:id="rId15"/>
  <tableParts count="1">
    <tablePart r:id="rId16"/>
  </tableParts>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906C-7ECF-4F67-A106-04A80DDFA038}">
  <dimension ref="A6:M22"/>
  <sheetViews>
    <sheetView showGridLines="0" tabSelected="1" workbookViewId="0">
      <selection activeCell="I9" sqref="I9:M21"/>
    </sheetView>
  </sheetViews>
  <sheetFormatPr defaultRowHeight="14.4" x14ac:dyDescent="0.3"/>
  <cols>
    <col min="1" max="1" width="1.6640625" style="12" customWidth="1"/>
    <col min="2" max="2" width="9.88671875" style="12" customWidth="1"/>
    <col min="3" max="3" width="11.44140625" style="12" customWidth="1"/>
    <col min="4" max="4" width="7.6640625" style="12" customWidth="1"/>
    <col min="5" max="5" width="5" style="12" customWidth="1"/>
    <col min="6" max="6" width="9.33203125" style="12" customWidth="1"/>
    <col min="7" max="7" width="8.88671875" style="12"/>
    <col min="8" max="8" width="19" style="12" customWidth="1"/>
    <col min="9" max="9" width="10" style="12" customWidth="1"/>
    <col min="10" max="13" width="13.33203125" style="12" customWidth="1"/>
    <col min="14" max="14" width="9.21875" style="12" customWidth="1"/>
    <col min="15" max="15" width="5" style="12" customWidth="1"/>
    <col min="16" max="16" width="9.33203125" style="12" customWidth="1"/>
    <col min="17" max="17" width="12.109375" style="12" customWidth="1"/>
    <col min="18" max="18" width="6.33203125" style="12" customWidth="1"/>
    <col min="19" max="19" width="9.5546875" style="12" customWidth="1"/>
    <col min="20" max="20" width="8.44140625" style="12" customWidth="1"/>
    <col min="21" max="22" width="8.88671875" style="12"/>
    <col min="23" max="23" width="8.21875" style="12" customWidth="1"/>
    <col min="24" max="24" width="4.33203125" style="12" customWidth="1"/>
    <col min="25" max="16384" width="8.88671875" style="12"/>
  </cols>
  <sheetData>
    <row r="6" spans="1:13" ht="18" x14ac:dyDescent="0.3">
      <c r="A6" s="13"/>
    </row>
    <row r="8" spans="1:13" ht="15.6" customHeight="1" x14ac:dyDescent="0.3">
      <c r="A8" s="14"/>
      <c r="H8" s="21"/>
    </row>
    <row r="9" spans="1:13" ht="18.600000000000001" customHeight="1" x14ac:dyDescent="0.3">
      <c r="A9" s="15"/>
      <c r="H9" s="21"/>
      <c r="I9" s="26"/>
      <c r="J9" s="25" t="str">
        <f>Sheet1!AG21</f>
        <v>Data Analytics Course: Basics</v>
      </c>
      <c r="K9" s="25" t="str">
        <f>Sheet1!AG23</f>
        <v>Data Analytics Course: Visualizations</v>
      </c>
      <c r="L9" s="25" t="str">
        <f>Sheet1!AG20</f>
        <v>Data Analytics Course: Advanced</v>
      </c>
      <c r="M9" s="25" t="str">
        <f>Sheet1!AG22</f>
        <v>Data Analytics Course: ML</v>
      </c>
    </row>
    <row r="10" spans="1:13" ht="16.2" customHeight="1" x14ac:dyDescent="0.3">
      <c r="I10" s="26"/>
      <c r="J10" s="25"/>
      <c r="K10" s="25"/>
      <c r="L10" s="25"/>
      <c r="M10" s="25"/>
    </row>
    <row r="11" spans="1:13" ht="15.6" customHeight="1" x14ac:dyDescent="0.3">
      <c r="I11" s="26"/>
      <c r="J11" s="25"/>
      <c r="K11" s="25"/>
      <c r="L11" s="25"/>
      <c r="M11" s="25"/>
    </row>
    <row r="12" spans="1:13" ht="22.2" customHeight="1" x14ac:dyDescent="0.35">
      <c r="I12" s="24" t="s">
        <v>2661</v>
      </c>
      <c r="J12" s="22" cm="1">
        <f t="array" ref="J12">_xlfn.XLOOKUP(J$9,totals[Campaign Name],INDEX(totals[],,MATCH($I12,totals[#Headers],0)))</f>
        <v>2882552</v>
      </c>
      <c r="K12" s="22" cm="1">
        <f t="array" ref="K12">_xlfn.XLOOKUP(K$9,totals[Campaign Name],INDEX(totals[],,MATCH($I12,totals[#Headers],0)))</f>
        <v>2884322</v>
      </c>
      <c r="L12" s="22" cm="1">
        <f t="array" ref="L12">_xlfn.XLOOKUP(L$9,totals[Campaign Name],INDEX(totals[],,MATCH($I12,totals[#Headers],0)))</f>
        <v>3060295</v>
      </c>
      <c r="M12" s="22" cm="1">
        <f t="array" ref="M12">_xlfn.XLOOKUP(M$9,totals[Campaign Name],INDEX(totals[],,MATCH($I12,totals[#Headers],0)))</f>
        <v>2934820</v>
      </c>
    </row>
    <row r="13" spans="1:13" ht="22.2" customHeight="1" x14ac:dyDescent="0.35">
      <c r="I13" s="24" t="s">
        <v>2662</v>
      </c>
      <c r="J13" s="22" cm="1">
        <f t="array" ref="J13">_xlfn.XLOOKUP(J$9,totals[Campaign Name],INDEX(totals[],,MATCH($I13,totals[#Headers],0)))</f>
        <v>88102</v>
      </c>
      <c r="K13" s="22" cm="1">
        <f t="array" ref="K13">_xlfn.XLOOKUP(K$9,totals[Campaign Name],INDEX(totals[],,MATCH($I13,totals[#Headers],0)))</f>
        <v>87945</v>
      </c>
      <c r="L13" s="22" cm="1">
        <f t="array" ref="L13">_xlfn.XLOOKUP(L$9,totals[Campaign Name],INDEX(totals[],,MATCH($I13,totals[#Headers],0)))</f>
        <v>93021</v>
      </c>
      <c r="M13" s="22" cm="1">
        <f t="array" ref="M13">_xlfn.XLOOKUP(M$9,totals[Campaign Name],INDEX(totals[],,MATCH($I13,totals[#Headers],0)))</f>
        <v>91462</v>
      </c>
    </row>
    <row r="14" spans="1:13" ht="22.2" customHeight="1" x14ac:dyDescent="0.35">
      <c r="I14" s="24" t="s">
        <v>2663</v>
      </c>
      <c r="J14" s="22" cm="1">
        <f t="array" ref="J14">_xlfn.XLOOKUP(J$9,totals[Campaign Name],INDEX(totals[],,MATCH($I14,totals[#Headers],0)))</f>
        <v>12617</v>
      </c>
      <c r="K14" s="22" cm="1">
        <f t="array" ref="K14">_xlfn.XLOOKUP(K$9,totals[Campaign Name],INDEX(totals[],,MATCH($I14,totals[#Headers],0)))</f>
        <v>12744</v>
      </c>
      <c r="L14" s="22" cm="1">
        <f t="array" ref="L14">_xlfn.XLOOKUP(L$9,totals[Campaign Name],INDEX(totals[],,MATCH($I14,totals[#Headers],0)))</f>
        <v>13739</v>
      </c>
      <c r="M14" s="22" cm="1">
        <f t="array" ref="M14">_xlfn.XLOOKUP(M$9,totals[Campaign Name],INDEX(totals[],,MATCH($I14,totals[#Headers],0)))</f>
        <v>12747</v>
      </c>
    </row>
    <row r="15" spans="1:13" ht="22.2" customHeight="1" x14ac:dyDescent="0.35">
      <c r="I15" s="24" t="s">
        <v>2664</v>
      </c>
      <c r="J15" s="22" cm="1">
        <f t="array" ref="J15">_xlfn.XLOOKUP(J$9,totals[Campaign Name],INDEX(totals[],,MATCH($I15,totals[#Headers],0)))</f>
        <v>4133</v>
      </c>
      <c r="K15" s="22" cm="1">
        <f t="array" ref="K15">_xlfn.XLOOKUP(K$9,totals[Campaign Name],INDEX(totals[],,MATCH($I15,totals[#Headers],0)))</f>
        <v>4091</v>
      </c>
      <c r="L15" s="22" cm="1">
        <f t="array" ref="L15">_xlfn.XLOOKUP(L$9,totals[Campaign Name],INDEX(totals[],,MATCH($I15,totals[#Headers],0)))</f>
        <v>4475</v>
      </c>
      <c r="M15" s="22" cm="1">
        <f t="array" ref="M15">_xlfn.XLOOKUP(M$9,totals[Campaign Name],INDEX(totals[],,MATCH($I15,totals[#Headers],0)))</f>
        <v>4227</v>
      </c>
    </row>
    <row r="16" spans="1:13" ht="22.2" customHeight="1" x14ac:dyDescent="0.35">
      <c r="I16" s="24" t="s">
        <v>16</v>
      </c>
      <c r="J16" s="35" cm="1">
        <f t="array" ref="J16">_xlfn.XLOOKUP(J$9,totals[Campaign Name],INDEX(totals[],,MATCH($I16,totals[#Headers],0)))</f>
        <v>1.5475017593244194</v>
      </c>
      <c r="K16" s="35" cm="1">
        <f t="array" ref="K16">_xlfn.XLOOKUP(K$9,totals[Campaign Name],INDEX(totals[],,MATCH($I16,totals[#Headers],0)))</f>
        <v>1.5582352606742851</v>
      </c>
      <c r="L16" s="35" cm="1">
        <f t="array" ref="L16">_xlfn.XLOOKUP(L$9,totals[Campaign Name],INDEX(totals[],,MATCH($I16,totals[#Headers],0)))</f>
        <v>1.5725051332494813</v>
      </c>
      <c r="M16" s="35" cm="1">
        <f t="array" ref="M16">_xlfn.XLOOKUP(M$9,totals[Campaign Name],INDEX(totals[],,MATCH($I16,totals[#Headers],0)))</f>
        <v>1.5211344602129846</v>
      </c>
    </row>
    <row r="17" spans="9:13" ht="22.2" customHeight="1" x14ac:dyDescent="0.35">
      <c r="I17" s="24" t="s">
        <v>17</v>
      </c>
      <c r="J17" s="23" cm="1">
        <f t="array" ref="J17">_xlfn.XLOOKUP(J$9,totals[Campaign Name],INDEX(totals[],,MATCH($I17,totals[#Headers],0)))</f>
        <v>3.056388922038527</v>
      </c>
      <c r="K17" s="23" cm="1">
        <f t="array" ref="K17">_xlfn.XLOOKUP(K$9,totals[Campaign Name],INDEX(totals[],,MATCH($I17,totals[#Headers],0)))</f>
        <v>3.0490701107573979</v>
      </c>
      <c r="L17" s="23" cm="1">
        <f t="array" ref="L17">_xlfn.XLOOKUP(L$9,totals[Campaign Name],INDEX(totals[],,MATCH($I17,totals[#Headers],0)))</f>
        <v>3.0396089265904105</v>
      </c>
      <c r="M17" s="23" cm="1">
        <f t="array" ref="M17">_xlfn.XLOOKUP(M$9,totals[Campaign Name],INDEX(totals[],,MATCH($I17,totals[#Headers],0)))</f>
        <v>3.1164432571673903</v>
      </c>
    </row>
    <row r="18" spans="9:13" ht="22.2" customHeight="1" x14ac:dyDescent="0.35">
      <c r="I18" s="24" t="s">
        <v>18</v>
      </c>
      <c r="J18" s="35" cm="1">
        <f t="array" ref="J18">_xlfn.XLOOKUP(J$9,totals[Campaign Name],INDEX(totals[],,MATCH($I18,totals[#Headers],0)))</f>
        <v>10.805896805896806</v>
      </c>
      <c r="K18" s="35" cm="1">
        <f t="array" ref="K18">_xlfn.XLOOKUP(K$9,totals[Campaign Name],INDEX(totals[],,MATCH($I18,totals[#Headers],0)))</f>
        <v>10.753217200251099</v>
      </c>
      <c r="L18" s="35" cm="1">
        <f t="array" ref="L18">_xlfn.XLOOKUP(L$9,totals[Campaign Name],INDEX(totals[],,MATCH($I18,totals[#Headers],0)))</f>
        <v>10.646771963024966</v>
      </c>
      <c r="M18" s="35" cm="1">
        <f t="array" ref="M18">_xlfn.XLOOKUP(M$9,totals[Campaign Name],INDEX(totals[],,MATCH($I18,totals[#Headers],0)))</f>
        <v>10.914411234015846</v>
      </c>
    </row>
    <row r="19" spans="9:13" ht="22.2" customHeight="1" x14ac:dyDescent="0.35">
      <c r="I19" s="24" t="s">
        <v>19</v>
      </c>
      <c r="J19" s="35" cm="1">
        <f t="array" ref="J19">_xlfn.XLOOKUP(J$9,totals[Campaign Name],INDEX(totals[],,MATCH($I19,totals[#Headers],0)))</f>
        <v>32.987660295185094</v>
      </c>
      <c r="K19" s="35" cm="1">
        <f t="array" ref="K19">_xlfn.XLOOKUP(K$9,totals[Campaign Name],INDEX(totals[],,MATCH($I19,totals[#Headers],0)))</f>
        <v>33.497677829381573</v>
      </c>
      <c r="L19" s="35" cm="1">
        <f t="array" ref="L19">_xlfn.XLOOKUP(L$9,totals[Campaign Name],INDEX(totals[],,MATCH($I19,totals[#Headers],0)))</f>
        <v>32.68737430167598</v>
      </c>
      <c r="M19" s="35" cm="1">
        <f t="array" ref="M19">_xlfn.XLOOKUP(M$9,totals[Campaign Name],INDEX(totals[],,MATCH($I19,totals[#Headers],0)))</f>
        <v>32.913650343032884</v>
      </c>
    </row>
    <row r="20" spans="9:13" ht="22.2" customHeight="1" x14ac:dyDescent="0.35">
      <c r="I20" s="24" t="s">
        <v>20</v>
      </c>
      <c r="J20" s="32" cm="1">
        <f t="array" ref="J20">_xlfn.XLOOKUP(J$9,totals[Campaign Name],INDEX(totals[],,MATCH($I20,totals[#Headers],0)))</f>
        <v>0.43433205918903234</v>
      </c>
      <c r="K20" s="32" cm="1">
        <f t="array" ref="K20">_xlfn.XLOOKUP(K$9,totals[Campaign Name],INDEX(totals[],,MATCH($I20,totals[#Headers],0)))</f>
        <v>0.41040663085482509</v>
      </c>
      <c r="L20" s="32" cm="1">
        <f t="array" ref="L20">_xlfn.XLOOKUP(L$9,totals[Campaign Name],INDEX(totals[],,MATCH($I20,totals[#Headers],0)))</f>
        <v>0.42119077792763576</v>
      </c>
      <c r="M20" s="32" cm="1">
        <f t="array" ref="M20">_xlfn.XLOOKUP(M$9,totals[Campaign Name],INDEX(totals[],,MATCH($I20,totals[#Headers],0)))</f>
        <v>0.4194727903380493</v>
      </c>
    </row>
    <row r="21" spans="9:13" ht="22.2" customHeight="1" x14ac:dyDescent="0.35">
      <c r="I21" s="24" t="s">
        <v>22</v>
      </c>
      <c r="J21" s="23" cm="1">
        <f t="array" ref="J21">_xlfn.XLOOKUP(J$9,totals[Campaign Name],INDEX(totals[],,MATCH($I21,totals[#Headers],0)))</f>
        <v>1.4343320591890323</v>
      </c>
      <c r="K21" s="23" cm="1">
        <f t="array" ref="K21">_xlfn.XLOOKUP(K$9,totals[Campaign Name],INDEX(totals[],,MATCH($I21,totals[#Headers],0)))</f>
        <v>1.4104066308548251</v>
      </c>
      <c r="L21" s="23" cm="1">
        <f t="array" ref="L21">_xlfn.XLOOKUP(L$9,totals[Campaign Name],INDEX(totals[],,MATCH($I21,totals[#Headers],0)))</f>
        <v>1.4211907779276358</v>
      </c>
      <c r="M21" s="23" cm="1">
        <f t="array" ref="M21">_xlfn.XLOOKUP(M$9,totals[Campaign Name],INDEX(totals[],,MATCH($I21,totals[#Headers],0)))</f>
        <v>1.4194727903380493</v>
      </c>
    </row>
    <row r="22" spans="9:13" ht="19.8" customHeight="1" x14ac:dyDescent="0.35">
      <c r="I22" s="34"/>
      <c r="J22" s="23"/>
      <c r="K22" s="23"/>
      <c r="L22" s="23"/>
      <c r="M22" s="23"/>
    </row>
  </sheetData>
  <mergeCells count="5">
    <mergeCell ref="J9:J11"/>
    <mergeCell ref="K9:K11"/>
    <mergeCell ref="L9:L11"/>
    <mergeCell ref="M9:M11"/>
    <mergeCell ref="I9:I11"/>
  </mergeCells>
  <conditionalFormatting sqref="J12:M12">
    <cfRule type="colorScale" priority="12">
      <colorScale>
        <cfvo type="min"/>
        <cfvo type="max"/>
        <color theme="3" tint="0.89999084444715716"/>
        <color theme="3" tint="0.749992370372631"/>
      </colorScale>
    </cfRule>
  </conditionalFormatting>
  <conditionalFormatting sqref="J13:M13">
    <cfRule type="colorScale" priority="11">
      <colorScale>
        <cfvo type="min"/>
        <cfvo type="max"/>
        <color theme="3" tint="0.89999084444715716"/>
        <color theme="3" tint="0.749992370372631"/>
      </colorScale>
    </cfRule>
  </conditionalFormatting>
  <conditionalFormatting sqref="J14:M14">
    <cfRule type="colorScale" priority="9">
      <colorScale>
        <cfvo type="min"/>
        <cfvo type="max"/>
        <color theme="3" tint="0.89999084444715716"/>
        <color theme="3" tint="0.749992370372631"/>
      </colorScale>
    </cfRule>
  </conditionalFormatting>
  <conditionalFormatting sqref="J15:M15">
    <cfRule type="colorScale" priority="8">
      <colorScale>
        <cfvo type="min"/>
        <cfvo type="max"/>
        <color theme="3" tint="0.89999084444715716"/>
        <color theme="3" tint="0.749992370372631"/>
      </colorScale>
    </cfRule>
  </conditionalFormatting>
  <conditionalFormatting sqref="J16:M16">
    <cfRule type="colorScale" priority="7">
      <colorScale>
        <cfvo type="min"/>
        <cfvo type="max"/>
        <color theme="3" tint="0.89999084444715716"/>
        <color theme="3" tint="0.749992370372631"/>
      </colorScale>
    </cfRule>
  </conditionalFormatting>
  <conditionalFormatting sqref="J17:M17">
    <cfRule type="colorScale" priority="6">
      <colorScale>
        <cfvo type="min"/>
        <cfvo type="max"/>
        <color theme="3" tint="0.89999084444715716"/>
        <color theme="3" tint="0.749992370372631"/>
      </colorScale>
    </cfRule>
  </conditionalFormatting>
  <conditionalFormatting sqref="J18:M18">
    <cfRule type="colorScale" priority="5">
      <colorScale>
        <cfvo type="min"/>
        <cfvo type="max"/>
        <color theme="3" tint="0.89999084444715716"/>
        <color theme="3" tint="0.749992370372631"/>
      </colorScale>
    </cfRule>
  </conditionalFormatting>
  <conditionalFormatting sqref="J19:M19">
    <cfRule type="colorScale" priority="4">
      <colorScale>
        <cfvo type="min"/>
        <cfvo type="max"/>
        <color theme="3" tint="0.89999084444715716"/>
        <color theme="3" tint="0.749992370372631"/>
      </colorScale>
    </cfRule>
  </conditionalFormatting>
  <conditionalFormatting sqref="J20:M20">
    <cfRule type="colorScale" priority="3">
      <colorScale>
        <cfvo type="min"/>
        <cfvo type="max"/>
        <color theme="3" tint="0.89999084444715716"/>
        <color theme="3" tint="0.749992370372631"/>
      </colorScale>
    </cfRule>
  </conditionalFormatting>
  <conditionalFormatting sqref="J21:M22">
    <cfRule type="colorScale" priority="2">
      <colorScale>
        <cfvo type="min"/>
        <cfvo type="max"/>
        <color theme="3" tint="0.89999084444715716"/>
        <color theme="3" tint="0.749992370372631"/>
      </colorScale>
    </cfRule>
  </conditionalFormatting>
  <conditionalFormatting sqref="J22:M22">
    <cfRule type="colorScale" priority="1">
      <colorScale>
        <cfvo type="min"/>
        <cfvo type="max"/>
        <color theme="3" tint="0.89999084444715716"/>
        <color theme="3" tint="0.749992370372631"/>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6A98CA-D7E7-44A1-BF89-856C3E02DD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Google Ads Dataset(Cleaned)</vt:lpstr>
      <vt:lpstr>Sheet1</vt:lpstr>
      <vt:lpstr>Dashboard</vt:lpstr>
      <vt:lpstr>CLicks</vt:lpstr>
      <vt:lpstr>Conversions</vt:lpstr>
      <vt:lpstr>Impressions</vt:lpstr>
      <vt:lpstr>Leads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Vlada Tsopa</dc:creator>
  <cp:lastModifiedBy>Vlada Tsopa</cp:lastModifiedBy>
  <dcterms:created xsi:type="dcterms:W3CDTF">2026-04-08T17:29:07Z</dcterms:created>
  <dcterms:modified xsi:type="dcterms:W3CDTF">2026-04-10T23:20:16Z</dcterms:modified>
</cp:coreProperties>
</file>